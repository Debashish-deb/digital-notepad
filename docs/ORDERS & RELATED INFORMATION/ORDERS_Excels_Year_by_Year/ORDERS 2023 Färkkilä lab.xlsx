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January 2023" sheetId="2" r:id="rId6"/>
    <sheet state="visible" name="February 2023" sheetId="3" r:id="rId7"/>
    <sheet state="visible" name="March 2023" sheetId="4" r:id="rId8"/>
    <sheet state="visible" name="April 2023" sheetId="5" r:id="rId9"/>
    <sheet state="visible" name="May 2023" sheetId="6" r:id="rId10"/>
    <sheet state="visible" name="June 2023" sheetId="7" r:id="rId11"/>
    <sheet state="visible" name="July 2023" sheetId="8" r:id="rId12"/>
    <sheet state="visible" name="August 2023" sheetId="9" r:id="rId13"/>
    <sheet state="visible" name="September 2023" sheetId="10" r:id="rId14"/>
    <sheet state="visible" name="October 2023" sheetId="11" r:id="rId15"/>
    <sheet state="visible" name="November 2023" sheetId="12" r:id="rId16"/>
    <sheet state="visible" name="December 2023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tc={0dcea1b8-c512-40a0-9e62-988b30611251}</author>
    <author>tc={e0bcd07c-c01a-4292-86fe-47e029bf07dc}</author>
    <author>tc={e53affa6-93ae-4d5e-9c92-1887b6ffefb2}</author>
  </authors>
  <commentList>
    <comment authorId="0" xr:uid="{0dcea1b8-c512-40a0-9e62-988b30611251}" ref="J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Don't use this
</t>
      </text>
    </comment>
    <comment authorId="1" xr:uid="{e0bcd07c-c01a-4292-86fe-47e029bf07dc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these money are from iCAN 2021-2022
</t>
      </text>
    </comment>
    <comment authorId="2" xr:uid="{e53affa6-93ae-4d5e-9c92-1887b6ffefb2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Correct code for Färkkilä 2023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6">
      <text>
        <t xml:space="preserve">Remember to change it from ERC to UH grant when invoice comes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Billing date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tc={0e4d0479-efdb-4f94-a6c4-739d07dc40bf}</author>
    <author>tc={d9889225-a4f8-48a7-97aa-c98cd2648558}</author>
  </authors>
  <commentList>
    <comment authorId="0" xr:uid="{0e4d0479-efdb-4f94-a6c4-739d07dc40bf}" ref="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all electronic items until row 38 to be paid by credit card
</t>
      </text>
    </comment>
    <comment authorId="1" xr:uid="{d9889225-a4f8-48a7-97aa-c98cd2648558}" ref="A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647 was discontinued ,ordered 555 conjugate in October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tc={cf69076b-00fa-40ac-baf0-86e1ef311762}</author>
    <author>tc={fdacc0d9-5dc8-41bb-a7cc-ff84d8fb1bb0}</author>
  </authors>
  <commentList>
    <comment authorId="0" xr:uid="{cf69076b-00fa-40ac-baf0-86e1ef311762}" ref="A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ordered to replace the borrowed one from Kauppi lab
</t>
      </text>
    </comment>
    <comment authorId="1" xr:uid="{fdacc0d9-5dc8-41bb-a7cc-ff84d8fb1bb0}" ref="H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157,35 from GSK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4">
      <text>
        <t xml:space="preserve">2202482 IIL ?</t>
      </text>
    </comment>
  </commentList>
</comments>
</file>

<file path=xl/sharedStrings.xml><?xml version="1.0" encoding="utf-8"?>
<sst xmlns="http://schemas.openxmlformats.org/spreadsheetml/2006/main" count="2792" uniqueCount="1035">
  <si>
    <t>WBS</t>
  </si>
  <si>
    <t>Totals</t>
  </si>
  <si>
    <t>Month</t>
  </si>
  <si>
    <t>UH 3-year grant, H30492/wbs730492302</t>
  </si>
  <si>
    <t>ERC, WBS 4100466</t>
  </si>
  <si>
    <t>iCAN , /7300333 + TA 333 206</t>
  </si>
  <si>
    <t>HiLIFE, 797012340</t>
  </si>
  <si>
    <t>RPU basic funds, H3040/wbs 73040001</t>
  </si>
  <si>
    <t>ONCOSYS money, H30492/wbs730492320</t>
  </si>
  <si>
    <t>HUS money</t>
  </si>
  <si>
    <t>GSK, WBS 4721414</t>
  </si>
  <si>
    <t>Suomen lääketieteen Säätiö, 4709244</t>
  </si>
  <si>
    <t>Syöpäsäätiö, 4709138</t>
  </si>
  <si>
    <t>Juselius suurapuraha,4709391</t>
  </si>
  <si>
    <t xml:space="preserve"> Academy of Finland ,1339805</t>
  </si>
  <si>
    <t>Jan</t>
  </si>
  <si>
    <t xml:space="preserve"> -</t>
  </si>
  <si>
    <t>Feb</t>
  </si>
  <si>
    <t>Mar</t>
  </si>
  <si>
    <t>Apr</t>
  </si>
  <si>
    <t>May</t>
  </si>
  <si>
    <t>-</t>
  </si>
  <si>
    <t>Jun</t>
  </si>
  <si>
    <t>Jul</t>
  </si>
  <si>
    <t>Aug</t>
  </si>
  <si>
    <t>Sep</t>
  </si>
  <si>
    <t>Oct</t>
  </si>
  <si>
    <t>Nov</t>
  </si>
  <si>
    <t>Dec</t>
  </si>
  <si>
    <t>PRODUCT</t>
  </si>
  <si>
    <t>CATALOG #</t>
  </si>
  <si>
    <t>UNIT SIZE</t>
  </si>
  <si>
    <t>AMOUNT</t>
  </si>
  <si>
    <t>MANUFACTURER</t>
  </si>
  <si>
    <t>SUPPLIER</t>
  </si>
  <si>
    <t>UNIT PRICE (alv 0%)</t>
  </si>
  <si>
    <t>TOTAL PRICE (alv 0%)</t>
  </si>
  <si>
    <t>ORDER DATE</t>
  </si>
  <si>
    <t>WHO</t>
  </si>
  <si>
    <t>ARRIVAL DATE</t>
  </si>
  <si>
    <t>OREDERED FROM</t>
  </si>
  <si>
    <t>LOCATION</t>
  </si>
  <si>
    <t>ADDITIONAL INFO</t>
  </si>
  <si>
    <t>Total</t>
  </si>
  <si>
    <t>WES bill for 3 GL DNAs rerun</t>
  </si>
  <si>
    <t>HiLIFE-FIMM, NGS</t>
  </si>
  <si>
    <t>2.01.2023</t>
  </si>
  <si>
    <t>NC</t>
  </si>
  <si>
    <t>9.01.2023</t>
  </si>
  <si>
    <t>UH 3-year grant/wbs 730492302</t>
  </si>
  <si>
    <t>Tissue services bill, Anatomy (tissue processing 7.11-29.11.2022)</t>
  </si>
  <si>
    <t>iCAN deep profiling H300, WBS 7300333/TA333106</t>
  </si>
  <si>
    <t>PE Opera Phenix reservation and Imaging service</t>
  </si>
  <si>
    <t>FIMM Tech Center</t>
  </si>
  <si>
    <t>all wbs's finishig in year 2022 are used here</t>
  </si>
  <si>
    <t>Bowling bill, 10 participants, 1.12.2022</t>
  </si>
  <si>
    <t>ruusula@bowling.fi</t>
  </si>
  <si>
    <t>ONCOSYS money wbs730492320</t>
  </si>
  <si>
    <t>credit card</t>
  </si>
  <si>
    <t>Lab X-mas dinner at Cara Italia, 9  patricipants, 1.12.2022</t>
  </si>
  <si>
    <t>bulevardi@casaitalia.fi</t>
  </si>
  <si>
    <t>Lab Xmas lunch at Cumulus bistro, 11 participants</t>
  </si>
  <si>
    <t>Scandic Hotels</t>
  </si>
  <si>
    <t>Fernando's paper publishing fee</t>
  </si>
  <si>
    <t>Springer Nature</t>
  </si>
  <si>
    <t>paid around 18.1.2023</t>
  </si>
  <si>
    <t>WBS 7985604, Sampsa is an approver in SAP</t>
  </si>
  <si>
    <t>AF lab web page hosting, monthly fee, Nov. and Dec. 2022</t>
  </si>
  <si>
    <t>1&amp;1 Espana</t>
  </si>
  <si>
    <t>Tissue services bill, Anatomy (tissue processing8.11.2022-9.11.2022)</t>
  </si>
  <si>
    <t>Virkon, Rely+On Virkon (Day Impex™ Virkon™ Disinfectant Virucidal Tablets)</t>
  </si>
  <si>
    <t>12328667/330012</t>
  </si>
  <si>
    <t>20x10x5g, 200tabl</t>
  </si>
  <si>
    <t>Fischer Scientific</t>
  </si>
  <si>
    <t>Fisher/City-Lab</t>
  </si>
  <si>
    <t>17.1.2023</t>
  </si>
  <si>
    <t xml:space="preserve">RPU funds, H3040/wbs 73040001 </t>
  </si>
  <si>
    <t>cell culture room, shelf above the sink</t>
  </si>
  <si>
    <t>Falcon 5 mL tubes: 12 x 75mm, Sterile Polystyrene Round Bottom Test Tubes With Snap Cap</t>
  </si>
  <si>
    <t>352058/10100151</t>
  </si>
  <si>
    <t>500pcs</t>
  </si>
  <si>
    <t>Falcon/Corning Brand</t>
  </si>
  <si>
    <t>7.2.2023</t>
  </si>
  <si>
    <t>SS</t>
  </si>
  <si>
    <t>Bags Biohazard autoclave, PP clear 40um, 620x780mm</t>
  </si>
  <si>
    <t>Fisher</t>
  </si>
  <si>
    <t>Fisher/City-lab</t>
  </si>
  <si>
    <t>26.1.2023</t>
  </si>
  <si>
    <t>Bel-Art SP Scienceware Cleanware Self-adhesive waste bags (25.4 x 20.32cm)</t>
  </si>
  <si>
    <t>11372144/F13174-1008</t>
  </si>
  <si>
    <t>50pieces</t>
  </si>
  <si>
    <t>City-Lab</t>
  </si>
  <si>
    <t>Bel-Art SP Scienceware Cleanware Self-adhesive waste bags (16 x 12 in. (40.64 x 30.48cm))</t>
  </si>
  <si>
    <t>11382144/F13174-1012</t>
  </si>
  <si>
    <t>27.1.2023</t>
  </si>
  <si>
    <t>Mattoiveitsi 18mm Pro Cutter</t>
  </si>
  <si>
    <t>RCK Finland Oy</t>
  </si>
  <si>
    <t>via Anne Simola</t>
  </si>
  <si>
    <t>10.01.2023</t>
  </si>
  <si>
    <t>https://kauppa.rckfinland.fi/189043-mattoveitsi-18-mm-pro-cutter.html</t>
  </si>
  <si>
    <t>NT Cutter SL-700GP -katkoteräveitsi, 18 mm, ammattikäyttöön</t>
  </si>
  <si>
    <t>Tuote 456813</t>
  </si>
  <si>
    <t>Verkkokauppa</t>
  </si>
  <si>
    <t>https://www.verkkokauppa.com/fi/product/456813/NT-Cutter-SL-700GP-katkoteraveitsi-18-mm-ammattikayttoon?utm_source=productlink&amp;utm_medium=orderemail&amp;utm_campaign=order_created</t>
  </si>
  <si>
    <t>Pembrolizumab (anti-PD-1)</t>
  </si>
  <si>
    <t>A2005</t>
  </si>
  <si>
    <t>5mg</t>
  </si>
  <si>
    <t>Selleckchem</t>
  </si>
  <si>
    <t>20.1.2023</t>
  </si>
  <si>
    <t>25.1.2023</t>
  </si>
  <si>
    <t>at lab +4oC, wrapper in foil, protect from light!</t>
  </si>
  <si>
    <t>https://www.selleckchem.com</t>
  </si>
  <si>
    <r>
      <rPr>
        <rFont val="Calibri, Arial"/>
        <color theme="1"/>
        <sz val="11.0"/>
      </rPr>
      <t xml:space="preserve">free shipment for orders over </t>
    </r>
    <r>
      <rPr>
        <rFont val="Calibri, Arial"/>
        <b/>
        <color theme="1"/>
        <sz val="11.0"/>
      </rPr>
      <t>500e</t>
    </r>
  </si>
  <si>
    <r>
      <rPr>
        <rFont val="Calibri"/>
        <color theme="1"/>
        <sz val="11.0"/>
      </rPr>
      <t xml:space="preserve">Pipette boy Midi Plus Controller 1-100ml </t>
    </r>
    <r>
      <rPr>
        <rFont val="Calibri"/>
        <b/>
        <color theme="1"/>
        <sz val="11.0"/>
      </rPr>
      <t>FOR WET LAB, SN: 4543405508</t>
    </r>
  </si>
  <si>
    <t>Sartorius</t>
  </si>
  <si>
    <t>3.2.2023</t>
  </si>
  <si>
    <t xml:space="preserve">Formaldehyde, Extra Pure, Solution 37-41%, </t>
  </si>
  <si>
    <t>1L</t>
  </si>
  <si>
    <t>24.2.2023</t>
  </si>
  <si>
    <t>Färkkilä wet lab</t>
  </si>
  <si>
    <t>Dispase II</t>
  </si>
  <si>
    <t>D4693-1G</t>
  </si>
  <si>
    <t>1g</t>
  </si>
  <si>
    <t>Sigma/Merk</t>
  </si>
  <si>
    <t>lab fridge</t>
  </si>
  <si>
    <t>plus 15e handling fee</t>
  </si>
  <si>
    <t>Abs Ethanol</t>
  </si>
  <si>
    <t>13110124A</t>
  </si>
  <si>
    <t>0.5L</t>
  </si>
  <si>
    <t>Berner Oy</t>
  </si>
  <si>
    <t>23.1.2023</t>
  </si>
  <si>
    <t>medlab.tilaukset@berner.fi</t>
  </si>
  <si>
    <t>Abs EtOH 99.5%</t>
  </si>
  <si>
    <t>5L</t>
  </si>
  <si>
    <t>96% Ethanol</t>
  </si>
  <si>
    <t>Fernando, Florence flight. Lufthansa, 14.-18.3.2023</t>
  </si>
  <si>
    <t>CWT</t>
  </si>
  <si>
    <t>HBSS, no calcium, no magnesium, no phenol red</t>
  </si>
  <si>
    <t>500ml</t>
  </si>
  <si>
    <t>Thermo Scientific</t>
  </si>
  <si>
    <t>Scalpels disposable with No. 10 blade (blade is more rounded shape)</t>
  </si>
  <si>
    <t>11798343/0501</t>
  </si>
  <si>
    <t>10pcs</t>
  </si>
  <si>
    <t>3 boxes arr. 27.1.23, rest- 31.1.2023</t>
  </si>
  <si>
    <t xml:space="preserve">Laptop for Saun: Lenovo Thinkpad L14 Gen 3 </t>
  </si>
  <si>
    <t>Lenovo</t>
  </si>
  <si>
    <t>Dustin/ordered via ltdk palvelukoordinaattorit, e-form</t>
  </si>
  <si>
    <t>1.2.2023</t>
  </si>
  <si>
    <r>
      <rPr>
        <rFont val="Calibri"/>
        <color theme="1"/>
        <sz val="11.0"/>
      </rPr>
      <t xml:space="preserve">RPU basic funds </t>
    </r>
    <r>
      <rPr>
        <rFont val="Calibri"/>
        <color theme="1"/>
        <sz val="11.0"/>
      </rPr>
      <t>H3040/wbs 73040001</t>
    </r>
  </si>
  <si>
    <t>cookies for lab seminars, Smarket</t>
  </si>
  <si>
    <t>S-market</t>
  </si>
  <si>
    <t>AACR registratiuon fee, Anniina</t>
  </si>
  <si>
    <t>AACR</t>
  </si>
  <si>
    <t>USD 315</t>
  </si>
  <si>
    <t>1&amp;1 Espana, lab web page hosting bill, Jan 2023</t>
  </si>
  <si>
    <t>Lenovo ThinkStation P360</t>
  </si>
  <si>
    <t>Dustin/ordered via admin Meilahti</t>
  </si>
  <si>
    <t>23.2.2023</t>
  </si>
  <si>
    <t>24.3.2023</t>
  </si>
  <si>
    <t>30.3.2023</t>
  </si>
  <si>
    <t>FIMM Tissue services bill-tissue processing, sectioining and H&amp;E</t>
  </si>
  <si>
    <t>FIMM</t>
  </si>
  <si>
    <t>iCAN: H970, WBS 13465551 + TA 333 206</t>
  </si>
  <si>
    <t>Laptop fro ZiqiLenovo P15v G3 I7-12800h/32/2t/a2/lento +Ea+toim #Hy_pkt-b</t>
  </si>
  <si>
    <t>20.3.2023</t>
  </si>
  <si>
    <t>UH grant wbs730492302</t>
  </si>
  <si>
    <t>PIPETTE,10ML,PPW,PS,S,IND,50 BAG/200</t>
  </si>
  <si>
    <t>Corning</t>
  </si>
  <si>
    <t>City-Lab/Labnet oy</t>
  </si>
  <si>
    <t>21.3.2023</t>
  </si>
  <si>
    <t>23.3.2023</t>
  </si>
  <si>
    <t>GSK, wbs 472141</t>
  </si>
  <si>
    <t>B324b</t>
  </si>
  <si>
    <t>RQ1 RNase-Free DNase</t>
  </si>
  <si>
    <t>M6101</t>
  </si>
  <si>
    <t>1000 U</t>
  </si>
  <si>
    <t>Promega</t>
  </si>
  <si>
    <t>23.3.2023/30.3.2023</t>
  </si>
  <si>
    <t>B324b -20 freezer</t>
  </si>
  <si>
    <t>1/3 order received on 23.3.2023,rest 30.3.3023</t>
  </si>
  <si>
    <t>Poster for Fernando EARC conference</t>
  </si>
  <si>
    <t>10.3.2023</t>
  </si>
  <si>
    <t>FP</t>
  </si>
  <si>
    <t>Filled after Saun received invoice</t>
  </si>
  <si>
    <t>Poster for Ashwini EARC conference</t>
  </si>
  <si>
    <t>AN</t>
  </si>
  <si>
    <t xml:space="preserve">Anti-Mouse Ig, /Negative Control Compensation Particles Set </t>
  </si>
  <si>
    <t>6 ml</t>
  </si>
  <si>
    <t>BD diagnostics</t>
  </si>
  <si>
    <t>5.4.2023</t>
  </si>
  <si>
    <t>Purchases from credit card paid on the month of March</t>
  </si>
  <si>
    <t>Taxi ride for Anniina Färkkilä</t>
  </si>
  <si>
    <t>n/a</t>
  </si>
  <si>
    <t>13.3.2023</t>
  </si>
  <si>
    <t>Suomen lääketieteen Säätiö, WBS 4709244</t>
  </si>
  <si>
    <t>Registration for Conference at EARC to be attended by Anniina Färkkilä</t>
  </si>
  <si>
    <t>17.02.2023</t>
  </si>
  <si>
    <t>AI-PRO account managing app for Anniina Färkkilä</t>
  </si>
  <si>
    <t>19.02.2023</t>
  </si>
  <si>
    <t>Web-Hosting for Annina Färkkilä Lab</t>
  </si>
  <si>
    <t>ASANA project and team management app for Färkkilä lab</t>
  </si>
  <si>
    <t>Suomen lääketieteen Säätiö, WBS 4709245</t>
  </si>
  <si>
    <t>Registration for Conference at AACR to be attended by Inga-maria Launonen</t>
  </si>
  <si>
    <t>20.02.2022</t>
  </si>
  <si>
    <t>Rad51 Antibody conjugated to Alexa 488</t>
  </si>
  <si>
    <t>sc-398587 AF488</t>
  </si>
  <si>
    <t>200 µg/ ml</t>
  </si>
  <si>
    <t>Santacruz</t>
  </si>
  <si>
    <t>city-lab</t>
  </si>
  <si>
    <t>19.4.2023</t>
  </si>
  <si>
    <t>Syöpäsäätiö, wbs4709138</t>
  </si>
  <si>
    <t>4 ° C Antibody box1</t>
  </si>
  <si>
    <t>Mouse-XPA</t>
  </si>
  <si>
    <t>sc-28353</t>
  </si>
  <si>
    <t>200ug/ ml</t>
  </si>
  <si>
    <t>PARP1 Antibody</t>
  </si>
  <si>
    <t>pa5-34803</t>
  </si>
  <si>
    <t>100uL</t>
  </si>
  <si>
    <t>ThermoFisher</t>
  </si>
  <si>
    <t>21.4.2023</t>
  </si>
  <si>
    <t>STEM-CELLBANKER DMSO FREE - GMP Grade</t>
  </si>
  <si>
    <t>11890F</t>
  </si>
  <si>
    <t>100ml</t>
  </si>
  <si>
    <t>Amsbio</t>
  </si>
  <si>
    <t>6.4.2023</t>
  </si>
  <si>
    <t>12.4.2023</t>
  </si>
  <si>
    <t>Nitrile Indigo Disposable Gloves PPE Cat III M</t>
  </si>
  <si>
    <t>200 pcs</t>
  </si>
  <si>
    <t>14.4.2023</t>
  </si>
  <si>
    <t>RPU basic funds, wbs 73040001</t>
  </si>
  <si>
    <t>Nitrile Indigo Disposable Gloves PPE Cat III L</t>
  </si>
  <si>
    <t xml:space="preserve">Reagent reservoirs, 25ml capacity, Polystyrene, Sterile        </t>
  </si>
  <si>
    <t>100pcs/25ml</t>
  </si>
  <si>
    <t>18.4.2023</t>
  </si>
  <si>
    <t>24.4.2023</t>
  </si>
  <si>
    <t>FIMM Tissue Services bill</t>
  </si>
  <si>
    <t>Service from FIMM</t>
  </si>
  <si>
    <t>iCAN , /13465551 + TA 333 206</t>
  </si>
  <si>
    <t>X1000 Coverslip 24x60mm #0</t>
  </si>
  <si>
    <t>Fisher Scientific Oy</t>
  </si>
  <si>
    <t>23.5.2023</t>
  </si>
  <si>
    <t>S.S</t>
  </si>
  <si>
    <t>Vimentin (D21H3) XP Rabbit mAb (Alexa Fluor 555 Conjugate)</t>
  </si>
  <si>
    <t>9855S</t>
  </si>
  <si>
    <t>100 uL</t>
  </si>
  <si>
    <t>CST</t>
  </si>
  <si>
    <t>25.4.2023</t>
  </si>
  <si>
    <t>2.5.2023</t>
  </si>
  <si>
    <t>Nestin Monoclonal Antibody (10C2), Alexa Fluor 488</t>
  </si>
  <si>
    <t>53-9843-80</t>
  </si>
  <si>
    <t>25 µg(500ug/ml)</t>
  </si>
  <si>
    <t>Thermo Fisher Scientific (eBioscience)</t>
  </si>
  <si>
    <t>26.4.2023</t>
  </si>
  <si>
    <t>11.5.2023</t>
  </si>
  <si>
    <t>Sox2 (D6D9) XP Rabbit mAb (Alexa Fluor 555 Conjugate)</t>
  </si>
  <si>
    <t>5179S</t>
  </si>
  <si>
    <t>100 ul(3ug/ml)</t>
  </si>
  <si>
    <t>Cell Signaling Technology</t>
  </si>
  <si>
    <t>bionordika/city-lab</t>
  </si>
  <si>
    <t>643,00 €</t>
  </si>
  <si>
    <t>4.5.2023</t>
  </si>
  <si>
    <t>Anti-Olig-2 Alexa Fluor# 555 Con</t>
  </si>
  <si>
    <t>AB9610-AF555</t>
  </si>
  <si>
    <t>100ul</t>
  </si>
  <si>
    <t>Millipore/SigmaAldrich</t>
  </si>
  <si>
    <t>Sigma/Merck</t>
  </si>
  <si>
    <t>JD</t>
  </si>
  <si>
    <t>https://www.sigmaaldrich.com/FI/en/product/mm/ab9610af555</t>
  </si>
  <si>
    <t>p21 Waf1/Cip1 (12D1) Rabbit mAb (Alexa Fluor 647 Conjugate)</t>
  </si>
  <si>
    <t>8587S</t>
  </si>
  <si>
    <t>100ul(50ug/ml)</t>
  </si>
  <si>
    <t>MCM2 Antibody (E-8) Alexa Fluor 488</t>
  </si>
  <si>
    <t>sc-373702 AF488</t>
  </si>
  <si>
    <t>200ug/ml</t>
  </si>
  <si>
    <t>Santa Cruz Biotechnology</t>
  </si>
  <si>
    <t>8.5.2023</t>
  </si>
  <si>
    <t>GFAP Monoclonal Antibody (GA5), eFluor 570</t>
  </si>
  <si>
    <t>41-9892-82</t>
  </si>
  <si>
    <t>100 µg(200ug/ml)</t>
  </si>
  <si>
    <t>Ki-67 (D3B5) Rabbit mAb (Alexa Fluor 647 Conjugate)</t>
  </si>
  <si>
    <t>12075S</t>
  </si>
  <si>
    <t>100 ul(100ug/ml)</t>
  </si>
  <si>
    <t>https://www.cellsignal.com/products/antibody-conjugates/ki-67-d3b5-rabbit-mab-alexa-fluor-647-conjugate/12075</t>
  </si>
  <si>
    <t>PCNA (PC10) Mouse mAb (Alexa Fluor 488 Conjugate)</t>
  </si>
  <si>
    <t>8580S</t>
  </si>
  <si>
    <t>CD133 Antibody (E-11) Alexa Fluor 546</t>
  </si>
  <si>
    <t>sc-365537 AF546</t>
  </si>
  <si>
    <t>city-lab/Labnet oy</t>
  </si>
  <si>
    <t>15.5.2023</t>
  </si>
  <si>
    <t>CDKN1B/Kip1 p27 Antibody (F-8) Alexa Fluor 647</t>
  </si>
  <si>
    <t>sc-1641 AF647</t>
  </si>
  <si>
    <t>100 µg/ ml</t>
  </si>
  <si>
    <t>Cyclin D1 Polyclonal Antibody, Alexa Fluor 647</t>
  </si>
  <si>
    <t>BS-0623R-A647</t>
  </si>
  <si>
    <t>100 µl</t>
  </si>
  <si>
    <t>9.6.2023</t>
  </si>
  <si>
    <t>Recombinant Alexa Fluor® 555 Anti-Cytokeratin 7 antibody</t>
  </si>
  <si>
    <t>AB209601-1002</t>
  </si>
  <si>
    <t>Abcam</t>
  </si>
  <si>
    <t>16.5.2023</t>
  </si>
  <si>
    <t xml:space="preserve">-20° C </t>
  </si>
  <si>
    <t>Lenovo ThinkVision T24i-2L 24" Full HD -näyttö</t>
  </si>
  <si>
    <t>3 kpl</t>
  </si>
  <si>
    <t>4.4.2023</t>
  </si>
  <si>
    <t>29.4.2023</t>
  </si>
  <si>
    <t>Credit Card/ERC/processing in June</t>
  </si>
  <si>
    <t>Samsung T7 -ulkoinen SSD-levy, 2 Tt, sininen</t>
  </si>
  <si>
    <t>2 TB</t>
  </si>
  <si>
    <t>5 kpl</t>
  </si>
  <si>
    <t>Samsung</t>
  </si>
  <si>
    <t>Logitech M280 -hiiri, musta</t>
  </si>
  <si>
    <t>4 kpl</t>
  </si>
  <si>
    <t>Logitech</t>
  </si>
  <si>
    <t>Logitech K120 -näppäimistö yrityskäyttöön</t>
  </si>
  <si>
    <t>3kpl</t>
  </si>
  <si>
    <t>Nedis-kannettavan tietokoneen teline, hopea</t>
  </si>
  <si>
    <t>Nedis</t>
  </si>
  <si>
    <t>Kensington ErgoSoft™ -rannetuki hiirikädelle</t>
  </si>
  <si>
    <t>1 kpl</t>
  </si>
  <si>
    <t>Kensington</t>
  </si>
  <si>
    <t>Cablexpert USB-C - USB-A -kaapeli, 10 cm</t>
  </si>
  <si>
    <t>10 cm</t>
  </si>
  <si>
    <t>2 kpl</t>
  </si>
  <si>
    <t>Cablexpert</t>
  </si>
  <si>
    <t>USB-C laptop charger</t>
  </si>
  <si>
    <t>1kpl</t>
  </si>
  <si>
    <t>Targus</t>
  </si>
  <si>
    <t>Samsung S27A600U 27" -screen</t>
  </si>
  <si>
    <t>27 ''</t>
  </si>
  <si>
    <t>TP-LINK UE300C USB Type-C Ethernet adapteri -verkkokortti</t>
  </si>
  <si>
    <t>TP-Link</t>
  </si>
  <si>
    <t>Purchases from credit card paid on the month of April</t>
  </si>
  <si>
    <t xml:space="preserve">Arnolds Donut for Färkkilä Lab /HUS/BIOPANKKI ONCOSYS-OVA Sample discussion meeting </t>
  </si>
  <si>
    <t>02.03.2023</t>
  </si>
  <si>
    <t>Oncosys/wbs730492320</t>
  </si>
  <si>
    <t>Cookies for Färkkilä Lab weekly meeting</t>
  </si>
  <si>
    <t>03.03.2023</t>
  </si>
  <si>
    <t xml:space="preserve">AI-PRO Machine learning Programming Course for Anniina Färkkilä </t>
  </si>
  <si>
    <t>05.03.2023</t>
  </si>
  <si>
    <t>UH 3-year grant/wbs730492302</t>
  </si>
  <si>
    <t>Dinner with Speakers in Italy after EACR conference</t>
  </si>
  <si>
    <t>15.03.2023</t>
  </si>
  <si>
    <t xml:space="preserve">Dinner with Collaborators in Italy during EACR conference </t>
  </si>
  <si>
    <t>16.03.2023</t>
  </si>
  <si>
    <t>TAXI from Airport in Helsinki to Home for Anniina after EACR conference in Italy</t>
  </si>
  <si>
    <t>17.03.2023</t>
  </si>
  <si>
    <t>ERC/WBS 4100466</t>
  </si>
  <si>
    <t>Hotel stay for conference in Italy for Anniina (15.3.23-16.3.23)</t>
  </si>
  <si>
    <t>Note: Orders with bold yet to arrive.</t>
  </si>
  <si>
    <t>Seagate Expansion Portable -ulkoinen kovalevy, 5 Tt</t>
  </si>
  <si>
    <t>5 TB</t>
  </si>
  <si>
    <t>Seagate</t>
  </si>
  <si>
    <t>5.5.2023</t>
  </si>
  <si>
    <t>9.5.2023</t>
  </si>
  <si>
    <t>CC / use ERC grant</t>
  </si>
  <si>
    <t>Seagate Expansion Portable -ulkoinen kovalevy, 5 Tt – Verkkokauppa.com</t>
  </si>
  <si>
    <t>CD8a Antibody, eFluor TM 660 (AMC908)-100 mg</t>
  </si>
  <si>
    <t>50-0008-82</t>
  </si>
  <si>
    <t>100ug (200ug/ml)</t>
  </si>
  <si>
    <t>Invitrogen/Thermoscientific</t>
  </si>
  <si>
    <t>S:S</t>
  </si>
  <si>
    <t>10x PBS (67mM PO4, 1.37M NaCl, 0.027M KCl and 0.119M phosphates)</t>
  </si>
  <si>
    <t>20 L</t>
  </si>
  <si>
    <t>10.5.2023</t>
  </si>
  <si>
    <t>Suomen lääketieteen Säätiö, WBS4709244</t>
  </si>
  <si>
    <t>PE-Cy™7 Mouse anti-Ki-67</t>
  </si>
  <si>
    <t>50 tests</t>
  </si>
  <si>
    <t>BD bioscience</t>
  </si>
  <si>
    <t>19.5.2023</t>
  </si>
  <si>
    <t>GSK, wbs 4721414</t>
  </si>
  <si>
    <t>CD8a Monoclonal Antibody (AMC908), eFluor™ 660 (50-0008-82) (thermofisher.com)</t>
  </si>
  <si>
    <t>Alexa Fluor® 700 Mouse Anti-Human IFN-γ</t>
  </si>
  <si>
    <t>100ug</t>
  </si>
  <si>
    <t>19.5.2024</t>
  </si>
  <si>
    <t>Granzyme B Mouse Anti-Human mAb (clone GB11), APC</t>
  </si>
  <si>
    <t>GRB05</t>
  </si>
  <si>
    <t>500ul</t>
  </si>
  <si>
    <t>19.5.2025</t>
  </si>
  <si>
    <t>26.6.2023</t>
  </si>
  <si>
    <r>
      <rPr>
        <rFont val="Arial"/>
        <color theme="1"/>
        <sz val="10.0"/>
      </rPr>
      <t xml:space="preserve">anti-human </t>
    </r>
    <r>
      <rPr>
        <rFont val="Arial"/>
        <color theme="1"/>
        <sz val="10.0"/>
      </rPr>
      <t xml:space="preserve">CD14 </t>
    </r>
    <r>
      <rPr>
        <rFont val="Arial"/>
        <color theme="1"/>
        <sz val="10.0"/>
      </rPr>
      <t>PE-conjugated,  mouse monoclonal IgG1, for FACS</t>
    </r>
  </si>
  <si>
    <t>Immunotools</t>
  </si>
  <si>
    <t>31.5.2023</t>
  </si>
  <si>
    <t>Donkey anti-Rabbit IgG (H+L) Highly Cross-Adsorbed Secondary Antibody, Alexa Fluor™ 488</t>
  </si>
  <si>
    <t>A21206</t>
  </si>
  <si>
    <t>1mg(2mg/ml)</t>
  </si>
  <si>
    <t>Thermofisher scientific</t>
  </si>
  <si>
    <t>22.5.2023</t>
  </si>
  <si>
    <t>Donkey anti-Mouse IgG (H+L) Highly Cross-Adsorbed Secondary Antibody, Alexa Fluor™ 647</t>
  </si>
  <si>
    <t>A31571</t>
  </si>
  <si>
    <t>0.5mL(2mg/ml)</t>
  </si>
  <si>
    <t>29.5.2023</t>
  </si>
  <si>
    <t>LY-294002 hydrochloride</t>
  </si>
  <si>
    <t>L9908-5MG</t>
  </si>
  <si>
    <t>5 mg</t>
  </si>
  <si>
    <t>Merck</t>
  </si>
  <si>
    <t>30.5.2023</t>
  </si>
  <si>
    <t>UH 3-year grant, wbs730492302</t>
  </si>
  <si>
    <t>https://www.sigmaaldrich.com/FI/en</t>
  </si>
  <si>
    <t xml:space="preserve">
 Anti-Sodium Potassium ATPase antibody [EP1845Y] - Rat IgG2a</t>
  </si>
  <si>
    <t>AB283345</t>
  </si>
  <si>
    <t>24.5.2023</t>
  </si>
  <si>
    <t>25.5.2023</t>
  </si>
  <si>
    <t>Recombinant Alexa Fluor® 488 Anti-Iba1 antibody [EPR6136(2)]</t>
  </si>
  <si>
    <t>ab195031</t>
  </si>
  <si>
    <t>100 uL(0.5mg/ml)</t>
  </si>
  <si>
    <t>14.6.2023</t>
  </si>
  <si>
    <t>A.J</t>
  </si>
  <si>
    <t>LiVE/Dead Fixable Aqua Dead Cell stain Kit</t>
  </si>
  <si>
    <t>L34965</t>
  </si>
  <si>
    <t>80 assays</t>
  </si>
  <si>
    <t>city-Lab</t>
  </si>
  <si>
    <t>2.6.2023</t>
  </si>
  <si>
    <t>LIVE/DEAD™ Fixable Aqua Dead Cell Stain Kit, for 405 nm excitation (thermofisher.com)</t>
  </si>
  <si>
    <t>selleckchem</t>
  </si>
  <si>
    <t>6.6.2023</t>
  </si>
  <si>
    <t>https://www.selleckchem.com/products/pembrolizumab.html</t>
  </si>
  <si>
    <t>Purchases from credit card paid on the month of May</t>
  </si>
  <si>
    <t>Koti Pizza for IT biweekly meeting</t>
  </si>
  <si>
    <t>Normal</t>
  </si>
  <si>
    <t>koti pizza</t>
  </si>
  <si>
    <t>11.04.2023</t>
  </si>
  <si>
    <t>19.04.2023</t>
  </si>
  <si>
    <t>Biscuit for Meetings</t>
  </si>
  <si>
    <t>Arnolds Donuts for Nurses</t>
  </si>
  <si>
    <t>20.04.2023</t>
  </si>
  <si>
    <t>Chocolates for nurses</t>
  </si>
  <si>
    <t>26.04.2023</t>
  </si>
  <si>
    <t xml:space="preserve">1 X HBSS  no calcium, no magnesium, 
no phenol red
</t>
  </si>
  <si>
    <t>10x500 ml</t>
  </si>
  <si>
    <t>Gibco/Fisher Scientific Oy</t>
  </si>
  <si>
    <t xml:space="preserve">Leica DB80 LX low profile 
microtome blades
</t>
  </si>
  <si>
    <t>50 pieces</t>
  </si>
  <si>
    <t>Leica</t>
  </si>
  <si>
    <t>Hydrogenperoxide 30% w</t>
  </si>
  <si>
    <t>BP2633-500</t>
  </si>
  <si>
    <t>500 mL</t>
  </si>
  <si>
    <t>15.6.2023</t>
  </si>
  <si>
    <t>B324b fridge</t>
  </si>
  <si>
    <t>Pohjala insurance for Fernando</t>
  </si>
  <si>
    <t>FIMM tissue Processing</t>
  </si>
  <si>
    <t>Invoice approved 26.06.2023</t>
  </si>
  <si>
    <t>Purchases from credit card paid on the month of June</t>
  </si>
  <si>
    <t>Goobay CAT u/utp-Verkkokauppa kaapeli 15 metres for Rarecyte</t>
  </si>
  <si>
    <t>15 metres</t>
  </si>
  <si>
    <t>goobay</t>
  </si>
  <si>
    <t>verkokauppa</t>
  </si>
  <si>
    <t>03.05.2023</t>
  </si>
  <si>
    <t>Biscuits for lab meeting</t>
  </si>
  <si>
    <t>19.05.2023</t>
  </si>
  <si>
    <t>Nordic society for gynecology conference</t>
  </si>
  <si>
    <t>Bagutte for IT-Biweekly lab meeting</t>
  </si>
  <si>
    <t>23.05.2023</t>
  </si>
  <si>
    <t>Snacks from Lidl for Peter Sorger presentation</t>
  </si>
  <si>
    <t>25.05.2023</t>
  </si>
  <si>
    <t>A.F</t>
  </si>
  <si>
    <t>Snacks from WOLT for Peter Sorger presentation</t>
  </si>
  <si>
    <t>24.05.2023</t>
  </si>
  <si>
    <t>Wine at hotel rantapuisto</t>
  </si>
  <si>
    <t>26.05.2023</t>
  </si>
  <si>
    <t>Lab Dinner at hotel Rantapuisto</t>
  </si>
  <si>
    <t>SAP ID</t>
  </si>
  <si>
    <t>Additional info</t>
  </si>
  <si>
    <t>UPS delivery of Organoid vials to Denmark,Wennerberg lab</t>
  </si>
  <si>
    <t>UPS</t>
  </si>
  <si>
    <t>4.7.2023</t>
  </si>
  <si>
    <t>14.7.2023</t>
  </si>
  <si>
    <t>488 Anti-Iba1 antibody (Recombinant Alexa Fluor® 488)</t>
  </si>
  <si>
    <t>ab195031-1001</t>
  </si>
  <si>
    <t>abcam</t>
  </si>
  <si>
    <t>18.7.2023</t>
  </si>
  <si>
    <t>1.8.2023</t>
  </si>
  <si>
    <t>2162980/2166730</t>
  </si>
  <si>
    <t>https://www.abcam.com/products/primary-antibodies/alexa-fluor-488-iba1-antibody-epr61362-ab195031.html</t>
  </si>
  <si>
    <t>Pipetti 25mL Stripette</t>
  </si>
  <si>
    <t>city lab/labnet</t>
  </si>
  <si>
    <t>https://www.labnet.fi/en/product/v659799-4770/4489/pipetti-25ml-stripette/659799/2</t>
  </si>
  <si>
    <t>LUNA Cell Counting Slides, 50 Slides</t>
  </si>
  <si>
    <t>L12001</t>
  </si>
  <si>
    <t>50 slides</t>
  </si>
  <si>
    <t>Luna</t>
  </si>
  <si>
    <t>citylab/bionordika</t>
  </si>
  <si>
    <t>20.7.2023</t>
  </si>
  <si>
    <t>https://logosbio.com/cell_counting_acc/luna-cell-counting-slides/</t>
  </si>
  <si>
    <t>CD68 (D4B9C) XP Rabbit mAb (Alexa Fluor 488 Conjugate)</t>
  </si>
  <si>
    <t>24850S</t>
  </si>
  <si>
    <t>24.7.2023</t>
  </si>
  <si>
    <t xml:space="preserve">  +4 fridge</t>
  </si>
  <si>
    <t>https://www.cellsignal.com/products/antibody-conjugates/cd68-d4b9c-xp-rabbit-mab-alexa-fluor-488-conjugate/24850?site-search-type=Products&amp;N=4294956287&amp;Ntt=24850s&amp;fromPage=plp&amp;_requestid=6314708</t>
  </si>
  <si>
    <t>Nitrile Indigo Disposable Gloves PPE Cat III, Small size</t>
  </si>
  <si>
    <t>10 X 200 kpl</t>
  </si>
  <si>
    <t>Fisher scientific oy</t>
  </si>
  <si>
    <t>city lab</t>
  </si>
  <si>
    <t>27.7.2023</t>
  </si>
  <si>
    <t>https://www.fishersci.fi/shop/products/nitrile-indigo-disposable-gloves-ppe-cat-iii-5/17192182?searchHijack=true&amp;searchTerm=17192182&amp;searchType=RAPID&amp;matchedCatNo=17192182</t>
  </si>
  <si>
    <t>Tissue processing at FIMM</t>
  </si>
  <si>
    <t>8.8.2023</t>
  </si>
  <si>
    <t>7300333/TA333206</t>
  </si>
  <si>
    <t>Credit Card Processing for August</t>
  </si>
  <si>
    <t>1&amp;1 INTERNET ESPANA</t>
  </si>
  <si>
    <t>For June and July</t>
  </si>
  <si>
    <t xml:space="preserve">Iceland air </t>
  </si>
  <si>
    <t>Phospho-RPA32/RPA2 (Ser8) (E5A2F) Rabbit mAb (Alexa Fluor® 488 Conjugate)</t>
  </si>
  <si>
    <t>31912S</t>
  </si>
  <si>
    <t>Cell Signalling Technology</t>
  </si>
  <si>
    <t>18.8.2023</t>
  </si>
  <si>
    <t>29.8.2023</t>
  </si>
  <si>
    <t>Phospho-RPA32/RPA2 (Ser8) (E5A2F) Rabbit mAb (Alexa Fluor® 488 Conjugate) | Cell Signaling Technology</t>
  </si>
  <si>
    <t>Phospho-Chk1 (Ser345) (133D3) Rabbit mAb</t>
  </si>
  <si>
    <t>2348S</t>
  </si>
  <si>
    <t>Phospho-Chk1 (Ser345) (133D3) Rabbit mAb | Cell Signaling Technology</t>
  </si>
  <si>
    <t>p21 Waf1/Cip1 (12D1) Rabbit mAb (Alexa Fluor® 647 Conjugate)</t>
  </si>
  <si>
    <t>AJ</t>
  </si>
  <si>
    <t>https://www.cellsignal.com/products/antibody-conjugates/p21-waf1-cip1-12d1-rabbit-mab-alexa-fluor-647-conjugate/8587</t>
  </si>
  <si>
    <t>Ki-67 (D3B5) Rabbit mAb (Alexa Fluor® 488 Conjugate)</t>
  </si>
  <si>
    <t>11882S</t>
  </si>
  <si>
    <t>https://www.cellsignal.com/products/antibody-conjugates/ki-67-d3b5-rabbit-mab-alexa-fluor-488-conjugate/11882</t>
  </si>
  <si>
    <t>Vimentin (D21H3) XP® Rabbit mAb (Alexa Fluor® 555 Conjugate)</t>
  </si>
  <si>
    <t>https://www.cellsignal.com/products/antibody-conjugates/vimentin-d21h3-xp-rabbit-mab-alexa-fluor-555-conjugate/9855</t>
  </si>
  <si>
    <t>Vimentin (D21H3) XP® Rabbit mAb (Alexa Fluor® 750 Conjugate)</t>
  </si>
  <si>
    <t>69227S</t>
  </si>
  <si>
    <t>https://www.cellsignal.com/products/antibody-conjugates/vimentin-d21h3-xp-rabbit-mab-alexa-fluor-750-conjugate/69227</t>
  </si>
  <si>
    <t>IRF-1 (D5E4) XP® Rabbit mAb (Alexa Fluor® 647 Conjugate)</t>
  </si>
  <si>
    <t>https://www.cellsignal.com/products/antibody-conjugates/irf-1-d5e4-xp-rabbit-mab-alexa-fluor-647-conjugate/14105</t>
  </si>
  <si>
    <t>Ki-67 (D3B5) Rabbit mAb (Alexa Fluor® 555 Conjugate)</t>
  </si>
  <si>
    <t>20701S</t>
  </si>
  <si>
    <t>https://www.cellsignal.com/products/antibody-conjugates/ki-67-d3b5-rabbit-mab-alexa-fluor-555-conjugate/20701</t>
  </si>
  <si>
    <t>ZEB1 Antibody(H-3)</t>
  </si>
  <si>
    <t>sc-515797 AF647</t>
  </si>
  <si>
    <t>200 µg/ml</t>
  </si>
  <si>
    <t>santacruz</t>
  </si>
  <si>
    <t>21.8.2023</t>
  </si>
  <si>
    <t>31.8.2023</t>
  </si>
  <si>
    <t>ZEB1 Antibody (H-3) | SCBT - Santa Cruz Biotechnology</t>
  </si>
  <si>
    <t>CD206/Mannose Receptor/MMR Antibody</t>
  </si>
  <si>
    <t>sc-376108 AF647</t>
  </si>
  <si>
    <t>8.9.2023</t>
  </si>
  <si>
    <t>CD206/Mannose Receptor/MMR Antibody (D-1) | SCBT - Santa Cruz Biotechnology</t>
  </si>
  <si>
    <t>Lysozyme C Antibody (E-5)</t>
  </si>
  <si>
    <t>sc-518012 AF647</t>
  </si>
  <si>
    <t>Lysozyme C Antibody (E-5) | SCBT - Santa Cruz Biotechnology</t>
  </si>
  <si>
    <t>Mast Cell Tryptase Antibody (AA1)</t>
  </si>
  <si>
    <t>sc-59587 AF647</t>
  </si>
  <si>
    <t>https://www.scbt.com/p/mast-cell-tryptase-antibody-aa1?requestFrom=search</t>
  </si>
  <si>
    <t xml:space="preserve">Recombinant Alexa Fluor®555 Anti-Fibroblast activation protein, alpha antibody [SP325] </t>
  </si>
  <si>
    <t>AB313303</t>
  </si>
  <si>
    <t>100 ul</t>
  </si>
  <si>
    <t>22.8.2023</t>
  </si>
  <si>
    <t>18.9.2023</t>
  </si>
  <si>
    <t>ZL</t>
  </si>
  <si>
    <t>https://www.abcam.com/en-fi/products/primary-antibodies/alexa-fluor-647-anti-fibroblast-activation-protein-alpha-antibody-sp325-ab311172</t>
  </si>
  <si>
    <t>Alexa Fluor® 647 Anti-HLA-DPB1 antibody [EPR11226] alternative name MHCII</t>
  </si>
  <si>
    <t>ab201347</t>
  </si>
  <si>
    <t>product not available cancelled</t>
  </si>
  <si>
    <t>https://www.abcam.com/en-fi/products/primary-antibodies/alexa-fluor-647-anti-hla-dpb1-antibody-epr11226-ab201347</t>
  </si>
  <si>
    <t>Alexa Fluor® 647 Anti-PD1 antibody [EPR4877(2)]</t>
  </si>
  <si>
    <t>ab201825</t>
  </si>
  <si>
    <t xml:space="preserve">5.9.2023 </t>
  </si>
  <si>
    <t>7300333 TA333206</t>
  </si>
  <si>
    <t>https://www.abcam.com/en-nl/products/primary-antibodies/alexa-fluor-647-anti-pd1-antibody-epr48772-ab201825</t>
  </si>
  <si>
    <t>Alexa Fluor® 555 Anti-CD3D antibody [EP4426]</t>
  </si>
  <si>
    <t>ab208514</t>
  </si>
  <si>
    <t>5.9.2023</t>
  </si>
  <si>
    <t>https://www.abcam.com/en-nl/products/primary-antibodies/alexa-fluor-555-anti-cd3d-antibody-ep4426-ab208514</t>
  </si>
  <si>
    <t>Alexa Fluor® 555 Anti-PAX8 antibody [EPR18715]</t>
  </si>
  <si>
    <t>ab217733</t>
  </si>
  <si>
    <t>13.9.2023</t>
  </si>
  <si>
    <t>https://www.abcam.com/en-nl/products/primary-antibodies/alexa-fluor-555-anti-pax8-antibody-epr18715-ab217733</t>
  </si>
  <si>
    <t>Alexa Fluor® 488 Anti-PAX8 antibody [EPR18715]</t>
  </si>
  <si>
    <t>ab214955</t>
  </si>
  <si>
    <t>https://www.abcam.com/en-nl/products/primary-antibodies/alexa-fluor-488-anti-pax8-antibody-epr18715-ab214955</t>
  </si>
  <si>
    <t>Alexa Fluor® 647 Anti-NKG2A antibody [EPR23737-127]</t>
  </si>
  <si>
    <t>ab300745</t>
  </si>
  <si>
    <t>https://www.abcam.com/en-nl/products/primary-antibodies/alexa-fluor-647-anti-nkg2a-antibody-epr23737-127-ab300745</t>
  </si>
  <si>
    <t>Alexa Fluor® 555 Anti-PD-L1 antibody [28-8]</t>
  </si>
  <si>
    <t>ab213358</t>
  </si>
  <si>
    <t>https://www.abcam.com/en-nl/products/primary-antibodies/alexa-fluor-555-anti-pd-l1-antibody-28-8-ab213358</t>
  </si>
  <si>
    <t>Alexa Fluor® 488 anti-human CD15 (SSEA-1)</t>
  </si>
  <si>
    <t>500 ul</t>
  </si>
  <si>
    <t>Biolegend</t>
  </si>
  <si>
    <t>nordic-biosite</t>
  </si>
  <si>
    <t>https://nordicbiosite.com/product/301910/Alexa-Fluor(r)-488-antihuman-CD15-SSEA1</t>
  </si>
  <si>
    <t>Alexa Fluor® 488 anti-human CD45RA</t>
  </si>
  <si>
    <t>500 uL</t>
  </si>
  <si>
    <t>24.8.2023</t>
  </si>
  <si>
    <t>https://nordicbiosite.com/product/304114/Alexa-Fluor(r)-488-antihuman-CD45RA</t>
  </si>
  <si>
    <t>iSpacer 0.2mm</t>
  </si>
  <si>
    <t>IS001</t>
  </si>
  <si>
    <t>50 kpl</t>
  </si>
  <si>
    <t>Sunjinlab</t>
  </si>
  <si>
    <t>city-lab/Immunodiagnostic</t>
  </si>
  <si>
    <t>30.8.2023</t>
  </si>
  <si>
    <t>iSpacer 0.2mm – SUNJIN LAB</t>
  </si>
  <si>
    <t>23.8.2023</t>
  </si>
  <si>
    <t>https://www.verkkokauppa.com/fi/product/142238/Logitech-K120-nappaimisto-yrityskayttoon</t>
  </si>
  <si>
    <t>https://www.verkkokauppa.com/fi/product/194915/Logitech-M280-hiiri-musta</t>
  </si>
  <si>
    <t>Beurer TL30 -kirkasvalolamppu</t>
  </si>
  <si>
    <t>Beurer</t>
  </si>
  <si>
    <t>https://www.verkkokauppa.com/fi/product/418715/Beurer-TL30-kirkasvalolamppu</t>
  </si>
  <si>
    <t>Kingston Nucleum USB Type-C -telakointiasema</t>
  </si>
  <si>
    <t>Kinston</t>
  </si>
  <si>
    <t>https://www.verkkokauppa.com/fi/product/519326/Kingston-Nucleum-USB-Type-C-telakointiasema</t>
  </si>
  <si>
    <t>https://www.verkkokauppa.com/fi/product/641041/Samsung-T7-ulkoinen-SSD-levy-2-Tt-sininen</t>
  </si>
  <si>
    <t>https://www.verkkokauppa.com/fi/product/724082/Seagate-Expansion-Portable-ulkoinen-kovalevy-5-Tt</t>
  </si>
  <si>
    <t>Philips Panel LED CL560 -kattovalaisin, neliö, valkoinen, 1200 lm, 4000K</t>
  </si>
  <si>
    <t>Phillips</t>
  </si>
  <si>
    <t>https://www.verkkokauppa.com/fi/product/762508/Philips-Panel-LED-CL560-kattovalaisin-nelio-valkoinen-1200-l</t>
  </si>
  <si>
    <t>https://www.verkkokauppa.com/fi/product/736369/Lenovo-ThinkVision-T24i-2L-24-Full-HD-naytto</t>
  </si>
  <si>
    <t>One For All WM2411 -kiinteä seinäteline 32-65" televisioille</t>
  </si>
  <si>
    <t>One for all</t>
  </si>
  <si>
    <t>https://www.verkkokauppa.com/fi/product/836506/One-For-All-WM2411-kiintea-seinateline-32-65-televisioille</t>
  </si>
  <si>
    <t>Samsung UE43AU7022 43" 4K Ultra HD LED-televisio</t>
  </si>
  <si>
    <t>https://www.verkkokauppa.com/fi/product/836617/Samsung-UE43AU7022-43-4K-Ultra-HD-LED-televisio</t>
  </si>
  <si>
    <t>Finnair Anniina (HEl/MAD/GVA/HEL)</t>
  </si>
  <si>
    <t>SUP BOARD event</t>
  </si>
  <si>
    <t>Natura-Viva</t>
  </si>
  <si>
    <t>25.08.2023</t>
  </si>
  <si>
    <t>RNasin Plus RNase Inhibitor</t>
  </si>
  <si>
    <t>N2615</t>
  </si>
  <si>
    <t>10,000 U</t>
  </si>
  <si>
    <t>City-Lab/labnet oy</t>
  </si>
  <si>
    <t>1.9.2023</t>
  </si>
  <si>
    <t>-20 freezer</t>
  </si>
  <si>
    <t>https://fi.promega.com/products/rna-analysis/rnase-inhibitor-rna-protection/rnasin-plus-ribonuclease-inhibitor/?catNum=N2615</t>
  </si>
  <si>
    <t>DYNABEADS OLIGO(DT)25</t>
  </si>
  <si>
    <t>5ml</t>
  </si>
  <si>
    <t>Invitrogen - Thermo Fisher</t>
  </si>
  <si>
    <t>6.9.2023</t>
  </si>
  <si>
    <t>4°C fridge door</t>
  </si>
  <si>
    <t>Dynabeads™ Oligo(dT)&lt;sub&gt;25&lt;/sub&gt; (thermofisher.com)</t>
  </si>
  <si>
    <t>NorthernMax Prehybridization/ Hybridization Buffer</t>
  </si>
  <si>
    <t>AM8677</t>
  </si>
  <si>
    <t>28.9.2023</t>
  </si>
  <si>
    <t>NorthernMax™ Prehybridization/Hybridization Buffer (thermofisher.com)</t>
  </si>
  <si>
    <t>PBS - Phosphate-Buffered Saline (10X) pH 7.4, RNAse free</t>
  </si>
  <si>
    <t>AM9624</t>
  </si>
  <si>
    <t>RT chemical shelf</t>
  </si>
  <si>
    <t>https://www.thermofisher.com/order/catalog/product/AM9624</t>
  </si>
  <si>
    <t>DEPC-Treated Water</t>
  </si>
  <si>
    <t>AM9906</t>
  </si>
  <si>
    <t>10 X 50ml</t>
  </si>
  <si>
    <t>https://www.thermofisher.com/order/catalog/product/AM9906?SID=srch-srp-AM9906</t>
  </si>
  <si>
    <t>Proteinase K</t>
  </si>
  <si>
    <t>10ml</t>
  </si>
  <si>
    <t>QIAGEN</t>
  </si>
  <si>
    <t>RT wetlab</t>
  </si>
  <si>
    <t>QIAGEN Protease and Proteinase K</t>
  </si>
  <si>
    <t>Buffer PKD</t>
  </si>
  <si>
    <t>15 ml</t>
  </si>
  <si>
    <t>Buffer PKD (qiagen.com)</t>
  </si>
  <si>
    <t>Tween* 20</t>
  </si>
  <si>
    <t>BP337-100</t>
  </si>
  <si>
    <t>Fisher scientific</t>
  </si>
  <si>
    <t>4.9.2023</t>
  </si>
  <si>
    <t>https://www.fishersci.com/shop/products/tween-20-fisher-bioreagents/BP337100</t>
  </si>
  <si>
    <t>Tacta Mechanical Pipette, 1- channel, 0.1-3 ul</t>
  </si>
  <si>
    <t>LH-729010</t>
  </si>
  <si>
    <t>0.1-3 ul</t>
  </si>
  <si>
    <t>15.9.2023</t>
  </si>
  <si>
    <t>https://shop.sartorius.com/fi/p/tacta-mechanical-pipette-single-channel/mechanical-pipette-1-channel-729</t>
  </si>
  <si>
    <t>Tacta Mechanical Pipette, 1- channel, 0.5-10 u</t>
  </si>
  <si>
    <t>LH-729020</t>
  </si>
  <si>
    <t>0.5-10 ul</t>
  </si>
  <si>
    <t>Tacta Mechanical Pipette, 1- channel, 20-200 ul</t>
  </si>
  <si>
    <t>LH-729060</t>
  </si>
  <si>
    <t>20-200 ul</t>
  </si>
  <si>
    <t>Tacta Mechanical Pipette, 1- channel, 100-1000 ul</t>
  </si>
  <si>
    <t>LH-729070</t>
  </si>
  <si>
    <t>100-1000 ul</t>
  </si>
  <si>
    <t>9.10.2023</t>
  </si>
  <si>
    <t>s.S</t>
  </si>
  <si>
    <t>CD8 BV605 SK1</t>
  </si>
  <si>
    <t>100 Test</t>
  </si>
  <si>
    <t>AVA</t>
  </si>
  <si>
    <t>12.9.2023</t>
  </si>
  <si>
    <t>BV605 Mouse Anti-Human CD8 (bdbiosciences.com)</t>
  </si>
  <si>
    <t>CD11c BV711 B-ly6</t>
  </si>
  <si>
    <t>50 Test</t>
  </si>
  <si>
    <t>BV711 Mouse Anti-Human CD11c (bdbiosciences.com)</t>
  </si>
  <si>
    <t>NHPHLA-DRPerCP-Cy5.5 L243(G46-6)</t>
  </si>
  <si>
    <t>PerCP-Cy™5.5 Mouse Anti-Human HLA-DR (bdbiosciences.com)</t>
  </si>
  <si>
    <t>CD326 (EpCAM) Antibody APC/Fire™ 750 anti-human</t>
  </si>
  <si>
    <t>25 tests</t>
  </si>
  <si>
    <t>Nordic-Biosite</t>
  </si>
  <si>
    <t>11.9.2023</t>
  </si>
  <si>
    <t>APC/Fire 750 anti-human CD326 EpCAM Antibody anti-CD326 - 9C4 (biolegend.com)</t>
  </si>
  <si>
    <t xml:space="preserve">CD56 (FITC) - clone - MEM-188 </t>
  </si>
  <si>
    <t>immunotools</t>
  </si>
  <si>
    <t>http://www.immunotools.de/html/datas-fitc/21270563.pdf</t>
  </si>
  <si>
    <t>Carousel Stand for 6 mechanical pipettes</t>
  </si>
  <si>
    <t>LH-725630</t>
  </si>
  <si>
    <t>6 pipettes</t>
  </si>
  <si>
    <t>sartorius</t>
  </si>
  <si>
    <t>https://shop.sartorius.com/fi/p/carousel-stand-for-6-pipettes/LH-725630</t>
  </si>
  <si>
    <t>PMP Staining Troughs</t>
  </si>
  <si>
    <t>pack of 4</t>
  </si>
  <si>
    <t>4.10.2023</t>
  </si>
  <si>
    <t>BRAND™ PMP Staining Troughs Length: 101mm Plastic Staining Dishes | Fisher Scientific</t>
  </si>
  <si>
    <t>Polypropylene Trays for Staining Trough</t>
  </si>
  <si>
    <t>pack of 2</t>
  </si>
  <si>
    <t>BRAND™ Polypropylene Trays for Staining Trough Slide Count: 20 Plastic Staining Dishes | Fisher Scientific</t>
  </si>
  <si>
    <t>SUP-Board day purchases of snacks</t>
  </si>
  <si>
    <t>s-market</t>
  </si>
  <si>
    <t>10.08.2023</t>
  </si>
  <si>
    <t>paid with credit card</t>
  </si>
  <si>
    <t>Snacks for Farkkila lab meeting</t>
  </si>
  <si>
    <t>AACR meeting ticket for Ada</t>
  </si>
  <si>
    <t>18.08.2023</t>
  </si>
  <si>
    <t>AACR meeting ticket for Ziqi</t>
  </si>
  <si>
    <t>ZK</t>
  </si>
  <si>
    <t>AACR meeting ticket for Iga</t>
  </si>
  <si>
    <t>IN</t>
  </si>
  <si>
    <t>Cloud hosting for Farkkila lab</t>
  </si>
  <si>
    <t>IONOS cloud</t>
  </si>
  <si>
    <t>19.8.2023</t>
  </si>
  <si>
    <t>ICELAND air tickets for Anniina</t>
  </si>
  <si>
    <t>Icelandair</t>
  </si>
  <si>
    <t>AF</t>
  </si>
  <si>
    <t>AIR bnb for boston accodomation</t>
  </si>
  <si>
    <t>AIRBNB</t>
  </si>
  <si>
    <t>28.8.2023</t>
  </si>
  <si>
    <t>IL</t>
  </si>
  <si>
    <t>AACR meeting ticket for Anniina</t>
  </si>
  <si>
    <t>ICELAND air tickets for  Ada</t>
  </si>
  <si>
    <t>aj</t>
  </si>
  <si>
    <t>paid from CWT website</t>
  </si>
  <si>
    <t>Logitech BCC950 konferenssikamera</t>
  </si>
  <si>
    <t>960-000867</t>
  </si>
  <si>
    <t>Dustin</t>
  </si>
  <si>
    <t>14.9.2023</t>
  </si>
  <si>
    <t>Logitech BCC950 konferenssikamera (960-000867) | Dustinhome.fi</t>
  </si>
  <si>
    <t>Lenovo L14 G4 I5/16/512/11d+esiasennus+toimitus #Hy_pkt-b</t>
  </si>
  <si>
    <t>H3040/wbs 73040001</t>
  </si>
  <si>
    <t>20.9.2023</t>
  </si>
  <si>
    <t>MHO</t>
  </si>
  <si>
    <t>23.10.2023</t>
  </si>
  <si>
    <t>iCAN Poster for Ashwini</t>
  </si>
  <si>
    <t>Point of Print</t>
  </si>
  <si>
    <t>21.9.2023</t>
  </si>
  <si>
    <t>Inga-Maria's flight and registration for AACR .</t>
  </si>
  <si>
    <t>IML</t>
  </si>
  <si>
    <t>iCAN Poster for Ziqi</t>
  </si>
  <si>
    <t>Anti-BCL6 antibody produced in rabbit</t>
  </si>
  <si>
    <t>HPA004899-100UL</t>
  </si>
  <si>
    <t>Sigma-Aldrich/Merck</t>
  </si>
  <si>
    <t>22.9.2023</t>
  </si>
  <si>
    <t>3.10.2023</t>
  </si>
  <si>
    <t>BCL6 antibody Immunohistochemistry, Immunofluorescence HPA004899 (sigmaaldrich.com)</t>
  </si>
  <si>
    <t>Alexa Fluor® 488 AffiniPure Donkey Anti-Human IgG (H+L)</t>
  </si>
  <si>
    <t>709-545-149</t>
  </si>
  <si>
    <t>0.5mg</t>
  </si>
  <si>
    <t>Jackson Immunoresearch</t>
  </si>
  <si>
    <t>https://nordicbiosite.com/product/709-545-149/Alexa-Fluor(r)-488conjugated-AffiniPure-Donkey-AntiHuman-IgG-HL-min-X-BovCkGtGPSy-HmsHrsMsRbRatShp-Sr-Prot</t>
  </si>
  <si>
    <t>Creative Cloud Teams EDU IE 100+ NIM RNW</t>
  </si>
  <si>
    <t>Ilona It oy</t>
  </si>
  <si>
    <t>FITC anti-human Annexin II</t>
  </si>
  <si>
    <t>50 ug</t>
  </si>
  <si>
    <t>BD Bioscience</t>
  </si>
  <si>
    <t>26.9.2023</t>
  </si>
  <si>
    <t>AK</t>
  </si>
  <si>
    <r>
      <rPr>
        <strike/>
        <color rgb="FF1155CC"/>
      </rPr>
      <t>FITC Mouse Anti-Human Annexin II (bdbiosciences.com)</t>
    </r>
    <r>
      <rPr>
        <strike val="0"/>
        <color rgb="FF000000"/>
      </rPr>
      <t xml:space="preserve"> PRODUCT NO LONGER AVAILABLE</t>
    </r>
  </si>
  <si>
    <t>Annexin-2/ANXA2 Antibody (3D5) Alexa Fluor 488</t>
  </si>
  <si>
    <t>sc-47696 AF488</t>
  </si>
  <si>
    <t>santa-cruz</t>
  </si>
  <si>
    <t>27.9.2023</t>
  </si>
  <si>
    <t>Replacement product for BDbioscience antibody</t>
  </si>
  <si>
    <t>SuperFrost Plus Adhesion slides</t>
  </si>
  <si>
    <t>J1800AMNZ</t>
  </si>
  <si>
    <t>72 pcs</t>
  </si>
  <si>
    <t>29.9.2023</t>
  </si>
  <si>
    <t>https://www.labnet.fi/fi/tuote/v103456/103456/superfrost-plus-adhesive-microscope-slides/539932/1</t>
  </si>
  <si>
    <t>Tissue sectioning ordered by Ashwini</t>
  </si>
  <si>
    <t>25.9.2023</t>
  </si>
  <si>
    <t>7300333 + TA 333 206</t>
  </si>
  <si>
    <t>CYTODATA payment for Alexandra</t>
  </si>
  <si>
    <t>Academy</t>
  </si>
  <si>
    <t>syöpääsäätiö</t>
  </si>
  <si>
    <t>oncosys</t>
  </si>
  <si>
    <t>uh-3 year</t>
  </si>
  <si>
    <t>GSK</t>
  </si>
  <si>
    <t>iCAN</t>
  </si>
  <si>
    <t>RPU</t>
  </si>
  <si>
    <t>HDMI 2.0 PREMIUM 4K GOLD Lszh 1.5m HDMI</t>
  </si>
  <si>
    <t>1.5m</t>
  </si>
  <si>
    <t>Prokord</t>
  </si>
  <si>
    <t>11.10.2023</t>
  </si>
  <si>
    <t>https://onify.it.helsinki.fi/workspace/selfservice/search?term=HDMI&amp;sort=key,asc&amp;filter=tag:Adapters%20and%20cables</t>
  </si>
  <si>
    <t>LAb Retreat Backbyn Kartano</t>
  </si>
  <si>
    <t>GeoMX</t>
  </si>
  <si>
    <t>FIMM/JiLIFE</t>
  </si>
  <si>
    <t>CD31 PE/Cyanine7 anti-human</t>
  </si>
  <si>
    <t>biolegend</t>
  </si>
  <si>
    <t>Nordic Biosite</t>
  </si>
  <si>
    <t>6.10.2023</t>
  </si>
  <si>
    <t>PE/Cyanine7 anti-human CD31 Antibody anti-CD31 - WM59 (biolegend.com)</t>
  </si>
  <si>
    <t>CD140b PE anti-human</t>
  </si>
  <si>
    <t>PE anti-human CD140b PDGFRbeta Antibody anti-CD140b - 18A2 (biolegend.com)</t>
  </si>
  <si>
    <t>Nestetyppi</t>
  </si>
  <si>
    <t>ICELAND-AIR ticket for Iga Hel-Boston</t>
  </si>
  <si>
    <t>ICELAND-AIR ticket for Iga Boston-Waw</t>
  </si>
  <si>
    <t xml:space="preserve"> Alpha-Smooth Muscle Actin APC-conjugated Antibody</t>
  </si>
  <si>
    <t>IC1420A</t>
  </si>
  <si>
    <t>100 tests</t>
  </si>
  <si>
    <t>Rndsystems</t>
  </si>
  <si>
    <t>20.10.2023</t>
  </si>
  <si>
    <t>Human alpha-Smooth Muscle Actin APC-conjugated Antibody IC1420A: R&amp;D Systems (rndsystems.com)</t>
  </si>
  <si>
    <t>Fibroblast Activation Protein alpha/FAP Alexa Fluor® 488-conjugated Antibody</t>
  </si>
  <si>
    <t>FAB3715G-025</t>
  </si>
  <si>
    <t>19.10.2023</t>
  </si>
  <si>
    <t>Human Fibroblast Activation Protein  alpha /FAP Alexa Fluor® 488-conjugated Antibody FAB3715G-100: R&amp;D Systems (rndsystems.com)</t>
  </si>
  <si>
    <t>Webhosting for Farkkila lab</t>
  </si>
  <si>
    <t>12.10.2023</t>
  </si>
  <si>
    <t>Paid From CC</t>
  </si>
  <si>
    <t>Hotel for Anniina ESMO conference</t>
  </si>
  <si>
    <t>Wooden world map for Anniina's office</t>
  </si>
  <si>
    <t>LED lights for new Farkkila kingdom</t>
  </si>
  <si>
    <t>Ikea table for plants</t>
  </si>
  <si>
    <t>Biscuits for lab meetings</t>
  </si>
  <si>
    <t>CYTO-DATA participation fee for Ada/Ziqi/Fernando/Alexandra</t>
  </si>
  <si>
    <t>HLA-DPB1 antibody</t>
  </si>
  <si>
    <t>ab300098</t>
  </si>
  <si>
    <t>13.10.2023</t>
  </si>
  <si>
    <t>16.10.2023</t>
  </si>
  <si>
    <t>CD11b Alexa Fluor 488</t>
  </si>
  <si>
    <t>53-0196-82</t>
  </si>
  <si>
    <t>Thermofisher</t>
  </si>
  <si>
    <t>citylab</t>
  </si>
  <si>
    <t>https://www.thermofisher.com/antibody/product/CD11b-Antibody-clone-C67F154-Monoclonal/53-0196-82</t>
  </si>
  <si>
    <t>Phospho-Stat1 (Tyr701) (58D6) 
Rabbit mAb (Alexa Fluor 555 )</t>
  </si>
  <si>
    <t>8183S</t>
  </si>
  <si>
    <t>Phospho-Stat1 (Tyr701) (58D6) Rabbit mAb (Alexa Fluor® 555 Conjugate) | Cell Signaling Technology</t>
  </si>
  <si>
    <t>TIM-3 (D5D5R) XP Rabbit mAb (Alexa Fluor 488 )</t>
  </si>
  <si>
    <t>54669S</t>
  </si>
  <si>
    <t>TIM-3 (D5D5R™) XP® Rabbit mAb (Alexa Fluor® 488 Conjugate) | Cell Signaling Technology</t>
  </si>
  <si>
    <t>Vimentin (D21H3) XP Rabbit mAb (Alexa Fluor 750 Conjugate)</t>
  </si>
  <si>
    <t>Vimentin (D21H3) XP® Rabbit mAb (Alexa Fluor® 750 Conjugate) | Cell Signaling Technology</t>
  </si>
  <si>
    <t>Ki-67 (D3B5) Rabbit mAb (Alexa Fluor 488 Conjugate</t>
  </si>
  <si>
    <t>Ki-67 (D3B5) Rabbit mAb (Alexa Fluor® 488 Conjugate) | Cell Signaling Technology</t>
  </si>
  <si>
    <t>Tissue Processing /Staining at FIMM</t>
  </si>
  <si>
    <t>17.10.2023</t>
  </si>
  <si>
    <t>7300333 + 333206</t>
  </si>
  <si>
    <t>31.10.2023</t>
  </si>
  <si>
    <t>Stress resilience workshop</t>
  </si>
  <si>
    <t>18.10.2023</t>
  </si>
  <si>
    <t>Anti-Mouse Ig, /Negative Control Compensation Particles Set</t>
  </si>
  <si>
    <t>100 test</t>
  </si>
  <si>
    <t>25.10.2023</t>
  </si>
  <si>
    <t xml:space="preserve">  + 4 wet lab door</t>
  </si>
  <si>
    <t>Anti-Mouse Ig, κ/Negative Control Compensation Particles Set (bdbiosciences.com)</t>
  </si>
  <si>
    <t>Collagenase/Hyaluronidase</t>
  </si>
  <si>
    <t>10 ml</t>
  </si>
  <si>
    <t>-20 C 2nd drawer</t>
  </si>
  <si>
    <t>Collagenase/Hyaluronidase in DMEM (10X) | STEMCELL Technologies</t>
  </si>
  <si>
    <t>D-MEM/F-12 (1:1) (1X), LIQUID WITH L-GLUTAMINE</t>
  </si>
  <si>
    <t>500 ml</t>
  </si>
  <si>
    <t>cold room</t>
  </si>
  <si>
    <t>https://www.thermofisher.com/order/catalog/product/11320033</t>
  </si>
  <si>
    <t>1000 Unit</t>
  </si>
  <si>
    <t>LabNet/City-Lab</t>
  </si>
  <si>
    <t>27.10.2023</t>
  </si>
  <si>
    <t>2195473/2198115</t>
  </si>
  <si>
    <t>https://fi.promega.com/products/cloning-and-dna-markers/molecular-biology-enzymes-and-reagents/rq1-rnase_free-dnase/?catNum=M6101</t>
  </si>
  <si>
    <t>Red Blood Cell Lysis Buffer</t>
  </si>
  <si>
    <t>100 ml</t>
  </si>
  <si>
    <t>25.102.203</t>
  </si>
  <si>
    <t>Red Blood Cell Lysis Buffer RBC Lysis Buffer (sigmaaldrich.com)</t>
  </si>
  <si>
    <t>1 g</t>
  </si>
  <si>
    <t>4709138/4721414</t>
  </si>
  <si>
    <t xml:space="preserve">  + 4 cell culture</t>
  </si>
  <si>
    <t>Dispase I CAS No.42613-33-2 Sigma cell culture grade (sigmaaldrich.com)</t>
  </si>
  <si>
    <t>116/157</t>
  </si>
  <si>
    <t>Creative Cloud Teams EDU / Anniiina Färkkilä</t>
  </si>
  <si>
    <t>29.09.2023</t>
  </si>
  <si>
    <t>Poster for Alexandra</t>
  </si>
  <si>
    <t>19.102.2023</t>
  </si>
  <si>
    <t>ALS</t>
  </si>
  <si>
    <t>Anti-H2A.X Phospho (Ser139) Mouse Monoclonal Antibody (Alexa Fluor® 647) [clone: 2F3], Size=25 tests</t>
  </si>
  <si>
    <t>25 rxns</t>
  </si>
  <si>
    <t>nordicbiosite</t>
  </si>
  <si>
    <t>AS</t>
  </si>
  <si>
    <t>1.11.2023</t>
  </si>
  <si>
    <t>https://nordicbiosite.com/product/613407/Alexa-Fluor(r)-647-antiH2AX-Phospho-Ser139</t>
  </si>
  <si>
    <t>BD Horizon™ BV510 Mouse Anti-Human CD16</t>
  </si>
  <si>
    <t>BDbioscience</t>
  </si>
  <si>
    <t>2.11.2023</t>
  </si>
  <si>
    <t>https://www.bdbiosciences.com/en-fi/products/reagents/flow-cytometry-reagents/research-reagents/single-color-antibodies-ruo/bv510-mouse-anti-human-cd16.563829</t>
  </si>
  <si>
    <t>Tiragolumab (anti-TIGIT)</t>
  </si>
  <si>
    <t>A2028</t>
  </si>
  <si>
    <t>Selleck Chemicals</t>
  </si>
  <si>
    <t>3.11.2023</t>
  </si>
  <si>
    <t>Fisher BioReagents BP39920 PBS, 10X Solution (20 liter) CAS 7647-14-5</t>
  </si>
  <si>
    <t>BP39920</t>
  </si>
  <si>
    <t>20L</t>
  </si>
  <si>
    <t>Fisher Scientific</t>
  </si>
  <si>
    <t>30.10.2023</t>
  </si>
  <si>
    <t>6.11.2023</t>
  </si>
  <si>
    <t>Hydrogen Peroxide 30% (w/v)</t>
  </si>
  <si>
    <t>H/1750/15</t>
  </si>
  <si>
    <t xml:space="preserve">Anti-CD3D antibody [EP4426] (Alexa Fluor® 555) </t>
  </si>
  <si>
    <t>https://www.abcam.com/en-fi/products/primary-antibodies/alexa-fluor-555-cd3d-antibody-ep4426-ab208514</t>
  </si>
  <si>
    <t>Smooth Muscle Actin Antibody (B4) Alexa Fluor 790</t>
  </si>
  <si>
    <t>sc-53142 AF790</t>
  </si>
  <si>
    <t>labnet</t>
  </si>
  <si>
    <t>16.11.2023</t>
  </si>
  <si>
    <t>Ki67 Antibody (Ki-67) Alexa Fluor 790</t>
  </si>
  <si>
    <t>sc-23900 AF790</t>
  </si>
  <si>
    <t>GeoMX training service</t>
  </si>
  <si>
    <t>nanostring</t>
  </si>
  <si>
    <t>26.10.2023</t>
  </si>
  <si>
    <t>GeoMX 1year warranty and transfer service</t>
  </si>
  <si>
    <t>UH-3 year</t>
  </si>
  <si>
    <t>Syopäsäätiö</t>
  </si>
  <si>
    <t>ERC</t>
  </si>
  <si>
    <t>RO-3306,≥98% (hplc)</t>
  </si>
  <si>
    <t>SML0569-5MG</t>
  </si>
  <si>
    <t>sigma-aldrich</t>
  </si>
  <si>
    <t>Alfedro</t>
  </si>
  <si>
    <t>14.11.203</t>
  </si>
  <si>
    <t>Cisplatin</t>
  </si>
  <si>
    <t>S1166 batchS116616</t>
  </si>
  <si>
    <t>50mg</t>
  </si>
  <si>
    <t>SellechChem</t>
  </si>
  <si>
    <t>7.11.2023</t>
  </si>
  <si>
    <t>13.11.2023</t>
  </si>
  <si>
    <t>PCR Tubes 0.2 ml with flat caps</t>
  </si>
  <si>
    <t>FG-021F</t>
  </si>
  <si>
    <t>1000 kpl</t>
  </si>
  <si>
    <t>Nippon Genetics</t>
  </si>
  <si>
    <t>Sodium Potassium ATPase Alpha 1 Antibody (464.6) [Alexa Fluor® 750]</t>
  </si>
  <si>
    <t>NBP2-61137AF750</t>
  </si>
  <si>
    <t>Biotechne</t>
  </si>
  <si>
    <t>24.11.2023</t>
  </si>
  <si>
    <t>Cd68 (D4B9C) XP® Rabbit mAb (Alexa Fluor® 488 Conjugate)</t>
  </si>
  <si>
    <t>10.11.2023</t>
  </si>
  <si>
    <t>70252 - Ilkka Kaliala</t>
  </si>
  <si>
    <t>Ki 67 (D3B5) Rabbit mAb (Alexa Fluor® 647 Conjugate)</t>
  </si>
  <si>
    <t>Phospho Histone H3 (Ser10) (D2C8) XP® Rabbit mAb (Alexa Fluor® 488 Conjugate)</t>
  </si>
  <si>
    <t>3465S</t>
  </si>
  <si>
    <t>CD11c (D3V1E) XP(R) Rabbit mAb (Alexa Fluor(R) 555 Conjugate)-100 ul</t>
  </si>
  <si>
    <t>77882S</t>
  </si>
  <si>
    <t>credit card processing</t>
  </si>
  <si>
    <t>Ethanol permission license</t>
  </si>
  <si>
    <t>Snail1 Monoclonal Antibody (20C8), Alexa Fluor 488, eBioscience™</t>
  </si>
  <si>
    <t>53-9859-82</t>
  </si>
  <si>
    <t>100 ug</t>
  </si>
  <si>
    <t>eBioscience</t>
  </si>
  <si>
    <t>20.11.2023</t>
  </si>
  <si>
    <t>Fotoprofiili group photo invoice</t>
  </si>
  <si>
    <t>22.11.2023</t>
  </si>
  <si>
    <t>Recombinant Human Heregulinβ-1</t>
  </si>
  <si>
    <t>100-03</t>
  </si>
  <si>
    <t>PeproTech</t>
  </si>
  <si>
    <t>Peprotech</t>
  </si>
  <si>
    <t>23.11.2023</t>
  </si>
  <si>
    <t>4.12.2023</t>
  </si>
  <si>
    <t>Ki-67 (D3B5) Rabbit mAb (Alexa Fluor(R) 555 Conjugate)</t>
  </si>
  <si>
    <t>28.11.2023</t>
  </si>
  <si>
    <t>2319003Y231N00236/Färkkilä</t>
  </si>
  <si>
    <t>TIGIT (E5Y1W) XP® Rabbit mAb (Alexa Fluor® 488 Conjugate)</t>
  </si>
  <si>
    <t>40129S</t>
  </si>
  <si>
    <t>Vimentin (D21H3) XP(R) Rabbit mAb (Alexa Fluor(R) 750 Conjugate)</t>
  </si>
  <si>
    <t>TIM-3 (D5D5R™) XP® Rabbit mAb (Alexa Fluor® 488 Conjugate)</t>
  </si>
  <si>
    <t>Tcf1/tcf7 (C63D9) Rabbit mAb (Alexa Fluor® 488 Conjugate)</t>
  </si>
  <si>
    <t>6444S</t>
  </si>
  <si>
    <t>Cyclin B1 (V152) Mouse mAb (Alexa Fluor® 647 Conjugate)</t>
  </si>
  <si>
    <t>4118S</t>
  </si>
  <si>
    <t>Phospho-Rb (Ser807/811) (D20B12) XP® Rabbit mAb (Alexa Fluor® 555 Conjugate)</t>
  </si>
  <si>
    <t>8957S</t>
  </si>
  <si>
    <t>Anti-Cyclin D1 antibody [EPR2241] (Alexa Fluor® 555) (ab203448)</t>
  </si>
  <si>
    <t>ab203448</t>
  </si>
  <si>
    <t>2.1.2024</t>
  </si>
  <si>
    <t>Anti-Cytokeratin 7 antibody [EPR17078] (Alexa Fluor® 555) (ab209601)</t>
  </si>
  <si>
    <t>ab209601</t>
  </si>
  <si>
    <t>Anti-PD1 antibody [EPR4877(2)] (Alexa Fluor® 647) (ab201825)</t>
  </si>
  <si>
    <t>Cyclin E Monoclonal Antibody (HE12), Unconjugated, Species Reactivity: Human, Host: Mouse / IgG1, kappa</t>
  </si>
  <si>
    <t>32-1600</t>
  </si>
  <si>
    <t>200ug</t>
  </si>
  <si>
    <t>Invitrogen</t>
  </si>
  <si>
    <t>21.12.2023</t>
  </si>
  <si>
    <t>DynaMag™-PCR Magnet</t>
  </si>
  <si>
    <t>16-220 | Anti-phospho-Ser/Thr-Pro MPM-2 Antibody, Cy5 conjugate, Anti-phospho-Ser/Thr-Pro MPM-2 Antibody, Cy5 conjugate</t>
  </si>
  <si>
    <t>16-220</t>
  </si>
  <si>
    <t>EMD millipore</t>
  </si>
  <si>
    <t>8.12.2023</t>
  </si>
  <si>
    <t>Thrombin from human plasma, lyophilized powder</t>
  </si>
  <si>
    <t>T6884-100UN</t>
  </si>
  <si>
    <t>100 UN</t>
  </si>
  <si>
    <t>sigma</t>
  </si>
  <si>
    <t>Merck/citylab</t>
  </si>
  <si>
    <t>Foxp3 Monoclonal Antibody (236A/E7), eFluor 570, eBioscience™</t>
  </si>
  <si>
    <t>50-112-3620</t>
  </si>
  <si>
    <t>25 ug</t>
  </si>
  <si>
    <t>Fisher/citylab</t>
  </si>
  <si>
    <t>GeoMX items</t>
  </si>
  <si>
    <t>5.12.2023</t>
  </si>
  <si>
    <t>Opera Phoenix reservation</t>
  </si>
  <si>
    <t>18.12.2023</t>
  </si>
  <si>
    <t>IS010:250pieces</t>
  </si>
  <si>
    <t>SunJin lab</t>
  </si>
  <si>
    <t>Citylab</t>
  </si>
  <si>
    <t>14.12.2023</t>
  </si>
  <si>
    <t>Dispase® II</t>
  </si>
  <si>
    <t>1G</t>
  </si>
  <si>
    <t>21.2.2023</t>
  </si>
  <si>
    <t>eBioscience Permeabilization Buffer (10X)-100 mL</t>
  </si>
  <si>
    <t>00-8333-56</t>
  </si>
  <si>
    <t>Ebioscience</t>
  </si>
  <si>
    <t>ciyylab</t>
  </si>
  <si>
    <t>Ebioscience IHC Antigen Retrieval Solution, High pH, 10x</t>
  </si>
  <si>
    <t>00-4956-58</t>
  </si>
  <si>
    <t>Invitrogen ambion DEPC Treated Water</t>
  </si>
  <si>
    <t>AM9922</t>
  </si>
  <si>
    <t>1000 ml</t>
  </si>
  <si>
    <t>Invitrogen ambion Formamide (Deionized)</t>
  </si>
  <si>
    <t>AM9342</t>
  </si>
  <si>
    <t>500g</t>
  </si>
  <si>
    <t>19.12.2023</t>
  </si>
  <si>
    <t>22.12.2023</t>
  </si>
  <si>
    <t>Ssc Buffer 20x Concentrate,for Northern and Southern blotting, solution</t>
  </si>
  <si>
    <t>S6639-1L</t>
  </si>
  <si>
    <t>Sigma</t>
  </si>
  <si>
    <t>29.12.2033</t>
  </si>
  <si>
    <t>Fisher BioReagents BP2633500 Hydrogen Peroxide (30% in Water) (500g) CAS 7722-84-1</t>
  </si>
  <si>
    <t>BP2633500</t>
  </si>
  <si>
    <t>29.12.2023</t>
  </si>
  <si>
    <t>Epredia</t>
  </si>
  <si>
    <t>Formalin solution, 10%, pH 6.9 - 7.1, Neutral Buffered</t>
  </si>
  <si>
    <t>HT501128-4L</t>
  </si>
  <si>
    <t>4L</t>
  </si>
  <si>
    <t>BRAND transparent plastic staining trough with two lids</t>
  </si>
  <si>
    <t>BR474300-4 EA</t>
  </si>
  <si>
    <t>Brand</t>
  </si>
  <si>
    <t>city-lab/sigma</t>
  </si>
  <si>
    <t>2233509/2223692</t>
  </si>
  <si>
    <t>BRAND transparent plastic staining tray</t>
  </si>
  <si>
    <t>BR474305-2 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</si>
</sst>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]#,##0.00"/>
    <numFmt numFmtId="165" formatCode="yyyy-m"/>
  </numFmts>
  <fonts count="60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b/>
      <sz val="11.0"/>
      <color rgb="FFFF0000"/>
      <name val="Calibri"/>
    </font>
    <font>
      <b/>
      <color theme="1"/>
      <name val="Arial"/>
    </font>
    <font>
      <sz val="11.0"/>
      <color theme="1"/>
      <name val="Calibri"/>
    </font>
    <font>
      <sz val="10.0"/>
      <color theme="1"/>
      <name val="Arial"/>
      <scheme val="minor"/>
    </font>
    <font>
      <color theme="1"/>
      <name val="Arial"/>
      <scheme val="minor"/>
    </font>
    <font>
      <color rgb="FF32363A"/>
      <name val="Arial"/>
    </font>
    <font>
      <sz val="10.0"/>
      <color theme="1"/>
      <name val="Arial"/>
    </font>
    <font>
      <sz val="11.0"/>
      <color rgb="FF000000"/>
      <name val="Calibri"/>
    </font>
    <font>
      <sz val="11.0"/>
      <color rgb="FF242424"/>
      <name val="Calibri"/>
    </font>
    <font>
      <b/>
      <sz val="14.0"/>
      <color theme="1"/>
      <name val="Calibri"/>
    </font>
    <font>
      <b/>
      <sz val="14.0"/>
      <color theme="1"/>
      <name val="Arial"/>
    </font>
    <font>
      <sz val="11.0"/>
      <color rgb="FFFF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0000FF"/>
    </font>
    <font>
      <u/>
      <sz val="11.0"/>
      <color rgb="FF0000FF"/>
      <name val="Calibri"/>
    </font>
    <font>
      <u/>
      <sz val="11.0"/>
      <color rgb="FF1155CC"/>
      <name val="Calibri"/>
    </font>
    <font>
      <u/>
      <color rgb="FF0000FF"/>
    </font>
    <font>
      <sz val="11.0"/>
      <color rgb="FF1D1C1D"/>
      <name val="Slack-Lato"/>
    </font>
    <font>
      <color rgb="FF000000"/>
      <name val="Arial"/>
    </font>
    <font>
      <sz val="11.0"/>
      <color rgb="FF000000"/>
      <name val="Docs-Calibri"/>
    </font>
    <font>
      <color theme="1"/>
      <name val="Impact"/>
    </font>
    <font>
      <color rgb="FF333333"/>
      <name val="Arimo"/>
    </font>
    <font>
      <b/>
      <color theme="1"/>
      <name val="Arial"/>
      <scheme val="minor"/>
    </font>
    <font>
      <b/>
      <sz val="11.0"/>
      <color theme="1"/>
      <name val="Impact"/>
    </font>
    <font>
      <sz val="10.0"/>
      <color rgb="FF333333"/>
      <name val="Arial"/>
      <scheme val="minor"/>
    </font>
    <font>
      <u/>
      <sz val="10.0"/>
      <color rgb="FF0000FF"/>
    </font>
    <font>
      <sz val="10.0"/>
      <color rgb="FF1E1E1E"/>
      <name val="Arial"/>
      <scheme val="minor"/>
    </font>
    <font>
      <sz val="11.0"/>
      <color rgb="FF32363A"/>
      <name val="&quot;72&quot;"/>
    </font>
    <font>
      <u/>
      <sz val="10.0"/>
      <color rgb="FF0563C1"/>
    </font>
    <font>
      <b/>
      <sz val="10.0"/>
      <color theme="1"/>
      <name val="Arial"/>
      <scheme val="minor"/>
    </font>
    <font>
      <sz val="12.0"/>
      <color rgb="FF000000"/>
      <name val="Calibri"/>
    </font>
    <font>
      <sz val="11.0"/>
      <color rgb="FF32363A"/>
      <name val="Arial"/>
    </font>
    <font>
      <sz val="10.0"/>
      <color theme="1"/>
      <name val="Calibri"/>
    </font>
    <font>
      <sz val="11.0"/>
      <color rgb="FF333333"/>
      <name val="OpenSans"/>
    </font>
    <font>
      <sz val="10.0"/>
      <color rgb="FF000000"/>
      <name val="Arial"/>
    </font>
    <font>
      <b/>
      <color rgb="FF000000"/>
      <name val="Arial"/>
    </font>
    <font>
      <sz val="11.0"/>
      <color rgb="FF1D2D3E"/>
      <name val="&quot;72&quot;"/>
    </font>
    <font>
      <sz val="11.0"/>
      <color rgb="FF1D2D3E"/>
      <name val="Arial"/>
    </font>
    <font>
      <color rgb="FF333333"/>
      <name val="Antarctica"/>
    </font>
    <font>
      <sz val="10.0"/>
      <color rgb="FF000000"/>
      <name val="Helvetica"/>
    </font>
    <font>
      <sz val="9.0"/>
      <color rgb="FF222222"/>
      <name val="Helvetica"/>
    </font>
    <font>
      <sz val="10.0"/>
      <color rgb="FF212121"/>
      <name val="Antarctica"/>
    </font>
    <font>
      <sz val="10.0"/>
      <color rgb="FF32363A"/>
      <name val="&quot;72&quot;"/>
    </font>
    <font>
      <u/>
      <sz val="10.0"/>
      <color rgb="FF0000FF"/>
      <name val="Arial"/>
    </font>
    <font>
      <sz val="12.0"/>
      <color rgb="FF000000"/>
      <name val="Arial"/>
    </font>
    <font>
      <sz val="10.0"/>
      <color rgb="FF32363A"/>
      <name val="Arial"/>
    </font>
    <font>
      <u/>
      <color rgb="FF0000FF"/>
    </font>
    <font>
      <b/>
      <color rgb="FF000000"/>
      <name val="&quot;Noto Sans SC&quot;"/>
    </font>
    <font>
      <b/>
      <strike/>
      <color theme="1"/>
      <name val="Arial"/>
      <scheme val="minor"/>
    </font>
    <font>
      <strike/>
      <color theme="1"/>
      <name val="Arial"/>
      <scheme val="minor"/>
    </font>
    <font>
      <strike/>
      <sz val="10.0"/>
      <color theme="1"/>
      <name val="Arial"/>
    </font>
    <font>
      <strike/>
      <color rgb="FF0000FF"/>
    </font>
    <font>
      <sz val="14.0"/>
      <color theme="1"/>
      <name val="Calibri"/>
    </font>
    <font>
      <color rgb="FF373737"/>
      <name val="Verdana"/>
    </font>
    <font>
      <u/>
      <color rgb="FF0000FF"/>
    </font>
    <font>
      <sz val="11.0"/>
      <color rgb="FF41484D"/>
      <name val="Proxima-nova"/>
    </font>
  </fonts>
  <fills count="1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8F8F8"/>
        <bgColor rgb="FFF8F8F8"/>
      </patternFill>
    </fill>
    <fill>
      <patternFill patternType="solid">
        <fgColor rgb="FFFF9900"/>
        <bgColor rgb="FFFF9900"/>
      </patternFill>
    </fill>
    <fill>
      <patternFill patternType="solid">
        <fgColor rgb="FFF8F8FC"/>
        <bgColor rgb="FFF8F8FC"/>
      </patternFill>
    </fill>
    <fill>
      <patternFill patternType="solid">
        <fgColor rgb="FFF5F6F7"/>
        <bgColor rgb="FFF5F6F7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3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5" fillId="3" fontId="2" numFmtId="0" xfId="0" applyAlignment="1" applyBorder="1" applyFill="1" applyFont="1">
      <alignment readingOrder="0" vertical="bottom"/>
    </xf>
    <xf borderId="5" fillId="3" fontId="2" numFmtId="0" xfId="0" applyAlignment="1" applyBorder="1" applyFont="1">
      <alignment horizontal="center" readingOrder="0" vertical="bottom"/>
    </xf>
    <xf borderId="5" fillId="3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4" fillId="0" fontId="1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readingOrder="0" vertical="bottom"/>
    </xf>
    <xf borderId="6" fillId="0" fontId="6" numFmtId="164" xfId="0" applyAlignment="1" applyBorder="1" applyFont="1" applyNumberFormat="1">
      <alignment horizontal="right" readingOrder="0"/>
    </xf>
    <xf borderId="0" fillId="0" fontId="7" numFmtId="0" xfId="0" applyAlignment="1" applyFont="1">
      <alignment readingOrder="0"/>
    </xf>
    <xf borderId="6" fillId="0" fontId="7" numFmtId="164" xfId="0" applyAlignment="1" applyBorder="1" applyFont="1" applyNumberFormat="1">
      <alignment readingOrder="0"/>
    </xf>
    <xf borderId="7" fillId="0" fontId="7" numFmtId="164" xfId="0" applyAlignment="1" applyBorder="1" applyFont="1" applyNumberFormat="1">
      <alignment readingOrder="0"/>
    </xf>
    <xf borderId="8" fillId="0" fontId="5" numFmtId="164" xfId="0" applyAlignment="1" applyBorder="1" applyFont="1" applyNumberFormat="1">
      <alignment horizontal="right" readingOrder="0" vertical="bottom"/>
    </xf>
    <xf borderId="8" fillId="0" fontId="7" numFmtId="164" xfId="0" applyAlignment="1" applyBorder="1" applyFont="1" applyNumberFormat="1">
      <alignment readingOrder="0"/>
    </xf>
    <xf borderId="0" fillId="0" fontId="7" numFmtId="164" xfId="0" applyAlignment="1" applyFont="1" applyNumberFormat="1">
      <alignment readingOrder="0"/>
    </xf>
    <xf borderId="5" fillId="0" fontId="5" numFmtId="164" xfId="0" applyAlignment="1" applyBorder="1" applyFont="1" applyNumberFormat="1">
      <alignment horizontal="right" vertical="bottom"/>
    </xf>
    <xf borderId="0" fillId="4" fontId="8" numFmtId="164" xfId="0" applyAlignment="1" applyFill="1" applyFont="1" applyNumberFormat="1">
      <alignment readingOrder="0" shrinkToFit="0" wrapText="0"/>
    </xf>
    <xf borderId="7" fillId="0" fontId="9" numFmtId="164" xfId="0" applyAlignment="1" applyBorder="1" applyFont="1" applyNumberFormat="1">
      <alignment horizontal="right" readingOrder="0"/>
    </xf>
    <xf borderId="0" fillId="4" fontId="10" numFmtId="164" xfId="0" applyAlignment="1" applyFont="1" applyNumberFormat="1">
      <alignment horizontal="right" readingOrder="0"/>
    </xf>
    <xf borderId="6" fillId="4" fontId="10" numFmtId="164" xfId="0" applyAlignment="1" applyBorder="1" applyFont="1" applyNumberFormat="1">
      <alignment horizontal="right" readingOrder="0"/>
    </xf>
    <xf borderId="0" fillId="4" fontId="11" numFmtId="0" xfId="0" applyFont="1"/>
    <xf borderId="8" fillId="0" fontId="12" numFmtId="49" xfId="0" applyAlignment="1" applyBorder="1" applyFont="1" applyNumberFormat="1">
      <alignment shrinkToFit="0" vertical="bottom" wrapText="1"/>
    </xf>
    <xf borderId="8" fillId="0" fontId="12" numFmtId="49" xfId="0" applyAlignment="1" applyBorder="1" applyFont="1" applyNumberFormat="1">
      <alignment horizontal="center" shrinkToFit="0" vertical="bottom" wrapText="1"/>
    </xf>
    <xf borderId="3" fillId="0" fontId="12" numFmtId="49" xfId="0" applyAlignment="1" applyBorder="1" applyFont="1" applyNumberFormat="1">
      <alignment horizontal="center" shrinkToFit="0" vertical="bottom" wrapText="1"/>
    </xf>
    <xf borderId="8" fillId="0" fontId="12" numFmtId="1" xfId="0" applyAlignment="1" applyBorder="1" applyFont="1" applyNumberFormat="1">
      <alignment horizontal="center" shrinkToFit="0" vertical="bottom" wrapText="1"/>
    </xf>
    <xf borderId="3" fillId="0" fontId="12" numFmtId="14" xfId="0" applyAlignment="1" applyBorder="1" applyFont="1" applyNumberFormat="1">
      <alignment horizontal="center" shrinkToFit="0" vertical="bottom" wrapText="1"/>
    </xf>
    <xf borderId="8" fillId="3" fontId="13" numFmtId="0" xfId="0" applyAlignment="1" applyBorder="1" applyFont="1">
      <alignment vertical="bottom"/>
    </xf>
    <xf borderId="3" fillId="3" fontId="13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/>
    </xf>
    <xf borderId="6" fillId="0" fontId="5" numFmtId="0" xfId="0" applyBorder="1" applyFont="1"/>
    <xf borderId="0" fillId="0" fontId="5" numFmtId="0" xfId="0" applyAlignment="1" applyFont="1">
      <alignment horizontal="center" readingOrder="0"/>
    </xf>
    <xf borderId="6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readingOrder="0"/>
    </xf>
    <xf borderId="0" fillId="0" fontId="5" numFmtId="164" xfId="0" applyAlignment="1" applyFont="1" applyNumberFormat="1">
      <alignment readingOrder="0"/>
    </xf>
    <xf borderId="6" fillId="0" fontId="5" numFmtId="164" xfId="0" applyBorder="1" applyFont="1" applyNumberFormat="1"/>
    <xf borderId="0" fillId="4" fontId="5" numFmtId="0" xfId="0" applyAlignment="1" applyFont="1">
      <alignment horizontal="center" readingOrder="0"/>
    </xf>
    <xf borderId="0" fillId="5" fontId="5" numFmtId="0" xfId="0" applyAlignment="1" applyFill="1" applyFont="1">
      <alignment readingOrder="0"/>
    </xf>
    <xf borderId="0" fillId="0" fontId="5" numFmtId="0" xfId="0" applyFont="1"/>
    <xf borderId="7" fillId="0" fontId="5" numFmtId="0" xfId="0" applyBorder="1" applyFont="1"/>
    <xf borderId="7" fillId="0" fontId="5" numFmtId="0" xfId="0" applyAlignment="1" applyBorder="1" applyFont="1">
      <alignment vertical="bottom"/>
    </xf>
    <xf borderId="9" fillId="0" fontId="5" numFmtId="0" xfId="0" applyAlignment="1" applyBorder="1" applyFont="1">
      <alignment readingOrder="0"/>
    </xf>
    <xf borderId="9" fillId="0" fontId="5" numFmtId="164" xfId="0" applyAlignment="1" applyBorder="1" applyFont="1" applyNumberFormat="1">
      <alignment readingOrder="0"/>
    </xf>
    <xf borderId="0" fillId="0" fontId="14" numFmtId="0" xfId="0" applyAlignment="1" applyFont="1">
      <alignment readingOrder="0"/>
    </xf>
    <xf borderId="6" fillId="0" fontId="5" numFmtId="164" xfId="0" applyAlignment="1" applyBorder="1" applyFont="1" applyNumberFormat="1">
      <alignment readingOrder="0"/>
    </xf>
    <xf borderId="6" fillId="0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 readingOrder="0"/>
    </xf>
    <xf borderId="7" fillId="0" fontId="5" numFmtId="0" xfId="0" applyAlignment="1" applyBorder="1" applyFont="1">
      <alignment readingOrder="0"/>
    </xf>
    <xf borderId="0" fillId="4" fontId="5" numFmtId="0" xfId="0" applyFont="1"/>
    <xf borderId="6" fillId="4" fontId="5" numFmtId="0" xfId="0" applyBorder="1" applyFont="1"/>
    <xf borderId="6" fillId="0" fontId="7" numFmtId="0" xfId="0" applyAlignment="1" applyBorder="1" applyFont="1">
      <alignment horizontal="center"/>
    </xf>
    <xf borderId="9" fillId="0" fontId="7" numFmtId="0" xfId="0" applyBorder="1" applyFont="1"/>
    <xf borderId="6" fillId="0" fontId="7" numFmtId="0" xfId="0" applyBorder="1" applyFont="1"/>
    <xf borderId="6" fillId="0" fontId="7" numFmtId="164" xfId="0" applyBorder="1" applyFont="1" applyNumberFormat="1"/>
    <xf borderId="7" fillId="0" fontId="7" numFmtId="0" xfId="0" applyBorder="1" applyFont="1"/>
    <xf borderId="6" fillId="0" fontId="5" numFmtId="0" xfId="0" applyAlignment="1" applyBorder="1" applyFont="1">
      <alignment vertical="bottom"/>
    </xf>
    <xf borderId="7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left" vertical="bottom"/>
    </xf>
    <xf borderId="7" fillId="4" fontId="5" numFmtId="0" xfId="0" applyAlignment="1" applyBorder="1" applyFont="1">
      <alignment vertical="bottom"/>
    </xf>
    <xf borderId="7" fillId="4" fontId="5" numFmtId="164" xfId="0" applyAlignment="1" applyBorder="1" applyFont="1" applyNumberFormat="1">
      <alignment horizontal="right" readingOrder="0" vertical="bottom"/>
    </xf>
    <xf borderId="7" fillId="4" fontId="5" numFmtId="0" xfId="0" applyAlignment="1" applyBorder="1" applyFont="1">
      <alignment horizontal="center" vertical="bottom"/>
    </xf>
    <xf borderId="0" fillId="0" fontId="10" numFmtId="0" xfId="0" applyAlignment="1" applyFont="1">
      <alignment horizontal="center" readingOrder="0"/>
    </xf>
    <xf borderId="7" fillId="0" fontId="15" numFmtId="0" xfId="0" applyAlignment="1" applyBorder="1" applyFont="1">
      <alignment horizontal="center" vertical="bottom"/>
    </xf>
    <xf borderId="7" fillId="0" fontId="5" numFmtId="164" xfId="0" applyAlignment="1" applyBorder="1" applyFont="1" applyNumberFormat="1">
      <alignment horizontal="right" readingOrder="0" vertical="bottom"/>
    </xf>
    <xf borderId="6" fillId="0" fontId="5" numFmtId="0" xfId="0" applyAlignment="1" applyBorder="1" applyFont="1">
      <alignment horizontal="center" vertical="bottom"/>
    </xf>
    <xf borderId="0" fillId="0" fontId="16" numFmtId="0" xfId="0" applyAlignment="1" applyFont="1">
      <alignment readingOrder="0"/>
    </xf>
    <xf borderId="6" fillId="0" fontId="17" numFmtId="0" xfId="0" applyAlignment="1" applyBorder="1" applyFont="1">
      <alignment horizontal="center" readingOrder="0"/>
    </xf>
    <xf borderId="7" fillId="0" fontId="18" numFmtId="16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center" readingOrder="0" vertical="bottom"/>
    </xf>
    <xf borderId="7" fillId="0" fontId="19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7" fillId="0" fontId="5" numFmtId="0" xfId="0" applyAlignment="1" applyBorder="1" applyFont="1">
      <alignment readingOrder="0" vertical="bottom"/>
    </xf>
    <xf borderId="0" fillId="4" fontId="5" numFmtId="164" xfId="0" applyAlignment="1" applyFont="1" applyNumberFormat="1">
      <alignment readingOrder="0"/>
    </xf>
    <xf borderId="7" fillId="0" fontId="7" numFmtId="0" xfId="0" applyAlignment="1" applyBorder="1" applyFont="1">
      <alignment horizontal="center" readingOrder="0"/>
    </xf>
    <xf borderId="6" fillId="0" fontId="7" numFmtId="0" xfId="0" applyAlignment="1" applyBorder="1" applyFont="1">
      <alignment readingOrder="0"/>
    </xf>
    <xf borderId="10" fillId="0" fontId="5" numFmtId="0" xfId="0" applyAlignment="1" applyBorder="1" applyFont="1">
      <alignment vertical="bottom"/>
    </xf>
    <xf borderId="6" fillId="4" fontId="5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readingOrder="0"/>
    </xf>
    <xf borderId="10" fillId="0" fontId="5" numFmtId="0" xfId="0" applyAlignment="1" applyBorder="1" applyFont="1">
      <alignment readingOrder="0"/>
    </xf>
    <xf borderId="0" fillId="0" fontId="20" numFmtId="0" xfId="0" applyAlignment="1" applyFont="1">
      <alignment readingOrder="0"/>
    </xf>
    <xf borderId="0" fillId="0" fontId="5" numFmtId="0" xfId="0" applyAlignment="1" applyFont="1">
      <alignment horizontal="center" vertical="bottom"/>
    </xf>
    <xf borderId="4" fillId="0" fontId="5" numFmtId="0" xfId="0" applyAlignment="1" applyBorder="1" applyFont="1">
      <alignment vertical="bottom"/>
    </xf>
    <xf borderId="9" fillId="4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readingOrder="0"/>
    </xf>
    <xf borderId="6" fillId="0" fontId="5" numFmtId="0" xfId="0" applyAlignment="1" applyBorder="1" applyFont="1">
      <alignment horizontal="center" readingOrder="0" vertical="bottom"/>
    </xf>
    <xf borderId="7" fillId="0" fontId="5" numFmtId="0" xfId="0" applyAlignment="1" applyBorder="1" applyFont="1">
      <alignment horizontal="right" vertical="bottom"/>
    </xf>
    <xf borderId="0" fillId="4" fontId="5" numFmtId="0" xfId="0" applyAlignment="1" applyFont="1">
      <alignment readingOrder="0"/>
    </xf>
    <xf borderId="0" fillId="0" fontId="5" numFmtId="164" xfId="0" applyAlignment="1" applyFont="1" applyNumberFormat="1">
      <alignment horizontal="center" readingOrder="0"/>
    </xf>
    <xf borderId="6" fillId="0" fontId="5" numFmtId="164" xfId="0" applyAlignment="1" applyBorder="1" applyFont="1" applyNumberFormat="1">
      <alignment horizontal="center"/>
    </xf>
    <xf borderId="9" fillId="0" fontId="7" numFmtId="0" xfId="0" applyAlignment="1" applyBorder="1" applyFont="1">
      <alignment readingOrder="0"/>
    </xf>
    <xf borderId="9" fillId="0" fontId="5" numFmtId="164" xfId="0" applyAlignment="1" applyBorder="1" applyFont="1" applyNumberFormat="1">
      <alignment horizontal="center" readingOrder="0"/>
    </xf>
    <xf borderId="11" fillId="0" fontId="12" numFmtId="49" xfId="0" applyAlignment="1" applyBorder="1" applyFont="1" applyNumberFormat="1">
      <alignment horizontal="center" shrinkToFit="0" vertical="bottom" wrapText="1"/>
    </xf>
    <xf borderId="6" fillId="6" fontId="21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center" readingOrder="0"/>
    </xf>
    <xf borderId="6" fillId="0" fontId="7" numFmtId="0" xfId="0" applyAlignment="1" applyBorder="1" applyFont="1">
      <alignment horizontal="left" readingOrder="0"/>
    </xf>
    <xf borderId="12" fillId="0" fontId="5" numFmtId="0" xfId="0" applyAlignment="1" applyBorder="1" applyFont="1">
      <alignment readingOrder="0" vertical="bottom"/>
    </xf>
    <xf borderId="0" fillId="4" fontId="22" numFmtId="0" xfId="0" applyAlignment="1" applyFont="1">
      <alignment horizontal="left" readingOrder="0"/>
    </xf>
    <xf borderId="0" fillId="0" fontId="23" numFmtId="0" xfId="0" applyAlignment="1" applyFont="1">
      <alignment horizontal="left" readingOrder="0"/>
    </xf>
    <xf borderId="0" fillId="4" fontId="22" numFmtId="0" xfId="0" applyAlignment="1" applyFont="1">
      <alignment horizontal="center" readingOrder="0"/>
    </xf>
    <xf borderId="0" fillId="0" fontId="24" numFmtId="0" xfId="0" applyAlignment="1" applyFont="1">
      <alignment readingOrder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 readingOrder="0"/>
    </xf>
    <xf borderId="3" fillId="0" fontId="12" numFmtId="49" xfId="0" applyAlignment="1" applyBorder="1" applyFont="1" applyNumberFormat="1">
      <alignment horizontal="right" shrinkToFit="0" vertical="bottom" wrapText="1"/>
    </xf>
    <xf borderId="6" fillId="0" fontId="5" numFmtId="0" xfId="0" applyAlignment="1" applyBorder="1" applyFont="1">
      <alignment horizontal="right" readingOrder="0"/>
    </xf>
    <xf borderId="0" fillId="0" fontId="5" numFmtId="0" xfId="0" applyAlignment="1" applyFont="1">
      <alignment horizontal="right" readingOrder="0"/>
    </xf>
    <xf borderId="7" fillId="0" fontId="5" numFmtId="164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6" fillId="0" fontId="5" numFmtId="0" xfId="0" applyAlignment="1" applyBorder="1" applyFont="1">
      <alignment horizontal="right" readingOrder="0" vertical="bottom"/>
    </xf>
    <xf borderId="6" fillId="0" fontId="5" numFmtId="164" xfId="0" applyAlignment="1" applyBorder="1" applyFont="1" applyNumberFormat="1">
      <alignment horizontal="right"/>
    </xf>
    <xf borderId="0" fillId="4" fontId="10" numFmtId="0" xfId="0" applyAlignment="1" applyFont="1">
      <alignment horizontal="left" readingOrder="0"/>
    </xf>
    <xf borderId="5" fillId="0" fontId="5" numFmtId="0" xfId="0" applyAlignment="1" applyBorder="1" applyFont="1">
      <alignment readingOrder="0" vertical="bottom"/>
    </xf>
    <xf borderId="0" fillId="4" fontId="10" numFmtId="0" xfId="0" applyAlignment="1" applyFont="1">
      <alignment readingOrder="0"/>
    </xf>
    <xf borderId="6" fillId="0" fontId="5" numFmtId="165" xfId="0" applyAlignment="1" applyBorder="1" applyFont="1" applyNumberFormat="1">
      <alignment readingOrder="0"/>
    </xf>
    <xf borderId="7" fillId="4" fontId="10" numFmtId="164" xfId="0" applyAlignment="1" applyBorder="1" applyFont="1" applyNumberFormat="1">
      <alignment horizontal="right" readingOrder="0"/>
    </xf>
    <xf borderId="0" fillId="0" fontId="5" numFmtId="0" xfId="0" applyAlignment="1" applyFont="1">
      <alignment horizontal="right"/>
    </xf>
    <xf borderId="7" fillId="0" fontId="10" numFmtId="164" xfId="0" applyAlignment="1" applyBorder="1" applyFont="1" applyNumberFormat="1">
      <alignment horizontal="right" readingOrder="0"/>
    </xf>
    <xf borderId="0" fillId="0" fontId="5" numFmtId="0" xfId="0" applyAlignment="1" applyFont="1">
      <alignment horizontal="center"/>
    </xf>
    <xf borderId="6" fillId="0" fontId="5" numFmtId="0" xfId="0" applyAlignment="1" applyBorder="1" applyFont="1">
      <alignment horizontal="right"/>
    </xf>
    <xf borderId="6" fillId="0" fontId="7" numFmtId="0" xfId="0" applyAlignment="1" applyBorder="1" applyFont="1">
      <alignment horizontal="right" readingOrder="0"/>
    </xf>
    <xf borderId="6" fillId="0" fontId="5" numFmtId="0" xfId="0" applyAlignment="1" applyBorder="1" applyFont="1">
      <alignment readingOrder="0"/>
    </xf>
    <xf borderId="0" fillId="0" fontId="7" numFmtId="0" xfId="0" applyAlignment="1" applyFont="1">
      <alignment horizontal="right" readingOrder="0"/>
    </xf>
    <xf borderId="7" fillId="0" fontId="7" numFmtId="164" xfId="0" applyAlignment="1" applyBorder="1" applyFont="1" applyNumberFormat="1">
      <alignment horizontal="right" readingOrder="0"/>
    </xf>
    <xf borderId="0" fillId="4" fontId="25" numFmtId="0" xfId="0" applyAlignment="1" applyFont="1">
      <alignment readingOrder="0"/>
    </xf>
    <xf borderId="0" fillId="0" fontId="5" numFmtId="0" xfId="0" applyAlignment="1" applyFont="1">
      <alignment vertical="bottom"/>
    </xf>
    <xf borderId="0" fillId="4" fontId="25" numFmtId="0" xfId="0" applyAlignment="1" applyFont="1">
      <alignment vertical="bottom"/>
    </xf>
    <xf borderId="0" fillId="0" fontId="5" numFmtId="0" xfId="0" applyAlignment="1" applyFont="1">
      <alignment readingOrder="0"/>
    </xf>
    <xf borderId="0" fillId="4" fontId="23" numFmtId="0" xfId="0" applyAlignment="1" applyFont="1">
      <alignment horizontal="left" readingOrder="0"/>
    </xf>
    <xf borderId="0" fillId="0" fontId="26" numFmtId="0" xfId="0" applyAlignment="1" applyFont="1">
      <alignment readingOrder="0"/>
    </xf>
    <xf borderId="0" fillId="7" fontId="27" numFmtId="0" xfId="0" applyAlignment="1" applyFill="1" applyFont="1">
      <alignment readingOrder="0"/>
    </xf>
    <xf borderId="0" fillId="0" fontId="10" numFmtId="0" xfId="0" applyAlignment="1" applyFont="1">
      <alignment horizontal="left" readingOrder="0" shrinkToFit="0" wrapText="1"/>
    </xf>
    <xf borderId="0" fillId="4" fontId="10" numFmtId="0" xfId="0" applyAlignment="1" applyFont="1">
      <alignment readingOrder="0"/>
    </xf>
    <xf borderId="6" fillId="0" fontId="7" numFmtId="0" xfId="0" applyAlignment="1" applyBorder="1" applyFont="1">
      <alignment horizontal="right"/>
    </xf>
    <xf borderId="0" fillId="4" fontId="28" numFmtId="0" xfId="0" applyAlignment="1" applyFont="1">
      <alignment readingOrder="0"/>
    </xf>
    <xf borderId="6" fillId="0" fontId="6" numFmtId="0" xfId="0" applyAlignment="1" applyBorder="1" applyFont="1">
      <alignment horizontal="center"/>
    </xf>
    <xf borderId="0" fillId="0" fontId="6" numFmtId="0" xfId="0" applyAlignment="1" applyFont="1">
      <alignment readingOrder="0"/>
    </xf>
    <xf borderId="6" fillId="0" fontId="6" numFmtId="0" xfId="0" applyAlignment="1" applyBorder="1" applyFont="1">
      <alignment readingOrder="0"/>
    </xf>
    <xf borderId="6" fillId="0" fontId="6" numFmtId="164" xfId="0" applyAlignment="1" applyBorder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6" fillId="0" fontId="6" numFmtId="0" xfId="0" applyBorder="1" applyFont="1"/>
    <xf borderId="0" fillId="0" fontId="29" numFmtId="0" xfId="0" applyAlignment="1" applyFont="1">
      <alignment readingOrder="0"/>
    </xf>
    <xf borderId="7" fillId="0" fontId="6" numFmtId="0" xfId="0" applyBorder="1" applyFont="1"/>
    <xf borderId="0" fillId="0" fontId="6" numFmtId="0" xfId="0" applyFont="1"/>
    <xf borderId="6" fillId="0" fontId="6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/>
    </xf>
    <xf borderId="0" fillId="4" fontId="0" numFmtId="0" xfId="0" applyAlignment="1" applyFont="1">
      <alignment horizontal="left" readingOrder="0"/>
    </xf>
    <xf borderId="7" fillId="0" fontId="6" numFmtId="0" xfId="0" applyAlignment="1" applyBorder="1" applyFont="1">
      <alignment vertical="bottom"/>
    </xf>
    <xf borderId="0" fillId="8" fontId="0" numFmtId="0" xfId="0" applyAlignment="1" applyFill="1" applyFont="1">
      <alignment readingOrder="0"/>
    </xf>
    <xf borderId="5" fillId="0" fontId="6" numFmtId="0" xfId="0" applyAlignment="1" applyBorder="1" applyFont="1">
      <alignment readingOrder="0" vertical="bottom"/>
    </xf>
    <xf borderId="6" fillId="4" fontId="0" numFmtId="0" xfId="0" applyAlignment="1" applyBorder="1" applyFont="1">
      <alignment horizontal="center" readingOrder="0"/>
    </xf>
    <xf borderId="0" fillId="4" fontId="30" numFmtId="0" xfId="0" applyAlignment="1" applyFont="1">
      <alignment readingOrder="0" shrinkToFit="0" wrapText="1"/>
    </xf>
    <xf borderId="0" fillId="4" fontId="30" numFmtId="0" xfId="0" applyAlignment="1" applyFont="1">
      <alignment horizontal="center" readingOrder="0" shrinkToFit="0" wrapText="1"/>
    </xf>
    <xf borderId="0" fillId="4" fontId="31" numFmtId="0" xfId="0" applyAlignment="1" applyFont="1">
      <alignment readingOrder="0" shrinkToFit="0" wrapText="0"/>
    </xf>
    <xf borderId="0" fillId="0" fontId="32" numFmtId="0" xfId="0" applyAlignment="1" applyFont="1">
      <alignment readingOrder="0"/>
    </xf>
    <xf borderId="0" fillId="7" fontId="33" numFmtId="0" xfId="0" applyAlignment="1" applyFont="1">
      <alignment readingOrder="0"/>
    </xf>
    <xf borderId="0" fillId="0" fontId="0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/>
    </xf>
    <xf borderId="6" fillId="0" fontId="7" numFmtId="164" xfId="0" applyAlignment="1" applyBorder="1" applyFont="1" applyNumberFormat="1">
      <alignment horizontal="center" readingOrder="0"/>
    </xf>
    <xf borderId="6" fillId="0" fontId="7" numFmtId="164" xfId="0" applyAlignment="1" applyBorder="1" applyFont="1" applyNumberFormat="1">
      <alignment horizontal="right" readingOrder="0"/>
    </xf>
    <xf borderId="10" fillId="0" fontId="12" numFmtId="49" xfId="0" applyAlignment="1" applyBorder="1" applyFont="1" applyNumberFormat="1">
      <alignment shrinkToFit="0" vertical="bottom" wrapText="1"/>
    </xf>
    <xf borderId="10" fillId="0" fontId="12" numFmtId="49" xfId="0" applyAlignment="1" applyBorder="1" applyFont="1" applyNumberFormat="1">
      <alignment horizontal="center" shrinkToFit="0" vertical="bottom" wrapText="1"/>
    </xf>
    <xf borderId="10" fillId="0" fontId="12" numFmtId="1" xfId="0" applyAlignment="1" applyBorder="1" applyFont="1" applyNumberFormat="1">
      <alignment horizontal="center" shrinkToFit="0" vertical="bottom" wrapText="1"/>
    </xf>
    <xf borderId="11" fillId="0" fontId="12" numFmtId="14" xfId="0" applyAlignment="1" applyBorder="1" applyFont="1" applyNumberFormat="1">
      <alignment horizontal="center" shrinkToFit="0" vertical="bottom" wrapText="1"/>
    </xf>
    <xf borderId="7" fillId="0" fontId="7" numFmtId="0" xfId="0" applyAlignment="1" applyBorder="1" applyFont="1">
      <alignment readingOrder="0"/>
    </xf>
    <xf borderId="7" fillId="4" fontId="0" numFmtId="0" xfId="0" applyAlignment="1" applyBorder="1" applyFont="1">
      <alignment horizontal="left" readingOrder="0"/>
    </xf>
    <xf borderId="11" fillId="0" fontId="7" numFmtId="0" xfId="0" applyBorder="1" applyFont="1"/>
    <xf borderId="0" fillId="0" fontId="7" numFmtId="0" xfId="0" applyFont="1"/>
    <xf borderId="12" fillId="0" fontId="6" numFmtId="0" xfId="0" applyAlignment="1" applyBorder="1" applyFont="1">
      <alignment readingOrder="0"/>
    </xf>
    <xf borderId="0" fillId="0" fontId="34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3" fillId="0" fontId="12" numFmtId="49" xfId="0" applyAlignment="1" applyBorder="1" applyFont="1" applyNumberFormat="1">
      <alignment horizontal="center" readingOrder="0" shrinkToFit="0" vertical="bottom" wrapText="1"/>
    </xf>
    <xf borderId="6" fillId="0" fontId="5" numFmtId="0" xfId="0" applyAlignment="1" applyBorder="1" applyFont="1">
      <alignment horizontal="center" readingOrder="0"/>
    </xf>
    <xf borderId="0" fillId="4" fontId="35" numFmtId="0" xfId="0" applyAlignment="1" applyFont="1">
      <alignment readingOrder="0" shrinkToFit="0" wrapText="0"/>
    </xf>
    <xf borderId="7" fillId="0" fontId="7" numFmtId="0" xfId="0" applyAlignment="1" applyBorder="1" applyFont="1">
      <alignment horizontal="center"/>
    </xf>
    <xf borderId="0" fillId="4" fontId="35" numFmtId="0" xfId="0" applyAlignment="1" applyFont="1">
      <alignment horizontal="right" readingOrder="0"/>
    </xf>
    <xf borderId="7" fillId="0" fontId="7" numFmtId="164" xfId="0" applyBorder="1" applyFont="1" applyNumberFormat="1"/>
    <xf borderId="7" fillId="0" fontId="36" numFmtId="0" xfId="0" applyAlignment="1" applyBorder="1" applyFont="1">
      <alignment readingOrder="0" vertical="bottom"/>
    </xf>
    <xf borderId="6" fillId="0" fontId="6" numFmtId="0" xfId="0" applyAlignment="1" applyBorder="1" applyFont="1">
      <alignment horizontal="left" readingOrder="0"/>
    </xf>
    <xf borderId="7" fillId="0" fontId="37" numFmtId="0" xfId="0" applyAlignment="1" applyBorder="1" applyFont="1">
      <alignment horizontal="center" readingOrder="0"/>
    </xf>
    <xf borderId="7" fillId="4" fontId="38" numFmtId="0" xfId="0" applyAlignment="1" applyBorder="1" applyFont="1">
      <alignment horizontal="left" readingOrder="0"/>
    </xf>
    <xf borderId="0" fillId="4" fontId="39" numFmtId="0" xfId="0" applyAlignment="1" applyFont="1">
      <alignment readingOrder="0"/>
    </xf>
    <xf borderId="0" fillId="9" fontId="40" numFmtId="0" xfId="0" applyAlignment="1" applyFill="1" applyFont="1">
      <alignment readingOrder="0" shrinkToFit="0" wrapText="0"/>
    </xf>
    <xf borderId="0" fillId="9" fontId="41" numFmtId="0" xfId="0" applyAlignment="1" applyFont="1">
      <alignment readingOrder="0" shrinkToFit="0" wrapText="0"/>
    </xf>
    <xf borderId="7" fillId="4" fontId="42" numFmtId="0" xfId="0" applyAlignment="1" applyBorder="1" applyFont="1">
      <alignment readingOrder="0"/>
    </xf>
    <xf borderId="7" fillId="0" fontId="43" numFmtId="0" xfId="0" applyAlignment="1" applyBorder="1" applyFont="1">
      <alignment horizontal="left" readingOrder="0"/>
    </xf>
    <xf borderId="7" fillId="0" fontId="44" numFmtId="0" xfId="0" applyAlignment="1" applyBorder="1" applyFont="1">
      <alignment readingOrder="0"/>
    </xf>
    <xf borderId="7" fillId="0" fontId="6" numFmtId="0" xfId="0" applyAlignment="1" applyBorder="1" applyFont="1">
      <alignment horizontal="left" readingOrder="0"/>
    </xf>
    <xf borderId="7" fillId="4" fontId="45" numFmtId="0" xfId="0" applyAlignment="1" applyBorder="1" applyFont="1">
      <alignment horizontal="left" readingOrder="0" shrinkToFit="0" wrapText="0"/>
    </xf>
    <xf borderId="0" fillId="0" fontId="9" numFmtId="0" xfId="0" applyAlignment="1" applyFont="1">
      <alignment readingOrder="0"/>
    </xf>
    <xf borderId="6" fillId="0" fontId="9" numFmtId="0" xfId="0" applyAlignment="1" applyBorder="1" applyFont="1">
      <alignment horizontal="left" readingOrder="0"/>
    </xf>
    <xf borderId="6" fillId="0" fontId="9" numFmtId="0" xfId="0" applyAlignment="1" applyBorder="1" applyFont="1">
      <alignment readingOrder="0"/>
    </xf>
    <xf borderId="6" fillId="0" fontId="9" numFmtId="164" xfId="0" applyAlignment="1" applyBorder="1" applyFont="1" applyNumberFormat="1">
      <alignment horizontal="right" readingOrder="0"/>
    </xf>
    <xf borderId="0" fillId="4" fontId="46" numFmtId="0" xfId="0" applyAlignment="1" applyFont="1">
      <alignment readingOrder="0" shrinkToFit="0" wrapText="0"/>
    </xf>
    <xf borderId="0" fillId="0" fontId="47" numFmtId="0" xfId="0" applyAlignment="1" applyFont="1">
      <alignment readingOrder="0"/>
    </xf>
    <xf borderId="6" fillId="0" fontId="9" numFmtId="0" xfId="0" applyBorder="1" applyFont="1"/>
    <xf borderId="7" fillId="0" fontId="9" numFmtId="0" xfId="0" applyBorder="1" applyFont="1"/>
    <xf borderId="0" fillId="0" fontId="9" numFmtId="164" xfId="0" applyAlignment="1" applyFont="1" applyNumberFormat="1">
      <alignment horizontal="right" readingOrder="0"/>
    </xf>
    <xf borderId="0" fillId="0" fontId="9" numFmtId="0" xfId="0" applyAlignment="1" applyFont="1">
      <alignment horizontal="right" readingOrder="0"/>
    </xf>
    <xf borderId="7" fillId="0" fontId="9" numFmtId="0" xfId="0" applyAlignment="1" applyBorder="1" applyFont="1">
      <alignment vertical="bottom"/>
    </xf>
    <xf borderId="6" fillId="0" fontId="9" numFmtId="0" xfId="0" applyAlignment="1" applyBorder="1" applyFont="1">
      <alignment horizontal="left" vertical="bottom"/>
    </xf>
    <xf borderId="6" fillId="0" fontId="9" numFmtId="0" xfId="0" applyAlignment="1" applyBorder="1" applyFont="1">
      <alignment horizontal="right" readingOrder="0"/>
    </xf>
    <xf borderId="7" fillId="0" fontId="9" numFmtId="0" xfId="0" applyAlignment="1" applyBorder="1" applyFont="1">
      <alignment readingOrder="0"/>
    </xf>
    <xf borderId="7" fillId="4" fontId="38" numFmtId="164" xfId="0" applyAlignment="1" applyBorder="1" applyFont="1" applyNumberFormat="1">
      <alignment horizontal="right" readingOrder="0"/>
    </xf>
    <xf borderId="0" fillId="4" fontId="38" numFmtId="164" xfId="0" applyAlignment="1" applyFont="1" applyNumberFormat="1">
      <alignment horizontal="right" readingOrder="0"/>
    </xf>
    <xf borderId="0" fillId="4" fontId="38" numFmtId="0" xfId="0" applyAlignment="1" applyFont="1">
      <alignment horizontal="left" readingOrder="0"/>
    </xf>
    <xf borderId="7" fillId="0" fontId="9" numFmtId="164" xfId="0" applyAlignment="1" applyBorder="1" applyFont="1" applyNumberFormat="1">
      <alignment readingOrder="0"/>
    </xf>
    <xf borderId="0" fillId="0" fontId="9" numFmtId="164" xfId="0" applyAlignment="1" applyFont="1" applyNumberFormat="1">
      <alignment readingOrder="0"/>
    </xf>
    <xf borderId="7" fillId="0" fontId="9" numFmtId="0" xfId="0" applyAlignment="1" applyBorder="1" applyFont="1">
      <alignment horizontal="left" readingOrder="0"/>
    </xf>
    <xf borderId="7" fillId="0" fontId="38" numFmtId="0" xfId="0" applyAlignment="1" applyBorder="1" applyFont="1">
      <alignment readingOrder="0"/>
    </xf>
    <xf borderId="0" fillId="4" fontId="35" numFmtId="0" xfId="0" applyAlignment="1" applyFont="1">
      <alignment readingOrder="0"/>
    </xf>
    <xf borderId="7" fillId="4" fontId="48" numFmtId="0" xfId="0" applyAlignment="1" applyBorder="1" applyFont="1">
      <alignment horizontal="left" readingOrder="0"/>
    </xf>
    <xf borderId="6" fillId="0" fontId="9" numFmtId="0" xfId="0" applyAlignment="1" applyBorder="1" applyFont="1">
      <alignment horizontal="left"/>
    </xf>
    <xf borderId="0" fillId="0" fontId="9" numFmtId="0" xfId="0" applyFont="1"/>
    <xf borderId="0" fillId="4" fontId="49" numFmtId="0" xfId="0" applyAlignment="1" applyFont="1">
      <alignment readingOrder="0" shrinkToFit="0" wrapText="0"/>
    </xf>
    <xf borderId="0" fillId="0" fontId="50" numFmtId="164" xfId="0" applyAlignment="1" applyFont="1" applyNumberFormat="1">
      <alignment readingOrder="0"/>
    </xf>
    <xf borderId="7" fillId="0" fontId="1" numFmtId="0" xfId="0" applyAlignment="1" applyBorder="1" applyFont="1">
      <alignment horizontal="right" vertical="bottom"/>
    </xf>
    <xf borderId="0" fillId="4" fontId="35" numFmtId="164" xfId="0" applyAlignment="1" applyFont="1" applyNumberFormat="1">
      <alignment readingOrder="0" shrinkToFit="0" wrapText="0"/>
    </xf>
    <xf borderId="0" fillId="8" fontId="51" numFmtId="0" xfId="0" applyAlignment="1" applyFont="1">
      <alignment readingOrder="0"/>
    </xf>
    <xf borderId="0" fillId="0" fontId="52" numFmtId="0" xfId="0" applyAlignment="1" applyFont="1">
      <alignment readingOrder="0"/>
    </xf>
    <xf borderId="0" fillId="0" fontId="53" numFmtId="0" xfId="0" applyAlignment="1" applyFont="1">
      <alignment readingOrder="0"/>
    </xf>
    <xf borderId="6" fillId="0" fontId="53" numFmtId="0" xfId="0" applyAlignment="1" applyBorder="1" applyFont="1">
      <alignment readingOrder="0"/>
    </xf>
    <xf borderId="0" fillId="0" fontId="53" numFmtId="164" xfId="0" applyAlignment="1" applyFont="1" applyNumberFormat="1">
      <alignment readingOrder="0"/>
    </xf>
    <xf borderId="0" fillId="0" fontId="53" numFmtId="0" xfId="0" applyFont="1"/>
    <xf borderId="6" fillId="0" fontId="53" numFmtId="0" xfId="0" applyBorder="1" applyFont="1"/>
    <xf borderId="0" fillId="0" fontId="54" numFmtId="0" xfId="0" applyAlignment="1" applyFont="1">
      <alignment readingOrder="0"/>
    </xf>
    <xf borderId="0" fillId="0" fontId="55" numFmtId="0" xfId="0" applyAlignment="1" applyFont="1">
      <alignment readingOrder="0"/>
    </xf>
    <xf borderId="0" fillId="0" fontId="7" numFmtId="164" xfId="0" applyFont="1" applyNumberFormat="1"/>
    <xf borderId="10" fillId="0" fontId="56" numFmtId="49" xfId="0" applyAlignment="1" applyBorder="1" applyFont="1" applyNumberFormat="1">
      <alignment shrinkToFit="0" vertical="bottom" wrapText="1"/>
    </xf>
    <xf borderId="7" fillId="0" fontId="5" numFmtId="0" xfId="0" applyAlignment="1" applyBorder="1" applyFont="1">
      <alignment readingOrder="0"/>
    </xf>
    <xf borderId="0" fillId="4" fontId="23" numFmtId="0" xfId="0" applyAlignment="1" applyFont="1">
      <alignment horizontal="center" readingOrder="0"/>
    </xf>
    <xf borderId="7" fillId="0" fontId="57" numFmtId="0" xfId="0" applyAlignment="1" applyBorder="1" applyFont="1">
      <alignment readingOrder="0"/>
    </xf>
    <xf borderId="7" fillId="0" fontId="57" numFmtId="0" xfId="0" applyAlignment="1" applyBorder="1" applyFont="1">
      <alignment horizontal="center" readingOrder="0"/>
    </xf>
    <xf borderId="7" fillId="4" fontId="22" numFmtId="0" xfId="0" applyAlignment="1" applyBorder="1" applyFont="1">
      <alignment horizontal="left" readingOrder="0"/>
    </xf>
    <xf borderId="7" fillId="4" fontId="22" numFmtId="164" xfId="0" applyAlignment="1" applyBorder="1" applyFont="1" applyNumberFormat="1">
      <alignment horizontal="right" readingOrder="0"/>
    </xf>
    <xf borderId="6" fillId="0" fontId="7" numFmtId="164" xfId="0" applyAlignment="1" applyBorder="1" applyFont="1" applyNumberFormat="1">
      <alignment horizontal="right"/>
    </xf>
    <xf borderId="6" fillId="4" fontId="22" numFmtId="0" xfId="0" applyAlignment="1" applyBorder="1" applyFont="1">
      <alignment horizontal="center" readingOrder="0"/>
    </xf>
    <xf borderId="7" fillId="0" fontId="10" numFmtId="0" xfId="0" applyAlignment="1" applyBorder="1" applyFont="1">
      <alignment horizontal="center" readingOrder="0"/>
    </xf>
    <xf borderId="7" fillId="0" fontId="58" numFmtId="0" xfId="0" applyAlignment="1" applyBorder="1" applyFont="1">
      <alignment readingOrder="0"/>
    </xf>
    <xf borderId="7" fillId="4" fontId="5" numFmtId="0" xfId="0" applyAlignment="1" applyBorder="1" applyFont="1">
      <alignment vertical="bottom"/>
    </xf>
    <xf borderId="7" fillId="0" fontId="10" numFmtId="0" xfId="0" applyAlignment="1" applyBorder="1" applyFont="1">
      <alignment readingOrder="0" shrinkToFit="0" vertical="bottom" wrapText="0"/>
    </xf>
    <xf borderId="7" fillId="0" fontId="10" numFmtId="0" xfId="0" applyAlignment="1" applyBorder="1" applyFont="1">
      <alignment horizontal="center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4" fontId="59" numFmtId="0" xfId="0" applyAlignment="1" applyFont="1">
      <alignment readingOrder="0"/>
    </xf>
    <xf borderId="6" fillId="0" fontId="5" numFmtId="0" xfId="0" applyAlignment="1" applyBorder="1" applyFont="1">
      <alignment readingOrder="0"/>
    </xf>
    <xf borderId="6" fillId="0" fontId="10" numFmtId="0" xfId="0" applyAlignment="1" applyBorder="1" applyFont="1">
      <alignment readingOrder="0" shrinkToFit="0" vertical="bottom" wrapText="0"/>
    </xf>
    <xf borderId="6" fillId="0" fontId="10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astasia Lundgren" id="{968a4d6f-1166-4f28-8a58-bb099670e7a3}" providerId="google-sheets"/>
  <x18tc:person displayName="Saundarya shah" id="{e9a9fcc3-d776-4847-8f89-aee7390f979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" dT="2023-06-29T08:01:55.00" personId="{e9a9fcc3-d776-4847-8f89-aee7390f979b}" id="{e53affa6-93ae-4d5e-9c92-1887b6ffefb2}" done="0">
    <x18tc:text xml:space="preserve">Correct code for Färkkilä 2023</x18tc:text>
  </x18tc:threadedComment>
  <x18tc:threadedComment ref="D3" dT="2023-02-27T12:39:53.00" personId="{968a4d6f-1166-4f28-8a58-bb099670e7a3}" id="{e0bcd07c-c01a-4292-86fe-47e029bf07dc}" done="0">
    <x18tc:text xml:space="preserve">these money are from iCAN 2021-2022</x18tc:text>
  </x18tc:threadedComment>
  <x18tc:threadedComment ref="J2" dT="2023-06-13T08:03:12.00" personId="{e9a9fcc3-d776-4847-8f89-aee7390f979b}" id="{0dcea1b8-c512-40a0-9e62-988b30611251}" done="0">
    <x18tc:text xml:space="preserve">Don't use this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9" dT="2023-11-01T07:55:54.00" personId="{e9a9fcc3-d776-4847-8f89-aee7390f979b}" id="{d9889225-a4f8-48a7-97aa-c98cd2648558}" done="0">
    <x18tc:text xml:space="preserve">647 was discontinued ,ordered 555 conjugate in October</x18tc:text>
  </x18tc:threadedComment>
  <x18tc:threadedComment ref="A29" dT="2023-08-23T11:51:52.00" personId="{e9a9fcc3-d776-4847-8f89-aee7390f979b}" id="{0e4d0479-efdb-4f94-a6c4-739d07dc40bf}" done="0">
    <x18tc:text xml:space="preserve">all electronic items until row 38 to be paid by credit card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33" dT="2023-11-01T08:32:11.00" personId="{e9a9fcc3-d776-4847-8f89-aee7390f979b}" id="{fdacc0d9-5dc8-41bb-a7cc-ff84d8fb1bb0}" done="0">
    <x18tc:text xml:space="preserve">157,35 from GSK</x18tc:text>
  </x18tc:threadedComment>
  <x18tc:threadedComment ref="A40" dT="2023-10-31T13:06:17.00" personId="{e9a9fcc3-d776-4847-8f89-aee7390f979b}" id="{cf69076b-00fa-40ac-baf0-86e1ef311762}" done="0">
    <x18tc:text xml:space="preserve">ordered to replace the borrowed one from Kauppi lab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shersci.co.uk/shop/products/polypropylene-clear-autoclave-bags/16237971?searchHijack=true&amp;searchTerm=16237971&amp;searchType=RAPID&amp;matchedCatNo=16237971" TargetMode="External"/><Relationship Id="rId2" Type="http://schemas.openxmlformats.org/officeDocument/2006/relationships/hyperlink" Target="https://kauppa.rckfinland.fi/189043-mattoveitsi-18-mm-pro-cutter.html" TargetMode="External"/><Relationship Id="rId3" Type="http://schemas.openxmlformats.org/officeDocument/2006/relationships/hyperlink" Target="https://www.verkkokauppa.com/fi/product/456813/NT-Cutter-SL-700GP-katkoteraveitsi-18-mm-ammattikayttoon" TargetMode="External"/><Relationship Id="rId4" Type="http://schemas.openxmlformats.org/officeDocument/2006/relationships/hyperlink" Target="https://www.verkkokauppa.com/fi/product/456813/NT-Cutter-SL-700GP-katkoteraveitsi-18-mm-ammattikayttoon?utm_source=productlink&amp;utm_medium=orderemail&amp;utm_campaign=order_created" TargetMode="External"/><Relationship Id="rId5" Type="http://schemas.openxmlformats.org/officeDocument/2006/relationships/hyperlink" Target="https://www.selleckchem.com" TargetMode="External"/><Relationship Id="rId6" Type="http://schemas.openxmlformats.org/officeDocument/2006/relationships/hyperlink" Target="https://www.selleckchem.com" TargetMode="External"/><Relationship Id="rId7" Type="http://schemas.openxmlformats.org/officeDocument/2006/relationships/hyperlink" Target="mailto:medlab.tilaukset@berner.fi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www.sigmaaldrich.com/FI/en/product/mm/ab9610af555" TargetMode="External"/><Relationship Id="rId3" Type="http://schemas.openxmlformats.org/officeDocument/2006/relationships/hyperlink" Target="https://www.cellsignal.com/products/antibody-conjugates/ki-67-d3b5-rabbit-mab-alexa-fluor-647-conjugate/12075" TargetMode="Externa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verkkokauppa.com/fi/product/724082/Seagate-Expansion-Portable-ulkoinen-kovalevy-5-Tt" TargetMode="External"/><Relationship Id="rId2" Type="http://schemas.openxmlformats.org/officeDocument/2006/relationships/hyperlink" Target="https://www.thermofisher.com/antibody/product/CD8a-Antibody-clone-AMC908-Monoclonal/50-0008-82" TargetMode="External"/><Relationship Id="rId3" Type="http://schemas.openxmlformats.org/officeDocument/2006/relationships/hyperlink" Target="https://www.sigmaaldrich.com/FI/en" TargetMode="External"/><Relationship Id="rId4" Type="http://schemas.openxmlformats.org/officeDocument/2006/relationships/hyperlink" Target="https://www.thermofisher.com/order/catalog/product/L34966?SID=srch-srp-L34966" TargetMode="External"/><Relationship Id="rId5" Type="http://schemas.openxmlformats.org/officeDocument/2006/relationships/hyperlink" Target="https://www.selleckchem.com/products/pembrolizumab.html" TargetMode="External"/><Relationship Id="rId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bcam.com/products/primary-antibodies/alexa-fluor-488-iba1-antibody-epr61362-ab195031.html" TargetMode="External"/><Relationship Id="rId2" Type="http://schemas.openxmlformats.org/officeDocument/2006/relationships/hyperlink" Target="https://www.labnet.fi/en/product/v659799-4770/4489/pipetti-25ml-stripette/659799/2" TargetMode="External"/><Relationship Id="rId3" Type="http://schemas.openxmlformats.org/officeDocument/2006/relationships/hyperlink" Target="https://logosbio.com/cell_counting_acc/luna-cell-counting-slides/" TargetMode="External"/><Relationship Id="rId4" Type="http://schemas.openxmlformats.org/officeDocument/2006/relationships/hyperlink" Target="https://www.cellsignal.com/products/antibody-conjugates/cd68-d4b9c-xp-rabbit-mab-alexa-fluor-488-conjugate/24850?site-search-type=Products&amp;N=4294956287&amp;Ntt=24850s&amp;fromPage=plp&amp;_requestid=6314708" TargetMode="External"/><Relationship Id="rId5" Type="http://schemas.openxmlformats.org/officeDocument/2006/relationships/hyperlink" Target="https://www.fishersci.fi/shop/products/nitrile-indigo-disposable-gloves-ppe-cat-iii-5/17192182?searchHijack=true&amp;searchTerm=17192182&amp;searchType=RAPID&amp;matchedCatNo=17192182" TargetMode="External"/><Relationship Id="rId6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bcam.com/en-nl/products/primary-antibodies/alexa-fluor-555-anti-pax8-antibody-epr18715-ab217733" TargetMode="External"/><Relationship Id="rId22" Type="http://schemas.openxmlformats.org/officeDocument/2006/relationships/hyperlink" Target="https://www.abcam.com/en-nl/products/primary-antibodies/alexa-fluor-647-anti-nkg2a-antibody-epr23737-127-ab300745" TargetMode="External"/><Relationship Id="rId21" Type="http://schemas.openxmlformats.org/officeDocument/2006/relationships/hyperlink" Target="https://www.abcam.com/en-nl/products/primary-antibodies/alexa-fluor-488-anti-pax8-antibody-epr18715-ab214955" TargetMode="External"/><Relationship Id="rId24" Type="http://schemas.openxmlformats.org/officeDocument/2006/relationships/hyperlink" Target="https://nordicbiosite.com/product/301910/Alexa-Fluor(r)-488-antihuman-CD15-SSEA1" TargetMode="External"/><Relationship Id="rId23" Type="http://schemas.openxmlformats.org/officeDocument/2006/relationships/hyperlink" Target="https://www.abcam.com/en-nl/products/primary-antibodies/alexa-fluor-555-anti-pd-l1-antibody-28-8-ab213358" TargetMode="External"/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www.cellsignal.com/products/antibody-conjugates/phospho-rpa32-rpa2-ser8-e5a2f-rabbit-mab-alexa-fluor-488-conjugate/31912?Ns=product.status.releasedDateIso%7C1&amp;N=102260+4294964832+4294956287&amp;fromPage=plp&amp;_requestid=1726849" TargetMode="External"/><Relationship Id="rId9" Type="http://schemas.openxmlformats.org/officeDocument/2006/relationships/hyperlink" Target="https://www.cellsignal.com/products/antibody-conjugates/vimentin-d21h3-xp-rabbit-mab-alexa-fluor-750-conjugate/69227" TargetMode="External"/><Relationship Id="rId26" Type="http://schemas.openxmlformats.org/officeDocument/2006/relationships/hyperlink" Target="https://www.sunjinlab.com/product/ispacer-0-2mm/" TargetMode="External"/><Relationship Id="rId25" Type="http://schemas.openxmlformats.org/officeDocument/2006/relationships/hyperlink" Target="https://nordicbiosite.com/product/304114/Alexa-Fluor(r)-488-antihuman-CD45RA" TargetMode="External"/><Relationship Id="rId28" Type="http://schemas.openxmlformats.org/officeDocument/2006/relationships/hyperlink" Target="https://www.verkkokauppa.com/fi/product/194915/Logitech-M280-hiiri-musta" TargetMode="External"/><Relationship Id="rId27" Type="http://schemas.openxmlformats.org/officeDocument/2006/relationships/hyperlink" Target="https://www.verkkokauppa.com/fi/product/142238/Logitech-K120-nappaimisto-yrityskayttoon" TargetMode="External"/><Relationship Id="rId5" Type="http://schemas.openxmlformats.org/officeDocument/2006/relationships/hyperlink" Target="https://www.cellsignal.com/products/primary-antibodies/phospho-chk1-ser345-133d3-rabbit-mab/2348" TargetMode="External"/><Relationship Id="rId6" Type="http://schemas.openxmlformats.org/officeDocument/2006/relationships/hyperlink" Target="https://www.cellsignal.com/products/antibody-conjugates/p21-waf1-cip1-12d1-rabbit-mab-alexa-fluor-647-conjugate/8587" TargetMode="External"/><Relationship Id="rId29" Type="http://schemas.openxmlformats.org/officeDocument/2006/relationships/hyperlink" Target="https://www.verkkokauppa.com/fi/product/418715/Beurer-TL30-kirkasvalolamppu" TargetMode="External"/><Relationship Id="rId7" Type="http://schemas.openxmlformats.org/officeDocument/2006/relationships/hyperlink" Target="https://www.cellsignal.com/products/antibody-conjugates/ki-67-d3b5-rabbit-mab-alexa-fluor-488-conjugate/11882" TargetMode="External"/><Relationship Id="rId8" Type="http://schemas.openxmlformats.org/officeDocument/2006/relationships/hyperlink" Target="https://www.cellsignal.com/products/antibody-conjugates/vimentin-d21h3-xp-rabbit-mab-alexa-fluor-555-conjugate/9855" TargetMode="External"/><Relationship Id="rId31" Type="http://schemas.openxmlformats.org/officeDocument/2006/relationships/hyperlink" Target="https://www.verkkokauppa.com/fi/product/641041/Samsung-T7-ulkoinen-SSD-levy-2-Tt-sininen" TargetMode="External"/><Relationship Id="rId30" Type="http://schemas.openxmlformats.org/officeDocument/2006/relationships/hyperlink" Target="https://www.verkkokauppa.com/fi/product/519326/Kingston-Nucleum-USB-Type-C-telakointiasema" TargetMode="External"/><Relationship Id="rId11" Type="http://schemas.openxmlformats.org/officeDocument/2006/relationships/hyperlink" Target="https://www.cellsignal.com/products/antibody-conjugates/ki-67-d3b5-rabbit-mab-alexa-fluor-555-conjugate/20701" TargetMode="External"/><Relationship Id="rId33" Type="http://schemas.openxmlformats.org/officeDocument/2006/relationships/hyperlink" Target="https://www.verkkokauppa.com/fi/product/762508/Philips-Panel-LED-CL560-kattovalaisin-nelio-valkoinen-1200-l" TargetMode="External"/><Relationship Id="rId10" Type="http://schemas.openxmlformats.org/officeDocument/2006/relationships/hyperlink" Target="https://www.cellsignal.com/products/antibody-conjugates/irf-1-d5e4-xp-rabbit-mab-alexa-fluor-647-conjugate/14105" TargetMode="External"/><Relationship Id="rId32" Type="http://schemas.openxmlformats.org/officeDocument/2006/relationships/hyperlink" Target="https://www.verkkokauppa.com/fi/product/724082/Seagate-Expansion-Portable-ulkoinen-kovalevy-5-Tt" TargetMode="External"/><Relationship Id="rId13" Type="http://schemas.openxmlformats.org/officeDocument/2006/relationships/hyperlink" Target="https://www.scbt.com/p/cd206-antibody-d-1" TargetMode="External"/><Relationship Id="rId35" Type="http://schemas.openxmlformats.org/officeDocument/2006/relationships/hyperlink" Target="https://www.verkkokauppa.com/fi/product/836506/One-For-All-WM2411-kiintea-seinateline-32-65-televisioille" TargetMode="External"/><Relationship Id="rId12" Type="http://schemas.openxmlformats.org/officeDocument/2006/relationships/hyperlink" Target="https://www.scbt.com/p/zeb1-antibody-h-3" TargetMode="External"/><Relationship Id="rId34" Type="http://schemas.openxmlformats.org/officeDocument/2006/relationships/hyperlink" Target="https://www.verkkokauppa.com/fi/product/736369/Lenovo-ThinkVision-T24i-2L-24-Full-HD-naytto" TargetMode="External"/><Relationship Id="rId15" Type="http://schemas.openxmlformats.org/officeDocument/2006/relationships/hyperlink" Target="https://www.scbt.com/p/mast-cell-tryptase-antibody-aa1?requestFrom=search" TargetMode="External"/><Relationship Id="rId37" Type="http://schemas.openxmlformats.org/officeDocument/2006/relationships/drawing" Target="../drawings/drawing9.xml"/><Relationship Id="rId14" Type="http://schemas.openxmlformats.org/officeDocument/2006/relationships/hyperlink" Target="https://www.scbt.com/p/lysozyme-c-antibody-e-5?requestFrom=search" TargetMode="External"/><Relationship Id="rId36" Type="http://schemas.openxmlformats.org/officeDocument/2006/relationships/hyperlink" Target="https://www.verkkokauppa.com/fi/product/836617/Samsung-UE43AU7022-43-4K-Ultra-HD-LED-televisio" TargetMode="External"/><Relationship Id="rId17" Type="http://schemas.openxmlformats.org/officeDocument/2006/relationships/hyperlink" Target="https://www.abcam.com/en-fi/products/primary-antibodies/alexa-fluor-647-anti-hla-dpb1-antibody-epr11226-ab201347" TargetMode="External"/><Relationship Id="rId16" Type="http://schemas.openxmlformats.org/officeDocument/2006/relationships/hyperlink" Target="https://www.abcam.com/en-fi/products/primary-antibodies/alexa-fluor-647-anti-fibroblast-activation-protein-alpha-antibody-sp325-ab311172" TargetMode="External"/><Relationship Id="rId38" Type="http://schemas.openxmlformats.org/officeDocument/2006/relationships/vmlDrawing" Target="../drawings/vmlDrawing4.vml"/><Relationship Id="rId19" Type="http://schemas.openxmlformats.org/officeDocument/2006/relationships/hyperlink" Target="https://www.abcam.com/en-nl/products/primary-antibodies/alexa-fluor-555-anti-cd3d-antibody-ep4426-ab208514" TargetMode="External"/><Relationship Id="rId18" Type="http://schemas.openxmlformats.org/officeDocument/2006/relationships/hyperlink" Target="https://www.abcam.com/en-nl/products/primary-antibodies/alexa-fluor-647-anti-pd1-antibody-epr48772-ab201825" TargetMode="Externa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fishersci.fi/shop/products/polypropylene-trays-1/12025332?searchHijack=true&amp;searchTerm=polypropylene-trays-1&amp;searchType=Rapid&amp;matchedCatNo=12025332" TargetMode="External"/><Relationship Id="rId22" Type="http://schemas.openxmlformats.org/officeDocument/2006/relationships/hyperlink" Target="https://www.sigmaaldrich.com/FI/en/product/sigma/hpa004899" TargetMode="External"/><Relationship Id="rId21" Type="http://schemas.openxmlformats.org/officeDocument/2006/relationships/hyperlink" Target="https://www.dustinhome.fi/product/5010639115/bcc950-konferenssikamera?gad=1&amp;gclid=Cj0KCQjw9fqnBhDSARIsAHlcQYSMyT4pv16xrdCeyiSZEl1kEFS4Rvb-qajYlHb-GtkIkfwh53pDxe0aAgPWEALw_wcB" TargetMode="External"/><Relationship Id="rId24" Type="http://schemas.openxmlformats.org/officeDocument/2006/relationships/hyperlink" Target="https://www.bdbiosciences.com/en-eu/products/reagents/microscopy-imaging-reagents/immunofluorescence-reagents/fitc-mouse-anti-human-annexin-ii.611838" TargetMode="External"/><Relationship Id="rId23" Type="http://schemas.openxmlformats.org/officeDocument/2006/relationships/hyperlink" Target="https://nordicbiosite.com/product/709-545-149/Alexa-Fluor(r)-488conjugated-AffiniPure-Donkey-AntiHuman-IgG-HL-min-X-BovCkGtGPSy-HmsHrsMsRbRatShp-Sr-Prot" TargetMode="External"/><Relationship Id="rId1" Type="http://schemas.openxmlformats.org/officeDocument/2006/relationships/hyperlink" Target="https://fi.promega.com/products/rna-analysis/rnase-inhibitor-rna-protection/rnasin-plus-ribonuclease-inhibitor/?catNum=N2615" TargetMode="External"/><Relationship Id="rId2" Type="http://schemas.openxmlformats.org/officeDocument/2006/relationships/hyperlink" Target="https://www.thermofisher.com/order/catalog/product/61002?SID=srch-srp-61005" TargetMode="External"/><Relationship Id="rId3" Type="http://schemas.openxmlformats.org/officeDocument/2006/relationships/hyperlink" Target="https://www.thermofisher.com/order/catalog/product/AM8677?SID=srch-srp-AM8677" TargetMode="External"/><Relationship Id="rId4" Type="http://schemas.openxmlformats.org/officeDocument/2006/relationships/hyperlink" Target="https://www.thermofisher.com/order/catalog/product/AM9624" TargetMode="External"/><Relationship Id="rId9" Type="http://schemas.openxmlformats.org/officeDocument/2006/relationships/hyperlink" Target="https://shop.sartorius.com/fi/p/tacta-mechanical-pipette-single-channel/mechanical-pipette-1-channel-729" TargetMode="External"/><Relationship Id="rId26" Type="http://schemas.openxmlformats.org/officeDocument/2006/relationships/drawing" Target="../drawings/drawing10.xml"/><Relationship Id="rId25" Type="http://schemas.openxmlformats.org/officeDocument/2006/relationships/hyperlink" Target="https://www.labnet.fi/fi/tuote/v103456/103456/superfrost-plus-adhesive-microscope-slides/539932/1" TargetMode="External"/><Relationship Id="rId5" Type="http://schemas.openxmlformats.org/officeDocument/2006/relationships/hyperlink" Target="https://www.thermofisher.com/order/catalog/product/AM9906?SID=srch-srp-AM9906" TargetMode="External"/><Relationship Id="rId6" Type="http://schemas.openxmlformats.org/officeDocument/2006/relationships/hyperlink" Target="https://www.qiagen.com/zh-us/products/discovery-and-translational-research/lab-essentials/enzymes/qiagen-protease-and-proteinase-k?catno=19133" TargetMode="External"/><Relationship Id="rId7" Type="http://schemas.openxmlformats.org/officeDocument/2006/relationships/hyperlink" Target="https://www.qiagen.com/zh-us/products/discovery-and-translational-research/lab-essentials/buffers-reagents/buffer-pkd?catno=1034963" TargetMode="External"/><Relationship Id="rId8" Type="http://schemas.openxmlformats.org/officeDocument/2006/relationships/hyperlink" Target="https://www.fishersci.com/shop/products/tween-20-fisher-bioreagents/BP337100" TargetMode="External"/><Relationship Id="rId11" Type="http://schemas.openxmlformats.org/officeDocument/2006/relationships/hyperlink" Target="https://shop.sartorius.com/fi/p/tacta-mechanical-pipette-single-channel/mechanical-pipette-1-channel-729" TargetMode="External"/><Relationship Id="rId10" Type="http://schemas.openxmlformats.org/officeDocument/2006/relationships/hyperlink" Target="https://shop.sartorius.com/fi/p/tacta-mechanical-pipette-single-channel/mechanical-pipette-1-channel-729" TargetMode="External"/><Relationship Id="rId13" Type="http://schemas.openxmlformats.org/officeDocument/2006/relationships/hyperlink" Target="https://www.bdbiosciences.com/en-us/products/reagents/flow-cytometry-reagents/research-reagents/single-color-antibodies-ruo/bv605-mouse-anti-human-cd8.564116" TargetMode="External"/><Relationship Id="rId12" Type="http://schemas.openxmlformats.org/officeDocument/2006/relationships/hyperlink" Target="https://shop.sartorius.com/fi/p/tacta-mechanical-pipette-single-channel/mechanical-pipette-1-channel-729" TargetMode="External"/><Relationship Id="rId15" Type="http://schemas.openxmlformats.org/officeDocument/2006/relationships/hyperlink" Target="https://www.bdbiosciences.com/en-us/products/reagents/flow-cytometry-reagents/research-reagents/single-color-antibodies-ruo/percp-cy-5-5-mouse-anti-human-hla-dr.552764" TargetMode="External"/><Relationship Id="rId14" Type="http://schemas.openxmlformats.org/officeDocument/2006/relationships/hyperlink" Target="https://www.bdbiosciences.com/en-fi/products/reagents/flow-cytometry-reagents/research-reagents/single-color-antibodies-ruo/bv711-mouse-anti-human-cd11c.563130" TargetMode="External"/><Relationship Id="rId17" Type="http://schemas.openxmlformats.org/officeDocument/2006/relationships/hyperlink" Target="http://www.immunotools.de/html/datas-fitc/21270563.pdf" TargetMode="External"/><Relationship Id="rId16" Type="http://schemas.openxmlformats.org/officeDocument/2006/relationships/hyperlink" Target="https://www.biolegend.com/en-us/products/apc-fire-750-anti-human-cd326-epcam-antibody-13581" TargetMode="External"/><Relationship Id="rId19" Type="http://schemas.openxmlformats.org/officeDocument/2006/relationships/hyperlink" Target="https://www.fishersci.fi/shop/products/pmp-staining-troughs-tray/11834060?searchHijack=true&amp;searchTerm=pmp-staining-troughs-tray&amp;searchType=Rapid&amp;matchedCatNo=11834060" TargetMode="External"/><Relationship Id="rId18" Type="http://schemas.openxmlformats.org/officeDocument/2006/relationships/hyperlink" Target="https://shop.sartorius.com/fi/p/carousel-stand-for-6-pipettes/LH-725630" TargetMode="Externa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s://nordicbiosite.com/product/613407/Alexa-Fluor(r)-647-antiH2AX-Phospho-Ser139" TargetMode="External"/><Relationship Id="rId22" Type="http://schemas.openxmlformats.org/officeDocument/2006/relationships/hyperlink" Target="https://www.abcam.com/en-fi/products/primary-antibodies/alexa-fluor-555-cd3d-antibody-ep4426-ab208514" TargetMode="External"/><Relationship Id="rId21" Type="http://schemas.openxmlformats.org/officeDocument/2006/relationships/hyperlink" Target="https://www.bdbiosciences.com/en-fi/products/reagents/flow-cytometry-reagents/research-reagents/single-color-antibodies-ruo/bv510-mouse-anti-human-cd16.563829" TargetMode="External"/><Relationship Id="rId24" Type="http://schemas.openxmlformats.org/officeDocument/2006/relationships/vmlDrawing" Target="../drawings/vmlDrawing5.vml"/><Relationship Id="rId23" Type="http://schemas.openxmlformats.org/officeDocument/2006/relationships/drawing" Target="../drawings/drawing11.xml"/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onify.it.helsinki.fi/workspace/selfservice/search?term=HDMI&amp;sort=key,asc&amp;filter=tag:Adapters%20and%20cables" TargetMode="External"/><Relationship Id="rId9" Type="http://schemas.openxmlformats.org/officeDocument/2006/relationships/hyperlink" Target="https://www.thermofisher.com/antibody/product/CD11b-Antibody-clone-C67F154-Monoclonal/53-0196-82" TargetMode="External"/><Relationship Id="rId5" Type="http://schemas.openxmlformats.org/officeDocument/2006/relationships/hyperlink" Target="https://www.biolegend.com/de-at/products/pe-cyanine7-anti-human-cd31-antibody-6124" TargetMode="External"/><Relationship Id="rId6" Type="http://schemas.openxmlformats.org/officeDocument/2006/relationships/hyperlink" Target="https://www.biolegend.com/de-at/products/pe-anti-human-cd140b-pdgfrbeta-antibody-3730" TargetMode="External"/><Relationship Id="rId7" Type="http://schemas.openxmlformats.org/officeDocument/2006/relationships/hyperlink" Target="https://www.rndsystems.com/products/human-alpha-smooth-muscle-actin-apc-conjugated-antibody-1a4_ic1420a" TargetMode="External"/><Relationship Id="rId8" Type="http://schemas.openxmlformats.org/officeDocument/2006/relationships/hyperlink" Target="https://www.rndsystems.com/products/human-fibroblast-activation-protein-alpha-fap-alexa-fluor-488-conjugated-antibody-427819_fab3715g" TargetMode="External"/><Relationship Id="rId11" Type="http://schemas.openxmlformats.org/officeDocument/2006/relationships/hyperlink" Target="https://www.cellsignal.com/products/antibody-conjugates/tim-3-d5d5r-xp-rabbit-mab-alexa-fluor-488-conjugate/54669" TargetMode="External"/><Relationship Id="rId10" Type="http://schemas.openxmlformats.org/officeDocument/2006/relationships/hyperlink" Target="https://www.cellsignal.com/products/antibody-conjugates/phospho-stat1-tyr701-58d6-rabbit-mab-alexa-fluor-555-conjugate/8183" TargetMode="External"/><Relationship Id="rId13" Type="http://schemas.openxmlformats.org/officeDocument/2006/relationships/hyperlink" Target="https://www.cellsignal.com/products/antibody-conjugates/ki-67-d3b5-rabbit-mab-alexa-fluor-488-conjugate/11882" TargetMode="External"/><Relationship Id="rId12" Type="http://schemas.openxmlformats.org/officeDocument/2006/relationships/hyperlink" Target="https://www.cellsignal.com/products/antibody-conjugates/vimentin-d21h3-xp-rabbit-mab-alexa-fluor-750-conjugate/69227" TargetMode="External"/><Relationship Id="rId15" Type="http://schemas.openxmlformats.org/officeDocument/2006/relationships/hyperlink" Target="https://www.stemcell.com/products/collagenase-hyaluronidase.html" TargetMode="External"/><Relationship Id="rId14" Type="http://schemas.openxmlformats.org/officeDocument/2006/relationships/hyperlink" Target="https://www.bdbiosciences.com/en-us/products/reagents/flow-cytometry-reagents/research-reagents/panels-multicolor-cocktails-ruo/anti-mouse-ig-negative-control-compensation-particles-set.552843" TargetMode="External"/><Relationship Id="rId17" Type="http://schemas.openxmlformats.org/officeDocument/2006/relationships/hyperlink" Target="https://fi.promega.com/products/cloning-and-dna-markers/molecular-biology-enzymes-and-reagents/rq1-rnase_free-dnase/?catNum=M6101" TargetMode="External"/><Relationship Id="rId16" Type="http://schemas.openxmlformats.org/officeDocument/2006/relationships/hyperlink" Target="https://www.thermofisher.com/order/catalog/product/11320033" TargetMode="External"/><Relationship Id="rId19" Type="http://schemas.openxmlformats.org/officeDocument/2006/relationships/hyperlink" Target="https://www.sigmaaldrich.com/FI/en/product/sigma/d4693" TargetMode="External"/><Relationship Id="rId18" Type="http://schemas.openxmlformats.org/officeDocument/2006/relationships/hyperlink" Target="https://www.sigmaaldrich.com/FI/en/product/roche/11814389001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6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5"/>
    <col customWidth="1" min="3" max="3" width="14.75"/>
    <col customWidth="1" min="4" max="4" width="24.25"/>
    <col customWidth="1" min="5" max="5" width="20.5"/>
    <col customWidth="1" min="6" max="6" width="32.0"/>
    <col customWidth="1" min="7" max="7" width="34.63"/>
    <col customWidth="1" min="8" max="8" width="20.38"/>
    <col customWidth="1" min="9" max="9" width="16.25"/>
    <col customWidth="1" min="10" max="10" width="30.5"/>
    <col customWidth="1" min="11" max="11" width="17.63"/>
    <col customWidth="1" min="12" max="12" width="23.88"/>
    <col customWidth="1" min="13" max="13" width="24.88"/>
  </cols>
  <sheetData>
    <row r="1">
      <c r="A1" s="1"/>
      <c r="B1" s="2" t="s">
        <v>0</v>
      </c>
      <c r="C1" s="3"/>
      <c r="D1" s="4"/>
      <c r="E1" s="4"/>
      <c r="F1" s="4"/>
      <c r="G1" s="4"/>
      <c r="H1" s="5"/>
      <c r="I1" s="6"/>
      <c r="J1" s="6"/>
      <c r="K1" s="6"/>
      <c r="L1" s="6"/>
      <c r="M1" s="6"/>
      <c r="N1" s="6" t="s">
        <v>1</v>
      </c>
    </row>
    <row r="2">
      <c r="A2" s="7" t="s">
        <v>2</v>
      </c>
      <c r="B2" s="8" t="s">
        <v>3</v>
      </c>
      <c r="C2" s="9" t="s">
        <v>4</v>
      </c>
      <c r="D2" s="10" t="s">
        <v>5</v>
      </c>
      <c r="E2" s="9" t="s">
        <v>6</v>
      </c>
      <c r="F2" s="8" t="s">
        <v>7</v>
      </c>
      <c r="G2" s="8" t="s">
        <v>8</v>
      </c>
      <c r="H2" s="11" t="s">
        <v>9</v>
      </c>
      <c r="I2" s="12" t="s">
        <v>10</v>
      </c>
      <c r="J2" s="12" t="s">
        <v>11</v>
      </c>
      <c r="K2" s="12" t="s">
        <v>12</v>
      </c>
      <c r="L2" s="13" t="s">
        <v>13</v>
      </c>
      <c r="M2" s="13" t="s">
        <v>14</v>
      </c>
      <c r="N2" s="14"/>
    </row>
    <row r="3">
      <c r="A3" s="14" t="s">
        <v>15</v>
      </c>
      <c r="B3" s="15">
        <v>2896.45</v>
      </c>
      <c r="C3" s="15" t="s">
        <v>16</v>
      </c>
      <c r="D3" s="15">
        <v>1831.02</v>
      </c>
      <c r="E3" s="15" t="s">
        <v>16</v>
      </c>
      <c r="F3" s="15">
        <v>760.7</v>
      </c>
      <c r="G3" s="15">
        <v>621.28</v>
      </c>
      <c r="H3" s="15" t="s">
        <v>16</v>
      </c>
      <c r="I3" s="15"/>
      <c r="J3" s="15" t="s">
        <v>16</v>
      </c>
      <c r="K3" s="15" t="s">
        <v>16</v>
      </c>
      <c r="L3" s="15" t="s">
        <v>16</v>
      </c>
      <c r="M3" s="15"/>
      <c r="N3" s="15">
        <f t="shared" ref="N3:N6" si="1">SUM(B3:H3)</f>
        <v>6109.45</v>
      </c>
    </row>
    <row r="4">
      <c r="A4" s="14" t="s">
        <v>17</v>
      </c>
      <c r="B4" s="15">
        <f>298.93+3267+3267</f>
        <v>6832.93</v>
      </c>
      <c r="C4" s="15" t="s">
        <v>16</v>
      </c>
      <c r="D4" s="15">
        <v>304.0</v>
      </c>
      <c r="E4" s="15" t="s">
        <v>16</v>
      </c>
      <c r="F4" s="15">
        <v>831.0</v>
      </c>
      <c r="G4" s="15">
        <f>46.45+1.24</f>
        <v>47.69</v>
      </c>
      <c r="H4" s="15" t="s">
        <v>16</v>
      </c>
      <c r="I4" s="15"/>
      <c r="J4" s="15" t="s">
        <v>16</v>
      </c>
      <c r="K4" s="15" t="s">
        <v>16</v>
      </c>
      <c r="L4" s="15" t="s">
        <v>16</v>
      </c>
      <c r="M4" s="15"/>
      <c r="N4" s="15">
        <f t="shared" si="1"/>
        <v>8015.62</v>
      </c>
    </row>
    <row r="5">
      <c r="A5" s="14" t="s">
        <v>18</v>
      </c>
      <c r="B5" s="15">
        <v>1554.0</v>
      </c>
      <c r="C5" s="15">
        <f>141.36+141.36+545+455</f>
        <v>1282.72</v>
      </c>
      <c r="D5" s="15" t="s">
        <v>16</v>
      </c>
      <c r="E5" s="15" t="s">
        <v>16</v>
      </c>
      <c r="F5" s="15" t="s">
        <v>16</v>
      </c>
      <c r="G5" s="15" t="s">
        <v>16</v>
      </c>
      <c r="H5" s="15" t="s">
        <v>16</v>
      </c>
      <c r="I5" s="15">
        <f>94+339+177.12</f>
        <v>610.12</v>
      </c>
      <c r="J5" s="15" t="s">
        <v>16</v>
      </c>
      <c r="K5" s="15" t="s">
        <v>16</v>
      </c>
      <c r="L5" s="15" t="s">
        <v>16</v>
      </c>
      <c r="M5" s="15"/>
      <c r="N5" s="15">
        <f t="shared" si="1"/>
        <v>2836.72</v>
      </c>
    </row>
    <row r="6">
      <c r="A6" s="14" t="s">
        <v>19</v>
      </c>
      <c r="B6" s="15">
        <v>23.85</v>
      </c>
      <c r="C6" s="15">
        <v>3224.41</v>
      </c>
      <c r="D6" s="15">
        <v>454.0</v>
      </c>
      <c r="E6" s="15" t="s">
        <v>16</v>
      </c>
      <c r="F6" s="15">
        <f>126.79*2</f>
        <v>253.58</v>
      </c>
      <c r="G6" s="15">
        <f>173.7+40.96+95+130</f>
        <v>439.66</v>
      </c>
      <c r="H6" s="15" t="s">
        <v>16</v>
      </c>
      <c r="I6" s="15">
        <f>420+1815</f>
        <v>2235</v>
      </c>
      <c r="J6" s="15">
        <f>1.24+106.24</f>
        <v>107.48</v>
      </c>
      <c r="K6" s="15">
        <f>6775.95+390+459</f>
        <v>7624.95</v>
      </c>
      <c r="L6" s="15" t="s">
        <v>16</v>
      </c>
      <c r="M6" s="15"/>
      <c r="N6" s="15">
        <f t="shared" si="1"/>
        <v>4395.5</v>
      </c>
    </row>
    <row r="7">
      <c r="A7" s="14" t="s">
        <v>20</v>
      </c>
      <c r="B7" s="16">
        <v>146.0</v>
      </c>
      <c r="C7" s="15" t="s">
        <v>16</v>
      </c>
      <c r="D7" s="15" t="s">
        <v>21</v>
      </c>
      <c r="E7" s="15" t="s">
        <v>21</v>
      </c>
      <c r="F7" s="15" t="s">
        <v>16</v>
      </c>
      <c r="G7" s="15">
        <v>397.05</v>
      </c>
      <c r="H7" s="15" t="s">
        <v>16</v>
      </c>
      <c r="I7" s="15">
        <v>2075.33</v>
      </c>
      <c r="J7" s="15">
        <v>147.37</v>
      </c>
      <c r="K7" s="17">
        <v>2236.45</v>
      </c>
      <c r="L7" s="15" t="s">
        <v>16</v>
      </c>
      <c r="M7" s="15"/>
      <c r="N7" s="15">
        <f>sum(B7+G7+I7+J7+K7)</f>
        <v>5002.2</v>
      </c>
    </row>
    <row r="8">
      <c r="A8" s="14" t="s">
        <v>22</v>
      </c>
      <c r="B8" s="15">
        <v>1093.4</v>
      </c>
      <c r="C8" s="15">
        <v>33.99</v>
      </c>
      <c r="D8" s="18">
        <v>375.0</v>
      </c>
      <c r="E8" s="15"/>
      <c r="F8" s="15"/>
      <c r="G8" s="15">
        <v>1297.68</v>
      </c>
      <c r="H8" s="15"/>
      <c r="I8" s="19">
        <v>254.1</v>
      </c>
      <c r="J8" s="15">
        <v>1.24</v>
      </c>
      <c r="K8" s="15">
        <v>142.32</v>
      </c>
      <c r="L8" s="15"/>
      <c r="M8" s="15"/>
      <c r="N8" s="15">
        <f t="shared" ref="N8:N15" si="2">Sum(B8:M8)</f>
        <v>3197.73</v>
      </c>
    </row>
    <row r="9">
      <c r="A9" s="14" t="s">
        <v>23</v>
      </c>
      <c r="B9" s="15"/>
      <c r="C9" s="15"/>
      <c r="D9" s="15"/>
      <c r="E9" s="15"/>
      <c r="F9" s="15">
        <v>126.7</v>
      </c>
      <c r="G9" s="15"/>
      <c r="H9" s="20"/>
      <c r="I9" s="21">
        <v>1384.0</v>
      </c>
      <c r="J9" s="20"/>
      <c r="K9" s="22">
        <v>69.24</v>
      </c>
      <c r="L9" s="15"/>
      <c r="M9" s="15"/>
      <c r="N9" s="15">
        <f t="shared" si="2"/>
        <v>1579.94</v>
      </c>
    </row>
    <row r="10">
      <c r="A10" s="14" t="s">
        <v>24</v>
      </c>
      <c r="B10" s="19">
        <v>1085.93</v>
      </c>
      <c r="C10" s="19">
        <v>1053.91</v>
      </c>
      <c r="D10" s="18">
        <v>370.0</v>
      </c>
      <c r="E10" s="15"/>
      <c r="F10" s="15"/>
      <c r="G10" s="15">
        <v>79.41</v>
      </c>
      <c r="H10" s="15"/>
      <c r="I10" s="15">
        <v>11147.849999999999</v>
      </c>
      <c r="J10" s="18">
        <v>2.48</v>
      </c>
      <c r="K10" s="15"/>
      <c r="L10" s="15"/>
      <c r="M10" s="15"/>
      <c r="N10" s="15">
        <f t="shared" si="2"/>
        <v>13739.58</v>
      </c>
    </row>
    <row r="11">
      <c r="A11" s="14" t="s">
        <v>25</v>
      </c>
      <c r="B11" s="23">
        <v>8294.66</v>
      </c>
      <c r="C11" s="15"/>
      <c r="D11" s="24">
        <v>498.14</v>
      </c>
      <c r="E11" s="15"/>
      <c r="F11" s="23">
        <v>1712.0</v>
      </c>
      <c r="G11" s="15"/>
      <c r="H11" s="15"/>
      <c r="I11" s="15">
        <v>390.0</v>
      </c>
      <c r="J11" s="25">
        <v>1.24</v>
      </c>
      <c r="K11" s="23">
        <v>2272.08</v>
      </c>
      <c r="L11" s="15"/>
      <c r="M11" s="23">
        <v>3752.7599999999993</v>
      </c>
      <c r="N11" s="15">
        <f t="shared" si="2"/>
        <v>16920.88</v>
      </c>
    </row>
    <row r="12">
      <c r="A12" s="14" t="s">
        <v>26</v>
      </c>
      <c r="B12" s="15">
        <v>4530.61</v>
      </c>
      <c r="C12" s="22">
        <f>sum(C6:C7)</f>
        <v>3224.41</v>
      </c>
      <c r="D12" s="18">
        <v>216.0</v>
      </c>
      <c r="E12" s="15"/>
      <c r="F12" s="18">
        <v>62.0</v>
      </c>
      <c r="G12" s="15"/>
      <c r="H12" s="15"/>
      <c r="I12" s="23">
        <v>971.35</v>
      </c>
      <c r="J12" s="15"/>
      <c r="K12" s="23">
        <v>12958.21</v>
      </c>
      <c r="L12" s="15"/>
      <c r="M12" s="15"/>
      <c r="N12" s="15">
        <f t="shared" si="2"/>
        <v>21962.58</v>
      </c>
    </row>
    <row r="13">
      <c r="A13" s="14" t="s">
        <v>27</v>
      </c>
      <c r="B13" s="15"/>
      <c r="C13" s="15">
        <v>34414.0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>
        <f t="shared" si="2"/>
        <v>34414</v>
      </c>
    </row>
    <row r="14">
      <c r="A14" s="14" t="s">
        <v>28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>
        <f t="shared" si="2"/>
        <v>0</v>
      </c>
    </row>
    <row r="15">
      <c r="A15" s="7" t="s">
        <v>1</v>
      </c>
      <c r="B15" s="15">
        <f t="shared" ref="B15:K15" si="3">sum(B3:B14)</f>
        <v>26457.83</v>
      </c>
      <c r="C15" s="15">
        <f t="shared" si="3"/>
        <v>43233.44</v>
      </c>
      <c r="D15" s="15">
        <f t="shared" si="3"/>
        <v>4048.16</v>
      </c>
      <c r="E15" s="15">
        <f t="shared" si="3"/>
        <v>0</v>
      </c>
      <c r="F15" s="15">
        <f t="shared" si="3"/>
        <v>3745.98</v>
      </c>
      <c r="G15" s="15">
        <f t="shared" si="3"/>
        <v>2882.77</v>
      </c>
      <c r="H15" s="15">
        <f t="shared" si="3"/>
        <v>0</v>
      </c>
      <c r="I15" s="15">
        <f t="shared" si="3"/>
        <v>19067.75</v>
      </c>
      <c r="J15" s="15">
        <f t="shared" si="3"/>
        <v>259.81</v>
      </c>
      <c r="K15" s="15">
        <f t="shared" si="3"/>
        <v>25303.25</v>
      </c>
      <c r="L15" s="15"/>
      <c r="M15" s="15"/>
      <c r="N15" s="15">
        <f t="shared" si="2"/>
        <v>124998.99</v>
      </c>
    </row>
    <row r="22">
      <c r="G22" s="26"/>
    </row>
    <row r="23">
      <c r="G23" s="26"/>
    </row>
    <row r="24">
      <c r="G24" s="27"/>
    </row>
    <row r="25">
      <c r="G25" s="27"/>
    </row>
    <row r="30">
      <c r="G30" s="28">
        <f>+358505560498</f>
        <v>358505560498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0"/>
    <col customWidth="1" min="2" max="2" width="22.88"/>
    <col customWidth="1" min="3" max="3" width="16.63"/>
    <col customWidth="1" min="5" max="5" width="26.5"/>
    <col customWidth="1" min="6" max="6" width="21.25"/>
    <col customWidth="1" min="8" max="8" width="15.63"/>
    <col customWidth="1" min="11" max="11" width="25.63"/>
    <col customWidth="1" min="13" max="13" width="39.5"/>
    <col customWidth="1" min="14" max="14" width="35.88"/>
    <col customWidth="1" min="15" max="15" width="149.5"/>
  </cols>
  <sheetData>
    <row r="1">
      <c r="A1" s="29" t="s">
        <v>29</v>
      </c>
      <c r="B1" s="30" t="s">
        <v>30</v>
      </c>
      <c r="C1" s="31" t="s">
        <v>31</v>
      </c>
      <c r="D1" s="30" t="s">
        <v>32</v>
      </c>
      <c r="E1" s="31" t="s">
        <v>33</v>
      </c>
      <c r="F1" s="30" t="s">
        <v>34</v>
      </c>
      <c r="G1" s="31" t="s">
        <v>35</v>
      </c>
      <c r="H1" s="32" t="s">
        <v>36</v>
      </c>
      <c r="I1" s="33" t="s">
        <v>37</v>
      </c>
      <c r="J1" s="30" t="s">
        <v>38</v>
      </c>
      <c r="K1" s="33" t="s">
        <v>39</v>
      </c>
      <c r="L1" s="30" t="s">
        <v>38</v>
      </c>
      <c r="M1" s="31" t="s">
        <v>40</v>
      </c>
      <c r="N1" s="30" t="s">
        <v>41</v>
      </c>
      <c r="O1" s="31" t="s">
        <v>42</v>
      </c>
      <c r="P1" s="34" t="s">
        <v>43</v>
      </c>
      <c r="Q1" s="35">
        <f>SUM(H2:H28)</f>
        <v>11283.05</v>
      </c>
    </row>
    <row r="2">
      <c r="A2" s="36" t="s">
        <v>44</v>
      </c>
      <c r="B2" s="37"/>
      <c r="C2" s="38">
        <v>1.0</v>
      </c>
      <c r="D2" s="39">
        <v>1.0</v>
      </c>
      <c r="E2" s="36" t="s">
        <v>45</v>
      </c>
      <c r="F2" s="40" t="s">
        <v>45</v>
      </c>
      <c r="G2" s="41">
        <v>2284.88</v>
      </c>
      <c r="H2" s="42">
        <f t="shared" ref="H2:H23" si="1">D2*G2</f>
        <v>2284.88</v>
      </c>
      <c r="I2" s="38" t="s">
        <v>46</v>
      </c>
      <c r="J2" s="39" t="s">
        <v>47</v>
      </c>
      <c r="K2" s="43" t="s">
        <v>48</v>
      </c>
      <c r="L2" s="39" t="s">
        <v>47</v>
      </c>
      <c r="M2" s="44" t="s">
        <v>49</v>
      </c>
      <c r="N2" s="37"/>
      <c r="O2" s="45"/>
      <c r="P2" s="37"/>
      <c r="Q2" s="46"/>
      <c r="R2" s="45"/>
      <c r="S2" s="45"/>
      <c r="T2" s="45"/>
      <c r="U2" s="45"/>
      <c r="V2" s="45"/>
      <c r="W2" s="45"/>
      <c r="X2" s="45"/>
      <c r="Y2" s="45"/>
      <c r="Z2" s="45"/>
    </row>
    <row r="3">
      <c r="A3" s="36" t="s">
        <v>50</v>
      </c>
      <c r="B3" s="37"/>
      <c r="C3" s="38">
        <v>1.0</v>
      </c>
      <c r="D3" s="39">
        <v>1.0</v>
      </c>
      <c r="E3" s="45"/>
      <c r="F3" s="37"/>
      <c r="G3" s="41">
        <v>152.2</v>
      </c>
      <c r="H3" s="42">
        <f t="shared" si="1"/>
        <v>152.2</v>
      </c>
      <c r="I3" s="38" t="s">
        <v>46</v>
      </c>
      <c r="J3" s="39" t="s">
        <v>47</v>
      </c>
      <c r="K3" s="38" t="s">
        <v>46</v>
      </c>
      <c r="L3" s="39" t="s">
        <v>47</v>
      </c>
      <c r="M3" s="47" t="s">
        <v>51</v>
      </c>
      <c r="N3" s="37"/>
      <c r="O3" s="45"/>
      <c r="P3" s="37"/>
      <c r="Q3" s="46"/>
      <c r="R3" s="45"/>
      <c r="S3" s="45"/>
      <c r="T3" s="45"/>
      <c r="U3" s="45"/>
      <c r="V3" s="45"/>
      <c r="W3" s="45"/>
      <c r="X3" s="45"/>
      <c r="Y3" s="45"/>
      <c r="Z3" s="45"/>
    </row>
    <row r="4">
      <c r="A4" s="36" t="s">
        <v>52</v>
      </c>
      <c r="B4" s="37"/>
      <c r="C4" s="38">
        <v>1.0</v>
      </c>
      <c r="D4" s="39">
        <v>1.0</v>
      </c>
      <c r="E4" s="36" t="s">
        <v>53</v>
      </c>
      <c r="F4" s="48" t="s">
        <v>53</v>
      </c>
      <c r="G4" s="49">
        <v>1590.0</v>
      </c>
      <c r="H4" s="42">
        <f t="shared" si="1"/>
        <v>1590</v>
      </c>
      <c r="I4" s="38" t="s">
        <v>46</v>
      </c>
      <c r="J4" s="39" t="s">
        <v>47</v>
      </c>
      <c r="K4" s="38" t="s">
        <v>46</v>
      </c>
      <c r="L4" s="39" t="s">
        <v>47</v>
      </c>
      <c r="M4" s="50" t="s">
        <v>54</v>
      </c>
      <c r="N4" s="37"/>
      <c r="O4" s="45"/>
      <c r="P4" s="37"/>
      <c r="Q4" s="46"/>
      <c r="R4" s="45"/>
      <c r="S4" s="45"/>
      <c r="T4" s="45"/>
      <c r="U4" s="45"/>
      <c r="V4" s="45"/>
      <c r="W4" s="45"/>
      <c r="X4" s="45"/>
      <c r="Y4" s="45"/>
      <c r="Z4" s="45"/>
    </row>
    <row r="5">
      <c r="A5" s="36" t="s">
        <v>55</v>
      </c>
      <c r="B5" s="37"/>
      <c r="C5" s="38">
        <v>1.0</v>
      </c>
      <c r="D5" s="39">
        <v>1.0</v>
      </c>
      <c r="E5" s="36" t="s">
        <v>56</v>
      </c>
      <c r="F5" s="48" t="s">
        <v>56</v>
      </c>
      <c r="G5" s="51">
        <v>229.1</v>
      </c>
      <c r="H5" s="42">
        <f t="shared" si="1"/>
        <v>229.1</v>
      </c>
      <c r="I5" s="38" t="s">
        <v>46</v>
      </c>
      <c r="J5" s="39" t="s">
        <v>47</v>
      </c>
      <c r="K5" s="38" t="s">
        <v>46</v>
      </c>
      <c r="L5" s="39" t="s">
        <v>47</v>
      </c>
      <c r="M5" s="36" t="s">
        <v>57</v>
      </c>
      <c r="N5" s="37"/>
      <c r="O5" s="36" t="s">
        <v>58</v>
      </c>
      <c r="P5" s="37"/>
      <c r="Q5" s="46"/>
      <c r="R5" s="45"/>
      <c r="S5" s="45"/>
      <c r="T5" s="45"/>
      <c r="U5" s="45"/>
      <c r="V5" s="45"/>
      <c r="W5" s="45"/>
      <c r="X5" s="45"/>
      <c r="Y5" s="45"/>
      <c r="Z5" s="45"/>
    </row>
    <row r="6">
      <c r="A6" s="36" t="s">
        <v>59</v>
      </c>
      <c r="B6" s="37"/>
      <c r="C6" s="38">
        <v>1.0</v>
      </c>
      <c r="D6" s="39">
        <v>1.0</v>
      </c>
      <c r="E6" s="36" t="s">
        <v>60</v>
      </c>
      <c r="F6" s="40" t="s">
        <v>60</v>
      </c>
      <c r="G6" s="41">
        <v>255.8</v>
      </c>
      <c r="H6" s="42">
        <f t="shared" si="1"/>
        <v>255.8</v>
      </c>
      <c r="I6" s="38" t="s">
        <v>46</v>
      </c>
      <c r="J6" s="39" t="s">
        <v>47</v>
      </c>
      <c r="K6" s="38" t="s">
        <v>46</v>
      </c>
      <c r="L6" s="39" t="s">
        <v>47</v>
      </c>
      <c r="M6" s="36" t="s">
        <v>57</v>
      </c>
      <c r="N6" s="37"/>
      <c r="O6" s="36" t="s">
        <v>58</v>
      </c>
      <c r="P6" s="37"/>
      <c r="Q6" s="46"/>
      <c r="R6" s="45"/>
      <c r="S6" s="45"/>
      <c r="T6" s="45"/>
      <c r="U6" s="45"/>
      <c r="V6" s="45"/>
      <c r="W6" s="45"/>
      <c r="X6" s="45"/>
      <c r="Y6" s="45"/>
      <c r="Z6" s="45"/>
    </row>
    <row r="7">
      <c r="A7" s="36" t="s">
        <v>61</v>
      </c>
      <c r="B7" s="37"/>
      <c r="C7" s="38">
        <v>1.0</v>
      </c>
      <c r="D7" s="39">
        <v>1.0</v>
      </c>
      <c r="E7" s="36" t="s">
        <v>62</v>
      </c>
      <c r="F7" s="40" t="s">
        <v>62</v>
      </c>
      <c r="G7" s="41">
        <v>109.04</v>
      </c>
      <c r="H7" s="42">
        <f t="shared" si="1"/>
        <v>109.04</v>
      </c>
      <c r="I7" s="38" t="s">
        <v>46</v>
      </c>
      <c r="J7" s="39" t="s">
        <v>47</v>
      </c>
      <c r="K7" s="38" t="s">
        <v>46</v>
      </c>
      <c r="L7" s="39" t="s">
        <v>47</v>
      </c>
      <c r="M7" s="36" t="s">
        <v>57</v>
      </c>
      <c r="N7" s="37"/>
      <c r="O7" s="36" t="s">
        <v>58</v>
      </c>
      <c r="P7" s="37"/>
      <c r="Q7" s="46"/>
      <c r="R7" s="45"/>
      <c r="S7" s="45"/>
      <c r="T7" s="45"/>
      <c r="U7" s="45"/>
      <c r="V7" s="45"/>
      <c r="W7" s="45"/>
      <c r="X7" s="45"/>
      <c r="Y7" s="45"/>
      <c r="Z7" s="45"/>
    </row>
    <row r="8">
      <c r="A8" s="36" t="s">
        <v>63</v>
      </c>
      <c r="B8" s="52"/>
      <c r="C8" s="38">
        <v>1.0</v>
      </c>
      <c r="D8" s="53">
        <v>1.0</v>
      </c>
      <c r="E8" s="40" t="s">
        <v>64</v>
      </c>
      <c r="F8" s="54" t="s">
        <v>64</v>
      </c>
      <c r="G8" s="41">
        <v>3583.6</v>
      </c>
      <c r="H8" s="42">
        <f t="shared" si="1"/>
        <v>3583.6</v>
      </c>
      <c r="I8" s="55"/>
      <c r="J8" s="56"/>
      <c r="K8" s="43" t="s">
        <v>65</v>
      </c>
      <c r="L8" s="56"/>
      <c r="M8" s="36" t="s">
        <v>66</v>
      </c>
      <c r="N8" s="37"/>
      <c r="O8" s="36" t="s">
        <v>58</v>
      </c>
      <c r="P8" s="37"/>
      <c r="Q8" s="46"/>
      <c r="R8" s="45"/>
      <c r="S8" s="45"/>
      <c r="T8" s="45"/>
      <c r="U8" s="45"/>
      <c r="V8" s="45"/>
      <c r="W8" s="45"/>
      <c r="X8" s="45"/>
      <c r="Y8" s="45"/>
      <c r="Z8" s="45"/>
    </row>
    <row r="9">
      <c r="A9" s="36" t="s">
        <v>67</v>
      </c>
      <c r="B9" s="52"/>
      <c r="C9" s="38">
        <v>1.0</v>
      </c>
      <c r="D9" s="53">
        <v>2.0</v>
      </c>
      <c r="E9" s="48" t="s">
        <v>68</v>
      </c>
      <c r="F9" s="48" t="s">
        <v>68</v>
      </c>
      <c r="G9" s="49">
        <v>1.24</v>
      </c>
      <c r="H9" s="42">
        <f t="shared" si="1"/>
        <v>2.48</v>
      </c>
      <c r="I9" s="38" t="s">
        <v>46</v>
      </c>
      <c r="J9" s="39" t="s">
        <v>47</v>
      </c>
      <c r="K9" s="38" t="s">
        <v>46</v>
      </c>
      <c r="L9" s="39" t="s">
        <v>47</v>
      </c>
      <c r="M9" s="36" t="s">
        <v>57</v>
      </c>
      <c r="N9" s="37"/>
      <c r="O9" s="36" t="s">
        <v>58</v>
      </c>
      <c r="P9" s="37"/>
      <c r="Q9" s="46"/>
      <c r="R9" s="45"/>
      <c r="S9" s="45"/>
      <c r="T9" s="45"/>
      <c r="U9" s="45"/>
      <c r="V9" s="45"/>
      <c r="W9" s="45"/>
      <c r="X9" s="45"/>
      <c r="Y9" s="45"/>
      <c r="Z9" s="45"/>
    </row>
    <row r="10">
      <c r="A10" s="36" t="s">
        <v>69</v>
      </c>
      <c r="B10" s="57"/>
      <c r="C10" s="38">
        <v>1.0</v>
      </c>
      <c r="D10" s="53">
        <v>1.0</v>
      </c>
      <c r="E10" s="58"/>
      <c r="F10" s="59"/>
      <c r="G10" s="22">
        <v>45.0</v>
      </c>
      <c r="H10" s="60">
        <f t="shared" si="1"/>
        <v>45</v>
      </c>
      <c r="I10" s="43" t="s">
        <v>48</v>
      </c>
      <c r="J10" s="39" t="s">
        <v>47</v>
      </c>
      <c r="K10" s="43" t="s">
        <v>48</v>
      </c>
      <c r="L10" s="39" t="s">
        <v>47</v>
      </c>
      <c r="M10" s="47" t="s">
        <v>51</v>
      </c>
      <c r="N10" s="59"/>
      <c r="P10" s="59"/>
      <c r="Q10" s="61"/>
    </row>
    <row r="11">
      <c r="A11" s="62" t="s">
        <v>70</v>
      </c>
      <c r="B11" s="63" t="s">
        <v>71</v>
      </c>
      <c r="C11" s="63" t="s">
        <v>72</v>
      </c>
      <c r="D11" s="39">
        <v>2.0</v>
      </c>
      <c r="E11" s="64" t="s">
        <v>73</v>
      </c>
      <c r="F11" s="65" t="s">
        <v>74</v>
      </c>
      <c r="G11" s="66">
        <v>360.0</v>
      </c>
      <c r="H11" s="60">
        <f t="shared" si="1"/>
        <v>720</v>
      </c>
      <c r="I11" s="43" t="s">
        <v>48</v>
      </c>
      <c r="J11" s="39" t="s">
        <v>47</v>
      </c>
      <c r="K11" s="43" t="s">
        <v>75</v>
      </c>
      <c r="L11" s="39" t="s">
        <v>47</v>
      </c>
      <c r="M11" s="36" t="s">
        <v>76</v>
      </c>
      <c r="N11" s="40" t="s">
        <v>77</v>
      </c>
      <c r="O11" s="45"/>
      <c r="P11" s="37"/>
      <c r="Q11" s="46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65" t="s">
        <v>78</v>
      </c>
      <c r="B12" s="67" t="s">
        <v>79</v>
      </c>
      <c r="C12" s="67" t="s">
        <v>80</v>
      </c>
      <c r="D12" s="63">
        <v>1.0</v>
      </c>
      <c r="E12" s="65" t="s">
        <v>81</v>
      </c>
      <c r="F12" s="65" t="s">
        <v>74</v>
      </c>
      <c r="G12" s="66">
        <v>102.34</v>
      </c>
      <c r="H12" s="60">
        <f t="shared" si="1"/>
        <v>102.34</v>
      </c>
      <c r="I12" s="43" t="s">
        <v>48</v>
      </c>
      <c r="J12" s="39" t="s">
        <v>47</v>
      </c>
      <c r="K12" s="68" t="s">
        <v>82</v>
      </c>
      <c r="L12" s="39" t="s">
        <v>83</v>
      </c>
      <c r="M12" s="44" t="s">
        <v>49</v>
      </c>
      <c r="N12" s="59"/>
      <c r="P12" s="59"/>
      <c r="Q12" s="61"/>
    </row>
    <row r="13">
      <c r="A13" s="65" t="s">
        <v>84</v>
      </c>
      <c r="B13" s="69">
        <v>1.6237971E7</v>
      </c>
      <c r="C13" s="67">
        <v>100.0</v>
      </c>
      <c r="D13" s="63">
        <v>1.0</v>
      </c>
      <c r="E13" s="65" t="s">
        <v>85</v>
      </c>
      <c r="F13" s="65" t="s">
        <v>86</v>
      </c>
      <c r="G13" s="66">
        <v>44.5</v>
      </c>
      <c r="H13" s="42">
        <f t="shared" si="1"/>
        <v>44.5</v>
      </c>
      <c r="I13" s="43" t="s">
        <v>48</v>
      </c>
      <c r="J13" s="39" t="s">
        <v>47</v>
      </c>
      <c r="K13" s="43" t="s">
        <v>87</v>
      </c>
      <c r="L13" s="39" t="s">
        <v>47</v>
      </c>
      <c r="M13" s="47" t="s">
        <v>51</v>
      </c>
      <c r="N13" s="37"/>
      <c r="O13" s="45"/>
      <c r="P13" s="37"/>
      <c r="Q13" s="46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62" t="s">
        <v>88</v>
      </c>
      <c r="B14" s="63" t="s">
        <v>89</v>
      </c>
      <c r="C14" s="63" t="s">
        <v>90</v>
      </c>
      <c r="D14" s="63">
        <v>1.0</v>
      </c>
      <c r="E14" s="47" t="s">
        <v>85</v>
      </c>
      <c r="F14" s="47" t="s">
        <v>91</v>
      </c>
      <c r="G14" s="70">
        <v>25.55</v>
      </c>
      <c r="H14" s="42">
        <f t="shared" si="1"/>
        <v>25.55</v>
      </c>
      <c r="I14" s="43" t="s">
        <v>48</v>
      </c>
      <c r="J14" s="39" t="s">
        <v>47</v>
      </c>
      <c r="K14" s="43" t="s">
        <v>87</v>
      </c>
      <c r="L14" s="39" t="s">
        <v>47</v>
      </c>
      <c r="M14" s="47" t="s">
        <v>51</v>
      </c>
      <c r="N14" s="37"/>
      <c r="O14" s="45"/>
      <c r="P14" s="37"/>
      <c r="Q14" s="46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47" t="s">
        <v>92</v>
      </c>
      <c r="B15" s="63" t="s">
        <v>93</v>
      </c>
      <c r="C15" s="63" t="s">
        <v>90</v>
      </c>
      <c r="D15" s="63">
        <v>1.0</v>
      </c>
      <c r="E15" s="47" t="s">
        <v>85</v>
      </c>
      <c r="F15" s="47" t="s">
        <v>91</v>
      </c>
      <c r="G15" s="70">
        <v>34.32</v>
      </c>
      <c r="H15" s="42">
        <f t="shared" si="1"/>
        <v>34.32</v>
      </c>
      <c r="I15" s="43" t="s">
        <v>48</v>
      </c>
      <c r="J15" s="39" t="s">
        <v>47</v>
      </c>
      <c r="K15" s="43" t="s">
        <v>94</v>
      </c>
      <c r="L15" s="39" t="s">
        <v>47</v>
      </c>
      <c r="M15" s="47" t="s">
        <v>51</v>
      </c>
      <c r="N15" s="37"/>
      <c r="O15" s="45"/>
      <c r="P15" s="37"/>
      <c r="Q15" s="46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36" t="s">
        <v>95</v>
      </c>
      <c r="B16" s="52"/>
      <c r="C16" s="38">
        <v>1.0</v>
      </c>
      <c r="D16" s="71">
        <v>1.0</v>
      </c>
      <c r="E16" s="36" t="s">
        <v>96</v>
      </c>
      <c r="F16" s="40" t="s">
        <v>97</v>
      </c>
      <c r="G16" s="41">
        <v>1.87</v>
      </c>
      <c r="H16" s="42">
        <f t="shared" si="1"/>
        <v>1.87</v>
      </c>
      <c r="I16" s="43" t="s">
        <v>98</v>
      </c>
      <c r="J16" s="39" t="s">
        <v>47</v>
      </c>
      <c r="K16" s="43" t="s">
        <v>98</v>
      </c>
      <c r="L16" s="39" t="s">
        <v>47</v>
      </c>
      <c r="M16" s="36" t="s">
        <v>57</v>
      </c>
      <c r="N16" s="37"/>
      <c r="O16" s="72" t="s">
        <v>99</v>
      </c>
      <c r="P16" s="37"/>
      <c r="Q16" s="46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36" t="s">
        <v>100</v>
      </c>
      <c r="B17" s="73" t="s">
        <v>101</v>
      </c>
      <c r="C17" s="38">
        <v>1.0</v>
      </c>
      <c r="D17" s="71">
        <v>1.0</v>
      </c>
      <c r="E17" s="36" t="s">
        <v>102</v>
      </c>
      <c r="F17" s="40" t="s">
        <v>97</v>
      </c>
      <c r="G17" s="41">
        <v>22.99</v>
      </c>
      <c r="H17" s="42">
        <f t="shared" si="1"/>
        <v>22.99</v>
      </c>
      <c r="I17" s="43" t="s">
        <v>98</v>
      </c>
      <c r="J17" s="39" t="s">
        <v>47</v>
      </c>
      <c r="K17" s="43" t="s">
        <v>98</v>
      </c>
      <c r="L17" s="39" t="s">
        <v>47</v>
      </c>
      <c r="M17" s="36" t="s">
        <v>57</v>
      </c>
      <c r="N17" s="37"/>
      <c r="O17" s="72" t="s">
        <v>103</v>
      </c>
      <c r="P17" s="37"/>
      <c r="Q17" s="46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47" t="s">
        <v>104</v>
      </c>
      <c r="B18" s="63" t="s">
        <v>105</v>
      </c>
      <c r="C18" s="63" t="s">
        <v>106</v>
      </c>
      <c r="D18" s="71">
        <v>1.0</v>
      </c>
      <c r="E18" s="64" t="s">
        <v>107</v>
      </c>
      <c r="F18" s="64" t="s">
        <v>107</v>
      </c>
      <c r="G18" s="74">
        <v>694.0</v>
      </c>
      <c r="H18" s="42">
        <f t="shared" si="1"/>
        <v>694</v>
      </c>
      <c r="I18" s="75" t="s">
        <v>108</v>
      </c>
      <c r="J18" s="39" t="s">
        <v>47</v>
      </c>
      <c r="K18" s="75" t="s">
        <v>109</v>
      </c>
      <c r="L18" s="39" t="s">
        <v>47</v>
      </c>
      <c r="M18" s="47" t="s">
        <v>51</v>
      </c>
      <c r="N18" s="40" t="s">
        <v>110</v>
      </c>
      <c r="O18" s="76" t="s">
        <v>111</v>
      </c>
      <c r="Q18" s="58"/>
      <c r="R18" s="77" t="s">
        <v>112</v>
      </c>
    </row>
    <row r="19">
      <c r="A19" s="78" t="s">
        <v>113</v>
      </c>
      <c r="B19" s="63">
        <v>710931.0</v>
      </c>
      <c r="C19" s="38">
        <v>1.0</v>
      </c>
      <c r="D19" s="39">
        <v>1.0</v>
      </c>
      <c r="E19" s="36" t="s">
        <v>114</v>
      </c>
      <c r="F19" s="40" t="s">
        <v>114</v>
      </c>
      <c r="G19" s="79">
        <v>374.5</v>
      </c>
      <c r="H19" s="42">
        <f t="shared" si="1"/>
        <v>374.5</v>
      </c>
      <c r="I19" s="75" t="s">
        <v>108</v>
      </c>
      <c r="J19" s="39" t="s">
        <v>47</v>
      </c>
      <c r="K19" s="43" t="s">
        <v>115</v>
      </c>
      <c r="L19" s="39" t="s">
        <v>47</v>
      </c>
      <c r="M19" s="47" t="s">
        <v>51</v>
      </c>
      <c r="N19" s="37"/>
      <c r="O19" s="45"/>
      <c r="P19" s="37"/>
      <c r="Q19" s="46"/>
      <c r="R19" s="45"/>
      <c r="S19" s="45"/>
      <c r="T19" s="45"/>
      <c r="U19" s="45"/>
      <c r="V19" s="45"/>
      <c r="W19" s="45"/>
      <c r="X19" s="45"/>
      <c r="Y19" s="45"/>
      <c r="Z19" s="45"/>
    </row>
    <row r="20" ht="16.5" customHeight="1">
      <c r="A20" s="62" t="s">
        <v>116</v>
      </c>
      <c r="B20" s="63">
        <v>1.0231622E7</v>
      </c>
      <c r="C20" s="63" t="s">
        <v>117</v>
      </c>
      <c r="D20" s="80">
        <v>3.0</v>
      </c>
      <c r="E20" s="64" t="s">
        <v>73</v>
      </c>
      <c r="F20" s="65" t="s">
        <v>74</v>
      </c>
      <c r="G20" s="66">
        <v>6.15</v>
      </c>
      <c r="H20" s="42">
        <f t="shared" si="1"/>
        <v>18.45</v>
      </c>
      <c r="I20" s="75" t="s">
        <v>108</v>
      </c>
      <c r="J20" s="39" t="s">
        <v>47</v>
      </c>
      <c r="K20" s="38" t="s">
        <v>118</v>
      </c>
      <c r="L20" s="39" t="s">
        <v>83</v>
      </c>
      <c r="M20" s="47" t="s">
        <v>51</v>
      </c>
      <c r="N20" s="81" t="s">
        <v>119</v>
      </c>
      <c r="P20" s="59"/>
      <c r="Q20" s="61"/>
    </row>
    <row r="21">
      <c r="A21" s="47" t="s">
        <v>120</v>
      </c>
      <c r="B21" s="63" t="s">
        <v>121</v>
      </c>
      <c r="C21" s="63" t="s">
        <v>122</v>
      </c>
      <c r="D21" s="39">
        <v>1.0</v>
      </c>
      <c r="E21" s="65" t="s">
        <v>123</v>
      </c>
      <c r="F21" s="65" t="s">
        <v>123</v>
      </c>
      <c r="G21" s="70">
        <v>216.0</v>
      </c>
      <c r="H21" s="42">
        <f t="shared" si="1"/>
        <v>216</v>
      </c>
      <c r="I21" s="75" t="s">
        <v>108</v>
      </c>
      <c r="J21" s="39" t="s">
        <v>47</v>
      </c>
      <c r="K21" s="43" t="s">
        <v>87</v>
      </c>
      <c r="L21" s="39" t="s">
        <v>47</v>
      </c>
      <c r="M21" s="47" t="s">
        <v>51</v>
      </c>
      <c r="N21" s="40" t="s">
        <v>124</v>
      </c>
      <c r="O21" s="36" t="s">
        <v>125</v>
      </c>
      <c r="P21" s="59"/>
      <c r="Q21" s="61"/>
    </row>
    <row r="22">
      <c r="A22" s="82" t="s">
        <v>126</v>
      </c>
      <c r="B22" s="83" t="s">
        <v>127</v>
      </c>
      <c r="C22" s="63" t="s">
        <v>128</v>
      </c>
      <c r="D22" s="84">
        <v>4.0</v>
      </c>
      <c r="E22" s="64" t="s">
        <v>129</v>
      </c>
      <c r="F22" s="47" t="s">
        <v>129</v>
      </c>
      <c r="G22" s="66">
        <v>2.23</v>
      </c>
      <c r="H22" s="42">
        <f t="shared" si="1"/>
        <v>8.92</v>
      </c>
      <c r="I22" s="75" t="s">
        <v>130</v>
      </c>
      <c r="J22" s="39" t="s">
        <v>47</v>
      </c>
      <c r="K22" s="75" t="s">
        <v>109</v>
      </c>
      <c r="L22" s="39" t="s">
        <v>47</v>
      </c>
      <c r="M22" s="85" t="s">
        <v>76</v>
      </c>
      <c r="N22" s="59"/>
      <c r="O22" s="86" t="s">
        <v>131</v>
      </c>
      <c r="P22" s="59"/>
      <c r="Q22" s="61"/>
    </row>
    <row r="23">
      <c r="A23" s="62" t="s">
        <v>132</v>
      </c>
      <c r="B23" s="71">
        <v>1.3110132E7</v>
      </c>
      <c r="C23" s="87" t="s">
        <v>133</v>
      </c>
      <c r="D23" s="39">
        <v>1.0</v>
      </c>
      <c r="E23" s="64" t="s">
        <v>129</v>
      </c>
      <c r="F23" s="47" t="s">
        <v>129</v>
      </c>
      <c r="G23" s="66">
        <v>16.38</v>
      </c>
      <c r="H23" s="42">
        <f t="shared" si="1"/>
        <v>16.38</v>
      </c>
      <c r="I23" s="75" t="s">
        <v>130</v>
      </c>
      <c r="J23" s="39" t="s">
        <v>47</v>
      </c>
      <c r="K23" s="75" t="s">
        <v>109</v>
      </c>
      <c r="L23" s="39" t="s">
        <v>47</v>
      </c>
      <c r="M23" s="40" t="s">
        <v>76</v>
      </c>
      <c r="N23" s="59"/>
      <c r="P23" s="59"/>
      <c r="Q23" s="61"/>
    </row>
    <row r="24">
      <c r="A24" s="88" t="s">
        <v>134</v>
      </c>
      <c r="B24" s="89">
        <v>1.3210132E7</v>
      </c>
      <c r="C24" s="71" t="s">
        <v>133</v>
      </c>
      <c r="D24" s="80">
        <v>3.0</v>
      </c>
      <c r="E24" s="64" t="s">
        <v>129</v>
      </c>
      <c r="F24" s="47" t="s">
        <v>129</v>
      </c>
      <c r="G24" s="66">
        <v>16.42</v>
      </c>
      <c r="H24" s="19">
        <v>15.4</v>
      </c>
      <c r="I24" s="75" t="s">
        <v>130</v>
      </c>
      <c r="J24" s="39" t="s">
        <v>47</v>
      </c>
      <c r="K24" s="75" t="s">
        <v>109</v>
      </c>
      <c r="L24" s="39" t="s">
        <v>47</v>
      </c>
      <c r="M24" s="90" t="s">
        <v>76</v>
      </c>
      <c r="N24" s="59"/>
      <c r="P24" s="59"/>
      <c r="Q24" s="61"/>
    </row>
    <row r="25">
      <c r="A25" s="36" t="s">
        <v>135</v>
      </c>
      <c r="B25" s="37"/>
      <c r="C25" s="38">
        <v>1.0</v>
      </c>
      <c r="D25" s="39">
        <v>1.0</v>
      </c>
      <c r="E25" s="36" t="s">
        <v>136</v>
      </c>
      <c r="F25" s="40" t="s">
        <v>136</v>
      </c>
      <c r="G25" s="41">
        <v>509.23</v>
      </c>
      <c r="H25" s="42">
        <f t="shared" ref="H25:H34" si="2">D25*G25</f>
        <v>509.23</v>
      </c>
      <c r="I25" s="75" t="s">
        <v>130</v>
      </c>
      <c r="J25" s="39" t="s">
        <v>47</v>
      </c>
      <c r="K25" s="75" t="s">
        <v>130</v>
      </c>
      <c r="L25" s="39" t="s">
        <v>47</v>
      </c>
      <c r="M25" s="44" t="s">
        <v>49</v>
      </c>
      <c r="N25" s="37"/>
      <c r="O25" s="45"/>
      <c r="P25" s="37"/>
      <c r="Q25" s="46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47" t="s">
        <v>137</v>
      </c>
      <c r="B26" s="63">
        <v>1.4175053E7</v>
      </c>
      <c r="C26" s="63" t="s">
        <v>138</v>
      </c>
      <c r="D26" s="39">
        <v>10.0</v>
      </c>
      <c r="E26" s="47" t="s">
        <v>139</v>
      </c>
      <c r="F26" s="65" t="s">
        <v>74</v>
      </c>
      <c r="G26" s="70">
        <v>17.12</v>
      </c>
      <c r="H26" s="42">
        <f t="shared" si="2"/>
        <v>171.2</v>
      </c>
      <c r="I26" s="91" t="s">
        <v>109</v>
      </c>
      <c r="J26" s="39" t="s">
        <v>47</v>
      </c>
      <c r="K26" s="43" t="s">
        <v>94</v>
      </c>
      <c r="L26" s="39" t="s">
        <v>47</v>
      </c>
      <c r="M26" s="47" t="s">
        <v>51</v>
      </c>
      <c r="N26" s="37"/>
      <c r="O26" s="45"/>
      <c r="P26" s="37"/>
      <c r="Q26" s="46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47" t="s">
        <v>140</v>
      </c>
      <c r="B27" s="92" t="s">
        <v>141</v>
      </c>
      <c r="C27" s="63" t="s">
        <v>142</v>
      </c>
      <c r="D27" s="39">
        <v>10.0</v>
      </c>
      <c r="E27" s="47" t="s">
        <v>85</v>
      </c>
      <c r="F27" s="47" t="s">
        <v>91</v>
      </c>
      <c r="G27" s="70">
        <v>5.53</v>
      </c>
      <c r="H27" s="42">
        <f t="shared" si="2"/>
        <v>55.3</v>
      </c>
      <c r="I27" s="91" t="s">
        <v>109</v>
      </c>
      <c r="J27" s="39" t="s">
        <v>47</v>
      </c>
      <c r="K27" s="93" t="s">
        <v>143</v>
      </c>
      <c r="L27" s="39" t="s">
        <v>47</v>
      </c>
      <c r="M27" s="47" t="s">
        <v>51</v>
      </c>
      <c r="N27" s="37"/>
      <c r="O27" s="45"/>
      <c r="P27" s="37"/>
      <c r="Q27" s="46"/>
      <c r="R27" s="45"/>
      <c r="S27" s="45"/>
      <c r="T27" s="45"/>
      <c r="U27" s="45"/>
      <c r="V27" s="45"/>
      <c r="W27" s="45"/>
      <c r="X27" s="45"/>
      <c r="Y27" s="45"/>
      <c r="Z27" s="45"/>
    </row>
    <row r="28">
      <c r="B28" s="59"/>
      <c r="D28" s="59"/>
      <c r="F28" s="59"/>
      <c r="H28" s="59">
        <f t="shared" si="2"/>
        <v>0</v>
      </c>
      <c r="J28" s="59"/>
      <c r="L28" s="59"/>
      <c r="N28" s="59"/>
      <c r="P28" s="59"/>
      <c r="Q28" s="61"/>
    </row>
    <row r="29">
      <c r="B29" s="59"/>
      <c r="D29" s="59"/>
      <c r="F29" s="59"/>
      <c r="H29" s="59">
        <f t="shared" si="2"/>
        <v>0</v>
      </c>
      <c r="J29" s="59"/>
      <c r="L29" s="59"/>
      <c r="N29" s="59"/>
      <c r="P29" s="59"/>
      <c r="Q29" s="61"/>
    </row>
    <row r="30">
      <c r="B30" s="59"/>
      <c r="D30" s="59"/>
      <c r="F30" s="59"/>
      <c r="H30" s="59">
        <f t="shared" si="2"/>
        <v>0</v>
      </c>
      <c r="J30" s="59"/>
      <c r="L30" s="59"/>
      <c r="N30" s="59"/>
      <c r="P30" s="59"/>
      <c r="Q30" s="61"/>
    </row>
    <row r="31">
      <c r="B31" s="59"/>
      <c r="D31" s="59"/>
      <c r="F31" s="59"/>
      <c r="H31" s="59">
        <f t="shared" si="2"/>
        <v>0</v>
      </c>
      <c r="J31" s="59"/>
      <c r="L31" s="59"/>
      <c r="N31" s="59"/>
      <c r="P31" s="59"/>
      <c r="Q31" s="61"/>
    </row>
    <row r="32">
      <c r="B32" s="59"/>
      <c r="D32" s="59"/>
      <c r="F32" s="59"/>
      <c r="H32" s="59">
        <f t="shared" si="2"/>
        <v>0</v>
      </c>
      <c r="J32" s="59"/>
      <c r="L32" s="59"/>
      <c r="N32" s="59"/>
      <c r="P32" s="59"/>
      <c r="Q32" s="61"/>
    </row>
    <row r="33">
      <c r="B33" s="59"/>
      <c r="D33" s="59"/>
      <c r="F33" s="59"/>
      <c r="H33" s="59">
        <f t="shared" si="2"/>
        <v>0</v>
      </c>
      <c r="J33" s="59"/>
      <c r="L33" s="59"/>
      <c r="N33" s="59"/>
      <c r="P33" s="59"/>
      <c r="Q33" s="61"/>
    </row>
    <row r="34">
      <c r="B34" s="59"/>
      <c r="D34" s="59"/>
      <c r="F34" s="59"/>
      <c r="H34" s="59">
        <f t="shared" si="2"/>
        <v>0</v>
      </c>
      <c r="J34" s="59"/>
      <c r="L34" s="59"/>
      <c r="N34" s="59"/>
      <c r="P34" s="59"/>
      <c r="Q34" s="61"/>
    </row>
    <row r="35">
      <c r="B35" s="59"/>
      <c r="D35" s="59"/>
      <c r="F35" s="59"/>
      <c r="H35" s="59"/>
      <c r="J35" s="59"/>
      <c r="L35" s="59"/>
      <c r="N35" s="59"/>
      <c r="P35" s="59"/>
      <c r="Q35" s="61"/>
    </row>
    <row r="36">
      <c r="B36" s="59"/>
      <c r="D36" s="59"/>
      <c r="F36" s="59"/>
      <c r="H36" s="59"/>
      <c r="J36" s="59"/>
      <c r="L36" s="59"/>
      <c r="N36" s="59"/>
      <c r="P36" s="59"/>
      <c r="Q36" s="61"/>
    </row>
    <row r="37">
      <c r="B37" s="59"/>
      <c r="D37" s="59"/>
      <c r="F37" s="59"/>
      <c r="H37" s="59"/>
      <c r="J37" s="59"/>
      <c r="L37" s="59"/>
      <c r="N37" s="59"/>
      <c r="P37" s="59"/>
      <c r="Q37" s="61"/>
    </row>
    <row r="38">
      <c r="B38" s="59"/>
      <c r="D38" s="59"/>
      <c r="F38" s="59"/>
      <c r="H38" s="59"/>
      <c r="J38" s="59"/>
      <c r="L38" s="59"/>
      <c r="N38" s="59"/>
      <c r="P38" s="59"/>
      <c r="Q38" s="61"/>
    </row>
    <row r="39">
      <c r="B39" s="59"/>
      <c r="D39" s="59"/>
      <c r="F39" s="59"/>
      <c r="H39" s="59"/>
      <c r="J39" s="59"/>
      <c r="L39" s="59"/>
      <c r="N39" s="59"/>
      <c r="P39" s="59"/>
      <c r="Q39" s="61"/>
    </row>
    <row r="40">
      <c r="B40" s="59"/>
      <c r="D40" s="59"/>
      <c r="F40" s="59"/>
      <c r="H40" s="59"/>
      <c r="J40" s="59"/>
      <c r="L40" s="59"/>
      <c r="N40" s="59"/>
      <c r="P40" s="59"/>
      <c r="Q40" s="61"/>
    </row>
    <row r="41">
      <c r="B41" s="59"/>
      <c r="D41" s="59"/>
      <c r="F41" s="59"/>
      <c r="H41" s="59"/>
      <c r="J41" s="59"/>
      <c r="L41" s="59"/>
      <c r="N41" s="59"/>
      <c r="P41" s="59"/>
      <c r="Q41" s="61"/>
    </row>
    <row r="42">
      <c r="B42" s="59"/>
      <c r="D42" s="59"/>
      <c r="F42" s="59"/>
      <c r="H42" s="59"/>
      <c r="J42" s="59"/>
      <c r="L42" s="59"/>
      <c r="N42" s="59"/>
      <c r="P42" s="59"/>
      <c r="Q42" s="61"/>
    </row>
    <row r="43">
      <c r="B43" s="59"/>
      <c r="D43" s="59"/>
      <c r="F43" s="59"/>
      <c r="H43" s="59"/>
      <c r="J43" s="59"/>
      <c r="L43" s="59"/>
      <c r="N43" s="59"/>
      <c r="P43" s="59"/>
      <c r="Q43" s="61"/>
    </row>
    <row r="44">
      <c r="B44" s="59"/>
      <c r="D44" s="59"/>
      <c r="F44" s="59"/>
      <c r="H44" s="59"/>
      <c r="J44" s="59"/>
      <c r="L44" s="59"/>
      <c r="N44" s="59"/>
      <c r="P44" s="59"/>
      <c r="Q44" s="61"/>
    </row>
    <row r="45">
      <c r="B45" s="59"/>
      <c r="D45" s="59"/>
      <c r="F45" s="59"/>
      <c r="H45" s="59"/>
      <c r="J45" s="59"/>
      <c r="L45" s="59"/>
      <c r="N45" s="59"/>
      <c r="P45" s="59"/>
      <c r="Q45" s="61"/>
    </row>
    <row r="46">
      <c r="B46" s="59"/>
      <c r="D46" s="59"/>
      <c r="F46" s="59"/>
      <c r="H46" s="59"/>
      <c r="J46" s="59"/>
      <c r="L46" s="59"/>
      <c r="N46" s="59"/>
      <c r="P46" s="59"/>
      <c r="Q46" s="61"/>
    </row>
    <row r="47">
      <c r="B47" s="59"/>
      <c r="D47" s="59"/>
      <c r="F47" s="59"/>
      <c r="H47" s="59"/>
      <c r="J47" s="59"/>
      <c r="L47" s="59"/>
      <c r="N47" s="59"/>
      <c r="P47" s="59"/>
      <c r="Q47" s="61"/>
    </row>
    <row r="48">
      <c r="B48" s="59"/>
      <c r="D48" s="59"/>
      <c r="F48" s="59"/>
      <c r="H48" s="59"/>
      <c r="J48" s="59"/>
      <c r="L48" s="59"/>
      <c r="N48" s="59"/>
      <c r="P48" s="59"/>
      <c r="Q48" s="61"/>
    </row>
    <row r="49">
      <c r="B49" s="59"/>
      <c r="D49" s="59"/>
      <c r="F49" s="59"/>
      <c r="H49" s="59"/>
      <c r="J49" s="59"/>
      <c r="L49" s="59"/>
      <c r="N49" s="59"/>
      <c r="P49" s="59"/>
      <c r="Q49" s="61"/>
    </row>
    <row r="50">
      <c r="B50" s="59"/>
      <c r="D50" s="59"/>
      <c r="F50" s="59"/>
      <c r="H50" s="59"/>
      <c r="J50" s="59"/>
      <c r="L50" s="59"/>
      <c r="N50" s="59"/>
      <c r="P50" s="59"/>
      <c r="Q50" s="61"/>
    </row>
    <row r="51">
      <c r="B51" s="59"/>
      <c r="D51" s="59"/>
      <c r="F51" s="59"/>
      <c r="H51" s="59"/>
      <c r="J51" s="59"/>
      <c r="L51" s="59"/>
      <c r="N51" s="59"/>
      <c r="P51" s="59"/>
      <c r="Q51" s="61"/>
    </row>
    <row r="52">
      <c r="B52" s="59"/>
      <c r="D52" s="59"/>
      <c r="F52" s="59"/>
      <c r="H52" s="59"/>
      <c r="J52" s="59"/>
      <c r="L52" s="59"/>
      <c r="N52" s="59"/>
      <c r="P52" s="59"/>
      <c r="Q52" s="61"/>
    </row>
    <row r="53">
      <c r="B53" s="59"/>
      <c r="D53" s="59"/>
      <c r="F53" s="59"/>
      <c r="H53" s="59"/>
      <c r="J53" s="59"/>
      <c r="L53" s="59"/>
      <c r="N53" s="59"/>
      <c r="P53" s="59"/>
      <c r="Q53" s="61"/>
    </row>
    <row r="54">
      <c r="B54" s="59"/>
      <c r="D54" s="59"/>
      <c r="F54" s="59"/>
      <c r="H54" s="59"/>
      <c r="J54" s="59"/>
      <c r="L54" s="59"/>
      <c r="N54" s="59"/>
      <c r="P54" s="59"/>
      <c r="Q54" s="61"/>
    </row>
    <row r="55">
      <c r="B55" s="59"/>
      <c r="D55" s="59"/>
      <c r="F55" s="59"/>
      <c r="H55" s="59"/>
      <c r="J55" s="59"/>
      <c r="L55" s="59"/>
      <c r="N55" s="59"/>
      <c r="P55" s="59"/>
      <c r="Q55" s="61"/>
    </row>
    <row r="56">
      <c r="B56" s="59"/>
      <c r="D56" s="59"/>
      <c r="F56" s="59"/>
      <c r="H56" s="59"/>
      <c r="J56" s="59"/>
      <c r="L56" s="59"/>
      <c r="N56" s="59"/>
      <c r="P56" s="59"/>
      <c r="Q56" s="61"/>
    </row>
    <row r="57">
      <c r="B57" s="59"/>
      <c r="D57" s="59"/>
      <c r="F57" s="59"/>
      <c r="H57" s="59"/>
      <c r="J57" s="59"/>
      <c r="L57" s="59"/>
      <c r="N57" s="59"/>
      <c r="P57" s="59"/>
      <c r="Q57" s="61"/>
    </row>
    <row r="58">
      <c r="B58" s="59"/>
      <c r="D58" s="59"/>
      <c r="F58" s="59"/>
      <c r="H58" s="59"/>
      <c r="J58" s="59"/>
      <c r="L58" s="59"/>
      <c r="N58" s="59"/>
      <c r="P58" s="59"/>
      <c r="Q58" s="61"/>
    </row>
    <row r="59">
      <c r="B59" s="59"/>
      <c r="D59" s="59"/>
      <c r="F59" s="59"/>
      <c r="H59" s="59"/>
      <c r="J59" s="59"/>
      <c r="L59" s="59"/>
      <c r="N59" s="59"/>
      <c r="P59" s="59"/>
      <c r="Q59" s="61"/>
    </row>
    <row r="60">
      <c r="B60" s="59"/>
      <c r="D60" s="59"/>
      <c r="F60" s="59"/>
      <c r="H60" s="59"/>
      <c r="J60" s="59"/>
      <c r="L60" s="59"/>
      <c r="N60" s="59"/>
      <c r="P60" s="59"/>
      <c r="Q60" s="61"/>
    </row>
    <row r="61">
      <c r="B61" s="59"/>
      <c r="D61" s="59"/>
      <c r="F61" s="59"/>
      <c r="H61" s="59"/>
      <c r="J61" s="59"/>
      <c r="L61" s="59"/>
      <c r="N61" s="59"/>
      <c r="P61" s="59"/>
      <c r="Q61" s="61"/>
    </row>
    <row r="62">
      <c r="B62" s="59"/>
      <c r="D62" s="59"/>
      <c r="F62" s="59"/>
      <c r="H62" s="59"/>
      <c r="J62" s="59"/>
      <c r="L62" s="59"/>
      <c r="N62" s="59"/>
      <c r="P62" s="59"/>
      <c r="Q62" s="61"/>
    </row>
    <row r="63">
      <c r="B63" s="59"/>
      <c r="D63" s="59"/>
      <c r="F63" s="59"/>
      <c r="H63" s="59"/>
      <c r="J63" s="59"/>
      <c r="L63" s="59"/>
      <c r="N63" s="59"/>
      <c r="P63" s="59"/>
      <c r="Q63" s="61"/>
    </row>
    <row r="64">
      <c r="B64" s="59"/>
      <c r="D64" s="59"/>
      <c r="F64" s="59"/>
      <c r="H64" s="59"/>
      <c r="J64" s="59"/>
      <c r="L64" s="59"/>
      <c r="N64" s="59"/>
      <c r="P64" s="59"/>
      <c r="Q64" s="61"/>
    </row>
    <row r="65">
      <c r="B65" s="59"/>
      <c r="D65" s="59"/>
      <c r="F65" s="59"/>
      <c r="H65" s="59"/>
      <c r="J65" s="59"/>
      <c r="L65" s="59"/>
      <c r="N65" s="59"/>
      <c r="P65" s="59"/>
      <c r="Q65" s="61"/>
    </row>
    <row r="66">
      <c r="B66" s="59"/>
      <c r="D66" s="59"/>
      <c r="F66" s="59"/>
      <c r="H66" s="59"/>
      <c r="J66" s="59"/>
      <c r="L66" s="59"/>
      <c r="N66" s="59"/>
      <c r="P66" s="59"/>
      <c r="Q66" s="61"/>
    </row>
    <row r="67">
      <c r="B67" s="59"/>
      <c r="D67" s="59"/>
      <c r="F67" s="59"/>
      <c r="H67" s="59"/>
      <c r="J67" s="59"/>
      <c r="L67" s="59"/>
      <c r="N67" s="59"/>
      <c r="P67" s="59"/>
      <c r="Q67" s="61"/>
    </row>
    <row r="68">
      <c r="B68" s="59"/>
      <c r="D68" s="59"/>
      <c r="F68" s="59"/>
      <c r="H68" s="59"/>
      <c r="J68" s="59"/>
      <c r="L68" s="59"/>
      <c r="N68" s="59"/>
      <c r="P68" s="59"/>
      <c r="Q68" s="61"/>
    </row>
    <row r="69">
      <c r="B69" s="59"/>
      <c r="D69" s="59"/>
      <c r="F69" s="59"/>
      <c r="H69" s="59"/>
      <c r="J69" s="59"/>
      <c r="L69" s="59"/>
      <c r="N69" s="59"/>
      <c r="P69" s="59"/>
      <c r="Q69" s="61"/>
    </row>
    <row r="70">
      <c r="B70" s="59"/>
      <c r="D70" s="59"/>
      <c r="F70" s="59"/>
      <c r="H70" s="59"/>
      <c r="J70" s="59"/>
      <c r="L70" s="59"/>
      <c r="N70" s="59"/>
      <c r="P70" s="59"/>
      <c r="Q70" s="61"/>
    </row>
    <row r="71">
      <c r="B71" s="59"/>
      <c r="D71" s="59"/>
      <c r="F71" s="59"/>
      <c r="H71" s="59"/>
      <c r="J71" s="59"/>
      <c r="L71" s="59"/>
      <c r="N71" s="59"/>
      <c r="P71" s="59"/>
      <c r="Q71" s="61"/>
    </row>
    <row r="72">
      <c r="B72" s="59"/>
      <c r="D72" s="59"/>
      <c r="F72" s="59"/>
      <c r="H72" s="59"/>
      <c r="J72" s="59"/>
      <c r="L72" s="59"/>
      <c r="N72" s="59"/>
      <c r="P72" s="59"/>
      <c r="Q72" s="61"/>
    </row>
    <row r="73">
      <c r="B73" s="59"/>
      <c r="D73" s="59"/>
      <c r="F73" s="59"/>
      <c r="H73" s="59"/>
      <c r="J73" s="59"/>
      <c r="L73" s="59"/>
      <c r="N73" s="59"/>
      <c r="P73" s="59"/>
      <c r="Q73" s="61"/>
    </row>
    <row r="74">
      <c r="B74" s="59"/>
      <c r="D74" s="59"/>
      <c r="F74" s="59"/>
      <c r="H74" s="59"/>
      <c r="J74" s="59"/>
      <c r="L74" s="59"/>
      <c r="N74" s="59"/>
      <c r="P74" s="59"/>
      <c r="Q74" s="61"/>
    </row>
    <row r="75">
      <c r="B75" s="59"/>
      <c r="D75" s="59"/>
      <c r="F75" s="59"/>
      <c r="H75" s="59"/>
      <c r="J75" s="59"/>
      <c r="L75" s="59"/>
      <c r="N75" s="59"/>
      <c r="P75" s="59"/>
      <c r="Q75" s="61"/>
    </row>
    <row r="76">
      <c r="B76" s="59"/>
      <c r="D76" s="59"/>
      <c r="F76" s="59"/>
      <c r="H76" s="59"/>
      <c r="J76" s="59"/>
      <c r="L76" s="59"/>
      <c r="N76" s="59"/>
      <c r="P76" s="59"/>
      <c r="Q76" s="61"/>
    </row>
    <row r="77">
      <c r="B77" s="59"/>
      <c r="D77" s="59"/>
      <c r="F77" s="59"/>
      <c r="H77" s="59"/>
      <c r="J77" s="59"/>
      <c r="L77" s="59"/>
      <c r="N77" s="59"/>
      <c r="P77" s="59"/>
      <c r="Q77" s="61"/>
    </row>
    <row r="78">
      <c r="B78" s="59"/>
      <c r="D78" s="59"/>
      <c r="F78" s="59"/>
      <c r="H78" s="59"/>
      <c r="J78" s="59"/>
      <c r="L78" s="59"/>
      <c r="N78" s="59"/>
      <c r="P78" s="59"/>
      <c r="Q78" s="61"/>
    </row>
    <row r="79">
      <c r="B79" s="59"/>
      <c r="D79" s="59"/>
      <c r="F79" s="59"/>
      <c r="H79" s="59"/>
      <c r="J79" s="59"/>
      <c r="L79" s="59"/>
      <c r="N79" s="59"/>
      <c r="P79" s="59"/>
      <c r="Q79" s="61"/>
    </row>
    <row r="80">
      <c r="B80" s="59"/>
      <c r="D80" s="59"/>
      <c r="F80" s="59"/>
      <c r="H80" s="59"/>
      <c r="J80" s="59"/>
      <c r="L80" s="59"/>
      <c r="N80" s="59"/>
      <c r="P80" s="59"/>
      <c r="Q80" s="61"/>
    </row>
    <row r="81">
      <c r="B81" s="59"/>
      <c r="D81" s="59"/>
      <c r="F81" s="59"/>
      <c r="H81" s="59"/>
      <c r="J81" s="59"/>
      <c r="L81" s="59"/>
      <c r="N81" s="59"/>
      <c r="P81" s="59"/>
      <c r="Q81" s="61"/>
    </row>
    <row r="82">
      <c r="B82" s="59"/>
      <c r="D82" s="59"/>
      <c r="F82" s="59"/>
      <c r="H82" s="59"/>
      <c r="J82" s="59"/>
      <c r="L82" s="59"/>
      <c r="N82" s="59"/>
      <c r="P82" s="59"/>
      <c r="Q82" s="61"/>
    </row>
    <row r="83">
      <c r="B83" s="59"/>
      <c r="D83" s="59"/>
      <c r="F83" s="59"/>
      <c r="H83" s="59"/>
      <c r="J83" s="59"/>
      <c r="L83" s="59"/>
      <c r="N83" s="59"/>
      <c r="P83" s="59"/>
      <c r="Q83" s="61"/>
    </row>
    <row r="84">
      <c r="B84" s="59"/>
      <c r="D84" s="59"/>
      <c r="F84" s="59"/>
      <c r="H84" s="59"/>
      <c r="J84" s="59"/>
      <c r="L84" s="59"/>
      <c r="N84" s="59"/>
      <c r="P84" s="59"/>
      <c r="Q84" s="61"/>
    </row>
    <row r="85">
      <c r="B85" s="59"/>
      <c r="D85" s="59"/>
      <c r="F85" s="59"/>
      <c r="H85" s="59"/>
      <c r="J85" s="59"/>
      <c r="L85" s="59"/>
      <c r="N85" s="59"/>
      <c r="P85" s="59"/>
      <c r="Q85" s="61"/>
    </row>
    <row r="86">
      <c r="B86" s="59"/>
      <c r="D86" s="59"/>
      <c r="F86" s="59"/>
      <c r="H86" s="59"/>
      <c r="J86" s="59"/>
      <c r="L86" s="59"/>
      <c r="N86" s="59"/>
      <c r="P86" s="59"/>
      <c r="Q86" s="61"/>
    </row>
    <row r="87">
      <c r="B87" s="59"/>
      <c r="D87" s="59"/>
      <c r="F87" s="59"/>
      <c r="H87" s="59"/>
      <c r="J87" s="59"/>
      <c r="L87" s="59"/>
      <c r="N87" s="59"/>
      <c r="P87" s="59"/>
      <c r="Q87" s="61"/>
    </row>
    <row r="88">
      <c r="B88" s="59"/>
      <c r="D88" s="59"/>
      <c r="F88" s="59"/>
      <c r="H88" s="59"/>
      <c r="J88" s="59"/>
      <c r="L88" s="59"/>
      <c r="N88" s="59"/>
      <c r="P88" s="59"/>
      <c r="Q88" s="61"/>
    </row>
    <row r="89">
      <c r="B89" s="59"/>
      <c r="D89" s="59"/>
      <c r="F89" s="59"/>
      <c r="H89" s="59"/>
      <c r="J89" s="59"/>
      <c r="L89" s="59"/>
      <c r="N89" s="59"/>
      <c r="P89" s="59"/>
      <c r="Q89" s="61"/>
    </row>
    <row r="90">
      <c r="B90" s="59"/>
      <c r="D90" s="59"/>
      <c r="F90" s="59"/>
      <c r="H90" s="59"/>
      <c r="J90" s="59"/>
      <c r="L90" s="59"/>
      <c r="N90" s="59"/>
      <c r="P90" s="59"/>
      <c r="Q90" s="61"/>
    </row>
    <row r="91">
      <c r="B91" s="59"/>
      <c r="D91" s="59"/>
      <c r="F91" s="59"/>
      <c r="H91" s="59"/>
      <c r="J91" s="59"/>
      <c r="L91" s="59"/>
      <c r="N91" s="59"/>
      <c r="P91" s="59"/>
      <c r="Q91" s="61"/>
    </row>
    <row r="92">
      <c r="B92" s="59"/>
      <c r="D92" s="59"/>
      <c r="F92" s="59"/>
      <c r="H92" s="59"/>
      <c r="J92" s="59"/>
      <c r="L92" s="59"/>
      <c r="N92" s="59"/>
      <c r="P92" s="59"/>
      <c r="Q92" s="61"/>
    </row>
    <row r="93">
      <c r="B93" s="59"/>
      <c r="D93" s="59"/>
      <c r="F93" s="59"/>
      <c r="H93" s="59"/>
      <c r="J93" s="59"/>
      <c r="L93" s="59"/>
      <c r="N93" s="59"/>
      <c r="P93" s="59"/>
      <c r="Q93" s="61"/>
    </row>
    <row r="94">
      <c r="B94" s="59"/>
      <c r="D94" s="59"/>
      <c r="F94" s="59"/>
      <c r="H94" s="59"/>
      <c r="J94" s="59"/>
      <c r="L94" s="59"/>
      <c r="N94" s="59"/>
      <c r="P94" s="59"/>
      <c r="Q94" s="61"/>
    </row>
    <row r="95">
      <c r="B95" s="59"/>
      <c r="D95" s="59"/>
      <c r="F95" s="59"/>
      <c r="H95" s="59"/>
      <c r="J95" s="59"/>
      <c r="L95" s="59"/>
      <c r="N95" s="59"/>
      <c r="P95" s="59"/>
      <c r="Q95" s="61"/>
    </row>
    <row r="96">
      <c r="B96" s="59"/>
      <c r="D96" s="59"/>
      <c r="F96" s="59"/>
      <c r="H96" s="59"/>
      <c r="J96" s="59"/>
      <c r="L96" s="59"/>
      <c r="N96" s="59"/>
      <c r="P96" s="59"/>
      <c r="Q96" s="61"/>
    </row>
    <row r="97">
      <c r="B97" s="59"/>
      <c r="D97" s="59"/>
      <c r="F97" s="59"/>
      <c r="H97" s="59"/>
      <c r="J97" s="59"/>
      <c r="L97" s="59"/>
      <c r="N97" s="59"/>
      <c r="P97" s="59"/>
      <c r="Q97" s="61"/>
    </row>
    <row r="98">
      <c r="B98" s="59"/>
      <c r="D98" s="59"/>
      <c r="F98" s="59"/>
      <c r="H98" s="59"/>
      <c r="J98" s="59"/>
      <c r="L98" s="59"/>
      <c r="N98" s="59"/>
      <c r="P98" s="59"/>
      <c r="Q98" s="61"/>
    </row>
    <row r="99">
      <c r="B99" s="59"/>
      <c r="D99" s="59"/>
      <c r="F99" s="59"/>
      <c r="H99" s="59"/>
      <c r="J99" s="59"/>
      <c r="L99" s="59"/>
      <c r="N99" s="59"/>
      <c r="P99" s="59"/>
      <c r="Q99" s="61"/>
    </row>
    <row r="100">
      <c r="B100" s="59"/>
      <c r="D100" s="59"/>
      <c r="F100" s="59"/>
      <c r="H100" s="59"/>
      <c r="J100" s="59"/>
      <c r="L100" s="59"/>
      <c r="N100" s="59"/>
      <c r="P100" s="59"/>
      <c r="Q100" s="61"/>
    </row>
    <row r="101">
      <c r="B101" s="59"/>
      <c r="D101" s="59"/>
      <c r="F101" s="59"/>
      <c r="H101" s="59"/>
      <c r="J101" s="59"/>
      <c r="L101" s="59"/>
      <c r="N101" s="59"/>
      <c r="P101" s="59"/>
      <c r="Q101" s="61"/>
    </row>
    <row r="102">
      <c r="B102" s="59"/>
      <c r="D102" s="59"/>
      <c r="F102" s="59"/>
      <c r="H102" s="59"/>
      <c r="J102" s="59"/>
      <c r="L102" s="59"/>
      <c r="N102" s="59"/>
      <c r="P102" s="59"/>
      <c r="Q102" s="61"/>
    </row>
    <row r="103">
      <c r="B103" s="59"/>
      <c r="D103" s="59"/>
      <c r="F103" s="59"/>
      <c r="H103" s="59"/>
      <c r="J103" s="59"/>
      <c r="L103" s="59"/>
      <c r="N103" s="59"/>
      <c r="P103" s="59"/>
      <c r="Q103" s="61"/>
    </row>
    <row r="104">
      <c r="B104" s="59"/>
      <c r="D104" s="59"/>
      <c r="F104" s="59"/>
      <c r="H104" s="59"/>
      <c r="J104" s="59"/>
      <c r="L104" s="59"/>
      <c r="N104" s="59"/>
      <c r="P104" s="59"/>
      <c r="Q104" s="61"/>
    </row>
    <row r="105">
      <c r="B105" s="59"/>
      <c r="D105" s="59"/>
      <c r="F105" s="59"/>
      <c r="H105" s="59"/>
      <c r="J105" s="59"/>
      <c r="L105" s="59"/>
      <c r="N105" s="59"/>
      <c r="P105" s="59"/>
      <c r="Q105" s="61"/>
    </row>
    <row r="106">
      <c r="B106" s="59"/>
      <c r="D106" s="59"/>
      <c r="F106" s="59"/>
      <c r="H106" s="59"/>
      <c r="J106" s="59"/>
      <c r="L106" s="59"/>
      <c r="N106" s="59"/>
      <c r="P106" s="59"/>
      <c r="Q106" s="61"/>
    </row>
    <row r="107">
      <c r="B107" s="59"/>
      <c r="D107" s="59"/>
      <c r="F107" s="59"/>
      <c r="H107" s="59"/>
      <c r="J107" s="59"/>
      <c r="L107" s="59"/>
      <c r="N107" s="59"/>
      <c r="P107" s="59"/>
      <c r="Q107" s="61"/>
    </row>
    <row r="108">
      <c r="B108" s="59"/>
      <c r="D108" s="59"/>
      <c r="F108" s="59"/>
      <c r="H108" s="59"/>
      <c r="J108" s="59"/>
      <c r="L108" s="59"/>
      <c r="N108" s="59"/>
      <c r="P108" s="59"/>
      <c r="Q108" s="61"/>
    </row>
    <row r="109">
      <c r="B109" s="59"/>
      <c r="D109" s="59"/>
      <c r="F109" s="59"/>
      <c r="H109" s="59"/>
      <c r="J109" s="59"/>
      <c r="L109" s="59"/>
      <c r="N109" s="59"/>
      <c r="P109" s="59"/>
      <c r="Q109" s="61"/>
    </row>
    <row r="110">
      <c r="B110" s="59"/>
      <c r="D110" s="59"/>
      <c r="F110" s="59"/>
      <c r="H110" s="59"/>
      <c r="J110" s="59"/>
      <c r="L110" s="59"/>
      <c r="N110" s="59"/>
      <c r="P110" s="59"/>
      <c r="Q110" s="61"/>
    </row>
    <row r="111">
      <c r="B111" s="59"/>
      <c r="D111" s="59"/>
      <c r="F111" s="59"/>
      <c r="H111" s="59"/>
      <c r="J111" s="59"/>
      <c r="L111" s="59"/>
      <c r="N111" s="59"/>
      <c r="P111" s="59"/>
      <c r="Q111" s="61"/>
    </row>
    <row r="112">
      <c r="B112" s="59"/>
      <c r="D112" s="59"/>
      <c r="F112" s="59"/>
      <c r="H112" s="59"/>
      <c r="J112" s="59"/>
      <c r="L112" s="59"/>
      <c r="N112" s="59"/>
      <c r="P112" s="59"/>
      <c r="Q112" s="61"/>
    </row>
    <row r="113">
      <c r="B113" s="59"/>
      <c r="D113" s="59"/>
      <c r="F113" s="59"/>
      <c r="H113" s="59"/>
      <c r="J113" s="59"/>
      <c r="L113" s="59"/>
      <c r="N113" s="59"/>
      <c r="P113" s="59"/>
      <c r="Q113" s="61"/>
    </row>
    <row r="114">
      <c r="B114" s="59"/>
      <c r="D114" s="59"/>
      <c r="F114" s="59"/>
      <c r="H114" s="59"/>
      <c r="J114" s="59"/>
      <c r="L114" s="59"/>
      <c r="N114" s="59"/>
      <c r="P114" s="59"/>
      <c r="Q114" s="61"/>
    </row>
    <row r="115">
      <c r="B115" s="59"/>
      <c r="D115" s="59"/>
      <c r="F115" s="59"/>
      <c r="H115" s="59"/>
      <c r="J115" s="59"/>
      <c r="L115" s="59"/>
      <c r="N115" s="59"/>
      <c r="P115" s="59"/>
      <c r="Q115" s="61"/>
    </row>
    <row r="116">
      <c r="B116" s="59"/>
      <c r="D116" s="59"/>
      <c r="F116" s="59"/>
      <c r="H116" s="59"/>
      <c r="J116" s="59"/>
      <c r="L116" s="59"/>
      <c r="N116" s="59"/>
      <c r="P116" s="59"/>
      <c r="Q116" s="61"/>
    </row>
    <row r="117">
      <c r="B117" s="59"/>
      <c r="D117" s="59"/>
      <c r="F117" s="59"/>
      <c r="H117" s="59"/>
      <c r="J117" s="59"/>
      <c r="L117" s="59"/>
      <c r="N117" s="59"/>
      <c r="P117" s="59"/>
      <c r="Q117" s="61"/>
    </row>
    <row r="118">
      <c r="B118" s="59"/>
      <c r="D118" s="59"/>
      <c r="F118" s="59"/>
      <c r="H118" s="59"/>
      <c r="J118" s="59"/>
      <c r="L118" s="59"/>
      <c r="N118" s="59"/>
      <c r="P118" s="59"/>
      <c r="Q118" s="61"/>
    </row>
    <row r="119">
      <c r="B119" s="59"/>
      <c r="D119" s="59"/>
      <c r="F119" s="59"/>
      <c r="H119" s="59"/>
      <c r="J119" s="59"/>
      <c r="L119" s="59"/>
      <c r="N119" s="59"/>
      <c r="P119" s="59"/>
      <c r="Q119" s="61"/>
    </row>
    <row r="120">
      <c r="B120" s="59"/>
      <c r="D120" s="59"/>
      <c r="F120" s="59"/>
      <c r="H120" s="59"/>
      <c r="J120" s="59"/>
      <c r="L120" s="59"/>
      <c r="N120" s="59"/>
      <c r="P120" s="59"/>
      <c r="Q120" s="61"/>
    </row>
    <row r="121">
      <c r="B121" s="59"/>
      <c r="D121" s="59"/>
      <c r="F121" s="59"/>
      <c r="H121" s="59"/>
      <c r="J121" s="59"/>
      <c r="L121" s="59"/>
      <c r="N121" s="59"/>
      <c r="P121" s="59"/>
      <c r="Q121" s="61"/>
    </row>
    <row r="122">
      <c r="B122" s="59"/>
      <c r="D122" s="59"/>
      <c r="F122" s="59"/>
      <c r="H122" s="59"/>
      <c r="J122" s="59"/>
      <c r="L122" s="59"/>
      <c r="N122" s="59"/>
      <c r="P122" s="59"/>
      <c r="Q122" s="61"/>
    </row>
    <row r="123">
      <c r="B123" s="59"/>
      <c r="D123" s="59"/>
      <c r="F123" s="59"/>
      <c r="H123" s="59"/>
      <c r="J123" s="59"/>
      <c r="L123" s="59"/>
      <c r="N123" s="59"/>
      <c r="P123" s="59"/>
      <c r="Q123" s="61"/>
    </row>
    <row r="124">
      <c r="B124" s="59"/>
      <c r="D124" s="59"/>
      <c r="F124" s="59"/>
      <c r="H124" s="59"/>
      <c r="J124" s="59"/>
      <c r="L124" s="59"/>
      <c r="N124" s="59"/>
      <c r="P124" s="59"/>
      <c r="Q124" s="61"/>
    </row>
    <row r="125">
      <c r="B125" s="59"/>
      <c r="D125" s="59"/>
      <c r="F125" s="59"/>
      <c r="H125" s="59"/>
      <c r="J125" s="59"/>
      <c r="L125" s="59"/>
      <c r="N125" s="59"/>
      <c r="P125" s="59"/>
      <c r="Q125" s="61"/>
    </row>
    <row r="126">
      <c r="B126" s="59"/>
      <c r="D126" s="59"/>
      <c r="F126" s="59"/>
      <c r="H126" s="59"/>
      <c r="J126" s="59"/>
      <c r="L126" s="59"/>
      <c r="N126" s="59"/>
      <c r="P126" s="59"/>
      <c r="Q126" s="61"/>
    </row>
    <row r="127">
      <c r="B127" s="59"/>
      <c r="D127" s="59"/>
      <c r="F127" s="59"/>
      <c r="H127" s="59"/>
      <c r="J127" s="59"/>
      <c r="L127" s="59"/>
      <c r="N127" s="59"/>
      <c r="P127" s="59"/>
      <c r="Q127" s="61"/>
    </row>
    <row r="128">
      <c r="B128" s="59"/>
      <c r="D128" s="59"/>
      <c r="F128" s="59"/>
      <c r="H128" s="59"/>
      <c r="J128" s="59"/>
      <c r="L128" s="59"/>
      <c r="N128" s="59"/>
      <c r="P128" s="59"/>
      <c r="Q128" s="61"/>
    </row>
    <row r="129">
      <c r="B129" s="59"/>
      <c r="D129" s="59"/>
      <c r="F129" s="59"/>
      <c r="H129" s="59"/>
      <c r="J129" s="59"/>
      <c r="L129" s="59"/>
      <c r="N129" s="59"/>
      <c r="P129" s="59"/>
      <c r="Q129" s="61"/>
    </row>
    <row r="130">
      <c r="B130" s="59"/>
      <c r="D130" s="59"/>
      <c r="F130" s="59"/>
      <c r="H130" s="59"/>
      <c r="J130" s="59"/>
      <c r="L130" s="59"/>
      <c r="N130" s="59"/>
      <c r="P130" s="59"/>
      <c r="Q130" s="61"/>
    </row>
    <row r="131">
      <c r="B131" s="59"/>
      <c r="D131" s="59"/>
      <c r="F131" s="59"/>
      <c r="H131" s="59"/>
      <c r="J131" s="59"/>
      <c r="L131" s="59"/>
      <c r="N131" s="59"/>
      <c r="P131" s="59"/>
      <c r="Q131" s="61"/>
    </row>
    <row r="132">
      <c r="B132" s="59"/>
      <c r="D132" s="59"/>
      <c r="F132" s="59"/>
      <c r="H132" s="59"/>
      <c r="J132" s="59"/>
      <c r="L132" s="59"/>
      <c r="N132" s="59"/>
      <c r="P132" s="59"/>
      <c r="Q132" s="61"/>
    </row>
    <row r="133">
      <c r="B133" s="59"/>
      <c r="D133" s="59"/>
      <c r="F133" s="59"/>
      <c r="H133" s="59"/>
      <c r="J133" s="59"/>
      <c r="L133" s="59"/>
      <c r="N133" s="59"/>
      <c r="P133" s="59"/>
      <c r="Q133" s="61"/>
    </row>
    <row r="134">
      <c r="B134" s="59"/>
      <c r="D134" s="59"/>
      <c r="F134" s="59"/>
      <c r="H134" s="59"/>
      <c r="J134" s="59"/>
      <c r="L134" s="59"/>
      <c r="N134" s="59"/>
      <c r="P134" s="59"/>
      <c r="Q134" s="61"/>
    </row>
    <row r="135">
      <c r="B135" s="59"/>
      <c r="D135" s="59"/>
      <c r="F135" s="59"/>
      <c r="H135" s="59"/>
      <c r="J135" s="59"/>
      <c r="L135" s="59"/>
      <c r="N135" s="59"/>
      <c r="P135" s="59"/>
      <c r="Q135" s="61"/>
    </row>
    <row r="136">
      <c r="B136" s="59"/>
      <c r="D136" s="59"/>
      <c r="F136" s="59"/>
      <c r="H136" s="59"/>
      <c r="J136" s="59"/>
      <c r="L136" s="59"/>
      <c r="N136" s="59"/>
      <c r="P136" s="59"/>
      <c r="Q136" s="61"/>
    </row>
    <row r="137">
      <c r="B137" s="59"/>
      <c r="D137" s="59"/>
      <c r="F137" s="59"/>
      <c r="H137" s="59"/>
      <c r="J137" s="59"/>
      <c r="L137" s="59"/>
      <c r="N137" s="59"/>
      <c r="P137" s="59"/>
      <c r="Q137" s="61"/>
    </row>
    <row r="138">
      <c r="B138" s="59"/>
      <c r="D138" s="59"/>
      <c r="F138" s="59"/>
      <c r="H138" s="59"/>
      <c r="J138" s="59"/>
      <c r="L138" s="59"/>
      <c r="N138" s="59"/>
      <c r="P138" s="59"/>
      <c r="Q138" s="61"/>
    </row>
    <row r="139">
      <c r="B139" s="59"/>
      <c r="D139" s="59"/>
      <c r="F139" s="59"/>
      <c r="H139" s="59"/>
      <c r="J139" s="59"/>
      <c r="L139" s="59"/>
      <c r="N139" s="59"/>
      <c r="P139" s="59"/>
      <c r="Q139" s="61"/>
    </row>
    <row r="140">
      <c r="B140" s="59"/>
      <c r="D140" s="59"/>
      <c r="F140" s="59"/>
      <c r="H140" s="59"/>
      <c r="J140" s="59"/>
      <c r="L140" s="59"/>
      <c r="N140" s="59"/>
      <c r="P140" s="59"/>
      <c r="Q140" s="61"/>
    </row>
    <row r="141">
      <c r="B141" s="59"/>
      <c r="D141" s="59"/>
      <c r="F141" s="59"/>
      <c r="H141" s="59"/>
      <c r="J141" s="59"/>
      <c r="L141" s="59"/>
      <c r="N141" s="59"/>
      <c r="P141" s="59"/>
      <c r="Q141" s="61"/>
    </row>
    <row r="142">
      <c r="B142" s="59"/>
      <c r="D142" s="59"/>
      <c r="F142" s="59"/>
      <c r="H142" s="59"/>
      <c r="J142" s="59"/>
      <c r="L142" s="59"/>
      <c r="N142" s="59"/>
      <c r="P142" s="59"/>
      <c r="Q142" s="61"/>
    </row>
    <row r="143">
      <c r="B143" s="59"/>
      <c r="D143" s="59"/>
      <c r="F143" s="59"/>
      <c r="H143" s="59"/>
      <c r="J143" s="59"/>
      <c r="L143" s="59"/>
      <c r="N143" s="59"/>
      <c r="P143" s="59"/>
      <c r="Q143" s="61"/>
    </row>
    <row r="144">
      <c r="B144" s="59"/>
      <c r="D144" s="59"/>
      <c r="F144" s="59"/>
      <c r="H144" s="59"/>
      <c r="J144" s="59"/>
      <c r="L144" s="59"/>
      <c r="N144" s="59"/>
      <c r="P144" s="59"/>
      <c r="Q144" s="61"/>
    </row>
    <row r="145">
      <c r="B145" s="59"/>
      <c r="D145" s="59"/>
      <c r="F145" s="59"/>
      <c r="H145" s="59"/>
      <c r="J145" s="59"/>
      <c r="L145" s="59"/>
      <c r="N145" s="59"/>
      <c r="P145" s="59"/>
      <c r="Q145" s="61"/>
    </row>
    <row r="146">
      <c r="B146" s="59"/>
      <c r="D146" s="59"/>
      <c r="F146" s="59"/>
      <c r="H146" s="59"/>
      <c r="J146" s="59"/>
      <c r="L146" s="59"/>
      <c r="N146" s="59"/>
      <c r="P146" s="59"/>
      <c r="Q146" s="61"/>
    </row>
    <row r="147">
      <c r="B147" s="59"/>
      <c r="D147" s="59"/>
      <c r="F147" s="59"/>
      <c r="H147" s="59"/>
      <c r="J147" s="59"/>
      <c r="L147" s="59"/>
      <c r="N147" s="59"/>
      <c r="P147" s="59"/>
      <c r="Q147" s="61"/>
    </row>
    <row r="148">
      <c r="B148" s="59"/>
      <c r="D148" s="59"/>
      <c r="F148" s="59"/>
      <c r="H148" s="59"/>
      <c r="J148" s="59"/>
      <c r="L148" s="59"/>
      <c r="N148" s="59"/>
      <c r="P148" s="59"/>
      <c r="Q148" s="61"/>
    </row>
    <row r="149">
      <c r="B149" s="59"/>
      <c r="D149" s="59"/>
      <c r="F149" s="59"/>
      <c r="H149" s="59"/>
      <c r="J149" s="59"/>
      <c r="L149" s="59"/>
      <c r="N149" s="59"/>
      <c r="P149" s="59"/>
      <c r="Q149" s="61"/>
    </row>
    <row r="150">
      <c r="B150" s="59"/>
      <c r="D150" s="59"/>
      <c r="F150" s="59"/>
      <c r="H150" s="59"/>
      <c r="J150" s="59"/>
      <c r="L150" s="59"/>
      <c r="N150" s="59"/>
      <c r="P150" s="59"/>
      <c r="Q150" s="61"/>
    </row>
    <row r="151">
      <c r="B151" s="59"/>
      <c r="D151" s="59"/>
      <c r="F151" s="59"/>
      <c r="H151" s="59"/>
      <c r="J151" s="59"/>
      <c r="L151" s="59"/>
      <c r="N151" s="59"/>
      <c r="P151" s="59"/>
      <c r="Q151" s="61"/>
    </row>
    <row r="152">
      <c r="B152" s="59"/>
      <c r="D152" s="59"/>
      <c r="F152" s="59"/>
      <c r="H152" s="59"/>
      <c r="J152" s="59"/>
      <c r="L152" s="59"/>
      <c r="N152" s="59"/>
      <c r="P152" s="59"/>
      <c r="Q152" s="61"/>
    </row>
    <row r="153">
      <c r="B153" s="59"/>
      <c r="D153" s="59"/>
      <c r="F153" s="59"/>
      <c r="H153" s="59"/>
      <c r="J153" s="59"/>
      <c r="L153" s="59"/>
      <c r="N153" s="59"/>
      <c r="P153" s="59"/>
      <c r="Q153" s="61"/>
    </row>
    <row r="154">
      <c r="B154" s="59"/>
      <c r="D154" s="59"/>
      <c r="F154" s="59"/>
      <c r="H154" s="59"/>
      <c r="J154" s="59"/>
      <c r="L154" s="59"/>
      <c r="N154" s="59"/>
      <c r="P154" s="59"/>
      <c r="Q154" s="61"/>
    </row>
    <row r="155">
      <c r="B155" s="59"/>
      <c r="D155" s="59"/>
      <c r="F155" s="59"/>
      <c r="H155" s="59"/>
      <c r="J155" s="59"/>
      <c r="L155" s="59"/>
      <c r="N155" s="59"/>
      <c r="P155" s="59"/>
      <c r="Q155" s="61"/>
    </row>
    <row r="156">
      <c r="B156" s="59"/>
      <c r="D156" s="59"/>
      <c r="F156" s="59"/>
      <c r="H156" s="59"/>
      <c r="J156" s="59"/>
      <c r="L156" s="59"/>
      <c r="N156" s="59"/>
      <c r="P156" s="59"/>
      <c r="Q156" s="61"/>
    </row>
    <row r="157">
      <c r="B157" s="59"/>
      <c r="D157" s="59"/>
      <c r="F157" s="59"/>
      <c r="H157" s="59"/>
      <c r="J157" s="59"/>
      <c r="L157" s="59"/>
      <c r="N157" s="59"/>
      <c r="P157" s="59"/>
      <c r="Q157" s="61"/>
    </row>
    <row r="158">
      <c r="B158" s="59"/>
      <c r="D158" s="59"/>
      <c r="F158" s="59"/>
      <c r="H158" s="59"/>
      <c r="J158" s="59"/>
      <c r="L158" s="59"/>
      <c r="N158" s="59"/>
      <c r="P158" s="59"/>
      <c r="Q158" s="61"/>
    </row>
    <row r="159">
      <c r="B159" s="59"/>
      <c r="D159" s="59"/>
      <c r="F159" s="59"/>
      <c r="H159" s="59"/>
      <c r="J159" s="59"/>
      <c r="L159" s="59"/>
      <c r="N159" s="59"/>
      <c r="P159" s="59"/>
      <c r="Q159" s="61"/>
    </row>
    <row r="160">
      <c r="B160" s="59"/>
      <c r="D160" s="59"/>
      <c r="F160" s="59"/>
      <c r="H160" s="59"/>
      <c r="J160" s="59"/>
      <c r="L160" s="59"/>
      <c r="N160" s="59"/>
      <c r="P160" s="59"/>
      <c r="Q160" s="61"/>
    </row>
    <row r="161">
      <c r="B161" s="59"/>
      <c r="D161" s="59"/>
      <c r="F161" s="59"/>
      <c r="H161" s="59"/>
      <c r="J161" s="59"/>
      <c r="L161" s="59"/>
      <c r="N161" s="59"/>
      <c r="P161" s="59"/>
      <c r="Q161" s="61"/>
    </row>
    <row r="162">
      <c r="B162" s="59"/>
      <c r="D162" s="59"/>
      <c r="F162" s="59"/>
      <c r="H162" s="59"/>
      <c r="J162" s="59"/>
      <c r="L162" s="59"/>
      <c r="N162" s="59"/>
      <c r="P162" s="59"/>
      <c r="Q162" s="61"/>
    </row>
    <row r="163">
      <c r="B163" s="59"/>
      <c r="D163" s="59"/>
      <c r="F163" s="59"/>
      <c r="H163" s="59"/>
      <c r="J163" s="59"/>
      <c r="L163" s="59"/>
      <c r="N163" s="59"/>
      <c r="P163" s="59"/>
      <c r="Q163" s="61"/>
    </row>
    <row r="164">
      <c r="B164" s="59"/>
      <c r="D164" s="59"/>
      <c r="F164" s="59"/>
      <c r="H164" s="59"/>
      <c r="J164" s="59"/>
      <c r="L164" s="59"/>
      <c r="N164" s="59"/>
      <c r="P164" s="59"/>
      <c r="Q164" s="61"/>
    </row>
    <row r="165">
      <c r="B165" s="59"/>
      <c r="D165" s="59"/>
      <c r="F165" s="59"/>
      <c r="H165" s="59"/>
      <c r="J165" s="59"/>
      <c r="L165" s="59"/>
      <c r="N165" s="59"/>
      <c r="P165" s="59"/>
      <c r="Q165" s="61"/>
    </row>
    <row r="166">
      <c r="B166" s="59"/>
      <c r="D166" s="59"/>
      <c r="F166" s="59"/>
      <c r="H166" s="59"/>
      <c r="J166" s="59"/>
      <c r="L166" s="59"/>
      <c r="N166" s="59"/>
      <c r="P166" s="59"/>
      <c r="Q166" s="61"/>
    </row>
    <row r="167">
      <c r="B167" s="59"/>
      <c r="D167" s="59"/>
      <c r="F167" s="59"/>
      <c r="H167" s="59"/>
      <c r="J167" s="59"/>
      <c r="L167" s="59"/>
      <c r="N167" s="59"/>
      <c r="P167" s="59"/>
      <c r="Q167" s="61"/>
    </row>
    <row r="168">
      <c r="B168" s="59"/>
      <c r="D168" s="59"/>
      <c r="F168" s="59"/>
      <c r="H168" s="59"/>
      <c r="J168" s="59"/>
      <c r="L168" s="59"/>
      <c r="N168" s="59"/>
      <c r="P168" s="59"/>
      <c r="Q168" s="61"/>
    </row>
    <row r="169">
      <c r="B169" s="59"/>
      <c r="D169" s="59"/>
      <c r="F169" s="59"/>
      <c r="H169" s="59"/>
      <c r="J169" s="59"/>
      <c r="L169" s="59"/>
      <c r="N169" s="59"/>
      <c r="P169" s="59"/>
      <c r="Q169" s="61"/>
    </row>
    <row r="170">
      <c r="B170" s="59"/>
      <c r="D170" s="59"/>
      <c r="F170" s="59"/>
      <c r="H170" s="59"/>
      <c r="J170" s="59"/>
      <c r="L170" s="59"/>
      <c r="N170" s="59"/>
      <c r="P170" s="59"/>
      <c r="Q170" s="61"/>
    </row>
    <row r="171">
      <c r="B171" s="59"/>
      <c r="D171" s="59"/>
      <c r="F171" s="59"/>
      <c r="H171" s="59"/>
      <c r="J171" s="59"/>
      <c r="L171" s="59"/>
      <c r="N171" s="59"/>
      <c r="P171" s="59"/>
      <c r="Q171" s="61"/>
    </row>
    <row r="172">
      <c r="B172" s="59"/>
      <c r="D172" s="59"/>
      <c r="F172" s="59"/>
      <c r="H172" s="59"/>
      <c r="J172" s="59"/>
      <c r="L172" s="59"/>
      <c r="N172" s="59"/>
      <c r="P172" s="59"/>
      <c r="Q172" s="61"/>
    </row>
    <row r="173">
      <c r="B173" s="59"/>
      <c r="D173" s="59"/>
      <c r="F173" s="59"/>
      <c r="H173" s="59"/>
      <c r="J173" s="59"/>
      <c r="L173" s="59"/>
      <c r="N173" s="59"/>
      <c r="P173" s="59"/>
      <c r="Q173" s="61"/>
    </row>
    <row r="174">
      <c r="B174" s="59"/>
      <c r="D174" s="59"/>
      <c r="F174" s="59"/>
      <c r="H174" s="59"/>
      <c r="J174" s="59"/>
      <c r="L174" s="59"/>
      <c r="N174" s="59"/>
      <c r="P174" s="59"/>
      <c r="Q174" s="61"/>
    </row>
    <row r="175">
      <c r="B175" s="59"/>
      <c r="D175" s="59"/>
      <c r="F175" s="59"/>
      <c r="H175" s="59"/>
      <c r="J175" s="59"/>
      <c r="L175" s="59"/>
      <c r="N175" s="59"/>
      <c r="P175" s="59"/>
      <c r="Q175" s="61"/>
    </row>
    <row r="176">
      <c r="B176" s="59"/>
      <c r="D176" s="59"/>
      <c r="F176" s="59"/>
      <c r="H176" s="59"/>
      <c r="J176" s="59"/>
      <c r="L176" s="59"/>
      <c r="N176" s="59"/>
      <c r="P176" s="59"/>
      <c r="Q176" s="61"/>
    </row>
    <row r="177">
      <c r="B177" s="59"/>
      <c r="D177" s="59"/>
      <c r="F177" s="59"/>
      <c r="H177" s="59"/>
      <c r="J177" s="59"/>
      <c r="L177" s="59"/>
      <c r="N177" s="59"/>
      <c r="P177" s="59"/>
      <c r="Q177" s="61"/>
    </row>
    <row r="178">
      <c r="B178" s="59"/>
      <c r="D178" s="59"/>
      <c r="F178" s="59"/>
      <c r="H178" s="59"/>
      <c r="J178" s="59"/>
      <c r="L178" s="59"/>
      <c r="N178" s="59"/>
      <c r="P178" s="59"/>
      <c r="Q178" s="61"/>
    </row>
    <row r="179">
      <c r="B179" s="59"/>
      <c r="D179" s="59"/>
      <c r="F179" s="59"/>
      <c r="H179" s="59"/>
      <c r="J179" s="59"/>
      <c r="L179" s="59"/>
      <c r="N179" s="59"/>
      <c r="P179" s="59"/>
      <c r="Q179" s="61"/>
    </row>
    <row r="180">
      <c r="B180" s="59"/>
      <c r="D180" s="59"/>
      <c r="F180" s="59"/>
      <c r="H180" s="59"/>
      <c r="J180" s="59"/>
      <c r="L180" s="59"/>
      <c r="N180" s="59"/>
      <c r="P180" s="59"/>
      <c r="Q180" s="61"/>
    </row>
    <row r="181">
      <c r="B181" s="59"/>
      <c r="D181" s="59"/>
      <c r="F181" s="59"/>
      <c r="H181" s="59"/>
      <c r="J181" s="59"/>
      <c r="L181" s="59"/>
      <c r="N181" s="59"/>
      <c r="P181" s="59"/>
      <c r="Q181" s="61"/>
    </row>
    <row r="182">
      <c r="B182" s="59"/>
      <c r="D182" s="59"/>
      <c r="F182" s="59"/>
      <c r="H182" s="59"/>
      <c r="J182" s="59"/>
      <c r="L182" s="59"/>
      <c r="N182" s="59"/>
      <c r="P182" s="59"/>
      <c r="Q182" s="61"/>
    </row>
    <row r="183">
      <c r="B183" s="59"/>
      <c r="D183" s="59"/>
      <c r="F183" s="59"/>
      <c r="H183" s="59"/>
      <c r="J183" s="59"/>
      <c r="L183" s="59"/>
      <c r="N183" s="59"/>
      <c r="P183" s="59"/>
      <c r="Q183" s="61"/>
    </row>
    <row r="184">
      <c r="B184" s="59"/>
      <c r="D184" s="59"/>
      <c r="F184" s="59"/>
      <c r="H184" s="59"/>
      <c r="J184" s="59"/>
      <c r="L184" s="59"/>
      <c r="N184" s="59"/>
      <c r="P184" s="59"/>
      <c r="Q184" s="61"/>
    </row>
    <row r="185">
      <c r="B185" s="59"/>
      <c r="D185" s="59"/>
      <c r="F185" s="59"/>
      <c r="H185" s="59"/>
      <c r="J185" s="59"/>
      <c r="L185" s="59"/>
      <c r="N185" s="59"/>
      <c r="P185" s="59"/>
      <c r="Q185" s="61"/>
    </row>
    <row r="186">
      <c r="B186" s="59"/>
      <c r="D186" s="59"/>
      <c r="F186" s="59"/>
      <c r="H186" s="59"/>
      <c r="J186" s="59"/>
      <c r="L186" s="59"/>
      <c r="N186" s="59"/>
      <c r="P186" s="59"/>
      <c r="Q186" s="61"/>
    </row>
    <row r="187">
      <c r="B187" s="59"/>
      <c r="D187" s="59"/>
      <c r="F187" s="59"/>
      <c r="H187" s="59"/>
      <c r="J187" s="59"/>
      <c r="L187" s="59"/>
      <c r="N187" s="59"/>
      <c r="P187" s="59"/>
      <c r="Q187" s="61"/>
    </row>
    <row r="188">
      <c r="B188" s="59"/>
      <c r="D188" s="59"/>
      <c r="F188" s="59"/>
      <c r="H188" s="59"/>
      <c r="J188" s="59"/>
      <c r="L188" s="59"/>
      <c r="N188" s="59"/>
      <c r="P188" s="59"/>
      <c r="Q188" s="61"/>
    </row>
    <row r="189">
      <c r="B189" s="59"/>
      <c r="D189" s="59"/>
      <c r="F189" s="59"/>
      <c r="H189" s="59"/>
      <c r="J189" s="59"/>
      <c r="L189" s="59"/>
      <c r="N189" s="59"/>
      <c r="P189" s="59"/>
      <c r="Q189" s="61"/>
    </row>
    <row r="190">
      <c r="B190" s="59"/>
      <c r="D190" s="59"/>
      <c r="F190" s="59"/>
      <c r="H190" s="59"/>
      <c r="J190" s="59"/>
      <c r="L190" s="59"/>
      <c r="N190" s="59"/>
      <c r="P190" s="59"/>
      <c r="Q190" s="61"/>
    </row>
    <row r="191">
      <c r="B191" s="59"/>
      <c r="D191" s="59"/>
      <c r="F191" s="59"/>
      <c r="H191" s="59"/>
      <c r="J191" s="59"/>
      <c r="L191" s="59"/>
      <c r="N191" s="59"/>
      <c r="P191" s="59"/>
      <c r="Q191" s="61"/>
    </row>
    <row r="192">
      <c r="B192" s="59"/>
      <c r="D192" s="59"/>
      <c r="F192" s="59"/>
      <c r="H192" s="59"/>
      <c r="J192" s="59"/>
      <c r="L192" s="59"/>
      <c r="N192" s="59"/>
      <c r="P192" s="59"/>
      <c r="Q192" s="61"/>
    </row>
    <row r="193">
      <c r="B193" s="59"/>
      <c r="D193" s="59"/>
      <c r="F193" s="59"/>
      <c r="H193" s="59"/>
      <c r="J193" s="59"/>
      <c r="L193" s="59"/>
      <c r="N193" s="59"/>
      <c r="P193" s="59"/>
      <c r="Q193" s="61"/>
    </row>
    <row r="194">
      <c r="B194" s="59"/>
      <c r="D194" s="59"/>
      <c r="F194" s="59"/>
      <c r="H194" s="59"/>
      <c r="J194" s="59"/>
      <c r="L194" s="59"/>
      <c r="N194" s="59"/>
      <c r="P194" s="59"/>
      <c r="Q194" s="61"/>
    </row>
    <row r="195">
      <c r="B195" s="59"/>
      <c r="D195" s="59"/>
      <c r="F195" s="59"/>
      <c r="H195" s="59"/>
      <c r="J195" s="59"/>
      <c r="L195" s="59"/>
      <c r="N195" s="59"/>
      <c r="P195" s="59"/>
      <c r="Q195" s="61"/>
    </row>
    <row r="196">
      <c r="B196" s="59"/>
      <c r="D196" s="59"/>
      <c r="F196" s="59"/>
      <c r="H196" s="59"/>
      <c r="J196" s="59"/>
      <c r="L196" s="59"/>
      <c r="N196" s="59"/>
      <c r="P196" s="59"/>
      <c r="Q196" s="61"/>
    </row>
    <row r="197">
      <c r="B197" s="59"/>
      <c r="D197" s="59"/>
      <c r="F197" s="59"/>
      <c r="H197" s="59"/>
      <c r="J197" s="59"/>
      <c r="L197" s="59"/>
      <c r="N197" s="59"/>
      <c r="P197" s="59"/>
      <c r="Q197" s="61"/>
    </row>
    <row r="198">
      <c r="B198" s="59"/>
      <c r="D198" s="59"/>
      <c r="F198" s="59"/>
      <c r="H198" s="59"/>
      <c r="J198" s="59"/>
      <c r="L198" s="59"/>
      <c r="N198" s="59"/>
      <c r="P198" s="59"/>
      <c r="Q198" s="61"/>
    </row>
    <row r="199">
      <c r="B199" s="59"/>
      <c r="D199" s="59"/>
      <c r="F199" s="59"/>
      <c r="H199" s="59"/>
      <c r="J199" s="59"/>
      <c r="L199" s="59"/>
      <c r="N199" s="59"/>
      <c r="P199" s="59"/>
      <c r="Q199" s="61"/>
    </row>
    <row r="200">
      <c r="B200" s="59"/>
      <c r="D200" s="59"/>
      <c r="F200" s="59"/>
      <c r="H200" s="59"/>
      <c r="J200" s="59"/>
      <c r="L200" s="59"/>
      <c r="N200" s="59"/>
      <c r="P200" s="59"/>
      <c r="Q200" s="61"/>
    </row>
    <row r="201">
      <c r="B201" s="59"/>
      <c r="D201" s="59"/>
      <c r="F201" s="59"/>
      <c r="H201" s="59"/>
      <c r="J201" s="59"/>
      <c r="L201" s="59"/>
      <c r="N201" s="59"/>
      <c r="P201" s="59"/>
      <c r="Q201" s="61"/>
    </row>
    <row r="202">
      <c r="B202" s="59"/>
      <c r="D202" s="59"/>
      <c r="F202" s="59"/>
      <c r="H202" s="59"/>
      <c r="J202" s="59"/>
      <c r="L202" s="59"/>
      <c r="N202" s="59"/>
      <c r="P202" s="59"/>
      <c r="Q202" s="61"/>
    </row>
    <row r="203">
      <c r="B203" s="59"/>
      <c r="D203" s="59"/>
      <c r="F203" s="59"/>
      <c r="H203" s="59"/>
      <c r="J203" s="59"/>
      <c r="L203" s="59"/>
      <c r="N203" s="59"/>
      <c r="P203" s="59"/>
      <c r="Q203" s="61"/>
    </row>
    <row r="204">
      <c r="B204" s="59"/>
      <c r="D204" s="59"/>
      <c r="F204" s="59"/>
      <c r="H204" s="59"/>
      <c r="J204" s="59"/>
      <c r="L204" s="59"/>
      <c r="N204" s="59"/>
      <c r="P204" s="59"/>
      <c r="Q204" s="61"/>
    </row>
    <row r="205">
      <c r="B205" s="59"/>
      <c r="D205" s="59"/>
      <c r="F205" s="59"/>
      <c r="H205" s="59"/>
      <c r="J205" s="59"/>
      <c r="L205" s="59"/>
      <c r="N205" s="59"/>
      <c r="P205" s="59"/>
      <c r="Q205" s="61"/>
    </row>
    <row r="206">
      <c r="B206" s="59"/>
      <c r="D206" s="59"/>
      <c r="F206" s="59"/>
      <c r="H206" s="59"/>
      <c r="J206" s="59"/>
      <c r="L206" s="59"/>
      <c r="N206" s="59"/>
      <c r="P206" s="59"/>
      <c r="Q206" s="61"/>
    </row>
    <row r="207">
      <c r="B207" s="59"/>
      <c r="D207" s="59"/>
      <c r="F207" s="59"/>
      <c r="H207" s="59"/>
      <c r="J207" s="59"/>
      <c r="L207" s="59"/>
      <c r="N207" s="59"/>
      <c r="P207" s="59"/>
      <c r="Q207" s="61"/>
    </row>
    <row r="208">
      <c r="B208" s="59"/>
      <c r="D208" s="59"/>
      <c r="F208" s="59"/>
      <c r="H208" s="59"/>
      <c r="J208" s="59"/>
      <c r="L208" s="59"/>
      <c r="N208" s="59"/>
      <c r="P208" s="59"/>
      <c r="Q208" s="61"/>
    </row>
    <row r="209">
      <c r="B209" s="59"/>
      <c r="D209" s="59"/>
      <c r="F209" s="59"/>
      <c r="H209" s="59"/>
      <c r="J209" s="59"/>
      <c r="L209" s="59"/>
      <c r="N209" s="59"/>
      <c r="P209" s="59"/>
      <c r="Q209" s="61"/>
    </row>
    <row r="210">
      <c r="B210" s="59"/>
      <c r="D210" s="59"/>
      <c r="F210" s="59"/>
      <c r="H210" s="59"/>
      <c r="J210" s="59"/>
      <c r="L210" s="59"/>
      <c r="N210" s="59"/>
      <c r="P210" s="59"/>
      <c r="Q210" s="61"/>
    </row>
    <row r="211">
      <c r="B211" s="59"/>
      <c r="D211" s="59"/>
      <c r="F211" s="59"/>
      <c r="H211" s="59"/>
      <c r="J211" s="59"/>
      <c r="L211" s="59"/>
      <c r="N211" s="59"/>
      <c r="P211" s="59"/>
      <c r="Q211" s="61"/>
    </row>
    <row r="212">
      <c r="B212" s="59"/>
      <c r="D212" s="59"/>
      <c r="F212" s="59"/>
      <c r="H212" s="59"/>
      <c r="J212" s="59"/>
      <c r="L212" s="59"/>
      <c r="N212" s="59"/>
      <c r="P212" s="59"/>
      <c r="Q212" s="61"/>
    </row>
    <row r="213">
      <c r="B213" s="59"/>
      <c r="D213" s="59"/>
      <c r="F213" s="59"/>
      <c r="H213" s="59"/>
      <c r="J213" s="59"/>
      <c r="L213" s="59"/>
      <c r="N213" s="59"/>
      <c r="P213" s="59"/>
      <c r="Q213" s="61"/>
    </row>
    <row r="214">
      <c r="B214" s="59"/>
      <c r="D214" s="59"/>
      <c r="F214" s="59"/>
      <c r="H214" s="59"/>
      <c r="J214" s="59"/>
      <c r="L214" s="59"/>
      <c r="N214" s="59"/>
      <c r="P214" s="59"/>
      <c r="Q214" s="61"/>
    </row>
    <row r="215">
      <c r="B215" s="59"/>
      <c r="D215" s="59"/>
      <c r="F215" s="59"/>
      <c r="H215" s="59"/>
      <c r="J215" s="59"/>
      <c r="L215" s="59"/>
      <c r="N215" s="59"/>
      <c r="P215" s="59"/>
      <c r="Q215" s="61"/>
    </row>
    <row r="216">
      <c r="B216" s="59"/>
      <c r="D216" s="59"/>
      <c r="F216" s="59"/>
      <c r="H216" s="59"/>
      <c r="J216" s="59"/>
      <c r="L216" s="59"/>
      <c r="N216" s="59"/>
      <c r="P216" s="59"/>
      <c r="Q216" s="61"/>
    </row>
    <row r="217">
      <c r="B217" s="59"/>
      <c r="D217" s="59"/>
      <c r="F217" s="59"/>
      <c r="H217" s="59"/>
      <c r="J217" s="59"/>
      <c r="L217" s="59"/>
      <c r="N217" s="59"/>
      <c r="P217" s="59"/>
      <c r="Q217" s="61"/>
    </row>
    <row r="218">
      <c r="B218" s="59"/>
      <c r="D218" s="59"/>
      <c r="F218" s="59"/>
      <c r="H218" s="59"/>
      <c r="J218" s="59"/>
      <c r="L218" s="59"/>
      <c r="N218" s="59"/>
      <c r="P218" s="59"/>
      <c r="Q218" s="61"/>
    </row>
    <row r="219">
      <c r="B219" s="59"/>
      <c r="D219" s="59"/>
      <c r="F219" s="59"/>
      <c r="H219" s="59"/>
      <c r="J219" s="59"/>
      <c r="L219" s="59"/>
      <c r="N219" s="59"/>
      <c r="P219" s="59"/>
      <c r="Q219" s="61"/>
    </row>
    <row r="220">
      <c r="B220" s="59"/>
      <c r="D220" s="59"/>
      <c r="F220" s="59"/>
      <c r="H220" s="59"/>
      <c r="J220" s="59"/>
      <c r="L220" s="59"/>
      <c r="N220" s="59"/>
      <c r="P220" s="59"/>
      <c r="Q220" s="61"/>
    </row>
    <row r="221">
      <c r="B221" s="59"/>
      <c r="D221" s="59"/>
      <c r="F221" s="59"/>
      <c r="H221" s="59"/>
      <c r="J221" s="59"/>
      <c r="L221" s="59"/>
      <c r="N221" s="59"/>
      <c r="P221" s="59"/>
      <c r="Q221" s="61"/>
    </row>
    <row r="222">
      <c r="B222" s="59"/>
      <c r="D222" s="59"/>
      <c r="F222" s="59"/>
      <c r="H222" s="59"/>
      <c r="J222" s="59"/>
      <c r="L222" s="59"/>
      <c r="N222" s="59"/>
      <c r="P222" s="59"/>
      <c r="Q222" s="61"/>
    </row>
    <row r="223">
      <c r="B223" s="59"/>
      <c r="D223" s="59"/>
      <c r="F223" s="59"/>
      <c r="H223" s="59"/>
      <c r="J223" s="59"/>
      <c r="L223" s="59"/>
      <c r="N223" s="59"/>
      <c r="P223" s="59"/>
      <c r="Q223" s="61"/>
    </row>
    <row r="224">
      <c r="B224" s="59"/>
      <c r="D224" s="59"/>
      <c r="F224" s="59"/>
      <c r="H224" s="59"/>
      <c r="J224" s="59"/>
      <c r="L224" s="59"/>
      <c r="N224" s="59"/>
      <c r="P224" s="59"/>
      <c r="Q224" s="61"/>
    </row>
    <row r="225">
      <c r="B225" s="59"/>
      <c r="D225" s="59"/>
      <c r="F225" s="59"/>
      <c r="H225" s="59"/>
      <c r="J225" s="59"/>
      <c r="L225" s="59"/>
      <c r="N225" s="59"/>
      <c r="P225" s="59"/>
      <c r="Q225" s="61"/>
    </row>
    <row r="226">
      <c r="B226" s="59"/>
      <c r="D226" s="59"/>
      <c r="F226" s="59"/>
      <c r="H226" s="59"/>
      <c r="J226" s="59"/>
      <c r="L226" s="59"/>
      <c r="N226" s="59"/>
      <c r="P226" s="59"/>
      <c r="Q226" s="61"/>
    </row>
    <row r="227">
      <c r="B227" s="59"/>
      <c r="D227" s="59"/>
      <c r="F227" s="59"/>
      <c r="H227" s="59"/>
      <c r="J227" s="59"/>
      <c r="L227" s="59"/>
      <c r="N227" s="59"/>
      <c r="P227" s="59"/>
      <c r="Q227" s="61"/>
    </row>
    <row r="228">
      <c r="B228" s="59"/>
      <c r="D228" s="59"/>
      <c r="F228" s="59"/>
      <c r="H228" s="59"/>
      <c r="J228" s="59"/>
      <c r="L228" s="59"/>
      <c r="N228" s="59"/>
      <c r="P228" s="59"/>
      <c r="Q228" s="61"/>
    </row>
    <row r="229">
      <c r="B229" s="59"/>
      <c r="D229" s="59"/>
      <c r="F229" s="59"/>
      <c r="H229" s="59"/>
      <c r="J229" s="59"/>
      <c r="L229" s="59"/>
      <c r="N229" s="59"/>
      <c r="P229" s="59"/>
      <c r="Q229" s="61"/>
    </row>
    <row r="230">
      <c r="B230" s="59"/>
      <c r="D230" s="59"/>
      <c r="F230" s="59"/>
      <c r="H230" s="59"/>
      <c r="J230" s="59"/>
      <c r="L230" s="59"/>
      <c r="N230" s="59"/>
      <c r="P230" s="59"/>
      <c r="Q230" s="61"/>
    </row>
    <row r="231">
      <c r="B231" s="59"/>
      <c r="D231" s="59"/>
      <c r="F231" s="59"/>
      <c r="H231" s="59"/>
      <c r="J231" s="59"/>
      <c r="L231" s="59"/>
      <c r="N231" s="59"/>
      <c r="P231" s="59"/>
      <c r="Q231" s="61"/>
    </row>
    <row r="232">
      <c r="B232" s="59"/>
      <c r="D232" s="59"/>
      <c r="F232" s="59"/>
      <c r="H232" s="59"/>
      <c r="J232" s="59"/>
      <c r="L232" s="59"/>
      <c r="N232" s="59"/>
      <c r="P232" s="59"/>
      <c r="Q232" s="61"/>
    </row>
    <row r="233">
      <c r="B233" s="59"/>
      <c r="D233" s="59"/>
      <c r="F233" s="59"/>
      <c r="H233" s="59"/>
      <c r="J233" s="59"/>
      <c r="L233" s="59"/>
      <c r="N233" s="59"/>
      <c r="P233" s="59"/>
      <c r="Q233" s="61"/>
    </row>
    <row r="234">
      <c r="B234" s="59"/>
      <c r="D234" s="59"/>
      <c r="F234" s="59"/>
      <c r="H234" s="59"/>
      <c r="J234" s="59"/>
      <c r="L234" s="59"/>
      <c r="N234" s="59"/>
      <c r="P234" s="59"/>
      <c r="Q234" s="61"/>
    </row>
    <row r="235">
      <c r="B235" s="59"/>
      <c r="D235" s="59"/>
      <c r="F235" s="59"/>
      <c r="H235" s="59"/>
      <c r="J235" s="59"/>
      <c r="L235" s="59"/>
      <c r="N235" s="59"/>
      <c r="P235" s="59"/>
      <c r="Q235" s="61"/>
    </row>
    <row r="236">
      <c r="B236" s="59"/>
      <c r="D236" s="59"/>
      <c r="F236" s="59"/>
      <c r="H236" s="59"/>
      <c r="J236" s="59"/>
      <c r="L236" s="59"/>
      <c r="N236" s="59"/>
      <c r="P236" s="59"/>
      <c r="Q236" s="61"/>
    </row>
    <row r="237">
      <c r="B237" s="59"/>
      <c r="D237" s="59"/>
      <c r="F237" s="59"/>
      <c r="H237" s="59"/>
      <c r="J237" s="59"/>
      <c r="L237" s="59"/>
      <c r="N237" s="59"/>
      <c r="P237" s="59"/>
      <c r="Q237" s="61"/>
    </row>
    <row r="238">
      <c r="B238" s="59"/>
      <c r="D238" s="59"/>
      <c r="F238" s="59"/>
      <c r="H238" s="59"/>
      <c r="J238" s="59"/>
      <c r="L238" s="59"/>
      <c r="N238" s="59"/>
      <c r="P238" s="59"/>
      <c r="Q238" s="61"/>
    </row>
    <row r="239">
      <c r="B239" s="59"/>
      <c r="D239" s="59"/>
      <c r="F239" s="59"/>
      <c r="H239" s="59"/>
      <c r="J239" s="59"/>
      <c r="L239" s="59"/>
      <c r="N239" s="59"/>
      <c r="P239" s="59"/>
      <c r="Q239" s="61"/>
    </row>
    <row r="240">
      <c r="B240" s="59"/>
      <c r="D240" s="59"/>
      <c r="F240" s="59"/>
      <c r="H240" s="59"/>
      <c r="J240" s="59"/>
      <c r="L240" s="59"/>
      <c r="N240" s="59"/>
      <c r="P240" s="59"/>
      <c r="Q240" s="61"/>
    </row>
    <row r="241">
      <c r="B241" s="59"/>
      <c r="D241" s="59"/>
      <c r="F241" s="59"/>
      <c r="H241" s="59"/>
      <c r="J241" s="59"/>
      <c r="L241" s="59"/>
      <c r="N241" s="59"/>
      <c r="P241" s="59"/>
      <c r="Q241" s="61"/>
    </row>
    <row r="242">
      <c r="B242" s="59"/>
      <c r="D242" s="59"/>
      <c r="F242" s="59"/>
      <c r="H242" s="59"/>
      <c r="J242" s="59"/>
      <c r="L242" s="59"/>
      <c r="N242" s="59"/>
      <c r="P242" s="59"/>
      <c r="Q242" s="61"/>
    </row>
    <row r="243">
      <c r="B243" s="59"/>
      <c r="D243" s="59"/>
      <c r="F243" s="59"/>
      <c r="H243" s="59"/>
      <c r="J243" s="59"/>
      <c r="L243" s="59"/>
      <c r="N243" s="59"/>
      <c r="P243" s="59"/>
      <c r="Q243" s="61"/>
    </row>
    <row r="244">
      <c r="B244" s="59"/>
      <c r="D244" s="59"/>
      <c r="F244" s="59"/>
      <c r="H244" s="59"/>
      <c r="J244" s="59"/>
      <c r="L244" s="59"/>
      <c r="N244" s="59"/>
      <c r="P244" s="59"/>
      <c r="Q244" s="61"/>
    </row>
    <row r="245">
      <c r="B245" s="59"/>
      <c r="D245" s="59"/>
      <c r="F245" s="59"/>
      <c r="H245" s="59"/>
      <c r="J245" s="59"/>
      <c r="L245" s="59"/>
      <c r="N245" s="59"/>
      <c r="P245" s="59"/>
      <c r="Q245" s="61"/>
    </row>
    <row r="246">
      <c r="B246" s="59"/>
      <c r="D246" s="59"/>
      <c r="F246" s="59"/>
      <c r="H246" s="59"/>
      <c r="J246" s="59"/>
      <c r="L246" s="59"/>
      <c r="N246" s="59"/>
      <c r="P246" s="59"/>
      <c r="Q246" s="61"/>
    </row>
    <row r="247">
      <c r="B247" s="59"/>
      <c r="D247" s="59"/>
      <c r="F247" s="59"/>
      <c r="H247" s="59"/>
      <c r="J247" s="59"/>
      <c r="L247" s="59"/>
      <c r="N247" s="59"/>
      <c r="P247" s="59"/>
      <c r="Q247" s="61"/>
    </row>
    <row r="248">
      <c r="B248" s="59"/>
      <c r="D248" s="59"/>
      <c r="F248" s="59"/>
      <c r="H248" s="59"/>
      <c r="J248" s="59"/>
      <c r="L248" s="59"/>
      <c r="N248" s="59"/>
      <c r="P248" s="59"/>
      <c r="Q248" s="61"/>
    </row>
    <row r="249">
      <c r="B249" s="59"/>
      <c r="D249" s="59"/>
      <c r="F249" s="59"/>
      <c r="H249" s="59"/>
      <c r="J249" s="59"/>
      <c r="L249" s="59"/>
      <c r="N249" s="59"/>
      <c r="P249" s="59"/>
      <c r="Q249" s="61"/>
    </row>
    <row r="250">
      <c r="B250" s="59"/>
      <c r="D250" s="59"/>
      <c r="F250" s="59"/>
      <c r="H250" s="59"/>
      <c r="J250" s="59"/>
      <c r="L250" s="59"/>
      <c r="N250" s="59"/>
      <c r="P250" s="59"/>
      <c r="Q250" s="61"/>
    </row>
    <row r="251">
      <c r="B251" s="59"/>
      <c r="D251" s="59"/>
      <c r="F251" s="59"/>
      <c r="H251" s="59"/>
      <c r="J251" s="59"/>
      <c r="L251" s="59"/>
      <c r="N251" s="59"/>
      <c r="P251" s="59"/>
      <c r="Q251" s="61"/>
    </row>
    <row r="252">
      <c r="B252" s="59"/>
      <c r="D252" s="59"/>
      <c r="F252" s="59"/>
      <c r="H252" s="59"/>
      <c r="J252" s="59"/>
      <c r="L252" s="59"/>
      <c r="N252" s="59"/>
      <c r="P252" s="59"/>
      <c r="Q252" s="61"/>
    </row>
    <row r="253">
      <c r="B253" s="59"/>
      <c r="D253" s="59"/>
      <c r="F253" s="59"/>
      <c r="H253" s="59"/>
      <c r="J253" s="59"/>
      <c r="L253" s="59"/>
      <c r="N253" s="59"/>
      <c r="P253" s="59"/>
      <c r="Q253" s="61"/>
    </row>
    <row r="254">
      <c r="B254" s="59"/>
      <c r="D254" s="59"/>
      <c r="F254" s="59"/>
      <c r="H254" s="59"/>
      <c r="J254" s="59"/>
      <c r="L254" s="59"/>
      <c r="N254" s="59"/>
      <c r="P254" s="59"/>
      <c r="Q254" s="61"/>
    </row>
    <row r="255">
      <c r="B255" s="59"/>
      <c r="D255" s="59"/>
      <c r="F255" s="59"/>
      <c r="H255" s="59"/>
      <c r="J255" s="59"/>
      <c r="L255" s="59"/>
      <c r="N255" s="59"/>
      <c r="P255" s="59"/>
      <c r="Q255" s="61"/>
    </row>
    <row r="256">
      <c r="B256" s="59"/>
      <c r="D256" s="59"/>
      <c r="F256" s="59"/>
      <c r="H256" s="59"/>
      <c r="J256" s="59"/>
      <c r="L256" s="59"/>
      <c r="N256" s="59"/>
      <c r="P256" s="59"/>
      <c r="Q256" s="61"/>
    </row>
    <row r="257">
      <c r="B257" s="59"/>
      <c r="D257" s="59"/>
      <c r="F257" s="59"/>
      <c r="H257" s="59"/>
      <c r="J257" s="59"/>
      <c r="L257" s="59"/>
      <c r="N257" s="59"/>
      <c r="P257" s="59"/>
      <c r="Q257" s="61"/>
    </row>
    <row r="258">
      <c r="B258" s="59"/>
      <c r="D258" s="59"/>
      <c r="F258" s="59"/>
      <c r="H258" s="59"/>
      <c r="J258" s="59"/>
      <c r="L258" s="59"/>
      <c r="N258" s="59"/>
      <c r="P258" s="59"/>
      <c r="Q258" s="61"/>
    </row>
    <row r="259">
      <c r="B259" s="59"/>
      <c r="D259" s="59"/>
      <c r="F259" s="59"/>
      <c r="H259" s="59"/>
      <c r="J259" s="59"/>
      <c r="L259" s="59"/>
      <c r="N259" s="59"/>
      <c r="P259" s="59"/>
      <c r="Q259" s="61"/>
    </row>
    <row r="260">
      <c r="B260" s="59"/>
      <c r="D260" s="59"/>
      <c r="F260" s="59"/>
      <c r="H260" s="59"/>
      <c r="J260" s="59"/>
      <c r="L260" s="59"/>
      <c r="N260" s="59"/>
      <c r="P260" s="59"/>
      <c r="Q260" s="61"/>
    </row>
    <row r="261">
      <c r="B261" s="59"/>
      <c r="D261" s="59"/>
      <c r="F261" s="59"/>
      <c r="H261" s="59"/>
      <c r="J261" s="59"/>
      <c r="L261" s="59"/>
      <c r="N261" s="59"/>
      <c r="P261" s="59"/>
      <c r="Q261" s="61"/>
    </row>
    <row r="262">
      <c r="B262" s="59"/>
      <c r="D262" s="59"/>
      <c r="F262" s="59"/>
      <c r="H262" s="59"/>
      <c r="J262" s="59"/>
      <c r="L262" s="59"/>
      <c r="N262" s="59"/>
      <c r="P262" s="59"/>
      <c r="Q262" s="61"/>
    </row>
    <row r="263">
      <c r="B263" s="59"/>
      <c r="D263" s="59"/>
      <c r="F263" s="59"/>
      <c r="H263" s="59"/>
      <c r="J263" s="59"/>
      <c r="L263" s="59"/>
      <c r="N263" s="59"/>
      <c r="P263" s="59"/>
      <c r="Q263" s="61"/>
    </row>
    <row r="264">
      <c r="B264" s="59"/>
      <c r="D264" s="59"/>
      <c r="F264" s="59"/>
      <c r="H264" s="59"/>
      <c r="J264" s="59"/>
      <c r="L264" s="59"/>
      <c r="N264" s="59"/>
      <c r="P264" s="59"/>
      <c r="Q264" s="61"/>
    </row>
    <row r="265">
      <c r="B265" s="59"/>
      <c r="D265" s="59"/>
      <c r="F265" s="59"/>
      <c r="H265" s="59"/>
      <c r="J265" s="59"/>
      <c r="L265" s="59"/>
      <c r="N265" s="59"/>
      <c r="P265" s="59"/>
      <c r="Q265" s="61"/>
    </row>
    <row r="266">
      <c r="B266" s="59"/>
      <c r="D266" s="59"/>
      <c r="F266" s="59"/>
      <c r="H266" s="59"/>
      <c r="J266" s="59"/>
      <c r="L266" s="59"/>
      <c r="N266" s="59"/>
      <c r="P266" s="59"/>
      <c r="Q266" s="61"/>
    </row>
    <row r="267">
      <c r="B267" s="59"/>
      <c r="D267" s="59"/>
      <c r="F267" s="59"/>
      <c r="H267" s="59"/>
      <c r="J267" s="59"/>
      <c r="L267" s="59"/>
      <c r="N267" s="59"/>
      <c r="P267" s="59"/>
      <c r="Q267" s="61"/>
    </row>
    <row r="268">
      <c r="B268" s="59"/>
      <c r="D268" s="59"/>
      <c r="F268" s="59"/>
      <c r="H268" s="59"/>
      <c r="J268" s="59"/>
      <c r="L268" s="59"/>
      <c r="N268" s="59"/>
      <c r="P268" s="59"/>
      <c r="Q268" s="61"/>
    </row>
    <row r="269">
      <c r="B269" s="59"/>
      <c r="D269" s="59"/>
      <c r="F269" s="59"/>
      <c r="H269" s="59"/>
      <c r="J269" s="59"/>
      <c r="L269" s="59"/>
      <c r="N269" s="59"/>
      <c r="P269" s="59"/>
      <c r="Q269" s="61"/>
    </row>
    <row r="270">
      <c r="B270" s="59"/>
      <c r="D270" s="59"/>
      <c r="F270" s="59"/>
      <c r="H270" s="59"/>
      <c r="J270" s="59"/>
      <c r="L270" s="59"/>
      <c r="N270" s="59"/>
      <c r="P270" s="59"/>
      <c r="Q270" s="61"/>
    </row>
    <row r="271">
      <c r="B271" s="59"/>
      <c r="D271" s="59"/>
      <c r="F271" s="59"/>
      <c r="H271" s="59"/>
      <c r="J271" s="59"/>
      <c r="L271" s="59"/>
      <c r="N271" s="59"/>
      <c r="P271" s="59"/>
      <c r="Q271" s="61"/>
    </row>
    <row r="272">
      <c r="B272" s="59"/>
      <c r="D272" s="59"/>
      <c r="F272" s="59"/>
      <c r="H272" s="59"/>
      <c r="J272" s="59"/>
      <c r="L272" s="59"/>
      <c r="N272" s="59"/>
      <c r="P272" s="59"/>
      <c r="Q272" s="61"/>
    </row>
    <row r="273">
      <c r="B273" s="59"/>
      <c r="D273" s="59"/>
      <c r="F273" s="59"/>
      <c r="H273" s="59"/>
      <c r="J273" s="59"/>
      <c r="L273" s="59"/>
      <c r="N273" s="59"/>
      <c r="P273" s="59"/>
      <c r="Q273" s="61"/>
    </row>
    <row r="274">
      <c r="B274" s="59"/>
      <c r="D274" s="59"/>
      <c r="F274" s="59"/>
      <c r="H274" s="59"/>
      <c r="J274" s="59"/>
      <c r="L274" s="59"/>
      <c r="N274" s="59"/>
      <c r="P274" s="59"/>
      <c r="Q274" s="61"/>
    </row>
    <row r="275">
      <c r="B275" s="59"/>
      <c r="D275" s="59"/>
      <c r="F275" s="59"/>
      <c r="H275" s="59"/>
      <c r="J275" s="59"/>
      <c r="L275" s="59"/>
      <c r="N275" s="59"/>
      <c r="P275" s="59"/>
      <c r="Q275" s="61"/>
    </row>
    <row r="276">
      <c r="B276" s="59"/>
      <c r="D276" s="59"/>
      <c r="F276" s="59"/>
      <c r="H276" s="59"/>
      <c r="J276" s="59"/>
      <c r="L276" s="59"/>
      <c r="N276" s="59"/>
      <c r="P276" s="59"/>
      <c r="Q276" s="61"/>
    </row>
    <row r="277">
      <c r="B277" s="59"/>
      <c r="D277" s="59"/>
      <c r="F277" s="59"/>
      <c r="H277" s="59"/>
      <c r="J277" s="59"/>
      <c r="L277" s="59"/>
      <c r="N277" s="59"/>
      <c r="P277" s="59"/>
      <c r="Q277" s="61"/>
    </row>
    <row r="278">
      <c r="B278" s="59"/>
      <c r="D278" s="59"/>
      <c r="F278" s="59"/>
      <c r="H278" s="59"/>
      <c r="J278" s="59"/>
      <c r="L278" s="59"/>
      <c r="N278" s="59"/>
      <c r="P278" s="59"/>
      <c r="Q278" s="61"/>
    </row>
    <row r="279">
      <c r="B279" s="59"/>
      <c r="D279" s="59"/>
      <c r="F279" s="59"/>
      <c r="H279" s="59"/>
      <c r="J279" s="59"/>
      <c r="L279" s="59"/>
      <c r="N279" s="59"/>
      <c r="P279" s="59"/>
      <c r="Q279" s="61"/>
    </row>
    <row r="280">
      <c r="B280" s="59"/>
      <c r="D280" s="59"/>
      <c r="F280" s="59"/>
      <c r="H280" s="59"/>
      <c r="J280" s="59"/>
      <c r="L280" s="59"/>
      <c r="N280" s="59"/>
      <c r="P280" s="59"/>
      <c r="Q280" s="61"/>
    </row>
    <row r="281">
      <c r="B281" s="59"/>
      <c r="D281" s="59"/>
      <c r="F281" s="59"/>
      <c r="H281" s="59"/>
      <c r="J281" s="59"/>
      <c r="L281" s="59"/>
      <c r="N281" s="59"/>
      <c r="P281" s="59"/>
      <c r="Q281" s="61"/>
    </row>
    <row r="282">
      <c r="B282" s="59"/>
      <c r="D282" s="59"/>
      <c r="F282" s="59"/>
      <c r="H282" s="59"/>
      <c r="J282" s="59"/>
      <c r="L282" s="59"/>
      <c r="N282" s="59"/>
      <c r="P282" s="59"/>
      <c r="Q282" s="61"/>
    </row>
    <row r="283">
      <c r="B283" s="59"/>
      <c r="D283" s="59"/>
      <c r="F283" s="59"/>
      <c r="H283" s="59"/>
      <c r="J283" s="59"/>
      <c r="L283" s="59"/>
      <c r="N283" s="59"/>
      <c r="P283" s="59"/>
      <c r="Q283" s="61"/>
    </row>
    <row r="284">
      <c r="B284" s="59"/>
      <c r="D284" s="59"/>
      <c r="F284" s="59"/>
      <c r="H284" s="59"/>
      <c r="J284" s="59"/>
      <c r="L284" s="59"/>
      <c r="N284" s="59"/>
      <c r="P284" s="59"/>
      <c r="Q284" s="61"/>
    </row>
    <row r="285">
      <c r="B285" s="59"/>
      <c r="D285" s="59"/>
      <c r="F285" s="59"/>
      <c r="H285" s="59"/>
      <c r="J285" s="59"/>
      <c r="L285" s="59"/>
      <c r="N285" s="59"/>
      <c r="P285" s="59"/>
      <c r="Q285" s="61"/>
    </row>
    <row r="286">
      <c r="B286" s="59"/>
      <c r="D286" s="59"/>
      <c r="F286" s="59"/>
      <c r="H286" s="59"/>
      <c r="J286" s="59"/>
      <c r="L286" s="59"/>
      <c r="N286" s="59"/>
      <c r="P286" s="59"/>
      <c r="Q286" s="61"/>
    </row>
    <row r="287">
      <c r="B287" s="59"/>
      <c r="D287" s="59"/>
      <c r="F287" s="59"/>
      <c r="H287" s="59"/>
      <c r="J287" s="59"/>
      <c r="L287" s="59"/>
      <c r="N287" s="59"/>
      <c r="P287" s="59"/>
      <c r="Q287" s="61"/>
    </row>
    <row r="288">
      <c r="B288" s="59"/>
      <c r="D288" s="59"/>
      <c r="F288" s="59"/>
      <c r="H288" s="59"/>
      <c r="J288" s="59"/>
      <c r="L288" s="59"/>
      <c r="N288" s="59"/>
      <c r="P288" s="59"/>
      <c r="Q288" s="61"/>
    </row>
    <row r="289">
      <c r="B289" s="59"/>
      <c r="D289" s="59"/>
      <c r="F289" s="59"/>
      <c r="H289" s="59"/>
      <c r="J289" s="59"/>
      <c r="L289" s="59"/>
      <c r="N289" s="59"/>
      <c r="P289" s="59"/>
      <c r="Q289" s="61"/>
    </row>
    <row r="290">
      <c r="B290" s="59"/>
      <c r="D290" s="59"/>
      <c r="F290" s="59"/>
      <c r="H290" s="59"/>
      <c r="J290" s="59"/>
      <c r="L290" s="59"/>
      <c r="N290" s="59"/>
      <c r="P290" s="59"/>
      <c r="Q290" s="61"/>
    </row>
    <row r="291">
      <c r="B291" s="59"/>
      <c r="D291" s="59"/>
      <c r="F291" s="59"/>
      <c r="H291" s="59"/>
      <c r="J291" s="59"/>
      <c r="L291" s="59"/>
      <c r="N291" s="59"/>
      <c r="P291" s="59"/>
      <c r="Q291" s="61"/>
    </row>
    <row r="292">
      <c r="B292" s="59"/>
      <c r="D292" s="59"/>
      <c r="F292" s="59"/>
      <c r="H292" s="59"/>
      <c r="J292" s="59"/>
      <c r="L292" s="59"/>
      <c r="N292" s="59"/>
      <c r="P292" s="59"/>
      <c r="Q292" s="61"/>
    </row>
    <row r="293">
      <c r="B293" s="59"/>
      <c r="D293" s="59"/>
      <c r="F293" s="59"/>
      <c r="H293" s="59"/>
      <c r="J293" s="59"/>
      <c r="L293" s="59"/>
      <c r="N293" s="59"/>
      <c r="P293" s="59"/>
      <c r="Q293" s="61"/>
    </row>
    <row r="294">
      <c r="B294" s="59"/>
      <c r="D294" s="59"/>
      <c r="F294" s="59"/>
      <c r="H294" s="59"/>
      <c r="J294" s="59"/>
      <c r="L294" s="59"/>
      <c r="N294" s="59"/>
      <c r="P294" s="59"/>
      <c r="Q294" s="61"/>
    </row>
    <row r="295">
      <c r="B295" s="59"/>
      <c r="D295" s="59"/>
      <c r="F295" s="59"/>
      <c r="H295" s="59"/>
      <c r="J295" s="59"/>
      <c r="L295" s="59"/>
      <c r="N295" s="59"/>
      <c r="P295" s="59"/>
      <c r="Q295" s="61"/>
    </row>
    <row r="296">
      <c r="B296" s="59"/>
      <c r="D296" s="59"/>
      <c r="F296" s="59"/>
      <c r="H296" s="59"/>
      <c r="J296" s="59"/>
      <c r="L296" s="59"/>
      <c r="N296" s="59"/>
      <c r="P296" s="59"/>
      <c r="Q296" s="61"/>
    </row>
    <row r="297">
      <c r="B297" s="59"/>
      <c r="D297" s="59"/>
      <c r="F297" s="59"/>
      <c r="H297" s="59"/>
      <c r="J297" s="59"/>
      <c r="L297" s="59"/>
      <c r="N297" s="59"/>
      <c r="P297" s="59"/>
      <c r="Q297" s="61"/>
    </row>
    <row r="298">
      <c r="B298" s="59"/>
      <c r="D298" s="59"/>
      <c r="F298" s="59"/>
      <c r="H298" s="59"/>
      <c r="J298" s="59"/>
      <c r="L298" s="59"/>
      <c r="N298" s="59"/>
      <c r="P298" s="59"/>
      <c r="Q298" s="61"/>
    </row>
    <row r="299">
      <c r="B299" s="59"/>
      <c r="D299" s="59"/>
      <c r="F299" s="59"/>
      <c r="H299" s="59"/>
      <c r="J299" s="59"/>
      <c r="L299" s="59"/>
      <c r="N299" s="59"/>
      <c r="P299" s="59"/>
      <c r="Q299" s="61"/>
    </row>
    <row r="300">
      <c r="B300" s="59"/>
      <c r="D300" s="59"/>
      <c r="F300" s="59"/>
      <c r="H300" s="59"/>
      <c r="J300" s="59"/>
      <c r="L300" s="59"/>
      <c r="N300" s="59"/>
      <c r="P300" s="59"/>
      <c r="Q300" s="61"/>
    </row>
    <row r="301">
      <c r="B301" s="59"/>
      <c r="D301" s="59"/>
      <c r="F301" s="59"/>
      <c r="H301" s="59"/>
      <c r="J301" s="59"/>
      <c r="L301" s="59"/>
      <c r="N301" s="59"/>
      <c r="P301" s="59"/>
      <c r="Q301" s="61"/>
    </row>
    <row r="302">
      <c r="B302" s="59"/>
      <c r="D302" s="59"/>
      <c r="F302" s="59"/>
      <c r="H302" s="59"/>
      <c r="J302" s="59"/>
      <c r="L302" s="59"/>
      <c r="N302" s="59"/>
      <c r="P302" s="59"/>
      <c r="Q302" s="61"/>
    </row>
    <row r="303">
      <c r="B303" s="59"/>
      <c r="D303" s="59"/>
      <c r="F303" s="59"/>
      <c r="H303" s="59"/>
      <c r="J303" s="59"/>
      <c r="L303" s="59"/>
      <c r="N303" s="59"/>
      <c r="P303" s="59"/>
      <c r="Q303" s="61"/>
    </row>
    <row r="304">
      <c r="B304" s="59"/>
      <c r="D304" s="59"/>
      <c r="F304" s="59"/>
      <c r="H304" s="59"/>
      <c r="J304" s="59"/>
      <c r="L304" s="59"/>
      <c r="N304" s="59"/>
      <c r="P304" s="59"/>
      <c r="Q304" s="61"/>
    </row>
    <row r="305">
      <c r="B305" s="59"/>
      <c r="D305" s="59"/>
      <c r="F305" s="59"/>
      <c r="H305" s="59"/>
      <c r="J305" s="59"/>
      <c r="L305" s="59"/>
      <c r="N305" s="59"/>
      <c r="P305" s="59"/>
      <c r="Q305" s="61"/>
    </row>
    <row r="306">
      <c r="B306" s="59"/>
      <c r="D306" s="59"/>
      <c r="F306" s="59"/>
      <c r="H306" s="59"/>
      <c r="J306" s="59"/>
      <c r="L306" s="59"/>
      <c r="N306" s="59"/>
      <c r="P306" s="59"/>
      <c r="Q306" s="61"/>
    </row>
    <row r="307">
      <c r="B307" s="59"/>
      <c r="D307" s="59"/>
      <c r="F307" s="59"/>
      <c r="H307" s="59"/>
      <c r="J307" s="59"/>
      <c r="L307" s="59"/>
      <c r="N307" s="59"/>
      <c r="P307" s="59"/>
      <c r="Q307" s="61"/>
    </row>
    <row r="308">
      <c r="B308" s="59"/>
      <c r="D308" s="59"/>
      <c r="F308" s="59"/>
      <c r="H308" s="59"/>
      <c r="J308" s="59"/>
      <c r="L308" s="59"/>
      <c r="N308" s="59"/>
      <c r="P308" s="59"/>
      <c r="Q308" s="61"/>
    </row>
    <row r="309">
      <c r="B309" s="59"/>
      <c r="D309" s="59"/>
      <c r="F309" s="59"/>
      <c r="H309" s="59"/>
      <c r="J309" s="59"/>
      <c r="L309" s="59"/>
      <c r="N309" s="59"/>
      <c r="P309" s="59"/>
      <c r="Q309" s="61"/>
    </row>
    <row r="310">
      <c r="B310" s="59"/>
      <c r="D310" s="59"/>
      <c r="F310" s="59"/>
      <c r="H310" s="59"/>
      <c r="J310" s="59"/>
      <c r="L310" s="59"/>
      <c r="N310" s="59"/>
      <c r="P310" s="59"/>
      <c r="Q310" s="61"/>
    </row>
    <row r="311">
      <c r="B311" s="59"/>
      <c r="D311" s="59"/>
      <c r="F311" s="59"/>
      <c r="H311" s="59"/>
      <c r="J311" s="59"/>
      <c r="L311" s="59"/>
      <c r="N311" s="59"/>
      <c r="P311" s="59"/>
      <c r="Q311" s="61"/>
    </row>
    <row r="312">
      <c r="B312" s="59"/>
      <c r="D312" s="59"/>
      <c r="F312" s="59"/>
      <c r="H312" s="59"/>
      <c r="J312" s="59"/>
      <c r="L312" s="59"/>
      <c r="N312" s="59"/>
      <c r="P312" s="59"/>
      <c r="Q312" s="61"/>
    </row>
    <row r="313">
      <c r="B313" s="59"/>
      <c r="D313" s="59"/>
      <c r="F313" s="59"/>
      <c r="H313" s="59"/>
      <c r="J313" s="59"/>
      <c r="L313" s="59"/>
      <c r="N313" s="59"/>
      <c r="P313" s="59"/>
      <c r="Q313" s="61"/>
    </row>
    <row r="314">
      <c r="B314" s="59"/>
      <c r="D314" s="59"/>
      <c r="F314" s="59"/>
      <c r="H314" s="59"/>
      <c r="J314" s="59"/>
      <c r="L314" s="59"/>
      <c r="N314" s="59"/>
      <c r="P314" s="59"/>
      <c r="Q314" s="61"/>
    </row>
    <row r="315">
      <c r="B315" s="59"/>
      <c r="D315" s="59"/>
      <c r="F315" s="59"/>
      <c r="H315" s="59"/>
      <c r="J315" s="59"/>
      <c r="L315" s="59"/>
      <c r="N315" s="59"/>
      <c r="P315" s="59"/>
      <c r="Q315" s="61"/>
    </row>
    <row r="316">
      <c r="B316" s="59"/>
      <c r="D316" s="59"/>
      <c r="F316" s="59"/>
      <c r="H316" s="59"/>
      <c r="J316" s="59"/>
      <c r="L316" s="59"/>
      <c r="N316" s="59"/>
      <c r="P316" s="59"/>
      <c r="Q316" s="61"/>
    </row>
    <row r="317">
      <c r="B317" s="59"/>
      <c r="D317" s="59"/>
      <c r="F317" s="59"/>
      <c r="H317" s="59"/>
      <c r="J317" s="59"/>
      <c r="L317" s="59"/>
      <c r="N317" s="59"/>
      <c r="P317" s="59"/>
      <c r="Q317" s="61"/>
    </row>
    <row r="318">
      <c r="B318" s="59"/>
      <c r="D318" s="59"/>
      <c r="F318" s="59"/>
      <c r="H318" s="59"/>
      <c r="J318" s="59"/>
      <c r="L318" s="59"/>
      <c r="N318" s="59"/>
      <c r="P318" s="59"/>
      <c r="Q318" s="61"/>
    </row>
    <row r="319">
      <c r="B319" s="59"/>
      <c r="D319" s="59"/>
      <c r="F319" s="59"/>
      <c r="H319" s="59"/>
      <c r="J319" s="59"/>
      <c r="L319" s="59"/>
      <c r="N319" s="59"/>
      <c r="P319" s="59"/>
      <c r="Q319" s="61"/>
    </row>
    <row r="320">
      <c r="B320" s="59"/>
      <c r="D320" s="59"/>
      <c r="F320" s="59"/>
      <c r="H320" s="59"/>
      <c r="J320" s="59"/>
      <c r="L320" s="59"/>
      <c r="N320" s="59"/>
      <c r="P320" s="59"/>
      <c r="Q320" s="61"/>
    </row>
    <row r="321">
      <c r="B321" s="59"/>
      <c r="D321" s="59"/>
      <c r="F321" s="59"/>
      <c r="H321" s="59"/>
      <c r="J321" s="59"/>
      <c r="L321" s="59"/>
      <c r="N321" s="59"/>
      <c r="P321" s="59"/>
      <c r="Q321" s="61"/>
    </row>
    <row r="322">
      <c r="B322" s="59"/>
      <c r="D322" s="59"/>
      <c r="F322" s="59"/>
      <c r="H322" s="59"/>
      <c r="J322" s="59"/>
      <c r="L322" s="59"/>
      <c r="N322" s="59"/>
      <c r="P322" s="59"/>
      <c r="Q322" s="61"/>
    </row>
    <row r="323">
      <c r="B323" s="59"/>
      <c r="D323" s="59"/>
      <c r="F323" s="59"/>
      <c r="H323" s="59"/>
      <c r="J323" s="59"/>
      <c r="L323" s="59"/>
      <c r="N323" s="59"/>
      <c r="P323" s="59"/>
      <c r="Q323" s="61"/>
    </row>
    <row r="324">
      <c r="B324" s="59"/>
      <c r="D324" s="59"/>
      <c r="F324" s="59"/>
      <c r="H324" s="59"/>
      <c r="J324" s="59"/>
      <c r="L324" s="59"/>
      <c r="N324" s="59"/>
      <c r="P324" s="59"/>
      <c r="Q324" s="61"/>
    </row>
    <row r="325">
      <c r="B325" s="59"/>
      <c r="D325" s="59"/>
      <c r="F325" s="59"/>
      <c r="H325" s="59"/>
      <c r="J325" s="59"/>
      <c r="L325" s="59"/>
      <c r="N325" s="59"/>
      <c r="P325" s="59"/>
      <c r="Q325" s="61"/>
    </row>
    <row r="326">
      <c r="B326" s="59"/>
      <c r="D326" s="59"/>
      <c r="F326" s="59"/>
      <c r="H326" s="59"/>
      <c r="J326" s="59"/>
      <c r="L326" s="59"/>
      <c r="N326" s="59"/>
      <c r="P326" s="59"/>
      <c r="Q326" s="61"/>
    </row>
    <row r="327">
      <c r="B327" s="59"/>
      <c r="D327" s="59"/>
      <c r="F327" s="59"/>
      <c r="H327" s="59"/>
      <c r="J327" s="59"/>
      <c r="L327" s="59"/>
      <c r="N327" s="59"/>
      <c r="P327" s="59"/>
      <c r="Q327" s="61"/>
    </row>
    <row r="328">
      <c r="B328" s="59"/>
      <c r="D328" s="59"/>
      <c r="F328" s="59"/>
      <c r="H328" s="59"/>
      <c r="J328" s="59"/>
      <c r="L328" s="59"/>
      <c r="N328" s="59"/>
      <c r="P328" s="59"/>
      <c r="Q328" s="61"/>
    </row>
    <row r="329">
      <c r="B329" s="59"/>
      <c r="D329" s="59"/>
      <c r="F329" s="59"/>
      <c r="H329" s="59"/>
      <c r="J329" s="59"/>
      <c r="L329" s="59"/>
      <c r="N329" s="59"/>
      <c r="P329" s="59"/>
      <c r="Q329" s="61"/>
    </row>
    <row r="330">
      <c r="B330" s="59"/>
      <c r="D330" s="59"/>
      <c r="F330" s="59"/>
      <c r="H330" s="59"/>
      <c r="J330" s="59"/>
      <c r="L330" s="59"/>
      <c r="N330" s="59"/>
      <c r="P330" s="59"/>
      <c r="Q330" s="61"/>
    </row>
    <row r="331">
      <c r="B331" s="59"/>
      <c r="D331" s="59"/>
      <c r="F331" s="59"/>
      <c r="H331" s="59"/>
      <c r="J331" s="59"/>
      <c r="L331" s="59"/>
      <c r="N331" s="59"/>
      <c r="P331" s="59"/>
      <c r="Q331" s="61"/>
    </row>
    <row r="332">
      <c r="B332" s="59"/>
      <c r="D332" s="59"/>
      <c r="F332" s="59"/>
      <c r="H332" s="59"/>
      <c r="J332" s="59"/>
      <c r="L332" s="59"/>
      <c r="N332" s="59"/>
      <c r="P332" s="59"/>
      <c r="Q332" s="61"/>
    </row>
    <row r="333">
      <c r="B333" s="59"/>
      <c r="D333" s="59"/>
      <c r="F333" s="59"/>
      <c r="H333" s="59"/>
      <c r="J333" s="59"/>
      <c r="L333" s="59"/>
      <c r="N333" s="59"/>
      <c r="P333" s="59"/>
      <c r="Q333" s="61"/>
    </row>
    <row r="334">
      <c r="B334" s="59"/>
      <c r="D334" s="59"/>
      <c r="F334" s="59"/>
      <c r="H334" s="59"/>
      <c r="J334" s="59"/>
      <c r="L334" s="59"/>
      <c r="N334" s="59"/>
      <c r="P334" s="59"/>
      <c r="Q334" s="61"/>
    </row>
    <row r="335">
      <c r="B335" s="59"/>
      <c r="D335" s="59"/>
      <c r="F335" s="59"/>
      <c r="H335" s="59"/>
      <c r="J335" s="59"/>
      <c r="L335" s="59"/>
      <c r="N335" s="59"/>
      <c r="P335" s="59"/>
      <c r="Q335" s="61"/>
    </row>
    <row r="336">
      <c r="B336" s="59"/>
      <c r="D336" s="59"/>
      <c r="F336" s="59"/>
      <c r="H336" s="59"/>
      <c r="J336" s="59"/>
      <c r="L336" s="59"/>
      <c r="N336" s="59"/>
      <c r="P336" s="59"/>
      <c r="Q336" s="61"/>
    </row>
    <row r="337">
      <c r="B337" s="59"/>
      <c r="D337" s="59"/>
      <c r="F337" s="59"/>
      <c r="H337" s="59"/>
      <c r="J337" s="59"/>
      <c r="L337" s="59"/>
      <c r="N337" s="59"/>
      <c r="P337" s="59"/>
      <c r="Q337" s="61"/>
    </row>
    <row r="338">
      <c r="B338" s="59"/>
      <c r="D338" s="59"/>
      <c r="F338" s="59"/>
      <c r="H338" s="59"/>
      <c r="J338" s="59"/>
      <c r="L338" s="59"/>
      <c r="N338" s="59"/>
      <c r="P338" s="59"/>
      <c r="Q338" s="61"/>
    </row>
    <row r="339">
      <c r="B339" s="59"/>
      <c r="D339" s="59"/>
      <c r="F339" s="59"/>
      <c r="H339" s="59"/>
      <c r="J339" s="59"/>
      <c r="L339" s="59"/>
      <c r="N339" s="59"/>
      <c r="P339" s="59"/>
      <c r="Q339" s="61"/>
    </row>
    <row r="340">
      <c r="B340" s="59"/>
      <c r="D340" s="59"/>
      <c r="F340" s="59"/>
      <c r="H340" s="59"/>
      <c r="J340" s="59"/>
      <c r="L340" s="59"/>
      <c r="N340" s="59"/>
      <c r="P340" s="59"/>
      <c r="Q340" s="61"/>
    </row>
    <row r="341">
      <c r="B341" s="59"/>
      <c r="D341" s="59"/>
      <c r="F341" s="59"/>
      <c r="H341" s="59"/>
      <c r="J341" s="59"/>
      <c r="L341" s="59"/>
      <c r="N341" s="59"/>
      <c r="P341" s="59"/>
      <c r="Q341" s="61"/>
    </row>
    <row r="342">
      <c r="B342" s="59"/>
      <c r="D342" s="59"/>
      <c r="F342" s="59"/>
      <c r="H342" s="59"/>
      <c r="J342" s="59"/>
      <c r="L342" s="59"/>
      <c r="N342" s="59"/>
      <c r="P342" s="59"/>
      <c r="Q342" s="61"/>
    </row>
    <row r="343">
      <c r="B343" s="59"/>
      <c r="D343" s="59"/>
      <c r="F343" s="59"/>
      <c r="H343" s="59"/>
      <c r="J343" s="59"/>
      <c r="L343" s="59"/>
      <c r="N343" s="59"/>
      <c r="P343" s="59"/>
      <c r="Q343" s="61"/>
    </row>
    <row r="344">
      <c r="B344" s="59"/>
      <c r="D344" s="59"/>
      <c r="F344" s="59"/>
      <c r="H344" s="59"/>
      <c r="J344" s="59"/>
      <c r="L344" s="59"/>
      <c r="N344" s="59"/>
      <c r="P344" s="59"/>
      <c r="Q344" s="61"/>
    </row>
    <row r="345">
      <c r="B345" s="59"/>
      <c r="D345" s="59"/>
      <c r="F345" s="59"/>
      <c r="H345" s="59"/>
      <c r="J345" s="59"/>
      <c r="L345" s="59"/>
      <c r="N345" s="59"/>
      <c r="P345" s="59"/>
      <c r="Q345" s="61"/>
    </row>
    <row r="346">
      <c r="B346" s="59"/>
      <c r="D346" s="59"/>
      <c r="F346" s="59"/>
      <c r="H346" s="59"/>
      <c r="J346" s="59"/>
      <c r="L346" s="59"/>
      <c r="N346" s="59"/>
      <c r="P346" s="59"/>
      <c r="Q346" s="61"/>
    </row>
    <row r="347">
      <c r="B347" s="59"/>
      <c r="D347" s="59"/>
      <c r="F347" s="59"/>
      <c r="H347" s="59"/>
      <c r="J347" s="59"/>
      <c r="L347" s="59"/>
      <c r="N347" s="59"/>
      <c r="P347" s="59"/>
      <c r="Q347" s="61"/>
    </row>
    <row r="348">
      <c r="B348" s="59"/>
      <c r="D348" s="59"/>
      <c r="F348" s="59"/>
      <c r="H348" s="59"/>
      <c r="J348" s="59"/>
      <c r="L348" s="59"/>
      <c r="N348" s="59"/>
      <c r="P348" s="59"/>
      <c r="Q348" s="61"/>
    </row>
    <row r="349">
      <c r="B349" s="59"/>
      <c r="D349" s="59"/>
      <c r="F349" s="59"/>
      <c r="H349" s="59"/>
      <c r="J349" s="59"/>
      <c r="L349" s="59"/>
      <c r="N349" s="59"/>
      <c r="P349" s="59"/>
      <c r="Q349" s="61"/>
    </row>
    <row r="350">
      <c r="B350" s="59"/>
      <c r="D350" s="59"/>
      <c r="F350" s="59"/>
      <c r="H350" s="59"/>
      <c r="J350" s="59"/>
      <c r="L350" s="59"/>
      <c r="N350" s="59"/>
      <c r="P350" s="59"/>
      <c r="Q350" s="61"/>
    </row>
    <row r="351">
      <c r="B351" s="59"/>
      <c r="D351" s="59"/>
      <c r="F351" s="59"/>
      <c r="H351" s="59"/>
      <c r="J351" s="59"/>
      <c r="L351" s="59"/>
      <c r="N351" s="59"/>
      <c r="P351" s="59"/>
      <c r="Q351" s="61"/>
    </row>
    <row r="352">
      <c r="B352" s="59"/>
      <c r="D352" s="59"/>
      <c r="F352" s="59"/>
      <c r="H352" s="59"/>
      <c r="J352" s="59"/>
      <c r="L352" s="59"/>
      <c r="N352" s="59"/>
      <c r="P352" s="59"/>
      <c r="Q352" s="61"/>
    </row>
    <row r="353">
      <c r="B353" s="59"/>
      <c r="D353" s="59"/>
      <c r="F353" s="59"/>
      <c r="H353" s="59"/>
      <c r="J353" s="59"/>
      <c r="L353" s="59"/>
      <c r="N353" s="59"/>
      <c r="P353" s="59"/>
      <c r="Q353" s="61"/>
    </row>
    <row r="354">
      <c r="B354" s="59"/>
      <c r="D354" s="59"/>
      <c r="F354" s="59"/>
      <c r="H354" s="59"/>
      <c r="J354" s="59"/>
      <c r="L354" s="59"/>
      <c r="N354" s="59"/>
      <c r="P354" s="59"/>
      <c r="Q354" s="61"/>
    </row>
    <row r="355">
      <c r="B355" s="59"/>
      <c r="D355" s="59"/>
      <c r="F355" s="59"/>
      <c r="H355" s="59"/>
      <c r="J355" s="59"/>
      <c r="L355" s="59"/>
      <c r="N355" s="59"/>
      <c r="P355" s="59"/>
      <c r="Q355" s="61"/>
    </row>
    <row r="356">
      <c r="B356" s="59"/>
      <c r="D356" s="59"/>
      <c r="F356" s="59"/>
      <c r="H356" s="59"/>
      <c r="J356" s="59"/>
      <c r="L356" s="59"/>
      <c r="N356" s="59"/>
      <c r="P356" s="59"/>
      <c r="Q356" s="61"/>
    </row>
    <row r="357">
      <c r="B357" s="59"/>
      <c r="D357" s="59"/>
      <c r="F357" s="59"/>
      <c r="H357" s="59"/>
      <c r="J357" s="59"/>
      <c r="L357" s="59"/>
      <c r="N357" s="59"/>
      <c r="P357" s="59"/>
      <c r="Q357" s="61"/>
    </row>
    <row r="358">
      <c r="B358" s="59"/>
      <c r="D358" s="59"/>
      <c r="F358" s="59"/>
      <c r="H358" s="59"/>
      <c r="J358" s="59"/>
      <c r="L358" s="59"/>
      <c r="N358" s="59"/>
      <c r="P358" s="59"/>
      <c r="Q358" s="61"/>
    </row>
    <row r="359">
      <c r="B359" s="59"/>
      <c r="D359" s="59"/>
      <c r="F359" s="59"/>
      <c r="H359" s="59"/>
      <c r="J359" s="59"/>
      <c r="L359" s="59"/>
      <c r="N359" s="59"/>
      <c r="P359" s="59"/>
      <c r="Q359" s="61"/>
    </row>
    <row r="360">
      <c r="B360" s="59"/>
      <c r="D360" s="59"/>
      <c r="F360" s="59"/>
      <c r="H360" s="59"/>
      <c r="J360" s="59"/>
      <c r="L360" s="59"/>
      <c r="N360" s="59"/>
      <c r="P360" s="59"/>
      <c r="Q360" s="61"/>
    </row>
    <row r="361">
      <c r="B361" s="59"/>
      <c r="D361" s="59"/>
      <c r="F361" s="59"/>
      <c r="H361" s="59"/>
      <c r="J361" s="59"/>
      <c r="L361" s="59"/>
      <c r="N361" s="59"/>
      <c r="P361" s="59"/>
      <c r="Q361" s="61"/>
    </row>
    <row r="362">
      <c r="B362" s="59"/>
      <c r="D362" s="59"/>
      <c r="F362" s="59"/>
      <c r="H362" s="59"/>
      <c r="J362" s="59"/>
      <c r="L362" s="59"/>
      <c r="N362" s="59"/>
      <c r="P362" s="59"/>
      <c r="Q362" s="61"/>
    </row>
    <row r="363">
      <c r="B363" s="59"/>
      <c r="D363" s="59"/>
      <c r="F363" s="59"/>
      <c r="H363" s="59"/>
      <c r="J363" s="59"/>
      <c r="L363" s="59"/>
      <c r="N363" s="59"/>
      <c r="P363" s="59"/>
      <c r="Q363" s="61"/>
    </row>
    <row r="364">
      <c r="B364" s="59"/>
      <c r="D364" s="59"/>
      <c r="F364" s="59"/>
      <c r="H364" s="59"/>
      <c r="J364" s="59"/>
      <c r="L364" s="59"/>
      <c r="N364" s="59"/>
      <c r="P364" s="59"/>
      <c r="Q364" s="61"/>
    </row>
    <row r="365">
      <c r="B365" s="59"/>
      <c r="D365" s="59"/>
      <c r="F365" s="59"/>
      <c r="H365" s="59"/>
      <c r="J365" s="59"/>
      <c r="L365" s="59"/>
      <c r="N365" s="59"/>
      <c r="P365" s="59"/>
      <c r="Q365" s="61"/>
    </row>
    <row r="366">
      <c r="B366" s="59"/>
      <c r="D366" s="59"/>
      <c r="F366" s="59"/>
      <c r="H366" s="59"/>
      <c r="J366" s="59"/>
      <c r="L366" s="59"/>
      <c r="N366" s="59"/>
      <c r="P366" s="59"/>
      <c r="Q366" s="61"/>
    </row>
    <row r="367">
      <c r="B367" s="59"/>
      <c r="D367" s="59"/>
      <c r="F367" s="59"/>
      <c r="H367" s="59"/>
      <c r="J367" s="59"/>
      <c r="L367" s="59"/>
      <c r="N367" s="59"/>
      <c r="P367" s="59"/>
      <c r="Q367" s="61"/>
    </row>
    <row r="368">
      <c r="B368" s="59"/>
      <c r="D368" s="59"/>
      <c r="F368" s="59"/>
      <c r="H368" s="59"/>
      <c r="J368" s="59"/>
      <c r="L368" s="59"/>
      <c r="N368" s="59"/>
      <c r="P368" s="59"/>
      <c r="Q368" s="61"/>
    </row>
    <row r="369">
      <c r="B369" s="59"/>
      <c r="D369" s="59"/>
      <c r="F369" s="59"/>
      <c r="H369" s="59"/>
      <c r="J369" s="59"/>
      <c r="L369" s="59"/>
      <c r="N369" s="59"/>
      <c r="P369" s="59"/>
      <c r="Q369" s="61"/>
    </row>
    <row r="370">
      <c r="B370" s="59"/>
      <c r="D370" s="59"/>
      <c r="F370" s="59"/>
      <c r="H370" s="59"/>
      <c r="J370" s="59"/>
      <c r="L370" s="59"/>
      <c r="N370" s="59"/>
      <c r="P370" s="59"/>
      <c r="Q370" s="61"/>
    </row>
    <row r="371">
      <c r="B371" s="59"/>
      <c r="D371" s="59"/>
      <c r="F371" s="59"/>
      <c r="H371" s="59"/>
      <c r="J371" s="59"/>
      <c r="L371" s="59"/>
      <c r="N371" s="59"/>
      <c r="P371" s="59"/>
      <c r="Q371" s="61"/>
    </row>
    <row r="372">
      <c r="B372" s="59"/>
      <c r="D372" s="59"/>
      <c r="F372" s="59"/>
      <c r="H372" s="59"/>
      <c r="J372" s="59"/>
      <c r="L372" s="59"/>
      <c r="N372" s="59"/>
      <c r="P372" s="59"/>
      <c r="Q372" s="61"/>
    </row>
    <row r="373">
      <c r="B373" s="59"/>
      <c r="D373" s="59"/>
      <c r="F373" s="59"/>
      <c r="H373" s="59"/>
      <c r="J373" s="59"/>
      <c r="L373" s="59"/>
      <c r="N373" s="59"/>
      <c r="P373" s="59"/>
      <c r="Q373" s="61"/>
    </row>
    <row r="374">
      <c r="B374" s="59"/>
      <c r="D374" s="59"/>
      <c r="F374" s="59"/>
      <c r="H374" s="59"/>
      <c r="J374" s="59"/>
      <c r="L374" s="59"/>
      <c r="N374" s="59"/>
      <c r="P374" s="59"/>
      <c r="Q374" s="61"/>
    </row>
    <row r="375">
      <c r="B375" s="59"/>
      <c r="D375" s="59"/>
      <c r="F375" s="59"/>
      <c r="H375" s="59"/>
      <c r="J375" s="59"/>
      <c r="L375" s="59"/>
      <c r="N375" s="59"/>
      <c r="P375" s="59"/>
      <c r="Q375" s="61"/>
    </row>
    <row r="376">
      <c r="B376" s="59"/>
      <c r="D376" s="59"/>
      <c r="F376" s="59"/>
      <c r="H376" s="59"/>
      <c r="J376" s="59"/>
      <c r="L376" s="59"/>
      <c r="N376" s="59"/>
      <c r="P376" s="59"/>
      <c r="Q376" s="61"/>
    </row>
    <row r="377">
      <c r="B377" s="59"/>
      <c r="D377" s="59"/>
      <c r="F377" s="59"/>
      <c r="H377" s="59"/>
      <c r="J377" s="59"/>
      <c r="L377" s="59"/>
      <c r="N377" s="59"/>
      <c r="P377" s="59"/>
      <c r="Q377" s="61"/>
    </row>
    <row r="378">
      <c r="B378" s="59"/>
      <c r="D378" s="59"/>
      <c r="F378" s="59"/>
      <c r="H378" s="59"/>
      <c r="J378" s="59"/>
      <c r="L378" s="59"/>
      <c r="N378" s="59"/>
      <c r="P378" s="59"/>
      <c r="Q378" s="61"/>
    </row>
    <row r="379">
      <c r="B379" s="59"/>
      <c r="D379" s="59"/>
      <c r="F379" s="59"/>
      <c r="H379" s="59"/>
      <c r="J379" s="59"/>
      <c r="L379" s="59"/>
      <c r="N379" s="59"/>
      <c r="P379" s="59"/>
      <c r="Q379" s="61"/>
    </row>
    <row r="380">
      <c r="B380" s="59"/>
      <c r="D380" s="59"/>
      <c r="F380" s="59"/>
      <c r="H380" s="59"/>
      <c r="J380" s="59"/>
      <c r="L380" s="59"/>
      <c r="N380" s="59"/>
      <c r="P380" s="59"/>
      <c r="Q380" s="61"/>
    </row>
    <row r="381">
      <c r="B381" s="59"/>
      <c r="D381" s="59"/>
      <c r="F381" s="59"/>
      <c r="H381" s="59"/>
      <c r="J381" s="59"/>
      <c r="L381" s="59"/>
      <c r="N381" s="59"/>
      <c r="P381" s="59"/>
      <c r="Q381" s="61"/>
    </row>
    <row r="382">
      <c r="B382" s="59"/>
      <c r="D382" s="59"/>
      <c r="F382" s="59"/>
      <c r="H382" s="59"/>
      <c r="J382" s="59"/>
      <c r="L382" s="59"/>
      <c r="N382" s="59"/>
      <c r="P382" s="59"/>
      <c r="Q382" s="61"/>
    </row>
    <row r="383">
      <c r="B383" s="59"/>
      <c r="D383" s="59"/>
      <c r="F383" s="59"/>
      <c r="H383" s="59"/>
      <c r="J383" s="59"/>
      <c r="L383" s="59"/>
      <c r="N383" s="59"/>
      <c r="P383" s="59"/>
      <c r="Q383" s="61"/>
    </row>
    <row r="384">
      <c r="B384" s="59"/>
      <c r="D384" s="59"/>
      <c r="F384" s="59"/>
      <c r="H384" s="59"/>
      <c r="J384" s="59"/>
      <c r="L384" s="59"/>
      <c r="N384" s="59"/>
      <c r="P384" s="59"/>
      <c r="Q384" s="61"/>
    </row>
    <row r="385">
      <c r="B385" s="59"/>
      <c r="D385" s="59"/>
      <c r="F385" s="59"/>
      <c r="H385" s="59"/>
      <c r="J385" s="59"/>
      <c r="L385" s="59"/>
      <c r="N385" s="59"/>
      <c r="P385" s="59"/>
      <c r="Q385" s="61"/>
    </row>
    <row r="386">
      <c r="B386" s="59"/>
      <c r="D386" s="59"/>
      <c r="F386" s="59"/>
      <c r="H386" s="59"/>
      <c r="J386" s="59"/>
      <c r="L386" s="59"/>
      <c r="N386" s="59"/>
      <c r="P386" s="59"/>
      <c r="Q386" s="61"/>
    </row>
    <row r="387">
      <c r="B387" s="59"/>
      <c r="D387" s="59"/>
      <c r="F387" s="59"/>
      <c r="H387" s="59"/>
      <c r="J387" s="59"/>
      <c r="L387" s="59"/>
      <c r="N387" s="59"/>
      <c r="P387" s="59"/>
      <c r="Q387" s="61"/>
    </row>
    <row r="388">
      <c r="B388" s="59"/>
      <c r="D388" s="59"/>
      <c r="F388" s="59"/>
      <c r="H388" s="59"/>
      <c r="J388" s="59"/>
      <c r="L388" s="59"/>
      <c r="N388" s="59"/>
      <c r="P388" s="59"/>
      <c r="Q388" s="61"/>
    </row>
    <row r="389">
      <c r="B389" s="59"/>
      <c r="D389" s="59"/>
      <c r="F389" s="59"/>
      <c r="H389" s="59"/>
      <c r="J389" s="59"/>
      <c r="L389" s="59"/>
      <c r="N389" s="59"/>
      <c r="P389" s="59"/>
      <c r="Q389" s="61"/>
    </row>
    <row r="390">
      <c r="B390" s="59"/>
      <c r="D390" s="59"/>
      <c r="F390" s="59"/>
      <c r="H390" s="59"/>
      <c r="J390" s="59"/>
      <c r="L390" s="59"/>
      <c r="N390" s="59"/>
      <c r="P390" s="59"/>
      <c r="Q390" s="61"/>
    </row>
    <row r="391">
      <c r="B391" s="59"/>
      <c r="D391" s="59"/>
      <c r="F391" s="59"/>
      <c r="H391" s="59"/>
      <c r="J391" s="59"/>
      <c r="L391" s="59"/>
      <c r="N391" s="59"/>
      <c r="P391" s="59"/>
      <c r="Q391" s="61"/>
    </row>
    <row r="392">
      <c r="B392" s="59"/>
      <c r="D392" s="59"/>
      <c r="F392" s="59"/>
      <c r="H392" s="59"/>
      <c r="J392" s="59"/>
      <c r="L392" s="59"/>
      <c r="N392" s="59"/>
      <c r="P392" s="59"/>
      <c r="Q392" s="61"/>
    </row>
    <row r="393">
      <c r="B393" s="59"/>
      <c r="D393" s="59"/>
      <c r="F393" s="59"/>
      <c r="H393" s="59"/>
      <c r="J393" s="59"/>
      <c r="L393" s="59"/>
      <c r="N393" s="59"/>
      <c r="P393" s="59"/>
      <c r="Q393" s="61"/>
    </row>
    <row r="394">
      <c r="B394" s="59"/>
      <c r="D394" s="59"/>
      <c r="F394" s="59"/>
      <c r="H394" s="59"/>
      <c r="J394" s="59"/>
      <c r="L394" s="59"/>
      <c r="N394" s="59"/>
      <c r="P394" s="59"/>
      <c r="Q394" s="61"/>
    </row>
    <row r="395">
      <c r="B395" s="59"/>
      <c r="D395" s="59"/>
      <c r="F395" s="59"/>
      <c r="H395" s="59"/>
      <c r="J395" s="59"/>
      <c r="L395" s="59"/>
      <c r="N395" s="59"/>
      <c r="P395" s="59"/>
      <c r="Q395" s="61"/>
    </row>
    <row r="396">
      <c r="B396" s="59"/>
      <c r="D396" s="59"/>
      <c r="F396" s="59"/>
      <c r="H396" s="59"/>
      <c r="J396" s="59"/>
      <c r="L396" s="59"/>
      <c r="N396" s="59"/>
      <c r="P396" s="59"/>
      <c r="Q396" s="61"/>
    </row>
    <row r="397">
      <c r="B397" s="59"/>
      <c r="D397" s="59"/>
      <c r="F397" s="59"/>
      <c r="H397" s="59"/>
      <c r="J397" s="59"/>
      <c r="L397" s="59"/>
      <c r="N397" s="59"/>
      <c r="P397" s="59"/>
      <c r="Q397" s="61"/>
    </row>
    <row r="398">
      <c r="B398" s="59"/>
      <c r="D398" s="59"/>
      <c r="F398" s="59"/>
      <c r="H398" s="59"/>
      <c r="J398" s="59"/>
      <c r="L398" s="59"/>
      <c r="N398" s="59"/>
      <c r="P398" s="59"/>
      <c r="Q398" s="61"/>
    </row>
    <row r="399">
      <c r="B399" s="59"/>
      <c r="D399" s="59"/>
      <c r="F399" s="59"/>
      <c r="H399" s="59"/>
      <c r="J399" s="59"/>
      <c r="L399" s="59"/>
      <c r="N399" s="59"/>
      <c r="P399" s="59"/>
      <c r="Q399" s="61"/>
    </row>
    <row r="400">
      <c r="B400" s="59"/>
      <c r="D400" s="59"/>
      <c r="F400" s="59"/>
      <c r="H400" s="59"/>
      <c r="J400" s="59"/>
      <c r="L400" s="59"/>
      <c r="N400" s="59"/>
      <c r="P400" s="59"/>
      <c r="Q400" s="61"/>
    </row>
    <row r="401">
      <c r="B401" s="59"/>
      <c r="D401" s="59"/>
      <c r="F401" s="59"/>
      <c r="H401" s="59"/>
      <c r="J401" s="59"/>
      <c r="L401" s="59"/>
      <c r="N401" s="59"/>
      <c r="P401" s="59"/>
      <c r="Q401" s="61"/>
    </row>
    <row r="402">
      <c r="B402" s="59"/>
      <c r="D402" s="59"/>
      <c r="F402" s="59"/>
      <c r="H402" s="59"/>
      <c r="J402" s="59"/>
      <c r="L402" s="59"/>
      <c r="N402" s="59"/>
      <c r="P402" s="59"/>
      <c r="Q402" s="61"/>
    </row>
    <row r="403">
      <c r="B403" s="59"/>
      <c r="D403" s="59"/>
      <c r="F403" s="59"/>
      <c r="H403" s="59"/>
      <c r="J403" s="59"/>
      <c r="L403" s="59"/>
      <c r="N403" s="59"/>
      <c r="P403" s="59"/>
      <c r="Q403" s="61"/>
    </row>
    <row r="404">
      <c r="B404" s="59"/>
      <c r="D404" s="59"/>
      <c r="F404" s="59"/>
      <c r="H404" s="59"/>
      <c r="J404" s="59"/>
      <c r="L404" s="59"/>
      <c r="N404" s="59"/>
      <c r="P404" s="59"/>
      <c r="Q404" s="61"/>
    </row>
    <row r="405">
      <c r="B405" s="59"/>
      <c r="D405" s="59"/>
      <c r="F405" s="59"/>
      <c r="H405" s="59"/>
      <c r="J405" s="59"/>
      <c r="L405" s="59"/>
      <c r="N405" s="59"/>
      <c r="P405" s="59"/>
      <c r="Q405" s="61"/>
    </row>
    <row r="406">
      <c r="B406" s="59"/>
      <c r="D406" s="59"/>
      <c r="F406" s="59"/>
      <c r="H406" s="59"/>
      <c r="J406" s="59"/>
      <c r="L406" s="59"/>
      <c r="N406" s="59"/>
      <c r="P406" s="59"/>
      <c r="Q406" s="61"/>
    </row>
    <row r="407">
      <c r="B407" s="59"/>
      <c r="D407" s="59"/>
      <c r="F407" s="59"/>
      <c r="H407" s="59"/>
      <c r="J407" s="59"/>
      <c r="L407" s="59"/>
      <c r="N407" s="59"/>
      <c r="P407" s="59"/>
      <c r="Q407" s="61"/>
    </row>
    <row r="408">
      <c r="B408" s="59"/>
      <c r="D408" s="59"/>
      <c r="F408" s="59"/>
      <c r="H408" s="59"/>
      <c r="J408" s="59"/>
      <c r="L408" s="59"/>
      <c r="N408" s="59"/>
      <c r="P408" s="59"/>
      <c r="Q408" s="61"/>
    </row>
    <row r="409">
      <c r="B409" s="59"/>
      <c r="D409" s="59"/>
      <c r="F409" s="59"/>
      <c r="H409" s="59"/>
      <c r="J409" s="59"/>
      <c r="L409" s="59"/>
      <c r="N409" s="59"/>
      <c r="P409" s="59"/>
      <c r="Q409" s="61"/>
    </row>
    <row r="410">
      <c r="B410" s="59"/>
      <c r="D410" s="59"/>
      <c r="F410" s="59"/>
      <c r="H410" s="59"/>
      <c r="J410" s="59"/>
      <c r="L410" s="59"/>
      <c r="N410" s="59"/>
      <c r="P410" s="59"/>
      <c r="Q410" s="61"/>
    </row>
    <row r="411">
      <c r="B411" s="59"/>
      <c r="D411" s="59"/>
      <c r="F411" s="59"/>
      <c r="H411" s="59"/>
      <c r="J411" s="59"/>
      <c r="L411" s="59"/>
      <c r="N411" s="59"/>
      <c r="P411" s="59"/>
      <c r="Q411" s="61"/>
    </row>
    <row r="412">
      <c r="B412" s="59"/>
      <c r="D412" s="59"/>
      <c r="F412" s="59"/>
      <c r="H412" s="59"/>
      <c r="J412" s="59"/>
      <c r="L412" s="59"/>
      <c r="N412" s="59"/>
      <c r="P412" s="59"/>
      <c r="Q412" s="61"/>
    </row>
    <row r="413">
      <c r="B413" s="59"/>
      <c r="D413" s="59"/>
      <c r="F413" s="59"/>
      <c r="H413" s="59"/>
      <c r="J413" s="59"/>
      <c r="L413" s="59"/>
      <c r="N413" s="59"/>
      <c r="P413" s="59"/>
      <c r="Q413" s="61"/>
    </row>
    <row r="414">
      <c r="B414" s="59"/>
      <c r="D414" s="59"/>
      <c r="F414" s="59"/>
      <c r="H414" s="59"/>
      <c r="J414" s="59"/>
      <c r="L414" s="59"/>
      <c r="N414" s="59"/>
      <c r="P414" s="59"/>
      <c r="Q414" s="61"/>
    </row>
    <row r="415">
      <c r="B415" s="59"/>
      <c r="D415" s="59"/>
      <c r="F415" s="59"/>
      <c r="H415" s="59"/>
      <c r="J415" s="59"/>
      <c r="L415" s="59"/>
      <c r="N415" s="59"/>
      <c r="P415" s="59"/>
      <c r="Q415" s="61"/>
    </row>
    <row r="416">
      <c r="B416" s="59"/>
      <c r="D416" s="59"/>
      <c r="F416" s="59"/>
      <c r="H416" s="59"/>
      <c r="J416" s="59"/>
      <c r="L416" s="59"/>
      <c r="N416" s="59"/>
      <c r="P416" s="59"/>
      <c r="Q416" s="61"/>
    </row>
    <row r="417">
      <c r="B417" s="59"/>
      <c r="D417" s="59"/>
      <c r="F417" s="59"/>
      <c r="H417" s="59"/>
      <c r="J417" s="59"/>
      <c r="L417" s="59"/>
      <c r="N417" s="59"/>
      <c r="P417" s="59"/>
      <c r="Q417" s="61"/>
    </row>
    <row r="418">
      <c r="B418" s="59"/>
      <c r="D418" s="59"/>
      <c r="F418" s="59"/>
      <c r="H418" s="59"/>
      <c r="J418" s="59"/>
      <c r="L418" s="59"/>
      <c r="N418" s="59"/>
      <c r="P418" s="59"/>
      <c r="Q418" s="61"/>
    </row>
    <row r="419">
      <c r="B419" s="59"/>
      <c r="D419" s="59"/>
      <c r="F419" s="59"/>
      <c r="H419" s="59"/>
      <c r="J419" s="59"/>
      <c r="L419" s="59"/>
      <c r="N419" s="59"/>
      <c r="P419" s="59"/>
      <c r="Q419" s="61"/>
    </row>
    <row r="420">
      <c r="B420" s="59"/>
      <c r="D420" s="59"/>
      <c r="F420" s="59"/>
      <c r="H420" s="59"/>
      <c r="J420" s="59"/>
      <c r="L420" s="59"/>
      <c r="N420" s="59"/>
      <c r="P420" s="59"/>
      <c r="Q420" s="61"/>
    </row>
    <row r="421">
      <c r="B421" s="59"/>
      <c r="D421" s="59"/>
      <c r="F421" s="59"/>
      <c r="H421" s="59"/>
      <c r="J421" s="59"/>
      <c r="L421" s="59"/>
      <c r="N421" s="59"/>
      <c r="P421" s="59"/>
      <c r="Q421" s="61"/>
    </row>
    <row r="422">
      <c r="B422" s="59"/>
      <c r="D422" s="59"/>
      <c r="F422" s="59"/>
      <c r="H422" s="59"/>
      <c r="J422" s="59"/>
      <c r="L422" s="59"/>
      <c r="N422" s="59"/>
      <c r="P422" s="59"/>
      <c r="Q422" s="61"/>
    </row>
    <row r="423">
      <c r="B423" s="59"/>
      <c r="D423" s="59"/>
      <c r="F423" s="59"/>
      <c r="H423" s="59"/>
      <c r="J423" s="59"/>
      <c r="L423" s="59"/>
      <c r="N423" s="59"/>
      <c r="P423" s="59"/>
      <c r="Q423" s="61"/>
    </row>
    <row r="424">
      <c r="B424" s="59"/>
      <c r="D424" s="59"/>
      <c r="F424" s="59"/>
      <c r="H424" s="59"/>
      <c r="J424" s="59"/>
      <c r="L424" s="59"/>
      <c r="N424" s="59"/>
      <c r="P424" s="59"/>
      <c r="Q424" s="61"/>
    </row>
    <row r="425">
      <c r="B425" s="59"/>
      <c r="D425" s="59"/>
      <c r="F425" s="59"/>
      <c r="H425" s="59"/>
      <c r="J425" s="59"/>
      <c r="L425" s="59"/>
      <c r="N425" s="59"/>
      <c r="P425" s="59"/>
      <c r="Q425" s="61"/>
    </row>
    <row r="426">
      <c r="B426" s="59"/>
      <c r="D426" s="59"/>
      <c r="F426" s="59"/>
      <c r="H426" s="59"/>
      <c r="J426" s="59"/>
      <c r="L426" s="59"/>
      <c r="N426" s="59"/>
      <c r="P426" s="59"/>
      <c r="Q426" s="61"/>
    </row>
    <row r="427">
      <c r="B427" s="59"/>
      <c r="D427" s="59"/>
      <c r="F427" s="59"/>
      <c r="H427" s="59"/>
      <c r="J427" s="59"/>
      <c r="L427" s="59"/>
      <c r="N427" s="59"/>
      <c r="P427" s="59"/>
      <c r="Q427" s="61"/>
    </row>
    <row r="428">
      <c r="B428" s="59"/>
      <c r="D428" s="59"/>
      <c r="F428" s="59"/>
      <c r="H428" s="59"/>
      <c r="J428" s="59"/>
      <c r="L428" s="59"/>
      <c r="N428" s="59"/>
      <c r="P428" s="59"/>
      <c r="Q428" s="61"/>
    </row>
    <row r="429">
      <c r="B429" s="59"/>
      <c r="D429" s="59"/>
      <c r="F429" s="59"/>
      <c r="H429" s="59"/>
      <c r="J429" s="59"/>
      <c r="L429" s="59"/>
      <c r="N429" s="59"/>
      <c r="P429" s="59"/>
      <c r="Q429" s="61"/>
    </row>
    <row r="430">
      <c r="B430" s="59"/>
      <c r="D430" s="59"/>
      <c r="F430" s="59"/>
      <c r="H430" s="59"/>
      <c r="J430" s="59"/>
      <c r="L430" s="59"/>
      <c r="N430" s="59"/>
      <c r="P430" s="59"/>
      <c r="Q430" s="61"/>
    </row>
    <row r="431">
      <c r="B431" s="59"/>
      <c r="D431" s="59"/>
      <c r="F431" s="59"/>
      <c r="H431" s="59"/>
      <c r="J431" s="59"/>
      <c r="L431" s="59"/>
      <c r="N431" s="59"/>
      <c r="P431" s="59"/>
      <c r="Q431" s="61"/>
    </row>
    <row r="432">
      <c r="B432" s="59"/>
      <c r="D432" s="59"/>
      <c r="F432" s="59"/>
      <c r="H432" s="59"/>
      <c r="J432" s="59"/>
      <c r="L432" s="59"/>
      <c r="N432" s="59"/>
      <c r="P432" s="59"/>
      <c r="Q432" s="61"/>
    </row>
    <row r="433">
      <c r="B433" s="59"/>
      <c r="D433" s="59"/>
      <c r="F433" s="59"/>
      <c r="H433" s="59"/>
      <c r="J433" s="59"/>
      <c r="L433" s="59"/>
      <c r="N433" s="59"/>
      <c r="P433" s="59"/>
      <c r="Q433" s="61"/>
    </row>
    <row r="434">
      <c r="B434" s="59"/>
      <c r="D434" s="59"/>
      <c r="F434" s="59"/>
      <c r="H434" s="59"/>
      <c r="J434" s="59"/>
      <c r="L434" s="59"/>
      <c r="N434" s="59"/>
      <c r="P434" s="59"/>
      <c r="Q434" s="61"/>
    </row>
    <row r="435">
      <c r="B435" s="59"/>
      <c r="D435" s="59"/>
      <c r="F435" s="59"/>
      <c r="H435" s="59"/>
      <c r="J435" s="59"/>
      <c r="L435" s="59"/>
      <c r="N435" s="59"/>
      <c r="P435" s="59"/>
      <c r="Q435" s="61"/>
    </row>
    <row r="436">
      <c r="B436" s="59"/>
      <c r="D436" s="59"/>
      <c r="F436" s="59"/>
      <c r="H436" s="59"/>
      <c r="J436" s="59"/>
      <c r="L436" s="59"/>
      <c r="N436" s="59"/>
      <c r="P436" s="59"/>
      <c r="Q436" s="61"/>
    </row>
    <row r="437">
      <c r="B437" s="59"/>
      <c r="D437" s="59"/>
      <c r="F437" s="59"/>
      <c r="H437" s="59"/>
      <c r="J437" s="59"/>
      <c r="L437" s="59"/>
      <c r="N437" s="59"/>
      <c r="P437" s="59"/>
      <c r="Q437" s="61"/>
    </row>
    <row r="438">
      <c r="B438" s="59"/>
      <c r="D438" s="59"/>
      <c r="F438" s="59"/>
      <c r="H438" s="59"/>
      <c r="J438" s="59"/>
      <c r="L438" s="59"/>
      <c r="N438" s="59"/>
      <c r="P438" s="59"/>
      <c r="Q438" s="61"/>
    </row>
    <row r="439">
      <c r="B439" s="59"/>
      <c r="D439" s="59"/>
      <c r="F439" s="59"/>
      <c r="H439" s="59"/>
      <c r="J439" s="59"/>
      <c r="L439" s="59"/>
      <c r="N439" s="59"/>
      <c r="P439" s="59"/>
      <c r="Q439" s="61"/>
    </row>
    <row r="440">
      <c r="B440" s="59"/>
      <c r="D440" s="59"/>
      <c r="F440" s="59"/>
      <c r="H440" s="59"/>
      <c r="J440" s="59"/>
      <c r="L440" s="59"/>
      <c r="N440" s="59"/>
      <c r="P440" s="59"/>
      <c r="Q440" s="61"/>
    </row>
    <row r="441">
      <c r="B441" s="59"/>
      <c r="D441" s="59"/>
      <c r="F441" s="59"/>
      <c r="H441" s="59"/>
      <c r="J441" s="59"/>
      <c r="L441" s="59"/>
      <c r="N441" s="59"/>
      <c r="P441" s="59"/>
      <c r="Q441" s="61"/>
    </row>
    <row r="442">
      <c r="B442" s="59"/>
      <c r="D442" s="59"/>
      <c r="F442" s="59"/>
      <c r="H442" s="59"/>
      <c r="J442" s="59"/>
      <c r="L442" s="59"/>
      <c r="N442" s="59"/>
      <c r="P442" s="59"/>
      <c r="Q442" s="61"/>
    </row>
    <row r="443">
      <c r="B443" s="59"/>
      <c r="D443" s="59"/>
      <c r="F443" s="59"/>
      <c r="H443" s="59"/>
      <c r="J443" s="59"/>
      <c r="L443" s="59"/>
      <c r="N443" s="59"/>
      <c r="P443" s="59"/>
      <c r="Q443" s="61"/>
    </row>
    <row r="444">
      <c r="B444" s="59"/>
      <c r="D444" s="59"/>
      <c r="F444" s="59"/>
      <c r="H444" s="59"/>
      <c r="J444" s="59"/>
      <c r="L444" s="59"/>
      <c r="N444" s="59"/>
      <c r="P444" s="59"/>
      <c r="Q444" s="61"/>
    </row>
    <row r="445">
      <c r="B445" s="59"/>
      <c r="D445" s="59"/>
      <c r="F445" s="59"/>
      <c r="H445" s="59"/>
      <c r="J445" s="59"/>
      <c r="L445" s="59"/>
      <c r="N445" s="59"/>
      <c r="P445" s="59"/>
      <c r="Q445" s="61"/>
    </row>
    <row r="446">
      <c r="B446" s="59"/>
      <c r="D446" s="59"/>
      <c r="F446" s="59"/>
      <c r="H446" s="59"/>
      <c r="J446" s="59"/>
      <c r="L446" s="59"/>
      <c r="N446" s="59"/>
      <c r="P446" s="59"/>
      <c r="Q446" s="61"/>
    </row>
    <row r="447">
      <c r="B447" s="59"/>
      <c r="D447" s="59"/>
      <c r="F447" s="59"/>
      <c r="H447" s="59"/>
      <c r="J447" s="59"/>
      <c r="L447" s="59"/>
      <c r="N447" s="59"/>
      <c r="P447" s="59"/>
      <c r="Q447" s="61"/>
    </row>
    <row r="448">
      <c r="B448" s="59"/>
      <c r="D448" s="59"/>
      <c r="F448" s="59"/>
      <c r="H448" s="59"/>
      <c r="J448" s="59"/>
      <c r="L448" s="59"/>
      <c r="N448" s="59"/>
      <c r="P448" s="59"/>
      <c r="Q448" s="61"/>
    </row>
    <row r="449">
      <c r="B449" s="59"/>
      <c r="D449" s="59"/>
      <c r="F449" s="59"/>
      <c r="H449" s="59"/>
      <c r="J449" s="59"/>
      <c r="L449" s="59"/>
      <c r="N449" s="59"/>
      <c r="P449" s="59"/>
      <c r="Q449" s="61"/>
    </row>
    <row r="450">
      <c r="B450" s="59"/>
      <c r="D450" s="59"/>
      <c r="F450" s="59"/>
      <c r="H450" s="59"/>
      <c r="J450" s="59"/>
      <c r="L450" s="59"/>
      <c r="N450" s="59"/>
      <c r="P450" s="59"/>
      <c r="Q450" s="61"/>
    </row>
    <row r="451">
      <c r="B451" s="59"/>
      <c r="D451" s="59"/>
      <c r="F451" s="59"/>
      <c r="H451" s="59"/>
      <c r="J451" s="59"/>
      <c r="L451" s="59"/>
      <c r="N451" s="59"/>
      <c r="P451" s="59"/>
      <c r="Q451" s="61"/>
    </row>
    <row r="452">
      <c r="B452" s="59"/>
      <c r="D452" s="59"/>
      <c r="F452" s="59"/>
      <c r="H452" s="59"/>
      <c r="J452" s="59"/>
      <c r="L452" s="59"/>
      <c r="N452" s="59"/>
      <c r="P452" s="59"/>
      <c r="Q452" s="61"/>
    </row>
    <row r="453">
      <c r="B453" s="59"/>
      <c r="D453" s="59"/>
      <c r="F453" s="59"/>
      <c r="H453" s="59"/>
      <c r="J453" s="59"/>
      <c r="L453" s="59"/>
      <c r="N453" s="59"/>
      <c r="P453" s="59"/>
      <c r="Q453" s="61"/>
    </row>
    <row r="454">
      <c r="B454" s="59"/>
      <c r="D454" s="59"/>
      <c r="F454" s="59"/>
      <c r="H454" s="59"/>
      <c r="J454" s="59"/>
      <c r="L454" s="59"/>
      <c r="N454" s="59"/>
      <c r="P454" s="59"/>
      <c r="Q454" s="61"/>
    </row>
    <row r="455">
      <c r="B455" s="59"/>
      <c r="D455" s="59"/>
      <c r="F455" s="59"/>
      <c r="H455" s="59"/>
      <c r="J455" s="59"/>
      <c r="L455" s="59"/>
      <c r="N455" s="59"/>
      <c r="P455" s="59"/>
      <c r="Q455" s="61"/>
    </row>
    <row r="456">
      <c r="B456" s="59"/>
      <c r="D456" s="59"/>
      <c r="F456" s="59"/>
      <c r="H456" s="59"/>
      <c r="J456" s="59"/>
      <c r="L456" s="59"/>
      <c r="N456" s="59"/>
      <c r="P456" s="59"/>
      <c r="Q456" s="61"/>
    </row>
    <row r="457">
      <c r="B457" s="59"/>
      <c r="D457" s="59"/>
      <c r="F457" s="59"/>
      <c r="H457" s="59"/>
      <c r="J457" s="59"/>
      <c r="L457" s="59"/>
      <c r="N457" s="59"/>
      <c r="P457" s="59"/>
      <c r="Q457" s="61"/>
    </row>
    <row r="458">
      <c r="B458" s="59"/>
      <c r="D458" s="59"/>
      <c r="F458" s="59"/>
      <c r="H458" s="59"/>
      <c r="J458" s="59"/>
      <c r="L458" s="59"/>
      <c r="N458" s="59"/>
      <c r="P458" s="59"/>
      <c r="Q458" s="61"/>
    </row>
    <row r="459">
      <c r="B459" s="59"/>
      <c r="D459" s="59"/>
      <c r="F459" s="59"/>
      <c r="H459" s="59"/>
      <c r="J459" s="59"/>
      <c r="L459" s="59"/>
      <c r="N459" s="59"/>
      <c r="P459" s="59"/>
      <c r="Q459" s="61"/>
    </row>
    <row r="460">
      <c r="B460" s="59"/>
      <c r="D460" s="59"/>
      <c r="F460" s="59"/>
      <c r="H460" s="59"/>
      <c r="J460" s="59"/>
      <c r="L460" s="59"/>
      <c r="N460" s="59"/>
      <c r="P460" s="59"/>
      <c r="Q460" s="61"/>
    </row>
    <row r="461">
      <c r="B461" s="59"/>
      <c r="D461" s="59"/>
      <c r="F461" s="59"/>
      <c r="H461" s="59"/>
      <c r="J461" s="59"/>
      <c r="L461" s="59"/>
      <c r="N461" s="59"/>
      <c r="P461" s="59"/>
      <c r="Q461" s="61"/>
    </row>
    <row r="462">
      <c r="B462" s="59"/>
      <c r="D462" s="59"/>
      <c r="F462" s="59"/>
      <c r="H462" s="59"/>
      <c r="J462" s="59"/>
      <c r="L462" s="59"/>
      <c r="N462" s="59"/>
      <c r="P462" s="59"/>
      <c r="Q462" s="61"/>
    </row>
    <row r="463">
      <c r="B463" s="59"/>
      <c r="D463" s="59"/>
      <c r="F463" s="59"/>
      <c r="H463" s="59"/>
      <c r="J463" s="59"/>
      <c r="L463" s="59"/>
      <c r="N463" s="59"/>
      <c r="P463" s="59"/>
      <c r="Q463" s="61"/>
    </row>
    <row r="464">
      <c r="B464" s="59"/>
      <c r="D464" s="59"/>
      <c r="F464" s="59"/>
      <c r="H464" s="59"/>
      <c r="J464" s="59"/>
      <c r="L464" s="59"/>
      <c r="N464" s="59"/>
      <c r="P464" s="59"/>
      <c r="Q464" s="61"/>
    </row>
    <row r="465">
      <c r="B465" s="59"/>
      <c r="D465" s="59"/>
      <c r="F465" s="59"/>
      <c r="H465" s="59"/>
      <c r="J465" s="59"/>
      <c r="L465" s="59"/>
      <c r="N465" s="59"/>
      <c r="P465" s="59"/>
      <c r="Q465" s="61"/>
    </row>
    <row r="466">
      <c r="B466" s="59"/>
      <c r="D466" s="59"/>
      <c r="F466" s="59"/>
      <c r="H466" s="59"/>
      <c r="J466" s="59"/>
      <c r="L466" s="59"/>
      <c r="N466" s="59"/>
      <c r="P466" s="59"/>
      <c r="Q466" s="61"/>
    </row>
    <row r="467">
      <c r="B467" s="59"/>
      <c r="D467" s="59"/>
      <c r="F467" s="59"/>
      <c r="H467" s="59"/>
      <c r="J467" s="59"/>
      <c r="L467" s="59"/>
      <c r="N467" s="59"/>
      <c r="P467" s="59"/>
      <c r="Q467" s="61"/>
    </row>
    <row r="468">
      <c r="B468" s="59"/>
      <c r="D468" s="59"/>
      <c r="F468" s="59"/>
      <c r="H468" s="59"/>
      <c r="J468" s="59"/>
      <c r="L468" s="59"/>
      <c r="N468" s="59"/>
      <c r="P468" s="59"/>
      <c r="Q468" s="61"/>
    </row>
    <row r="469">
      <c r="B469" s="59"/>
      <c r="D469" s="59"/>
      <c r="F469" s="59"/>
      <c r="H469" s="59"/>
      <c r="J469" s="59"/>
      <c r="L469" s="59"/>
      <c r="N469" s="59"/>
      <c r="P469" s="59"/>
      <c r="Q469" s="61"/>
    </row>
    <row r="470">
      <c r="B470" s="59"/>
      <c r="D470" s="59"/>
      <c r="F470" s="59"/>
      <c r="H470" s="59"/>
      <c r="J470" s="59"/>
      <c r="L470" s="59"/>
      <c r="N470" s="59"/>
      <c r="P470" s="59"/>
      <c r="Q470" s="61"/>
    </row>
    <row r="471">
      <c r="B471" s="59"/>
      <c r="D471" s="59"/>
      <c r="F471" s="59"/>
      <c r="H471" s="59"/>
      <c r="J471" s="59"/>
      <c r="L471" s="59"/>
      <c r="N471" s="59"/>
      <c r="P471" s="59"/>
      <c r="Q471" s="61"/>
    </row>
    <row r="472">
      <c r="B472" s="59"/>
      <c r="D472" s="59"/>
      <c r="F472" s="59"/>
      <c r="H472" s="59"/>
      <c r="J472" s="59"/>
      <c r="L472" s="59"/>
      <c r="N472" s="59"/>
      <c r="P472" s="59"/>
      <c r="Q472" s="61"/>
    </row>
    <row r="473">
      <c r="B473" s="59"/>
      <c r="D473" s="59"/>
      <c r="F473" s="59"/>
      <c r="H473" s="59"/>
      <c r="J473" s="59"/>
      <c r="L473" s="59"/>
      <c r="N473" s="59"/>
      <c r="P473" s="59"/>
      <c r="Q473" s="61"/>
    </row>
    <row r="474">
      <c r="B474" s="59"/>
      <c r="D474" s="59"/>
      <c r="F474" s="59"/>
      <c r="H474" s="59"/>
      <c r="J474" s="59"/>
      <c r="L474" s="59"/>
      <c r="N474" s="59"/>
      <c r="P474" s="59"/>
      <c r="Q474" s="61"/>
    </row>
    <row r="475">
      <c r="B475" s="59"/>
      <c r="D475" s="59"/>
      <c r="F475" s="59"/>
      <c r="H475" s="59"/>
      <c r="J475" s="59"/>
      <c r="L475" s="59"/>
      <c r="N475" s="59"/>
      <c r="P475" s="59"/>
      <c r="Q475" s="61"/>
    </row>
    <row r="476">
      <c r="B476" s="59"/>
      <c r="D476" s="59"/>
      <c r="F476" s="59"/>
      <c r="H476" s="59"/>
      <c r="J476" s="59"/>
      <c r="L476" s="59"/>
      <c r="N476" s="59"/>
      <c r="P476" s="59"/>
      <c r="Q476" s="61"/>
    </row>
    <row r="477">
      <c r="B477" s="59"/>
      <c r="D477" s="59"/>
      <c r="F477" s="59"/>
      <c r="H477" s="59"/>
      <c r="J477" s="59"/>
      <c r="L477" s="59"/>
      <c r="N477" s="59"/>
      <c r="P477" s="59"/>
      <c r="Q477" s="61"/>
    </row>
    <row r="478">
      <c r="B478" s="59"/>
      <c r="D478" s="59"/>
      <c r="F478" s="59"/>
      <c r="H478" s="59"/>
      <c r="J478" s="59"/>
      <c r="L478" s="59"/>
      <c r="N478" s="59"/>
      <c r="P478" s="59"/>
      <c r="Q478" s="61"/>
    </row>
    <row r="479">
      <c r="B479" s="59"/>
      <c r="D479" s="59"/>
      <c r="F479" s="59"/>
      <c r="H479" s="59"/>
      <c r="J479" s="59"/>
      <c r="L479" s="59"/>
      <c r="N479" s="59"/>
      <c r="P479" s="59"/>
      <c r="Q479" s="61"/>
    </row>
    <row r="480">
      <c r="B480" s="59"/>
      <c r="D480" s="59"/>
      <c r="F480" s="59"/>
      <c r="H480" s="59"/>
      <c r="J480" s="59"/>
      <c r="L480" s="59"/>
      <c r="N480" s="59"/>
      <c r="P480" s="59"/>
      <c r="Q480" s="61"/>
    </row>
    <row r="481">
      <c r="B481" s="59"/>
      <c r="D481" s="59"/>
      <c r="F481" s="59"/>
      <c r="H481" s="59"/>
      <c r="J481" s="59"/>
      <c r="L481" s="59"/>
      <c r="N481" s="59"/>
      <c r="P481" s="59"/>
      <c r="Q481" s="61"/>
    </row>
    <row r="482">
      <c r="B482" s="59"/>
      <c r="D482" s="59"/>
      <c r="F482" s="59"/>
      <c r="H482" s="59"/>
      <c r="J482" s="59"/>
      <c r="L482" s="59"/>
      <c r="N482" s="59"/>
      <c r="P482" s="59"/>
      <c r="Q482" s="61"/>
    </row>
    <row r="483">
      <c r="B483" s="59"/>
      <c r="D483" s="59"/>
      <c r="F483" s="59"/>
      <c r="H483" s="59"/>
      <c r="J483" s="59"/>
      <c r="L483" s="59"/>
      <c r="N483" s="59"/>
      <c r="P483" s="59"/>
      <c r="Q483" s="61"/>
    </row>
    <row r="484">
      <c r="B484" s="59"/>
      <c r="D484" s="59"/>
      <c r="F484" s="59"/>
      <c r="H484" s="59"/>
      <c r="J484" s="59"/>
      <c r="L484" s="59"/>
      <c r="N484" s="59"/>
      <c r="P484" s="59"/>
      <c r="Q484" s="61"/>
    </row>
    <row r="485">
      <c r="B485" s="59"/>
      <c r="D485" s="59"/>
      <c r="F485" s="59"/>
      <c r="H485" s="59"/>
      <c r="J485" s="59"/>
      <c r="L485" s="59"/>
      <c r="N485" s="59"/>
      <c r="P485" s="59"/>
      <c r="Q485" s="61"/>
    </row>
    <row r="486">
      <c r="B486" s="59"/>
      <c r="D486" s="59"/>
      <c r="F486" s="59"/>
      <c r="H486" s="59"/>
      <c r="J486" s="59"/>
      <c r="L486" s="59"/>
      <c r="N486" s="59"/>
      <c r="P486" s="59"/>
      <c r="Q486" s="61"/>
    </row>
    <row r="487">
      <c r="B487" s="59"/>
      <c r="D487" s="59"/>
      <c r="F487" s="59"/>
      <c r="H487" s="59"/>
      <c r="J487" s="59"/>
      <c r="L487" s="59"/>
      <c r="N487" s="59"/>
      <c r="P487" s="59"/>
      <c r="Q487" s="61"/>
    </row>
    <row r="488">
      <c r="B488" s="59"/>
      <c r="D488" s="59"/>
      <c r="F488" s="59"/>
      <c r="H488" s="59"/>
      <c r="J488" s="59"/>
      <c r="L488" s="59"/>
      <c r="N488" s="59"/>
      <c r="P488" s="59"/>
      <c r="Q488" s="61"/>
    </row>
    <row r="489">
      <c r="B489" s="59"/>
      <c r="D489" s="59"/>
      <c r="F489" s="59"/>
      <c r="H489" s="59"/>
      <c r="J489" s="59"/>
      <c r="L489" s="59"/>
      <c r="N489" s="59"/>
      <c r="P489" s="59"/>
      <c r="Q489" s="61"/>
    </row>
    <row r="490">
      <c r="B490" s="59"/>
      <c r="D490" s="59"/>
      <c r="F490" s="59"/>
      <c r="H490" s="59"/>
      <c r="J490" s="59"/>
      <c r="L490" s="59"/>
      <c r="N490" s="59"/>
      <c r="P490" s="59"/>
      <c r="Q490" s="61"/>
    </row>
    <row r="491">
      <c r="B491" s="59"/>
      <c r="D491" s="59"/>
      <c r="F491" s="59"/>
      <c r="H491" s="59"/>
      <c r="J491" s="59"/>
      <c r="L491" s="59"/>
      <c r="N491" s="59"/>
      <c r="P491" s="59"/>
      <c r="Q491" s="61"/>
    </row>
    <row r="492">
      <c r="B492" s="59"/>
      <c r="D492" s="59"/>
      <c r="F492" s="59"/>
      <c r="H492" s="59"/>
      <c r="J492" s="59"/>
      <c r="L492" s="59"/>
      <c r="N492" s="59"/>
      <c r="P492" s="59"/>
      <c r="Q492" s="61"/>
    </row>
    <row r="493">
      <c r="B493" s="59"/>
      <c r="D493" s="59"/>
      <c r="F493" s="59"/>
      <c r="H493" s="59"/>
      <c r="J493" s="59"/>
      <c r="L493" s="59"/>
      <c r="N493" s="59"/>
      <c r="P493" s="59"/>
      <c r="Q493" s="61"/>
    </row>
    <row r="494">
      <c r="B494" s="59"/>
      <c r="D494" s="59"/>
      <c r="F494" s="59"/>
      <c r="H494" s="59"/>
      <c r="J494" s="59"/>
      <c r="L494" s="59"/>
      <c r="N494" s="59"/>
      <c r="P494" s="59"/>
      <c r="Q494" s="61"/>
    </row>
    <row r="495">
      <c r="B495" s="59"/>
      <c r="D495" s="59"/>
      <c r="F495" s="59"/>
      <c r="H495" s="59"/>
      <c r="J495" s="59"/>
      <c r="L495" s="59"/>
      <c r="N495" s="59"/>
      <c r="P495" s="59"/>
      <c r="Q495" s="61"/>
    </row>
    <row r="496">
      <c r="B496" s="59"/>
      <c r="D496" s="59"/>
      <c r="F496" s="59"/>
      <c r="H496" s="59"/>
      <c r="J496" s="59"/>
      <c r="L496" s="59"/>
      <c r="N496" s="59"/>
      <c r="P496" s="59"/>
      <c r="Q496" s="61"/>
    </row>
    <row r="497">
      <c r="B497" s="59"/>
      <c r="D497" s="59"/>
      <c r="F497" s="59"/>
      <c r="H497" s="59"/>
      <c r="J497" s="59"/>
      <c r="L497" s="59"/>
      <c r="N497" s="59"/>
      <c r="P497" s="59"/>
      <c r="Q497" s="61"/>
    </row>
    <row r="498">
      <c r="B498" s="59"/>
      <c r="D498" s="59"/>
      <c r="F498" s="59"/>
      <c r="H498" s="59"/>
      <c r="J498" s="59"/>
      <c r="L498" s="59"/>
      <c r="N498" s="59"/>
      <c r="P498" s="59"/>
      <c r="Q498" s="61"/>
    </row>
    <row r="499">
      <c r="B499" s="59"/>
      <c r="D499" s="59"/>
      <c r="F499" s="59"/>
      <c r="H499" s="59"/>
      <c r="J499" s="59"/>
      <c r="L499" s="59"/>
      <c r="N499" s="59"/>
      <c r="P499" s="59"/>
      <c r="Q499" s="61"/>
    </row>
    <row r="500">
      <c r="B500" s="59"/>
      <c r="D500" s="59"/>
      <c r="F500" s="59"/>
      <c r="H500" s="59"/>
      <c r="J500" s="59"/>
      <c r="L500" s="59"/>
      <c r="N500" s="59"/>
      <c r="P500" s="59"/>
      <c r="Q500" s="61"/>
    </row>
    <row r="501">
      <c r="B501" s="59"/>
      <c r="D501" s="59"/>
      <c r="F501" s="59"/>
      <c r="H501" s="59"/>
      <c r="J501" s="59"/>
      <c r="L501" s="59"/>
      <c r="N501" s="59"/>
      <c r="P501" s="59"/>
      <c r="Q501" s="61"/>
    </row>
    <row r="502">
      <c r="B502" s="59"/>
      <c r="D502" s="59"/>
      <c r="F502" s="59"/>
      <c r="H502" s="59"/>
      <c r="J502" s="59"/>
      <c r="L502" s="59"/>
      <c r="N502" s="59"/>
      <c r="P502" s="59"/>
      <c r="Q502" s="61"/>
    </row>
    <row r="503">
      <c r="B503" s="59"/>
      <c r="D503" s="59"/>
      <c r="F503" s="59"/>
      <c r="H503" s="59"/>
      <c r="J503" s="59"/>
      <c r="L503" s="59"/>
      <c r="N503" s="59"/>
      <c r="P503" s="59"/>
      <c r="Q503" s="61"/>
    </row>
    <row r="504">
      <c r="B504" s="59"/>
      <c r="D504" s="59"/>
      <c r="F504" s="59"/>
      <c r="H504" s="59"/>
      <c r="J504" s="59"/>
      <c r="L504" s="59"/>
      <c r="N504" s="59"/>
      <c r="P504" s="59"/>
      <c r="Q504" s="61"/>
    </row>
    <row r="505">
      <c r="B505" s="59"/>
      <c r="D505" s="59"/>
      <c r="F505" s="59"/>
      <c r="H505" s="59"/>
      <c r="J505" s="59"/>
      <c r="L505" s="59"/>
      <c r="N505" s="59"/>
      <c r="P505" s="59"/>
      <c r="Q505" s="61"/>
    </row>
    <row r="506">
      <c r="B506" s="59"/>
      <c r="D506" s="59"/>
      <c r="F506" s="59"/>
      <c r="H506" s="59"/>
      <c r="J506" s="59"/>
      <c r="L506" s="59"/>
      <c r="N506" s="59"/>
      <c r="P506" s="59"/>
      <c r="Q506" s="61"/>
    </row>
    <row r="507">
      <c r="B507" s="59"/>
      <c r="D507" s="59"/>
      <c r="F507" s="59"/>
      <c r="H507" s="59"/>
      <c r="J507" s="59"/>
      <c r="L507" s="59"/>
      <c r="N507" s="59"/>
      <c r="P507" s="59"/>
      <c r="Q507" s="61"/>
    </row>
    <row r="508">
      <c r="B508" s="59"/>
      <c r="D508" s="59"/>
      <c r="F508" s="59"/>
      <c r="H508" s="59"/>
      <c r="J508" s="59"/>
      <c r="L508" s="59"/>
      <c r="N508" s="59"/>
      <c r="P508" s="59"/>
      <c r="Q508" s="61"/>
    </row>
    <row r="509">
      <c r="B509" s="59"/>
      <c r="D509" s="59"/>
      <c r="F509" s="59"/>
      <c r="H509" s="59"/>
      <c r="J509" s="59"/>
      <c r="L509" s="59"/>
      <c r="N509" s="59"/>
      <c r="P509" s="59"/>
      <c r="Q509" s="61"/>
    </row>
    <row r="510">
      <c r="B510" s="59"/>
      <c r="D510" s="59"/>
      <c r="F510" s="59"/>
      <c r="H510" s="59"/>
      <c r="J510" s="59"/>
      <c r="L510" s="59"/>
      <c r="N510" s="59"/>
      <c r="P510" s="59"/>
      <c r="Q510" s="61"/>
    </row>
    <row r="511">
      <c r="B511" s="59"/>
      <c r="D511" s="59"/>
      <c r="F511" s="59"/>
      <c r="H511" s="59"/>
      <c r="J511" s="59"/>
      <c r="L511" s="59"/>
      <c r="N511" s="59"/>
      <c r="P511" s="59"/>
      <c r="Q511" s="61"/>
    </row>
    <row r="512">
      <c r="B512" s="59"/>
      <c r="D512" s="59"/>
      <c r="F512" s="59"/>
      <c r="H512" s="59"/>
      <c r="J512" s="59"/>
      <c r="L512" s="59"/>
      <c r="N512" s="59"/>
      <c r="P512" s="59"/>
      <c r="Q512" s="61"/>
    </row>
    <row r="513">
      <c r="B513" s="59"/>
      <c r="D513" s="59"/>
      <c r="F513" s="59"/>
      <c r="H513" s="59"/>
      <c r="J513" s="59"/>
      <c r="L513" s="59"/>
      <c r="N513" s="59"/>
      <c r="P513" s="59"/>
      <c r="Q513" s="61"/>
    </row>
    <row r="514">
      <c r="B514" s="59"/>
      <c r="D514" s="59"/>
      <c r="F514" s="59"/>
      <c r="H514" s="59"/>
      <c r="J514" s="59"/>
      <c r="L514" s="59"/>
      <c r="N514" s="59"/>
      <c r="P514" s="59"/>
      <c r="Q514" s="61"/>
    </row>
    <row r="515">
      <c r="B515" s="59"/>
      <c r="D515" s="59"/>
      <c r="F515" s="59"/>
      <c r="H515" s="59"/>
      <c r="J515" s="59"/>
      <c r="L515" s="59"/>
      <c r="N515" s="59"/>
      <c r="P515" s="59"/>
      <c r="Q515" s="61"/>
    </row>
    <row r="516">
      <c r="B516" s="59"/>
      <c r="D516" s="59"/>
      <c r="F516" s="59"/>
      <c r="H516" s="59"/>
      <c r="J516" s="59"/>
      <c r="L516" s="59"/>
      <c r="N516" s="59"/>
      <c r="P516" s="59"/>
      <c r="Q516" s="61"/>
    </row>
    <row r="517">
      <c r="B517" s="59"/>
      <c r="D517" s="59"/>
      <c r="F517" s="59"/>
      <c r="H517" s="59"/>
      <c r="J517" s="59"/>
      <c r="L517" s="59"/>
      <c r="N517" s="59"/>
      <c r="P517" s="59"/>
      <c r="Q517" s="61"/>
    </row>
    <row r="518">
      <c r="B518" s="59"/>
      <c r="D518" s="59"/>
      <c r="F518" s="59"/>
      <c r="H518" s="59"/>
      <c r="J518" s="59"/>
      <c r="L518" s="59"/>
      <c r="N518" s="59"/>
      <c r="P518" s="59"/>
      <c r="Q518" s="61"/>
    </row>
    <row r="519">
      <c r="B519" s="59"/>
      <c r="D519" s="59"/>
      <c r="F519" s="59"/>
      <c r="H519" s="59"/>
      <c r="J519" s="59"/>
      <c r="L519" s="59"/>
      <c r="N519" s="59"/>
      <c r="P519" s="59"/>
      <c r="Q519" s="61"/>
    </row>
    <row r="520">
      <c r="B520" s="59"/>
      <c r="D520" s="59"/>
      <c r="F520" s="59"/>
      <c r="H520" s="59"/>
      <c r="J520" s="59"/>
      <c r="L520" s="59"/>
      <c r="N520" s="59"/>
      <c r="P520" s="59"/>
      <c r="Q520" s="61"/>
    </row>
    <row r="521">
      <c r="B521" s="59"/>
      <c r="D521" s="59"/>
      <c r="F521" s="59"/>
      <c r="H521" s="59"/>
      <c r="J521" s="59"/>
      <c r="L521" s="59"/>
      <c r="N521" s="59"/>
      <c r="P521" s="59"/>
      <c r="Q521" s="61"/>
    </row>
    <row r="522">
      <c r="B522" s="59"/>
      <c r="D522" s="59"/>
      <c r="F522" s="59"/>
      <c r="H522" s="59"/>
      <c r="J522" s="59"/>
      <c r="L522" s="59"/>
      <c r="N522" s="59"/>
      <c r="P522" s="59"/>
      <c r="Q522" s="61"/>
    </row>
    <row r="523">
      <c r="B523" s="59"/>
      <c r="D523" s="59"/>
      <c r="F523" s="59"/>
      <c r="H523" s="59"/>
      <c r="J523" s="59"/>
      <c r="L523" s="59"/>
      <c r="N523" s="59"/>
      <c r="P523" s="59"/>
      <c r="Q523" s="61"/>
    </row>
    <row r="524">
      <c r="B524" s="59"/>
      <c r="D524" s="59"/>
      <c r="F524" s="59"/>
      <c r="H524" s="59"/>
      <c r="J524" s="59"/>
      <c r="L524" s="59"/>
      <c r="N524" s="59"/>
      <c r="P524" s="59"/>
      <c r="Q524" s="61"/>
    </row>
    <row r="525">
      <c r="B525" s="59"/>
      <c r="D525" s="59"/>
      <c r="F525" s="59"/>
      <c r="H525" s="59"/>
      <c r="J525" s="59"/>
      <c r="L525" s="59"/>
      <c r="N525" s="59"/>
      <c r="P525" s="59"/>
      <c r="Q525" s="61"/>
    </row>
    <row r="526">
      <c r="B526" s="59"/>
      <c r="D526" s="59"/>
      <c r="F526" s="59"/>
      <c r="H526" s="59"/>
      <c r="J526" s="59"/>
      <c r="L526" s="59"/>
      <c r="N526" s="59"/>
      <c r="P526" s="59"/>
      <c r="Q526" s="61"/>
    </row>
    <row r="527">
      <c r="B527" s="59"/>
      <c r="D527" s="59"/>
      <c r="F527" s="59"/>
      <c r="H527" s="59"/>
      <c r="J527" s="59"/>
      <c r="L527" s="59"/>
      <c r="N527" s="59"/>
      <c r="P527" s="59"/>
      <c r="Q527" s="61"/>
    </row>
    <row r="528">
      <c r="B528" s="59"/>
      <c r="D528" s="59"/>
      <c r="F528" s="59"/>
      <c r="H528" s="59"/>
      <c r="J528" s="59"/>
      <c r="L528" s="59"/>
      <c r="N528" s="59"/>
      <c r="P528" s="59"/>
      <c r="Q528" s="61"/>
    </row>
    <row r="529">
      <c r="B529" s="59"/>
      <c r="D529" s="59"/>
      <c r="F529" s="59"/>
      <c r="H529" s="59"/>
      <c r="J529" s="59"/>
      <c r="L529" s="59"/>
      <c r="N529" s="59"/>
      <c r="P529" s="59"/>
      <c r="Q529" s="61"/>
    </row>
    <row r="530">
      <c r="B530" s="59"/>
      <c r="D530" s="59"/>
      <c r="F530" s="59"/>
      <c r="H530" s="59"/>
      <c r="J530" s="59"/>
      <c r="L530" s="59"/>
      <c r="N530" s="59"/>
      <c r="P530" s="59"/>
      <c r="Q530" s="61"/>
    </row>
    <row r="531">
      <c r="B531" s="59"/>
      <c r="D531" s="59"/>
      <c r="F531" s="59"/>
      <c r="H531" s="59"/>
      <c r="J531" s="59"/>
      <c r="L531" s="59"/>
      <c r="N531" s="59"/>
      <c r="P531" s="59"/>
      <c r="Q531" s="61"/>
    </row>
    <row r="532">
      <c r="B532" s="59"/>
      <c r="D532" s="59"/>
      <c r="F532" s="59"/>
      <c r="H532" s="59"/>
      <c r="J532" s="59"/>
      <c r="L532" s="59"/>
      <c r="N532" s="59"/>
      <c r="P532" s="59"/>
      <c r="Q532" s="61"/>
    </row>
    <row r="533">
      <c r="B533" s="59"/>
      <c r="D533" s="59"/>
      <c r="F533" s="59"/>
      <c r="H533" s="59"/>
      <c r="J533" s="59"/>
      <c r="L533" s="59"/>
      <c r="N533" s="59"/>
      <c r="P533" s="59"/>
      <c r="Q533" s="61"/>
    </row>
    <row r="534">
      <c r="B534" s="59"/>
      <c r="D534" s="59"/>
      <c r="F534" s="59"/>
      <c r="H534" s="59"/>
      <c r="J534" s="59"/>
      <c r="L534" s="59"/>
      <c r="N534" s="59"/>
      <c r="P534" s="59"/>
      <c r="Q534" s="61"/>
    </row>
    <row r="535">
      <c r="B535" s="59"/>
      <c r="D535" s="59"/>
      <c r="F535" s="59"/>
      <c r="H535" s="59"/>
      <c r="J535" s="59"/>
      <c r="L535" s="59"/>
      <c r="N535" s="59"/>
      <c r="P535" s="59"/>
      <c r="Q535" s="61"/>
    </row>
    <row r="536">
      <c r="B536" s="59"/>
      <c r="D536" s="59"/>
      <c r="F536" s="59"/>
      <c r="H536" s="59"/>
      <c r="J536" s="59"/>
      <c r="L536" s="59"/>
      <c r="N536" s="59"/>
      <c r="P536" s="59"/>
      <c r="Q536" s="61"/>
    </row>
    <row r="537">
      <c r="B537" s="59"/>
      <c r="D537" s="59"/>
      <c r="F537" s="59"/>
      <c r="H537" s="59"/>
      <c r="J537" s="59"/>
      <c r="L537" s="59"/>
      <c r="N537" s="59"/>
      <c r="P537" s="59"/>
      <c r="Q537" s="61"/>
    </row>
    <row r="538">
      <c r="B538" s="59"/>
      <c r="D538" s="59"/>
      <c r="F538" s="59"/>
      <c r="H538" s="59"/>
      <c r="J538" s="59"/>
      <c r="L538" s="59"/>
      <c r="N538" s="59"/>
      <c r="P538" s="59"/>
      <c r="Q538" s="61"/>
    </row>
    <row r="539">
      <c r="B539" s="59"/>
      <c r="D539" s="59"/>
      <c r="F539" s="59"/>
      <c r="H539" s="59"/>
      <c r="J539" s="59"/>
      <c r="L539" s="59"/>
      <c r="N539" s="59"/>
      <c r="P539" s="59"/>
      <c r="Q539" s="61"/>
    </row>
    <row r="540">
      <c r="B540" s="59"/>
      <c r="D540" s="59"/>
      <c r="F540" s="59"/>
      <c r="H540" s="59"/>
      <c r="J540" s="59"/>
      <c r="L540" s="59"/>
      <c r="N540" s="59"/>
      <c r="P540" s="59"/>
      <c r="Q540" s="61"/>
    </row>
    <row r="541">
      <c r="B541" s="59"/>
      <c r="D541" s="59"/>
      <c r="F541" s="59"/>
      <c r="H541" s="59"/>
      <c r="J541" s="59"/>
      <c r="L541" s="59"/>
      <c r="N541" s="59"/>
      <c r="P541" s="59"/>
      <c r="Q541" s="61"/>
    </row>
    <row r="542">
      <c r="B542" s="59"/>
      <c r="D542" s="59"/>
      <c r="F542" s="59"/>
      <c r="H542" s="59"/>
      <c r="J542" s="59"/>
      <c r="L542" s="59"/>
      <c r="N542" s="59"/>
      <c r="P542" s="59"/>
      <c r="Q542" s="61"/>
    </row>
    <row r="543">
      <c r="B543" s="59"/>
      <c r="D543" s="59"/>
      <c r="F543" s="59"/>
      <c r="H543" s="59"/>
      <c r="J543" s="59"/>
      <c r="L543" s="59"/>
      <c r="N543" s="59"/>
      <c r="P543" s="59"/>
      <c r="Q543" s="61"/>
    </row>
    <row r="544">
      <c r="B544" s="59"/>
      <c r="D544" s="59"/>
      <c r="F544" s="59"/>
      <c r="H544" s="59"/>
      <c r="J544" s="59"/>
      <c r="L544" s="59"/>
      <c r="N544" s="59"/>
      <c r="P544" s="59"/>
      <c r="Q544" s="61"/>
    </row>
    <row r="545">
      <c r="B545" s="59"/>
      <c r="D545" s="59"/>
      <c r="F545" s="59"/>
      <c r="H545" s="59"/>
      <c r="J545" s="59"/>
      <c r="L545" s="59"/>
      <c r="N545" s="59"/>
      <c r="P545" s="59"/>
      <c r="Q545" s="61"/>
    </row>
    <row r="546">
      <c r="B546" s="59"/>
      <c r="D546" s="59"/>
      <c r="F546" s="59"/>
      <c r="H546" s="59"/>
      <c r="J546" s="59"/>
      <c r="L546" s="59"/>
      <c r="N546" s="59"/>
      <c r="P546" s="59"/>
      <c r="Q546" s="61"/>
    </row>
    <row r="547">
      <c r="B547" s="59"/>
      <c r="D547" s="59"/>
      <c r="F547" s="59"/>
      <c r="H547" s="59"/>
      <c r="J547" s="59"/>
      <c r="L547" s="59"/>
      <c r="N547" s="59"/>
      <c r="P547" s="59"/>
      <c r="Q547" s="61"/>
    </row>
    <row r="548">
      <c r="B548" s="59"/>
      <c r="D548" s="59"/>
      <c r="F548" s="59"/>
      <c r="H548" s="59"/>
      <c r="J548" s="59"/>
      <c r="L548" s="59"/>
      <c r="N548" s="59"/>
      <c r="P548" s="59"/>
      <c r="Q548" s="61"/>
    </row>
    <row r="549">
      <c r="B549" s="59"/>
      <c r="D549" s="59"/>
      <c r="F549" s="59"/>
      <c r="H549" s="59"/>
      <c r="J549" s="59"/>
      <c r="L549" s="59"/>
      <c r="N549" s="59"/>
      <c r="P549" s="59"/>
      <c r="Q549" s="61"/>
    </row>
    <row r="550">
      <c r="B550" s="59"/>
      <c r="D550" s="59"/>
      <c r="F550" s="59"/>
      <c r="H550" s="59"/>
      <c r="J550" s="59"/>
      <c r="L550" s="59"/>
      <c r="N550" s="59"/>
      <c r="P550" s="59"/>
      <c r="Q550" s="61"/>
    </row>
    <row r="551">
      <c r="B551" s="59"/>
      <c r="D551" s="59"/>
      <c r="F551" s="59"/>
      <c r="H551" s="59"/>
      <c r="J551" s="59"/>
      <c r="L551" s="59"/>
      <c r="N551" s="59"/>
      <c r="P551" s="59"/>
      <c r="Q551" s="61"/>
    </row>
    <row r="552">
      <c r="B552" s="59"/>
      <c r="D552" s="59"/>
      <c r="F552" s="59"/>
      <c r="H552" s="59"/>
      <c r="J552" s="59"/>
      <c r="L552" s="59"/>
      <c r="N552" s="59"/>
      <c r="P552" s="59"/>
      <c r="Q552" s="61"/>
    </row>
    <row r="553">
      <c r="B553" s="59"/>
      <c r="D553" s="59"/>
      <c r="F553" s="59"/>
      <c r="H553" s="59"/>
      <c r="J553" s="59"/>
      <c r="L553" s="59"/>
      <c r="N553" s="59"/>
      <c r="P553" s="59"/>
      <c r="Q553" s="61"/>
    </row>
    <row r="554">
      <c r="B554" s="59"/>
      <c r="D554" s="59"/>
      <c r="F554" s="59"/>
      <c r="H554" s="59"/>
      <c r="J554" s="59"/>
      <c r="L554" s="59"/>
      <c r="N554" s="59"/>
      <c r="P554" s="59"/>
      <c r="Q554" s="61"/>
    </row>
    <row r="555">
      <c r="B555" s="59"/>
      <c r="D555" s="59"/>
      <c r="F555" s="59"/>
      <c r="H555" s="59"/>
      <c r="J555" s="59"/>
      <c r="L555" s="59"/>
      <c r="N555" s="59"/>
      <c r="P555" s="59"/>
      <c r="Q555" s="61"/>
    </row>
    <row r="556">
      <c r="B556" s="59"/>
      <c r="D556" s="59"/>
      <c r="F556" s="59"/>
      <c r="H556" s="59"/>
      <c r="J556" s="59"/>
      <c r="L556" s="59"/>
      <c r="N556" s="59"/>
      <c r="P556" s="59"/>
      <c r="Q556" s="61"/>
    </row>
    <row r="557">
      <c r="B557" s="59"/>
      <c r="D557" s="59"/>
      <c r="F557" s="59"/>
      <c r="H557" s="59"/>
      <c r="J557" s="59"/>
      <c r="L557" s="59"/>
      <c r="N557" s="59"/>
      <c r="P557" s="59"/>
      <c r="Q557" s="61"/>
    </row>
    <row r="558">
      <c r="B558" s="59"/>
      <c r="D558" s="59"/>
      <c r="F558" s="59"/>
      <c r="H558" s="59"/>
      <c r="J558" s="59"/>
      <c r="L558" s="59"/>
      <c r="N558" s="59"/>
      <c r="P558" s="59"/>
      <c r="Q558" s="61"/>
    </row>
    <row r="559">
      <c r="B559" s="59"/>
      <c r="D559" s="59"/>
      <c r="F559" s="59"/>
      <c r="H559" s="59"/>
      <c r="J559" s="59"/>
      <c r="L559" s="59"/>
      <c r="N559" s="59"/>
      <c r="P559" s="59"/>
      <c r="Q559" s="61"/>
    </row>
    <row r="560">
      <c r="B560" s="59"/>
      <c r="D560" s="59"/>
      <c r="F560" s="59"/>
      <c r="H560" s="59"/>
      <c r="J560" s="59"/>
      <c r="L560" s="59"/>
      <c r="N560" s="59"/>
      <c r="P560" s="59"/>
      <c r="Q560" s="61"/>
    </row>
    <row r="561">
      <c r="B561" s="59"/>
      <c r="D561" s="59"/>
      <c r="F561" s="59"/>
      <c r="H561" s="59"/>
      <c r="J561" s="59"/>
      <c r="L561" s="59"/>
      <c r="N561" s="59"/>
      <c r="P561" s="59"/>
      <c r="Q561" s="61"/>
    </row>
    <row r="562">
      <c r="B562" s="59"/>
      <c r="D562" s="59"/>
      <c r="F562" s="59"/>
      <c r="H562" s="59"/>
      <c r="J562" s="59"/>
      <c r="L562" s="59"/>
      <c r="N562" s="59"/>
      <c r="P562" s="59"/>
      <c r="Q562" s="61"/>
    </row>
    <row r="563">
      <c r="B563" s="59"/>
      <c r="D563" s="59"/>
      <c r="F563" s="59"/>
      <c r="H563" s="59"/>
      <c r="J563" s="59"/>
      <c r="L563" s="59"/>
      <c r="N563" s="59"/>
      <c r="P563" s="59"/>
      <c r="Q563" s="61"/>
    </row>
    <row r="564">
      <c r="B564" s="59"/>
      <c r="D564" s="59"/>
      <c r="F564" s="59"/>
      <c r="H564" s="59"/>
      <c r="J564" s="59"/>
      <c r="L564" s="59"/>
      <c r="N564" s="59"/>
      <c r="P564" s="59"/>
      <c r="Q564" s="61"/>
    </row>
    <row r="565">
      <c r="B565" s="59"/>
      <c r="D565" s="59"/>
      <c r="F565" s="59"/>
      <c r="H565" s="59"/>
      <c r="J565" s="59"/>
      <c r="L565" s="59"/>
      <c r="N565" s="59"/>
      <c r="P565" s="59"/>
      <c r="Q565" s="61"/>
    </row>
    <row r="566">
      <c r="B566" s="59"/>
      <c r="D566" s="59"/>
      <c r="F566" s="59"/>
      <c r="H566" s="59"/>
      <c r="J566" s="59"/>
      <c r="L566" s="59"/>
      <c r="N566" s="59"/>
      <c r="P566" s="59"/>
      <c r="Q566" s="61"/>
    </row>
    <row r="567">
      <c r="B567" s="59"/>
      <c r="D567" s="59"/>
      <c r="F567" s="59"/>
      <c r="H567" s="59"/>
      <c r="J567" s="59"/>
      <c r="L567" s="59"/>
      <c r="N567" s="59"/>
      <c r="P567" s="59"/>
      <c r="Q567" s="61"/>
    </row>
    <row r="568">
      <c r="B568" s="59"/>
      <c r="D568" s="59"/>
      <c r="F568" s="59"/>
      <c r="H568" s="59"/>
      <c r="J568" s="59"/>
      <c r="L568" s="59"/>
      <c r="N568" s="59"/>
      <c r="P568" s="59"/>
      <c r="Q568" s="61"/>
    </row>
    <row r="569">
      <c r="B569" s="59"/>
      <c r="D569" s="59"/>
      <c r="F569" s="59"/>
      <c r="H569" s="59"/>
      <c r="J569" s="59"/>
      <c r="L569" s="59"/>
      <c r="N569" s="59"/>
      <c r="P569" s="59"/>
      <c r="Q569" s="61"/>
    </row>
    <row r="570">
      <c r="B570" s="59"/>
      <c r="D570" s="59"/>
      <c r="F570" s="59"/>
      <c r="H570" s="59"/>
      <c r="J570" s="59"/>
      <c r="L570" s="59"/>
      <c r="N570" s="59"/>
      <c r="P570" s="59"/>
      <c r="Q570" s="61"/>
    </row>
    <row r="571">
      <c r="B571" s="59"/>
      <c r="D571" s="59"/>
      <c r="F571" s="59"/>
      <c r="H571" s="59"/>
      <c r="J571" s="59"/>
      <c r="L571" s="59"/>
      <c r="N571" s="59"/>
      <c r="P571" s="59"/>
      <c r="Q571" s="61"/>
    </row>
    <row r="572">
      <c r="B572" s="59"/>
      <c r="D572" s="59"/>
      <c r="F572" s="59"/>
      <c r="H572" s="59"/>
      <c r="J572" s="59"/>
      <c r="L572" s="59"/>
      <c r="N572" s="59"/>
      <c r="P572" s="59"/>
      <c r="Q572" s="61"/>
    </row>
    <row r="573">
      <c r="B573" s="59"/>
      <c r="D573" s="59"/>
      <c r="F573" s="59"/>
      <c r="H573" s="59"/>
      <c r="J573" s="59"/>
      <c r="L573" s="59"/>
      <c r="N573" s="59"/>
      <c r="P573" s="59"/>
      <c r="Q573" s="61"/>
    </row>
    <row r="574">
      <c r="B574" s="59"/>
      <c r="D574" s="59"/>
      <c r="F574" s="59"/>
      <c r="H574" s="59"/>
      <c r="J574" s="59"/>
      <c r="L574" s="59"/>
      <c r="N574" s="59"/>
      <c r="P574" s="59"/>
      <c r="Q574" s="61"/>
    </row>
    <row r="575">
      <c r="B575" s="59"/>
      <c r="D575" s="59"/>
      <c r="F575" s="59"/>
      <c r="H575" s="59"/>
      <c r="J575" s="59"/>
      <c r="L575" s="59"/>
      <c r="N575" s="59"/>
      <c r="P575" s="59"/>
      <c r="Q575" s="61"/>
    </row>
    <row r="576">
      <c r="B576" s="59"/>
      <c r="D576" s="59"/>
      <c r="F576" s="59"/>
      <c r="H576" s="59"/>
      <c r="J576" s="59"/>
      <c r="L576" s="59"/>
      <c r="N576" s="59"/>
      <c r="P576" s="59"/>
      <c r="Q576" s="61"/>
    </row>
    <row r="577">
      <c r="B577" s="59"/>
      <c r="D577" s="59"/>
      <c r="F577" s="59"/>
      <c r="H577" s="59"/>
      <c r="J577" s="59"/>
      <c r="L577" s="59"/>
      <c r="N577" s="59"/>
      <c r="P577" s="59"/>
      <c r="Q577" s="61"/>
    </row>
    <row r="578">
      <c r="B578" s="59"/>
      <c r="D578" s="59"/>
      <c r="F578" s="59"/>
      <c r="H578" s="59"/>
      <c r="J578" s="59"/>
      <c r="L578" s="59"/>
      <c r="N578" s="59"/>
      <c r="P578" s="59"/>
      <c r="Q578" s="61"/>
    </row>
    <row r="579">
      <c r="B579" s="59"/>
      <c r="D579" s="59"/>
      <c r="F579" s="59"/>
      <c r="H579" s="59"/>
      <c r="J579" s="59"/>
      <c r="L579" s="59"/>
      <c r="N579" s="59"/>
      <c r="P579" s="59"/>
      <c r="Q579" s="61"/>
    </row>
    <row r="580">
      <c r="B580" s="59"/>
      <c r="D580" s="59"/>
      <c r="F580" s="59"/>
      <c r="H580" s="59"/>
      <c r="J580" s="59"/>
      <c r="L580" s="59"/>
      <c r="N580" s="59"/>
      <c r="P580" s="59"/>
      <c r="Q580" s="61"/>
    </row>
    <row r="581">
      <c r="B581" s="59"/>
      <c r="D581" s="59"/>
      <c r="F581" s="59"/>
      <c r="H581" s="59"/>
      <c r="J581" s="59"/>
      <c r="L581" s="59"/>
      <c r="N581" s="59"/>
      <c r="P581" s="59"/>
      <c r="Q581" s="61"/>
    </row>
    <row r="582">
      <c r="B582" s="59"/>
      <c r="D582" s="59"/>
      <c r="F582" s="59"/>
      <c r="H582" s="59"/>
      <c r="J582" s="59"/>
      <c r="L582" s="59"/>
      <c r="N582" s="59"/>
      <c r="P582" s="59"/>
      <c r="Q582" s="61"/>
    </row>
    <row r="583">
      <c r="B583" s="59"/>
      <c r="D583" s="59"/>
      <c r="F583" s="59"/>
      <c r="H583" s="59"/>
      <c r="J583" s="59"/>
      <c r="L583" s="59"/>
      <c r="N583" s="59"/>
      <c r="P583" s="59"/>
      <c r="Q583" s="61"/>
    </row>
    <row r="584">
      <c r="B584" s="59"/>
      <c r="D584" s="59"/>
      <c r="F584" s="59"/>
      <c r="H584" s="59"/>
      <c r="J584" s="59"/>
      <c r="L584" s="59"/>
      <c r="N584" s="59"/>
      <c r="P584" s="59"/>
      <c r="Q584" s="61"/>
    </row>
    <row r="585">
      <c r="B585" s="59"/>
      <c r="D585" s="59"/>
      <c r="F585" s="59"/>
      <c r="H585" s="59"/>
      <c r="J585" s="59"/>
      <c r="L585" s="59"/>
      <c r="N585" s="59"/>
      <c r="P585" s="59"/>
      <c r="Q585" s="61"/>
    </row>
    <row r="586">
      <c r="B586" s="59"/>
      <c r="D586" s="59"/>
      <c r="F586" s="59"/>
      <c r="H586" s="59"/>
      <c r="J586" s="59"/>
      <c r="L586" s="59"/>
      <c r="N586" s="59"/>
      <c r="P586" s="59"/>
      <c r="Q586" s="61"/>
    </row>
    <row r="587">
      <c r="B587" s="59"/>
      <c r="D587" s="59"/>
      <c r="F587" s="59"/>
      <c r="H587" s="59"/>
      <c r="J587" s="59"/>
      <c r="L587" s="59"/>
      <c r="N587" s="59"/>
      <c r="P587" s="59"/>
      <c r="Q587" s="61"/>
    </row>
    <row r="588">
      <c r="B588" s="59"/>
      <c r="D588" s="59"/>
      <c r="F588" s="59"/>
      <c r="H588" s="59"/>
      <c r="J588" s="59"/>
      <c r="L588" s="59"/>
      <c r="N588" s="59"/>
      <c r="P588" s="59"/>
      <c r="Q588" s="61"/>
    </row>
    <row r="589">
      <c r="B589" s="59"/>
      <c r="D589" s="59"/>
      <c r="F589" s="59"/>
      <c r="H589" s="59"/>
      <c r="J589" s="59"/>
      <c r="L589" s="59"/>
      <c r="N589" s="59"/>
      <c r="P589" s="59"/>
      <c r="Q589" s="61"/>
    </row>
    <row r="590">
      <c r="B590" s="59"/>
      <c r="D590" s="59"/>
      <c r="F590" s="59"/>
      <c r="H590" s="59"/>
      <c r="J590" s="59"/>
      <c r="L590" s="59"/>
      <c r="N590" s="59"/>
      <c r="P590" s="59"/>
      <c r="Q590" s="61"/>
    </row>
    <row r="591">
      <c r="B591" s="59"/>
      <c r="D591" s="59"/>
      <c r="F591" s="59"/>
      <c r="H591" s="59"/>
      <c r="J591" s="59"/>
      <c r="L591" s="59"/>
      <c r="N591" s="59"/>
      <c r="P591" s="59"/>
      <c r="Q591" s="61"/>
    </row>
    <row r="592">
      <c r="B592" s="59"/>
      <c r="D592" s="59"/>
      <c r="F592" s="59"/>
      <c r="H592" s="59"/>
      <c r="J592" s="59"/>
      <c r="L592" s="59"/>
      <c r="N592" s="59"/>
      <c r="P592" s="59"/>
      <c r="Q592" s="61"/>
    </row>
    <row r="593">
      <c r="B593" s="59"/>
      <c r="D593" s="59"/>
      <c r="F593" s="59"/>
      <c r="H593" s="59"/>
      <c r="J593" s="59"/>
      <c r="L593" s="59"/>
      <c r="N593" s="59"/>
      <c r="P593" s="59"/>
      <c r="Q593" s="61"/>
    </row>
    <row r="594">
      <c r="B594" s="59"/>
      <c r="D594" s="59"/>
      <c r="F594" s="59"/>
      <c r="H594" s="59"/>
      <c r="J594" s="59"/>
      <c r="L594" s="59"/>
      <c r="N594" s="59"/>
      <c r="P594" s="59"/>
      <c r="Q594" s="61"/>
    </row>
    <row r="595">
      <c r="B595" s="59"/>
      <c r="D595" s="59"/>
      <c r="F595" s="59"/>
      <c r="H595" s="59"/>
      <c r="J595" s="59"/>
      <c r="L595" s="59"/>
      <c r="N595" s="59"/>
      <c r="P595" s="59"/>
      <c r="Q595" s="61"/>
    </row>
    <row r="596">
      <c r="B596" s="59"/>
      <c r="D596" s="59"/>
      <c r="F596" s="59"/>
      <c r="H596" s="59"/>
      <c r="J596" s="59"/>
      <c r="L596" s="59"/>
      <c r="N596" s="59"/>
      <c r="P596" s="59"/>
      <c r="Q596" s="61"/>
    </row>
    <row r="597">
      <c r="B597" s="59"/>
      <c r="D597" s="59"/>
      <c r="F597" s="59"/>
      <c r="H597" s="59"/>
      <c r="J597" s="59"/>
      <c r="L597" s="59"/>
      <c r="N597" s="59"/>
      <c r="P597" s="59"/>
      <c r="Q597" s="61"/>
    </row>
    <row r="598">
      <c r="B598" s="59"/>
      <c r="D598" s="59"/>
      <c r="F598" s="59"/>
      <c r="H598" s="59"/>
      <c r="J598" s="59"/>
      <c r="L598" s="59"/>
      <c r="N598" s="59"/>
      <c r="P598" s="59"/>
      <c r="Q598" s="61"/>
    </row>
    <row r="599">
      <c r="B599" s="59"/>
      <c r="D599" s="59"/>
      <c r="F599" s="59"/>
      <c r="H599" s="59"/>
      <c r="J599" s="59"/>
      <c r="L599" s="59"/>
      <c r="N599" s="59"/>
      <c r="P599" s="59"/>
      <c r="Q599" s="61"/>
    </row>
    <row r="600">
      <c r="B600" s="59"/>
      <c r="D600" s="59"/>
      <c r="F600" s="59"/>
      <c r="H600" s="59"/>
      <c r="J600" s="59"/>
      <c r="L600" s="59"/>
      <c r="N600" s="59"/>
      <c r="P600" s="59"/>
      <c r="Q600" s="61"/>
    </row>
    <row r="601">
      <c r="B601" s="59"/>
      <c r="D601" s="59"/>
      <c r="F601" s="59"/>
      <c r="H601" s="59"/>
      <c r="J601" s="59"/>
      <c r="L601" s="59"/>
      <c r="N601" s="59"/>
      <c r="P601" s="59"/>
      <c r="Q601" s="61"/>
    </row>
    <row r="602">
      <c r="B602" s="59"/>
      <c r="D602" s="59"/>
      <c r="F602" s="59"/>
      <c r="H602" s="59"/>
      <c r="J602" s="59"/>
      <c r="L602" s="59"/>
      <c r="N602" s="59"/>
      <c r="P602" s="59"/>
      <c r="Q602" s="61"/>
    </row>
    <row r="603">
      <c r="B603" s="59"/>
      <c r="D603" s="59"/>
      <c r="F603" s="59"/>
      <c r="H603" s="59"/>
      <c r="J603" s="59"/>
      <c r="L603" s="59"/>
      <c r="N603" s="59"/>
      <c r="P603" s="59"/>
      <c r="Q603" s="61"/>
    </row>
    <row r="604">
      <c r="B604" s="59"/>
      <c r="D604" s="59"/>
      <c r="F604" s="59"/>
      <c r="H604" s="59"/>
      <c r="J604" s="59"/>
      <c r="L604" s="59"/>
      <c r="N604" s="59"/>
      <c r="P604" s="59"/>
      <c r="Q604" s="61"/>
    </row>
    <row r="605">
      <c r="B605" s="59"/>
      <c r="D605" s="59"/>
      <c r="F605" s="59"/>
      <c r="H605" s="59"/>
      <c r="J605" s="59"/>
      <c r="L605" s="59"/>
      <c r="N605" s="59"/>
      <c r="P605" s="59"/>
      <c r="Q605" s="61"/>
    </row>
    <row r="606">
      <c r="B606" s="59"/>
      <c r="D606" s="59"/>
      <c r="F606" s="59"/>
      <c r="H606" s="59"/>
      <c r="J606" s="59"/>
      <c r="L606" s="59"/>
      <c r="N606" s="59"/>
      <c r="P606" s="59"/>
      <c r="Q606" s="61"/>
    </row>
    <row r="607">
      <c r="B607" s="59"/>
      <c r="D607" s="59"/>
      <c r="F607" s="59"/>
      <c r="H607" s="59"/>
      <c r="J607" s="59"/>
      <c r="L607" s="59"/>
      <c r="N607" s="59"/>
      <c r="P607" s="59"/>
      <c r="Q607" s="61"/>
    </row>
    <row r="608">
      <c r="B608" s="59"/>
      <c r="D608" s="59"/>
      <c r="F608" s="59"/>
      <c r="H608" s="59"/>
      <c r="J608" s="59"/>
      <c r="L608" s="59"/>
      <c r="N608" s="59"/>
      <c r="P608" s="59"/>
      <c r="Q608" s="61"/>
    </row>
    <row r="609">
      <c r="B609" s="59"/>
      <c r="D609" s="59"/>
      <c r="F609" s="59"/>
      <c r="H609" s="59"/>
      <c r="J609" s="59"/>
      <c r="L609" s="59"/>
      <c r="N609" s="59"/>
      <c r="P609" s="59"/>
      <c r="Q609" s="61"/>
    </row>
    <row r="610">
      <c r="B610" s="59"/>
      <c r="D610" s="59"/>
      <c r="F610" s="59"/>
      <c r="H610" s="59"/>
      <c r="J610" s="59"/>
      <c r="L610" s="59"/>
      <c r="N610" s="59"/>
      <c r="P610" s="59"/>
      <c r="Q610" s="61"/>
    </row>
    <row r="611">
      <c r="B611" s="59"/>
      <c r="D611" s="59"/>
      <c r="F611" s="59"/>
      <c r="H611" s="59"/>
      <c r="J611" s="59"/>
      <c r="L611" s="59"/>
      <c r="N611" s="59"/>
      <c r="P611" s="59"/>
      <c r="Q611" s="61"/>
    </row>
    <row r="612">
      <c r="B612" s="59"/>
      <c r="D612" s="59"/>
      <c r="F612" s="59"/>
      <c r="H612" s="59"/>
      <c r="J612" s="59"/>
      <c r="L612" s="59"/>
      <c r="N612" s="59"/>
      <c r="P612" s="59"/>
      <c r="Q612" s="61"/>
    </row>
    <row r="613">
      <c r="B613" s="59"/>
      <c r="D613" s="59"/>
      <c r="F613" s="59"/>
      <c r="H613" s="59"/>
      <c r="J613" s="59"/>
      <c r="L613" s="59"/>
      <c r="N613" s="59"/>
      <c r="P613" s="59"/>
      <c r="Q613" s="61"/>
    </row>
    <row r="614">
      <c r="B614" s="59"/>
      <c r="D614" s="59"/>
      <c r="F614" s="59"/>
      <c r="H614" s="59"/>
      <c r="J614" s="59"/>
      <c r="L614" s="59"/>
      <c r="N614" s="59"/>
      <c r="P614" s="59"/>
      <c r="Q614" s="61"/>
    </row>
    <row r="615">
      <c r="B615" s="59"/>
      <c r="D615" s="59"/>
      <c r="F615" s="59"/>
      <c r="H615" s="59"/>
      <c r="J615" s="59"/>
      <c r="L615" s="59"/>
      <c r="N615" s="59"/>
      <c r="P615" s="59"/>
      <c r="Q615" s="61"/>
    </row>
    <row r="616">
      <c r="B616" s="59"/>
      <c r="D616" s="59"/>
      <c r="F616" s="59"/>
      <c r="H616" s="59"/>
      <c r="J616" s="59"/>
      <c r="L616" s="59"/>
      <c r="N616" s="59"/>
      <c r="P616" s="59"/>
      <c r="Q616" s="61"/>
    </row>
    <row r="617">
      <c r="B617" s="59"/>
      <c r="D617" s="59"/>
      <c r="F617" s="59"/>
      <c r="H617" s="59"/>
      <c r="J617" s="59"/>
      <c r="L617" s="59"/>
      <c r="N617" s="59"/>
      <c r="P617" s="59"/>
      <c r="Q617" s="61"/>
    </row>
    <row r="618">
      <c r="B618" s="59"/>
      <c r="D618" s="59"/>
      <c r="F618" s="59"/>
      <c r="H618" s="59"/>
      <c r="J618" s="59"/>
      <c r="L618" s="59"/>
      <c r="N618" s="59"/>
      <c r="P618" s="59"/>
      <c r="Q618" s="61"/>
    </row>
    <row r="619">
      <c r="B619" s="59"/>
      <c r="D619" s="59"/>
      <c r="F619" s="59"/>
      <c r="H619" s="59"/>
      <c r="J619" s="59"/>
      <c r="L619" s="59"/>
      <c r="N619" s="59"/>
      <c r="P619" s="59"/>
      <c r="Q619" s="61"/>
    </row>
    <row r="620">
      <c r="B620" s="59"/>
      <c r="D620" s="59"/>
      <c r="F620" s="59"/>
      <c r="H620" s="59"/>
      <c r="J620" s="59"/>
      <c r="L620" s="59"/>
      <c r="N620" s="59"/>
      <c r="P620" s="59"/>
      <c r="Q620" s="61"/>
    </row>
    <row r="621">
      <c r="B621" s="59"/>
      <c r="D621" s="59"/>
      <c r="F621" s="59"/>
      <c r="H621" s="59"/>
      <c r="J621" s="59"/>
      <c r="L621" s="59"/>
      <c r="N621" s="59"/>
      <c r="P621" s="59"/>
      <c r="Q621" s="61"/>
    </row>
    <row r="622">
      <c r="B622" s="59"/>
      <c r="D622" s="59"/>
      <c r="F622" s="59"/>
      <c r="H622" s="59"/>
      <c r="J622" s="59"/>
      <c r="L622" s="59"/>
      <c r="N622" s="59"/>
      <c r="P622" s="59"/>
      <c r="Q622" s="61"/>
    </row>
    <row r="623">
      <c r="B623" s="59"/>
      <c r="D623" s="59"/>
      <c r="F623" s="59"/>
      <c r="H623" s="59"/>
      <c r="J623" s="59"/>
      <c r="L623" s="59"/>
      <c r="N623" s="59"/>
      <c r="P623" s="59"/>
      <c r="Q623" s="61"/>
    </row>
    <row r="624">
      <c r="B624" s="59"/>
      <c r="D624" s="59"/>
      <c r="F624" s="59"/>
      <c r="H624" s="59"/>
      <c r="J624" s="59"/>
      <c r="L624" s="59"/>
      <c r="N624" s="59"/>
      <c r="P624" s="59"/>
      <c r="Q624" s="61"/>
    </row>
    <row r="625">
      <c r="B625" s="59"/>
      <c r="D625" s="59"/>
      <c r="F625" s="59"/>
      <c r="H625" s="59"/>
      <c r="J625" s="59"/>
      <c r="L625" s="59"/>
      <c r="N625" s="59"/>
      <c r="P625" s="59"/>
      <c r="Q625" s="61"/>
    </row>
    <row r="626">
      <c r="B626" s="59"/>
      <c r="D626" s="59"/>
      <c r="F626" s="59"/>
      <c r="H626" s="59"/>
      <c r="J626" s="59"/>
      <c r="L626" s="59"/>
      <c r="N626" s="59"/>
      <c r="P626" s="59"/>
      <c r="Q626" s="61"/>
    </row>
    <row r="627">
      <c r="B627" s="59"/>
      <c r="D627" s="59"/>
      <c r="F627" s="59"/>
      <c r="H627" s="59"/>
      <c r="J627" s="59"/>
      <c r="L627" s="59"/>
      <c r="N627" s="59"/>
      <c r="P627" s="59"/>
      <c r="Q627" s="61"/>
    </row>
    <row r="628">
      <c r="B628" s="59"/>
      <c r="D628" s="59"/>
      <c r="F628" s="59"/>
      <c r="H628" s="59"/>
      <c r="J628" s="59"/>
      <c r="L628" s="59"/>
      <c r="N628" s="59"/>
      <c r="P628" s="59"/>
      <c r="Q628" s="61"/>
    </row>
    <row r="629">
      <c r="B629" s="59"/>
      <c r="D629" s="59"/>
      <c r="F629" s="59"/>
      <c r="H629" s="59"/>
      <c r="J629" s="59"/>
      <c r="L629" s="59"/>
      <c r="N629" s="59"/>
      <c r="P629" s="59"/>
      <c r="Q629" s="61"/>
    </row>
    <row r="630">
      <c r="B630" s="59"/>
      <c r="D630" s="59"/>
      <c r="F630" s="59"/>
      <c r="H630" s="59"/>
      <c r="J630" s="59"/>
      <c r="L630" s="59"/>
      <c r="N630" s="59"/>
      <c r="P630" s="59"/>
      <c r="Q630" s="61"/>
    </row>
    <row r="631">
      <c r="B631" s="59"/>
      <c r="D631" s="59"/>
      <c r="F631" s="59"/>
      <c r="H631" s="59"/>
      <c r="J631" s="59"/>
      <c r="L631" s="59"/>
      <c r="N631" s="59"/>
      <c r="P631" s="59"/>
      <c r="Q631" s="61"/>
    </row>
    <row r="632">
      <c r="B632" s="59"/>
      <c r="D632" s="59"/>
      <c r="F632" s="59"/>
      <c r="H632" s="59"/>
      <c r="J632" s="59"/>
      <c r="L632" s="59"/>
      <c r="N632" s="59"/>
      <c r="P632" s="59"/>
      <c r="Q632" s="61"/>
    </row>
    <row r="633">
      <c r="B633" s="59"/>
      <c r="D633" s="59"/>
      <c r="F633" s="59"/>
      <c r="H633" s="59"/>
      <c r="J633" s="59"/>
      <c r="L633" s="59"/>
      <c r="N633" s="59"/>
      <c r="P633" s="59"/>
      <c r="Q633" s="61"/>
    </row>
    <row r="634">
      <c r="B634" s="59"/>
      <c r="D634" s="59"/>
      <c r="F634" s="59"/>
      <c r="H634" s="59"/>
      <c r="J634" s="59"/>
      <c r="L634" s="59"/>
      <c r="N634" s="59"/>
      <c r="P634" s="59"/>
      <c r="Q634" s="61"/>
    </row>
    <row r="635">
      <c r="B635" s="59"/>
      <c r="D635" s="59"/>
      <c r="F635" s="59"/>
      <c r="H635" s="59"/>
      <c r="J635" s="59"/>
      <c r="L635" s="59"/>
      <c r="N635" s="59"/>
      <c r="P635" s="59"/>
      <c r="Q635" s="61"/>
    </row>
    <row r="636">
      <c r="B636" s="59"/>
      <c r="D636" s="59"/>
      <c r="F636" s="59"/>
      <c r="H636" s="59"/>
      <c r="J636" s="59"/>
      <c r="L636" s="59"/>
      <c r="N636" s="59"/>
      <c r="P636" s="59"/>
      <c r="Q636" s="61"/>
    </row>
    <row r="637">
      <c r="B637" s="59"/>
      <c r="D637" s="59"/>
      <c r="F637" s="59"/>
      <c r="H637" s="59"/>
      <c r="J637" s="59"/>
      <c r="L637" s="59"/>
      <c r="N637" s="59"/>
      <c r="P637" s="59"/>
      <c r="Q637" s="61"/>
    </row>
    <row r="638">
      <c r="B638" s="59"/>
      <c r="D638" s="59"/>
      <c r="F638" s="59"/>
      <c r="H638" s="59"/>
      <c r="J638" s="59"/>
      <c r="L638" s="59"/>
      <c r="N638" s="59"/>
      <c r="P638" s="59"/>
      <c r="Q638" s="61"/>
    </row>
    <row r="639">
      <c r="B639" s="59"/>
      <c r="D639" s="59"/>
      <c r="F639" s="59"/>
      <c r="H639" s="59"/>
      <c r="J639" s="59"/>
      <c r="L639" s="59"/>
      <c r="N639" s="59"/>
      <c r="P639" s="59"/>
      <c r="Q639" s="61"/>
    </row>
    <row r="640">
      <c r="B640" s="59"/>
      <c r="D640" s="59"/>
      <c r="F640" s="59"/>
      <c r="H640" s="59"/>
      <c r="J640" s="59"/>
      <c r="L640" s="59"/>
      <c r="N640" s="59"/>
      <c r="P640" s="59"/>
      <c r="Q640" s="61"/>
    </row>
    <row r="641">
      <c r="B641" s="59"/>
      <c r="D641" s="59"/>
      <c r="F641" s="59"/>
      <c r="H641" s="59"/>
      <c r="J641" s="59"/>
      <c r="L641" s="59"/>
      <c r="N641" s="59"/>
      <c r="P641" s="59"/>
      <c r="Q641" s="61"/>
    </row>
    <row r="642">
      <c r="B642" s="59"/>
      <c r="D642" s="59"/>
      <c r="F642" s="59"/>
      <c r="H642" s="59"/>
      <c r="J642" s="59"/>
      <c r="L642" s="59"/>
      <c r="N642" s="59"/>
      <c r="P642" s="59"/>
      <c r="Q642" s="61"/>
    </row>
    <row r="643">
      <c r="B643" s="59"/>
      <c r="D643" s="59"/>
      <c r="F643" s="59"/>
      <c r="H643" s="59"/>
      <c r="J643" s="59"/>
      <c r="L643" s="59"/>
      <c r="N643" s="59"/>
      <c r="P643" s="59"/>
      <c r="Q643" s="61"/>
    </row>
    <row r="644">
      <c r="B644" s="59"/>
      <c r="D644" s="59"/>
      <c r="F644" s="59"/>
      <c r="H644" s="59"/>
      <c r="J644" s="59"/>
      <c r="L644" s="59"/>
      <c r="N644" s="59"/>
      <c r="P644" s="59"/>
      <c r="Q644" s="61"/>
    </row>
    <row r="645">
      <c r="B645" s="59"/>
      <c r="D645" s="59"/>
      <c r="F645" s="59"/>
      <c r="H645" s="59"/>
      <c r="J645" s="59"/>
      <c r="L645" s="59"/>
      <c r="N645" s="59"/>
      <c r="P645" s="59"/>
      <c r="Q645" s="61"/>
    </row>
    <row r="646">
      <c r="B646" s="59"/>
      <c r="D646" s="59"/>
      <c r="F646" s="59"/>
      <c r="H646" s="59"/>
      <c r="J646" s="59"/>
      <c r="L646" s="59"/>
      <c r="N646" s="59"/>
      <c r="P646" s="59"/>
      <c r="Q646" s="61"/>
    </row>
    <row r="647">
      <c r="B647" s="59"/>
      <c r="D647" s="59"/>
      <c r="F647" s="59"/>
      <c r="H647" s="59"/>
      <c r="J647" s="59"/>
      <c r="L647" s="59"/>
      <c r="N647" s="59"/>
      <c r="P647" s="59"/>
      <c r="Q647" s="61"/>
    </row>
    <row r="648">
      <c r="B648" s="59"/>
      <c r="D648" s="59"/>
      <c r="F648" s="59"/>
      <c r="H648" s="59"/>
      <c r="J648" s="59"/>
      <c r="L648" s="59"/>
      <c r="N648" s="59"/>
      <c r="P648" s="59"/>
      <c r="Q648" s="61"/>
    </row>
    <row r="649">
      <c r="B649" s="59"/>
      <c r="D649" s="59"/>
      <c r="F649" s="59"/>
      <c r="H649" s="59"/>
      <c r="J649" s="59"/>
      <c r="L649" s="59"/>
      <c r="N649" s="59"/>
      <c r="P649" s="59"/>
      <c r="Q649" s="61"/>
    </row>
    <row r="650">
      <c r="B650" s="59"/>
      <c r="D650" s="59"/>
      <c r="F650" s="59"/>
      <c r="H650" s="59"/>
      <c r="J650" s="59"/>
      <c r="L650" s="59"/>
      <c r="N650" s="59"/>
      <c r="P650" s="59"/>
      <c r="Q650" s="61"/>
    </row>
    <row r="651">
      <c r="B651" s="59"/>
      <c r="D651" s="59"/>
      <c r="F651" s="59"/>
      <c r="H651" s="59"/>
      <c r="J651" s="59"/>
      <c r="L651" s="59"/>
      <c r="N651" s="59"/>
      <c r="P651" s="59"/>
      <c r="Q651" s="61"/>
    </row>
    <row r="652">
      <c r="B652" s="59"/>
      <c r="D652" s="59"/>
      <c r="F652" s="59"/>
      <c r="H652" s="59"/>
      <c r="J652" s="59"/>
      <c r="L652" s="59"/>
      <c r="N652" s="59"/>
      <c r="P652" s="59"/>
      <c r="Q652" s="61"/>
    </row>
    <row r="653">
      <c r="B653" s="59"/>
      <c r="D653" s="59"/>
      <c r="F653" s="59"/>
      <c r="H653" s="59"/>
      <c r="J653" s="59"/>
      <c r="L653" s="59"/>
      <c r="N653" s="59"/>
      <c r="P653" s="59"/>
      <c r="Q653" s="61"/>
    </row>
    <row r="654">
      <c r="B654" s="59"/>
      <c r="D654" s="59"/>
      <c r="F654" s="59"/>
      <c r="H654" s="59"/>
      <c r="J654" s="59"/>
      <c r="L654" s="59"/>
      <c r="N654" s="59"/>
      <c r="P654" s="59"/>
      <c r="Q654" s="61"/>
    </row>
    <row r="655">
      <c r="B655" s="59"/>
      <c r="D655" s="59"/>
      <c r="F655" s="59"/>
      <c r="H655" s="59"/>
      <c r="J655" s="59"/>
      <c r="L655" s="59"/>
      <c r="N655" s="59"/>
      <c r="P655" s="59"/>
      <c r="Q655" s="61"/>
    </row>
    <row r="656">
      <c r="B656" s="59"/>
      <c r="D656" s="59"/>
      <c r="F656" s="59"/>
      <c r="H656" s="59"/>
      <c r="J656" s="59"/>
      <c r="L656" s="59"/>
      <c r="N656" s="59"/>
      <c r="P656" s="59"/>
      <c r="Q656" s="61"/>
    </row>
    <row r="657">
      <c r="B657" s="59"/>
      <c r="D657" s="59"/>
      <c r="F657" s="59"/>
      <c r="H657" s="59"/>
      <c r="J657" s="59"/>
      <c r="L657" s="59"/>
      <c r="N657" s="59"/>
      <c r="P657" s="59"/>
      <c r="Q657" s="61"/>
    </row>
    <row r="658">
      <c r="B658" s="59"/>
      <c r="D658" s="59"/>
      <c r="F658" s="59"/>
      <c r="H658" s="59"/>
      <c r="J658" s="59"/>
      <c r="L658" s="59"/>
      <c r="N658" s="59"/>
      <c r="P658" s="59"/>
      <c r="Q658" s="61"/>
    </row>
    <row r="659">
      <c r="B659" s="59"/>
      <c r="D659" s="59"/>
      <c r="F659" s="59"/>
      <c r="H659" s="59"/>
      <c r="J659" s="59"/>
      <c r="L659" s="59"/>
      <c r="N659" s="59"/>
      <c r="P659" s="59"/>
      <c r="Q659" s="61"/>
    </row>
    <row r="660">
      <c r="B660" s="59"/>
      <c r="D660" s="59"/>
      <c r="F660" s="59"/>
      <c r="H660" s="59"/>
      <c r="J660" s="59"/>
      <c r="L660" s="59"/>
      <c r="N660" s="59"/>
      <c r="P660" s="59"/>
      <c r="Q660" s="61"/>
    </row>
    <row r="661">
      <c r="B661" s="59"/>
      <c r="D661" s="59"/>
      <c r="F661" s="59"/>
      <c r="H661" s="59"/>
      <c r="J661" s="59"/>
      <c r="L661" s="59"/>
      <c r="N661" s="59"/>
      <c r="P661" s="59"/>
      <c r="Q661" s="61"/>
    </row>
    <row r="662">
      <c r="B662" s="59"/>
      <c r="D662" s="59"/>
      <c r="F662" s="59"/>
      <c r="H662" s="59"/>
      <c r="J662" s="59"/>
      <c r="L662" s="59"/>
      <c r="N662" s="59"/>
      <c r="P662" s="59"/>
      <c r="Q662" s="61"/>
    </row>
    <row r="663">
      <c r="B663" s="59"/>
      <c r="D663" s="59"/>
      <c r="F663" s="59"/>
      <c r="H663" s="59"/>
      <c r="J663" s="59"/>
      <c r="L663" s="59"/>
      <c r="N663" s="59"/>
      <c r="P663" s="59"/>
      <c r="Q663" s="61"/>
    </row>
    <row r="664">
      <c r="B664" s="59"/>
      <c r="D664" s="59"/>
      <c r="F664" s="59"/>
      <c r="H664" s="59"/>
      <c r="J664" s="59"/>
      <c r="L664" s="59"/>
      <c r="N664" s="59"/>
      <c r="P664" s="59"/>
      <c r="Q664" s="61"/>
    </row>
    <row r="665">
      <c r="B665" s="59"/>
      <c r="D665" s="59"/>
      <c r="F665" s="59"/>
      <c r="H665" s="59"/>
      <c r="J665" s="59"/>
      <c r="L665" s="59"/>
      <c r="N665" s="59"/>
      <c r="P665" s="59"/>
      <c r="Q665" s="61"/>
    </row>
    <row r="666">
      <c r="B666" s="59"/>
      <c r="D666" s="59"/>
      <c r="F666" s="59"/>
      <c r="H666" s="59"/>
      <c r="J666" s="59"/>
      <c r="L666" s="59"/>
      <c r="N666" s="59"/>
      <c r="P666" s="59"/>
      <c r="Q666" s="61"/>
    </row>
    <row r="667">
      <c r="B667" s="59"/>
      <c r="D667" s="59"/>
      <c r="F667" s="59"/>
      <c r="H667" s="59"/>
      <c r="J667" s="59"/>
      <c r="L667" s="59"/>
      <c r="N667" s="59"/>
      <c r="P667" s="59"/>
      <c r="Q667" s="61"/>
    </row>
    <row r="668">
      <c r="B668" s="59"/>
      <c r="D668" s="59"/>
      <c r="F668" s="59"/>
      <c r="H668" s="59"/>
      <c r="J668" s="59"/>
      <c r="L668" s="59"/>
      <c r="N668" s="59"/>
      <c r="P668" s="59"/>
      <c r="Q668" s="61"/>
    </row>
    <row r="669">
      <c r="B669" s="59"/>
      <c r="D669" s="59"/>
      <c r="F669" s="59"/>
      <c r="H669" s="59"/>
      <c r="J669" s="59"/>
      <c r="L669" s="59"/>
      <c r="N669" s="59"/>
      <c r="P669" s="59"/>
      <c r="Q669" s="61"/>
    </row>
    <row r="670">
      <c r="B670" s="59"/>
      <c r="D670" s="59"/>
      <c r="F670" s="59"/>
      <c r="H670" s="59"/>
      <c r="J670" s="59"/>
      <c r="L670" s="59"/>
      <c r="N670" s="59"/>
      <c r="P670" s="59"/>
      <c r="Q670" s="61"/>
    </row>
    <row r="671">
      <c r="B671" s="59"/>
      <c r="D671" s="59"/>
      <c r="F671" s="59"/>
      <c r="H671" s="59"/>
      <c r="J671" s="59"/>
      <c r="L671" s="59"/>
      <c r="N671" s="59"/>
      <c r="P671" s="59"/>
      <c r="Q671" s="61"/>
    </row>
    <row r="672">
      <c r="B672" s="59"/>
      <c r="D672" s="59"/>
      <c r="F672" s="59"/>
      <c r="H672" s="59"/>
      <c r="J672" s="59"/>
      <c r="L672" s="59"/>
      <c r="N672" s="59"/>
      <c r="P672" s="59"/>
      <c r="Q672" s="61"/>
    </row>
    <row r="673">
      <c r="B673" s="59"/>
      <c r="D673" s="59"/>
      <c r="F673" s="59"/>
      <c r="H673" s="59"/>
      <c r="J673" s="59"/>
      <c r="L673" s="59"/>
      <c r="N673" s="59"/>
      <c r="P673" s="59"/>
      <c r="Q673" s="61"/>
    </row>
    <row r="674">
      <c r="B674" s="59"/>
      <c r="D674" s="59"/>
      <c r="F674" s="59"/>
      <c r="H674" s="59"/>
      <c r="J674" s="59"/>
      <c r="L674" s="59"/>
      <c r="N674" s="59"/>
      <c r="P674" s="59"/>
      <c r="Q674" s="61"/>
    </row>
    <row r="675">
      <c r="B675" s="59"/>
      <c r="D675" s="59"/>
      <c r="F675" s="59"/>
      <c r="H675" s="59"/>
      <c r="J675" s="59"/>
      <c r="L675" s="59"/>
      <c r="N675" s="59"/>
      <c r="P675" s="59"/>
      <c r="Q675" s="61"/>
    </row>
    <row r="676">
      <c r="B676" s="59"/>
      <c r="D676" s="59"/>
      <c r="F676" s="59"/>
      <c r="H676" s="59"/>
      <c r="J676" s="59"/>
      <c r="L676" s="59"/>
      <c r="N676" s="59"/>
      <c r="P676" s="59"/>
      <c r="Q676" s="61"/>
    </row>
    <row r="677">
      <c r="B677" s="59"/>
      <c r="D677" s="59"/>
      <c r="F677" s="59"/>
      <c r="H677" s="59"/>
      <c r="J677" s="59"/>
      <c r="L677" s="59"/>
      <c r="N677" s="59"/>
      <c r="P677" s="59"/>
      <c r="Q677" s="61"/>
    </row>
    <row r="678">
      <c r="B678" s="59"/>
      <c r="D678" s="59"/>
      <c r="F678" s="59"/>
      <c r="H678" s="59"/>
      <c r="J678" s="59"/>
      <c r="L678" s="59"/>
      <c r="N678" s="59"/>
      <c r="P678" s="59"/>
      <c r="Q678" s="61"/>
    </row>
    <row r="679">
      <c r="B679" s="59"/>
      <c r="D679" s="59"/>
      <c r="F679" s="59"/>
      <c r="H679" s="59"/>
      <c r="J679" s="59"/>
      <c r="L679" s="59"/>
      <c r="N679" s="59"/>
      <c r="P679" s="59"/>
      <c r="Q679" s="61"/>
    </row>
    <row r="680">
      <c r="B680" s="59"/>
      <c r="D680" s="59"/>
      <c r="F680" s="59"/>
      <c r="H680" s="59"/>
      <c r="J680" s="59"/>
      <c r="L680" s="59"/>
      <c r="N680" s="59"/>
      <c r="P680" s="59"/>
      <c r="Q680" s="61"/>
    </row>
    <row r="681">
      <c r="B681" s="59"/>
      <c r="D681" s="59"/>
      <c r="F681" s="59"/>
      <c r="H681" s="59"/>
      <c r="J681" s="59"/>
      <c r="L681" s="59"/>
      <c r="N681" s="59"/>
      <c r="P681" s="59"/>
      <c r="Q681" s="61"/>
    </row>
    <row r="682">
      <c r="B682" s="59"/>
      <c r="D682" s="59"/>
      <c r="F682" s="59"/>
      <c r="H682" s="59"/>
      <c r="J682" s="59"/>
      <c r="L682" s="59"/>
      <c r="N682" s="59"/>
      <c r="P682" s="59"/>
      <c r="Q682" s="61"/>
    </row>
    <row r="683">
      <c r="B683" s="59"/>
      <c r="D683" s="59"/>
      <c r="F683" s="59"/>
      <c r="H683" s="59"/>
      <c r="J683" s="59"/>
      <c r="L683" s="59"/>
      <c r="N683" s="59"/>
      <c r="P683" s="59"/>
      <c r="Q683" s="61"/>
    </row>
    <row r="684">
      <c r="B684" s="59"/>
      <c r="D684" s="59"/>
      <c r="F684" s="59"/>
      <c r="H684" s="59"/>
      <c r="J684" s="59"/>
      <c r="L684" s="59"/>
      <c r="N684" s="59"/>
      <c r="P684" s="59"/>
      <c r="Q684" s="61"/>
    </row>
    <row r="685">
      <c r="B685" s="59"/>
      <c r="D685" s="59"/>
      <c r="F685" s="59"/>
      <c r="H685" s="59"/>
      <c r="J685" s="59"/>
      <c r="L685" s="59"/>
      <c r="N685" s="59"/>
      <c r="P685" s="59"/>
      <c r="Q685" s="61"/>
    </row>
    <row r="686">
      <c r="B686" s="59"/>
      <c r="D686" s="59"/>
      <c r="F686" s="59"/>
      <c r="H686" s="59"/>
      <c r="J686" s="59"/>
      <c r="L686" s="59"/>
      <c r="N686" s="59"/>
      <c r="P686" s="59"/>
      <c r="Q686" s="61"/>
    </row>
    <row r="687">
      <c r="B687" s="59"/>
      <c r="D687" s="59"/>
      <c r="F687" s="59"/>
      <c r="H687" s="59"/>
      <c r="J687" s="59"/>
      <c r="L687" s="59"/>
      <c r="N687" s="59"/>
      <c r="P687" s="59"/>
      <c r="Q687" s="61"/>
    </row>
    <row r="688">
      <c r="B688" s="59"/>
      <c r="D688" s="59"/>
      <c r="F688" s="59"/>
      <c r="H688" s="59"/>
      <c r="J688" s="59"/>
      <c r="L688" s="59"/>
      <c r="N688" s="59"/>
      <c r="P688" s="59"/>
      <c r="Q688" s="61"/>
    </row>
    <row r="689">
      <c r="B689" s="59"/>
      <c r="D689" s="59"/>
      <c r="F689" s="59"/>
      <c r="H689" s="59"/>
      <c r="J689" s="59"/>
      <c r="L689" s="59"/>
      <c r="N689" s="59"/>
      <c r="P689" s="59"/>
      <c r="Q689" s="61"/>
    </row>
    <row r="690">
      <c r="B690" s="59"/>
      <c r="D690" s="59"/>
      <c r="F690" s="59"/>
      <c r="H690" s="59"/>
      <c r="J690" s="59"/>
      <c r="L690" s="59"/>
      <c r="N690" s="59"/>
      <c r="P690" s="59"/>
      <c r="Q690" s="61"/>
    </row>
    <row r="691">
      <c r="B691" s="59"/>
      <c r="D691" s="59"/>
      <c r="F691" s="59"/>
      <c r="H691" s="59"/>
      <c r="J691" s="59"/>
      <c r="L691" s="59"/>
      <c r="N691" s="59"/>
      <c r="P691" s="59"/>
      <c r="Q691" s="61"/>
    </row>
    <row r="692">
      <c r="B692" s="59"/>
      <c r="D692" s="59"/>
      <c r="F692" s="59"/>
      <c r="H692" s="59"/>
      <c r="J692" s="59"/>
      <c r="L692" s="59"/>
      <c r="N692" s="59"/>
      <c r="P692" s="59"/>
      <c r="Q692" s="61"/>
    </row>
    <row r="693">
      <c r="B693" s="59"/>
      <c r="D693" s="59"/>
      <c r="F693" s="59"/>
      <c r="H693" s="59"/>
      <c r="J693" s="59"/>
      <c r="L693" s="59"/>
      <c r="N693" s="59"/>
      <c r="P693" s="59"/>
      <c r="Q693" s="61"/>
    </row>
    <row r="694">
      <c r="B694" s="59"/>
      <c r="D694" s="59"/>
      <c r="F694" s="59"/>
      <c r="H694" s="59"/>
      <c r="J694" s="59"/>
      <c r="L694" s="59"/>
      <c r="N694" s="59"/>
      <c r="P694" s="59"/>
      <c r="Q694" s="61"/>
    </row>
    <row r="695">
      <c r="B695" s="59"/>
      <c r="D695" s="59"/>
      <c r="F695" s="59"/>
      <c r="H695" s="59"/>
      <c r="J695" s="59"/>
      <c r="L695" s="59"/>
      <c r="N695" s="59"/>
      <c r="P695" s="59"/>
      <c r="Q695" s="61"/>
    </row>
    <row r="696">
      <c r="B696" s="59"/>
      <c r="D696" s="59"/>
      <c r="F696" s="59"/>
      <c r="H696" s="59"/>
      <c r="J696" s="59"/>
      <c r="L696" s="59"/>
      <c r="N696" s="59"/>
      <c r="P696" s="59"/>
      <c r="Q696" s="61"/>
    </row>
    <row r="697">
      <c r="B697" s="59"/>
      <c r="D697" s="59"/>
      <c r="F697" s="59"/>
      <c r="H697" s="59"/>
      <c r="J697" s="59"/>
      <c r="L697" s="59"/>
      <c r="N697" s="59"/>
      <c r="P697" s="59"/>
      <c r="Q697" s="61"/>
    </row>
    <row r="698">
      <c r="B698" s="59"/>
      <c r="D698" s="59"/>
      <c r="F698" s="59"/>
      <c r="H698" s="59"/>
      <c r="J698" s="59"/>
      <c r="L698" s="59"/>
      <c r="N698" s="59"/>
      <c r="P698" s="59"/>
      <c r="Q698" s="61"/>
    </row>
    <row r="699">
      <c r="B699" s="59"/>
      <c r="D699" s="59"/>
      <c r="F699" s="59"/>
      <c r="H699" s="59"/>
      <c r="J699" s="59"/>
      <c r="L699" s="59"/>
      <c r="N699" s="59"/>
      <c r="P699" s="59"/>
      <c r="Q699" s="61"/>
    </row>
    <row r="700">
      <c r="B700" s="59"/>
      <c r="D700" s="59"/>
      <c r="F700" s="59"/>
      <c r="H700" s="59"/>
      <c r="J700" s="59"/>
      <c r="L700" s="59"/>
      <c r="N700" s="59"/>
      <c r="P700" s="59"/>
      <c r="Q700" s="61"/>
    </row>
    <row r="701">
      <c r="B701" s="59"/>
      <c r="D701" s="59"/>
      <c r="F701" s="59"/>
      <c r="H701" s="59"/>
      <c r="J701" s="59"/>
      <c r="L701" s="59"/>
      <c r="N701" s="59"/>
      <c r="P701" s="59"/>
      <c r="Q701" s="61"/>
    </row>
    <row r="702">
      <c r="B702" s="59"/>
      <c r="D702" s="59"/>
      <c r="F702" s="59"/>
      <c r="H702" s="59"/>
      <c r="J702" s="59"/>
      <c r="L702" s="59"/>
      <c r="N702" s="59"/>
      <c r="P702" s="59"/>
      <c r="Q702" s="61"/>
    </row>
    <row r="703">
      <c r="B703" s="59"/>
      <c r="D703" s="59"/>
      <c r="F703" s="59"/>
      <c r="H703" s="59"/>
      <c r="J703" s="59"/>
      <c r="L703" s="59"/>
      <c r="N703" s="59"/>
      <c r="P703" s="59"/>
      <c r="Q703" s="61"/>
    </row>
    <row r="704">
      <c r="B704" s="59"/>
      <c r="D704" s="59"/>
      <c r="F704" s="59"/>
      <c r="H704" s="59"/>
      <c r="J704" s="59"/>
      <c r="L704" s="59"/>
      <c r="N704" s="59"/>
      <c r="P704" s="59"/>
      <c r="Q704" s="61"/>
    </row>
    <row r="705">
      <c r="B705" s="59"/>
      <c r="D705" s="59"/>
      <c r="F705" s="59"/>
      <c r="H705" s="59"/>
      <c r="J705" s="59"/>
      <c r="L705" s="59"/>
      <c r="N705" s="59"/>
      <c r="P705" s="59"/>
      <c r="Q705" s="61"/>
    </row>
    <row r="706">
      <c r="B706" s="59"/>
      <c r="D706" s="59"/>
      <c r="F706" s="59"/>
      <c r="H706" s="59"/>
      <c r="J706" s="59"/>
      <c r="L706" s="59"/>
      <c r="N706" s="59"/>
      <c r="P706" s="59"/>
      <c r="Q706" s="61"/>
    </row>
    <row r="707">
      <c r="B707" s="59"/>
      <c r="D707" s="59"/>
      <c r="F707" s="59"/>
      <c r="H707" s="59"/>
      <c r="J707" s="59"/>
      <c r="L707" s="59"/>
      <c r="N707" s="59"/>
      <c r="P707" s="59"/>
      <c r="Q707" s="61"/>
    </row>
    <row r="708">
      <c r="B708" s="59"/>
      <c r="D708" s="59"/>
      <c r="F708" s="59"/>
      <c r="H708" s="59"/>
      <c r="J708" s="59"/>
      <c r="L708" s="59"/>
      <c r="N708" s="59"/>
      <c r="P708" s="59"/>
      <c r="Q708" s="61"/>
    </row>
    <row r="709">
      <c r="B709" s="59"/>
      <c r="D709" s="59"/>
      <c r="F709" s="59"/>
      <c r="H709" s="59"/>
      <c r="J709" s="59"/>
      <c r="L709" s="59"/>
      <c r="N709" s="59"/>
      <c r="P709" s="59"/>
      <c r="Q709" s="61"/>
    </row>
    <row r="710">
      <c r="B710" s="59"/>
      <c r="D710" s="59"/>
      <c r="F710" s="59"/>
      <c r="H710" s="59"/>
      <c r="J710" s="59"/>
      <c r="L710" s="59"/>
      <c r="N710" s="59"/>
      <c r="P710" s="59"/>
      <c r="Q710" s="61"/>
    </row>
    <row r="711">
      <c r="B711" s="59"/>
      <c r="D711" s="59"/>
      <c r="F711" s="59"/>
      <c r="H711" s="59"/>
      <c r="J711" s="59"/>
      <c r="L711" s="59"/>
      <c r="N711" s="59"/>
      <c r="P711" s="59"/>
      <c r="Q711" s="61"/>
    </row>
    <row r="712">
      <c r="B712" s="59"/>
      <c r="D712" s="59"/>
      <c r="F712" s="59"/>
      <c r="H712" s="59"/>
      <c r="J712" s="59"/>
      <c r="L712" s="59"/>
      <c r="N712" s="59"/>
      <c r="P712" s="59"/>
      <c r="Q712" s="61"/>
    </row>
    <row r="713">
      <c r="B713" s="59"/>
      <c r="D713" s="59"/>
      <c r="F713" s="59"/>
      <c r="H713" s="59"/>
      <c r="J713" s="59"/>
      <c r="L713" s="59"/>
      <c r="N713" s="59"/>
      <c r="P713" s="59"/>
      <c r="Q713" s="61"/>
    </row>
    <row r="714">
      <c r="B714" s="59"/>
      <c r="D714" s="59"/>
      <c r="F714" s="59"/>
      <c r="H714" s="59"/>
      <c r="J714" s="59"/>
      <c r="L714" s="59"/>
      <c r="N714" s="59"/>
      <c r="P714" s="59"/>
      <c r="Q714" s="61"/>
    </row>
    <row r="715">
      <c r="B715" s="59"/>
      <c r="D715" s="59"/>
      <c r="F715" s="59"/>
      <c r="H715" s="59"/>
      <c r="J715" s="59"/>
      <c r="L715" s="59"/>
      <c r="N715" s="59"/>
      <c r="P715" s="59"/>
      <c r="Q715" s="61"/>
    </row>
    <row r="716">
      <c r="B716" s="59"/>
      <c r="D716" s="59"/>
      <c r="F716" s="59"/>
      <c r="H716" s="59"/>
      <c r="J716" s="59"/>
      <c r="L716" s="59"/>
      <c r="N716" s="59"/>
      <c r="P716" s="59"/>
      <c r="Q716" s="61"/>
    </row>
    <row r="717">
      <c r="B717" s="59"/>
      <c r="D717" s="59"/>
      <c r="F717" s="59"/>
      <c r="H717" s="59"/>
      <c r="J717" s="59"/>
      <c r="L717" s="59"/>
      <c r="N717" s="59"/>
      <c r="P717" s="59"/>
      <c r="Q717" s="61"/>
    </row>
    <row r="718">
      <c r="B718" s="59"/>
      <c r="D718" s="59"/>
      <c r="F718" s="59"/>
      <c r="H718" s="59"/>
      <c r="J718" s="59"/>
      <c r="L718" s="59"/>
      <c r="N718" s="59"/>
      <c r="P718" s="59"/>
      <c r="Q718" s="61"/>
    </row>
    <row r="719">
      <c r="B719" s="59"/>
      <c r="D719" s="59"/>
      <c r="F719" s="59"/>
      <c r="H719" s="59"/>
      <c r="J719" s="59"/>
      <c r="L719" s="59"/>
      <c r="N719" s="59"/>
      <c r="P719" s="59"/>
      <c r="Q719" s="61"/>
    </row>
    <row r="720">
      <c r="B720" s="59"/>
      <c r="D720" s="59"/>
      <c r="F720" s="59"/>
      <c r="H720" s="59"/>
      <c r="J720" s="59"/>
      <c r="L720" s="59"/>
      <c r="N720" s="59"/>
      <c r="P720" s="59"/>
      <c r="Q720" s="61"/>
    </row>
    <row r="721">
      <c r="B721" s="59"/>
      <c r="D721" s="59"/>
      <c r="F721" s="59"/>
      <c r="H721" s="59"/>
      <c r="J721" s="59"/>
      <c r="L721" s="59"/>
      <c r="N721" s="59"/>
      <c r="P721" s="59"/>
      <c r="Q721" s="61"/>
    </row>
    <row r="722">
      <c r="B722" s="59"/>
      <c r="D722" s="59"/>
      <c r="F722" s="59"/>
      <c r="H722" s="59"/>
      <c r="J722" s="59"/>
      <c r="L722" s="59"/>
      <c r="N722" s="59"/>
      <c r="P722" s="59"/>
      <c r="Q722" s="61"/>
    </row>
    <row r="723">
      <c r="B723" s="59"/>
      <c r="D723" s="59"/>
      <c r="F723" s="59"/>
      <c r="H723" s="59"/>
      <c r="J723" s="59"/>
      <c r="L723" s="59"/>
      <c r="N723" s="59"/>
      <c r="P723" s="59"/>
      <c r="Q723" s="61"/>
    </row>
    <row r="724">
      <c r="B724" s="59"/>
      <c r="D724" s="59"/>
      <c r="F724" s="59"/>
      <c r="H724" s="59"/>
      <c r="J724" s="59"/>
      <c r="L724" s="59"/>
      <c r="N724" s="59"/>
      <c r="P724" s="59"/>
      <c r="Q724" s="61"/>
    </row>
    <row r="725">
      <c r="B725" s="59"/>
      <c r="D725" s="59"/>
      <c r="F725" s="59"/>
      <c r="H725" s="59"/>
      <c r="J725" s="59"/>
      <c r="L725" s="59"/>
      <c r="N725" s="59"/>
      <c r="P725" s="59"/>
      <c r="Q725" s="61"/>
    </row>
    <row r="726">
      <c r="B726" s="59"/>
      <c r="D726" s="59"/>
      <c r="F726" s="59"/>
      <c r="H726" s="59"/>
      <c r="J726" s="59"/>
      <c r="L726" s="59"/>
      <c r="N726" s="59"/>
      <c r="P726" s="59"/>
      <c r="Q726" s="61"/>
    </row>
    <row r="727">
      <c r="B727" s="59"/>
      <c r="D727" s="59"/>
      <c r="F727" s="59"/>
      <c r="H727" s="59"/>
      <c r="J727" s="59"/>
      <c r="L727" s="59"/>
      <c r="N727" s="59"/>
      <c r="P727" s="59"/>
      <c r="Q727" s="61"/>
    </row>
    <row r="728">
      <c r="B728" s="59"/>
      <c r="D728" s="59"/>
      <c r="F728" s="59"/>
      <c r="H728" s="59"/>
      <c r="J728" s="59"/>
      <c r="L728" s="59"/>
      <c r="N728" s="59"/>
      <c r="P728" s="59"/>
      <c r="Q728" s="61"/>
    </row>
    <row r="729">
      <c r="B729" s="59"/>
      <c r="D729" s="59"/>
      <c r="F729" s="59"/>
      <c r="H729" s="59"/>
      <c r="J729" s="59"/>
      <c r="L729" s="59"/>
      <c r="N729" s="59"/>
      <c r="P729" s="59"/>
      <c r="Q729" s="61"/>
    </row>
    <row r="730">
      <c r="B730" s="59"/>
      <c r="D730" s="59"/>
      <c r="F730" s="59"/>
      <c r="H730" s="59"/>
      <c r="J730" s="59"/>
      <c r="L730" s="59"/>
      <c r="N730" s="59"/>
      <c r="P730" s="59"/>
      <c r="Q730" s="61"/>
    </row>
    <row r="731">
      <c r="B731" s="59"/>
      <c r="D731" s="59"/>
      <c r="F731" s="59"/>
      <c r="H731" s="59"/>
      <c r="J731" s="59"/>
      <c r="L731" s="59"/>
      <c r="N731" s="59"/>
      <c r="P731" s="59"/>
      <c r="Q731" s="61"/>
    </row>
    <row r="732">
      <c r="B732" s="59"/>
      <c r="D732" s="59"/>
      <c r="F732" s="59"/>
      <c r="H732" s="59"/>
      <c r="J732" s="59"/>
      <c r="L732" s="59"/>
      <c r="N732" s="59"/>
      <c r="P732" s="59"/>
      <c r="Q732" s="61"/>
    </row>
    <row r="733">
      <c r="B733" s="59"/>
      <c r="D733" s="59"/>
      <c r="F733" s="59"/>
      <c r="H733" s="59"/>
      <c r="J733" s="59"/>
      <c r="L733" s="59"/>
      <c r="N733" s="59"/>
      <c r="P733" s="59"/>
      <c r="Q733" s="61"/>
    </row>
    <row r="734">
      <c r="B734" s="59"/>
      <c r="D734" s="59"/>
      <c r="F734" s="59"/>
      <c r="H734" s="59"/>
      <c r="J734" s="59"/>
      <c r="L734" s="59"/>
      <c r="N734" s="59"/>
      <c r="P734" s="59"/>
      <c r="Q734" s="61"/>
    </row>
    <row r="735">
      <c r="B735" s="59"/>
      <c r="D735" s="59"/>
      <c r="F735" s="59"/>
      <c r="H735" s="59"/>
      <c r="J735" s="59"/>
      <c r="L735" s="59"/>
      <c r="N735" s="59"/>
      <c r="P735" s="59"/>
      <c r="Q735" s="61"/>
    </row>
    <row r="736">
      <c r="B736" s="59"/>
      <c r="D736" s="59"/>
      <c r="F736" s="59"/>
      <c r="H736" s="59"/>
      <c r="J736" s="59"/>
      <c r="L736" s="59"/>
      <c r="N736" s="59"/>
      <c r="P736" s="59"/>
      <c r="Q736" s="61"/>
    </row>
    <row r="737">
      <c r="B737" s="59"/>
      <c r="D737" s="59"/>
      <c r="F737" s="59"/>
      <c r="H737" s="59"/>
      <c r="J737" s="59"/>
      <c r="L737" s="59"/>
      <c r="N737" s="59"/>
      <c r="P737" s="59"/>
      <c r="Q737" s="61"/>
    </row>
    <row r="738">
      <c r="B738" s="59"/>
      <c r="D738" s="59"/>
      <c r="F738" s="59"/>
      <c r="H738" s="59"/>
      <c r="J738" s="59"/>
      <c r="L738" s="59"/>
      <c r="N738" s="59"/>
      <c r="P738" s="59"/>
      <c r="Q738" s="61"/>
    </row>
    <row r="739">
      <c r="B739" s="59"/>
      <c r="D739" s="59"/>
      <c r="F739" s="59"/>
      <c r="H739" s="59"/>
      <c r="J739" s="59"/>
      <c r="L739" s="59"/>
      <c r="N739" s="59"/>
      <c r="P739" s="59"/>
      <c r="Q739" s="61"/>
    </row>
    <row r="740">
      <c r="B740" s="59"/>
      <c r="D740" s="59"/>
      <c r="F740" s="59"/>
      <c r="H740" s="59"/>
      <c r="J740" s="59"/>
      <c r="L740" s="59"/>
      <c r="N740" s="59"/>
      <c r="P740" s="59"/>
      <c r="Q740" s="61"/>
    </row>
    <row r="741">
      <c r="B741" s="59"/>
      <c r="D741" s="59"/>
      <c r="F741" s="59"/>
      <c r="H741" s="59"/>
      <c r="J741" s="59"/>
      <c r="L741" s="59"/>
      <c r="N741" s="59"/>
      <c r="P741" s="59"/>
      <c r="Q741" s="61"/>
    </row>
    <row r="742">
      <c r="B742" s="59"/>
      <c r="D742" s="59"/>
      <c r="F742" s="59"/>
      <c r="H742" s="59"/>
      <c r="J742" s="59"/>
      <c r="L742" s="59"/>
      <c r="N742" s="59"/>
      <c r="P742" s="59"/>
      <c r="Q742" s="61"/>
    </row>
    <row r="743">
      <c r="B743" s="59"/>
      <c r="D743" s="59"/>
      <c r="F743" s="59"/>
      <c r="H743" s="59"/>
      <c r="J743" s="59"/>
      <c r="L743" s="59"/>
      <c r="N743" s="59"/>
      <c r="P743" s="59"/>
      <c r="Q743" s="61"/>
    </row>
    <row r="744">
      <c r="B744" s="59"/>
      <c r="D744" s="59"/>
      <c r="F744" s="59"/>
      <c r="H744" s="59"/>
      <c r="J744" s="59"/>
      <c r="L744" s="59"/>
      <c r="N744" s="59"/>
      <c r="P744" s="59"/>
      <c r="Q744" s="61"/>
    </row>
    <row r="745">
      <c r="B745" s="59"/>
      <c r="D745" s="59"/>
      <c r="F745" s="59"/>
      <c r="H745" s="59"/>
      <c r="J745" s="59"/>
      <c r="L745" s="59"/>
      <c r="N745" s="59"/>
      <c r="P745" s="59"/>
      <c r="Q745" s="61"/>
    </row>
    <row r="746">
      <c r="B746" s="59"/>
      <c r="D746" s="59"/>
      <c r="F746" s="59"/>
      <c r="H746" s="59"/>
      <c r="J746" s="59"/>
      <c r="L746" s="59"/>
      <c r="N746" s="59"/>
      <c r="P746" s="59"/>
      <c r="Q746" s="61"/>
    </row>
    <row r="747">
      <c r="B747" s="59"/>
      <c r="D747" s="59"/>
      <c r="F747" s="59"/>
      <c r="H747" s="59"/>
      <c r="J747" s="59"/>
      <c r="L747" s="59"/>
      <c r="N747" s="59"/>
      <c r="P747" s="59"/>
      <c r="Q747" s="61"/>
    </row>
    <row r="748">
      <c r="B748" s="59"/>
      <c r="D748" s="59"/>
      <c r="F748" s="59"/>
      <c r="H748" s="59"/>
      <c r="J748" s="59"/>
      <c r="L748" s="59"/>
      <c r="N748" s="59"/>
      <c r="P748" s="59"/>
      <c r="Q748" s="61"/>
    </row>
    <row r="749">
      <c r="B749" s="59"/>
      <c r="D749" s="59"/>
      <c r="F749" s="59"/>
      <c r="H749" s="59"/>
      <c r="J749" s="59"/>
      <c r="L749" s="59"/>
      <c r="N749" s="59"/>
      <c r="P749" s="59"/>
      <c r="Q749" s="61"/>
    </row>
    <row r="750">
      <c r="B750" s="59"/>
      <c r="D750" s="59"/>
      <c r="F750" s="59"/>
      <c r="H750" s="59"/>
      <c r="J750" s="59"/>
      <c r="L750" s="59"/>
      <c r="N750" s="59"/>
      <c r="P750" s="59"/>
      <c r="Q750" s="61"/>
    </row>
    <row r="751">
      <c r="B751" s="59"/>
      <c r="D751" s="59"/>
      <c r="F751" s="59"/>
      <c r="H751" s="59"/>
      <c r="J751" s="59"/>
      <c r="L751" s="59"/>
      <c r="N751" s="59"/>
      <c r="P751" s="59"/>
      <c r="Q751" s="61"/>
    </row>
    <row r="752">
      <c r="B752" s="59"/>
      <c r="D752" s="59"/>
      <c r="F752" s="59"/>
      <c r="H752" s="59"/>
      <c r="J752" s="59"/>
      <c r="L752" s="59"/>
      <c r="N752" s="59"/>
      <c r="P752" s="59"/>
      <c r="Q752" s="61"/>
    </row>
    <row r="753">
      <c r="B753" s="59"/>
      <c r="D753" s="59"/>
      <c r="F753" s="59"/>
      <c r="H753" s="59"/>
      <c r="J753" s="59"/>
      <c r="L753" s="59"/>
      <c r="N753" s="59"/>
      <c r="P753" s="59"/>
      <c r="Q753" s="61"/>
    </row>
    <row r="754">
      <c r="B754" s="59"/>
      <c r="D754" s="59"/>
      <c r="F754" s="59"/>
      <c r="H754" s="59"/>
      <c r="J754" s="59"/>
      <c r="L754" s="59"/>
      <c r="N754" s="59"/>
      <c r="P754" s="59"/>
      <c r="Q754" s="61"/>
    </row>
    <row r="755">
      <c r="B755" s="59"/>
      <c r="D755" s="59"/>
      <c r="F755" s="59"/>
      <c r="H755" s="59"/>
      <c r="J755" s="59"/>
      <c r="L755" s="59"/>
      <c r="N755" s="59"/>
      <c r="P755" s="59"/>
      <c r="Q755" s="61"/>
    </row>
    <row r="756">
      <c r="B756" s="59"/>
      <c r="D756" s="59"/>
      <c r="F756" s="59"/>
      <c r="H756" s="59"/>
      <c r="J756" s="59"/>
      <c r="L756" s="59"/>
      <c r="N756" s="59"/>
      <c r="P756" s="59"/>
      <c r="Q756" s="61"/>
    </row>
    <row r="757">
      <c r="B757" s="59"/>
      <c r="D757" s="59"/>
      <c r="F757" s="59"/>
      <c r="H757" s="59"/>
      <c r="J757" s="59"/>
      <c r="L757" s="59"/>
      <c r="N757" s="59"/>
      <c r="P757" s="59"/>
      <c r="Q757" s="61"/>
    </row>
    <row r="758">
      <c r="B758" s="59"/>
      <c r="D758" s="59"/>
      <c r="F758" s="59"/>
      <c r="H758" s="59"/>
      <c r="J758" s="59"/>
      <c r="L758" s="59"/>
      <c r="N758" s="59"/>
      <c r="P758" s="59"/>
      <c r="Q758" s="61"/>
    </row>
    <row r="759">
      <c r="B759" s="59"/>
      <c r="D759" s="59"/>
      <c r="F759" s="59"/>
      <c r="H759" s="59"/>
      <c r="J759" s="59"/>
      <c r="L759" s="59"/>
      <c r="N759" s="59"/>
      <c r="P759" s="59"/>
      <c r="Q759" s="61"/>
    </row>
    <row r="760">
      <c r="B760" s="59"/>
      <c r="D760" s="59"/>
      <c r="F760" s="59"/>
      <c r="H760" s="59"/>
      <c r="J760" s="59"/>
      <c r="L760" s="59"/>
      <c r="N760" s="59"/>
      <c r="P760" s="59"/>
      <c r="Q760" s="61"/>
    </row>
    <row r="761">
      <c r="B761" s="59"/>
      <c r="D761" s="59"/>
      <c r="F761" s="59"/>
      <c r="H761" s="59"/>
      <c r="J761" s="59"/>
      <c r="L761" s="59"/>
      <c r="N761" s="59"/>
      <c r="P761" s="59"/>
      <c r="Q761" s="61"/>
    </row>
    <row r="762">
      <c r="B762" s="59"/>
      <c r="D762" s="59"/>
      <c r="F762" s="59"/>
      <c r="H762" s="59"/>
      <c r="J762" s="59"/>
      <c r="L762" s="59"/>
      <c r="N762" s="59"/>
      <c r="P762" s="59"/>
      <c r="Q762" s="61"/>
    </row>
    <row r="763">
      <c r="B763" s="59"/>
      <c r="D763" s="59"/>
      <c r="F763" s="59"/>
      <c r="H763" s="59"/>
      <c r="J763" s="59"/>
      <c r="L763" s="59"/>
      <c r="N763" s="59"/>
      <c r="P763" s="59"/>
      <c r="Q763" s="61"/>
    </row>
    <row r="764">
      <c r="B764" s="59"/>
      <c r="D764" s="59"/>
      <c r="F764" s="59"/>
      <c r="H764" s="59"/>
      <c r="J764" s="59"/>
      <c r="L764" s="59"/>
      <c r="N764" s="59"/>
      <c r="P764" s="59"/>
      <c r="Q764" s="61"/>
    </row>
    <row r="765">
      <c r="B765" s="59"/>
      <c r="D765" s="59"/>
      <c r="F765" s="59"/>
      <c r="H765" s="59"/>
      <c r="J765" s="59"/>
      <c r="L765" s="59"/>
      <c r="N765" s="59"/>
      <c r="P765" s="59"/>
      <c r="Q765" s="61"/>
    </row>
    <row r="766">
      <c r="B766" s="59"/>
      <c r="D766" s="59"/>
      <c r="F766" s="59"/>
      <c r="H766" s="59"/>
      <c r="J766" s="59"/>
      <c r="L766" s="59"/>
      <c r="N766" s="59"/>
      <c r="P766" s="59"/>
      <c r="Q766" s="61"/>
    </row>
    <row r="767">
      <c r="B767" s="59"/>
      <c r="D767" s="59"/>
      <c r="F767" s="59"/>
      <c r="H767" s="59"/>
      <c r="J767" s="59"/>
      <c r="L767" s="59"/>
      <c r="N767" s="59"/>
      <c r="P767" s="59"/>
      <c r="Q767" s="61"/>
    </row>
    <row r="768">
      <c r="B768" s="59"/>
      <c r="D768" s="59"/>
      <c r="F768" s="59"/>
      <c r="H768" s="59"/>
      <c r="J768" s="59"/>
      <c r="L768" s="59"/>
      <c r="N768" s="59"/>
      <c r="P768" s="59"/>
      <c r="Q768" s="61"/>
    </row>
    <row r="769">
      <c r="B769" s="59"/>
      <c r="D769" s="59"/>
      <c r="F769" s="59"/>
      <c r="H769" s="59"/>
      <c r="J769" s="59"/>
      <c r="L769" s="59"/>
      <c r="N769" s="59"/>
      <c r="P769" s="59"/>
      <c r="Q769" s="61"/>
    </row>
    <row r="770">
      <c r="B770" s="59"/>
      <c r="D770" s="59"/>
      <c r="F770" s="59"/>
      <c r="H770" s="59"/>
      <c r="J770" s="59"/>
      <c r="L770" s="59"/>
      <c r="N770" s="59"/>
      <c r="P770" s="59"/>
      <c r="Q770" s="61"/>
    </row>
    <row r="771">
      <c r="B771" s="59"/>
      <c r="D771" s="59"/>
      <c r="F771" s="59"/>
      <c r="H771" s="59"/>
      <c r="J771" s="59"/>
      <c r="L771" s="59"/>
      <c r="N771" s="59"/>
      <c r="P771" s="59"/>
      <c r="Q771" s="61"/>
    </row>
    <row r="772">
      <c r="B772" s="59"/>
      <c r="D772" s="59"/>
      <c r="F772" s="59"/>
      <c r="H772" s="59"/>
      <c r="J772" s="59"/>
      <c r="L772" s="59"/>
      <c r="N772" s="59"/>
      <c r="P772" s="59"/>
      <c r="Q772" s="61"/>
    </row>
    <row r="773">
      <c r="B773" s="59"/>
      <c r="D773" s="59"/>
      <c r="F773" s="59"/>
      <c r="H773" s="59"/>
      <c r="J773" s="59"/>
      <c r="L773" s="59"/>
      <c r="N773" s="59"/>
      <c r="P773" s="59"/>
      <c r="Q773" s="61"/>
    </row>
    <row r="774">
      <c r="B774" s="59"/>
      <c r="D774" s="59"/>
      <c r="F774" s="59"/>
      <c r="H774" s="59"/>
      <c r="J774" s="59"/>
      <c r="L774" s="59"/>
      <c r="N774" s="59"/>
      <c r="P774" s="59"/>
      <c r="Q774" s="61"/>
    </row>
    <row r="775">
      <c r="B775" s="59"/>
      <c r="D775" s="59"/>
      <c r="F775" s="59"/>
      <c r="H775" s="59"/>
      <c r="J775" s="59"/>
      <c r="L775" s="59"/>
      <c r="N775" s="59"/>
      <c r="P775" s="59"/>
      <c r="Q775" s="61"/>
    </row>
    <row r="776">
      <c r="B776" s="59"/>
      <c r="D776" s="59"/>
      <c r="F776" s="59"/>
      <c r="H776" s="59"/>
      <c r="J776" s="59"/>
      <c r="L776" s="59"/>
      <c r="N776" s="59"/>
      <c r="P776" s="59"/>
      <c r="Q776" s="61"/>
    </row>
    <row r="777">
      <c r="B777" s="59"/>
      <c r="D777" s="59"/>
      <c r="F777" s="59"/>
      <c r="H777" s="59"/>
      <c r="J777" s="59"/>
      <c r="L777" s="59"/>
      <c r="N777" s="59"/>
      <c r="P777" s="59"/>
      <c r="Q777" s="61"/>
    </row>
    <row r="778">
      <c r="B778" s="59"/>
      <c r="D778" s="59"/>
      <c r="F778" s="59"/>
      <c r="H778" s="59"/>
      <c r="J778" s="59"/>
      <c r="L778" s="59"/>
      <c r="N778" s="59"/>
      <c r="P778" s="59"/>
      <c r="Q778" s="61"/>
    </row>
    <row r="779">
      <c r="B779" s="59"/>
      <c r="D779" s="59"/>
      <c r="F779" s="59"/>
      <c r="H779" s="59"/>
      <c r="J779" s="59"/>
      <c r="L779" s="59"/>
      <c r="N779" s="59"/>
      <c r="P779" s="59"/>
      <c r="Q779" s="61"/>
    </row>
    <row r="780">
      <c r="B780" s="59"/>
      <c r="D780" s="59"/>
      <c r="F780" s="59"/>
      <c r="H780" s="59"/>
      <c r="J780" s="59"/>
      <c r="L780" s="59"/>
      <c r="N780" s="59"/>
      <c r="P780" s="59"/>
      <c r="Q780" s="61"/>
    </row>
    <row r="781">
      <c r="B781" s="59"/>
      <c r="D781" s="59"/>
      <c r="F781" s="59"/>
      <c r="H781" s="59"/>
      <c r="J781" s="59"/>
      <c r="L781" s="59"/>
      <c r="N781" s="59"/>
      <c r="P781" s="59"/>
      <c r="Q781" s="61"/>
    </row>
    <row r="782">
      <c r="B782" s="59"/>
      <c r="D782" s="59"/>
      <c r="F782" s="59"/>
      <c r="H782" s="59"/>
      <c r="J782" s="59"/>
      <c r="L782" s="59"/>
      <c r="N782" s="59"/>
      <c r="P782" s="59"/>
      <c r="Q782" s="61"/>
    </row>
    <row r="783">
      <c r="B783" s="59"/>
      <c r="D783" s="59"/>
      <c r="F783" s="59"/>
      <c r="H783" s="59"/>
      <c r="J783" s="59"/>
      <c r="L783" s="59"/>
      <c r="N783" s="59"/>
      <c r="P783" s="59"/>
      <c r="Q783" s="61"/>
    </row>
    <row r="784">
      <c r="B784" s="59"/>
      <c r="D784" s="59"/>
      <c r="F784" s="59"/>
      <c r="H784" s="59"/>
      <c r="J784" s="59"/>
      <c r="L784" s="59"/>
      <c r="N784" s="59"/>
      <c r="P784" s="59"/>
      <c r="Q784" s="61"/>
    </row>
    <row r="785">
      <c r="B785" s="59"/>
      <c r="D785" s="59"/>
      <c r="F785" s="59"/>
      <c r="H785" s="59"/>
      <c r="J785" s="59"/>
      <c r="L785" s="59"/>
      <c r="N785" s="59"/>
      <c r="P785" s="59"/>
      <c r="Q785" s="61"/>
    </row>
    <row r="786">
      <c r="B786" s="59"/>
      <c r="D786" s="59"/>
      <c r="F786" s="59"/>
      <c r="H786" s="59"/>
      <c r="J786" s="59"/>
      <c r="L786" s="59"/>
      <c r="N786" s="59"/>
      <c r="P786" s="59"/>
      <c r="Q786" s="61"/>
    </row>
    <row r="787">
      <c r="B787" s="59"/>
      <c r="D787" s="59"/>
      <c r="F787" s="59"/>
      <c r="H787" s="59"/>
      <c r="J787" s="59"/>
      <c r="L787" s="59"/>
      <c r="N787" s="59"/>
      <c r="P787" s="59"/>
      <c r="Q787" s="61"/>
    </row>
    <row r="788">
      <c r="B788" s="59"/>
      <c r="D788" s="59"/>
      <c r="F788" s="59"/>
      <c r="H788" s="59"/>
      <c r="J788" s="59"/>
      <c r="L788" s="59"/>
      <c r="N788" s="59"/>
      <c r="P788" s="59"/>
      <c r="Q788" s="61"/>
    </row>
    <row r="789">
      <c r="B789" s="59"/>
      <c r="D789" s="59"/>
      <c r="F789" s="59"/>
      <c r="H789" s="59"/>
      <c r="J789" s="59"/>
      <c r="L789" s="59"/>
      <c r="N789" s="59"/>
      <c r="P789" s="59"/>
      <c r="Q789" s="61"/>
    </row>
    <row r="790">
      <c r="B790" s="59"/>
      <c r="D790" s="59"/>
      <c r="F790" s="59"/>
      <c r="H790" s="59"/>
      <c r="J790" s="59"/>
      <c r="L790" s="59"/>
      <c r="N790" s="59"/>
      <c r="P790" s="59"/>
      <c r="Q790" s="61"/>
    </row>
    <row r="791">
      <c r="B791" s="59"/>
      <c r="D791" s="59"/>
      <c r="F791" s="59"/>
      <c r="H791" s="59"/>
      <c r="J791" s="59"/>
      <c r="L791" s="59"/>
      <c r="N791" s="59"/>
      <c r="P791" s="59"/>
      <c r="Q791" s="61"/>
    </row>
    <row r="792">
      <c r="B792" s="59"/>
      <c r="D792" s="59"/>
      <c r="F792" s="59"/>
      <c r="H792" s="59"/>
      <c r="J792" s="59"/>
      <c r="L792" s="59"/>
      <c r="N792" s="59"/>
      <c r="P792" s="59"/>
      <c r="Q792" s="61"/>
    </row>
    <row r="793">
      <c r="B793" s="59"/>
      <c r="D793" s="59"/>
      <c r="F793" s="59"/>
      <c r="H793" s="59"/>
      <c r="J793" s="59"/>
      <c r="L793" s="59"/>
      <c r="N793" s="59"/>
      <c r="P793" s="59"/>
      <c r="Q793" s="61"/>
    </row>
    <row r="794">
      <c r="B794" s="59"/>
      <c r="D794" s="59"/>
      <c r="F794" s="59"/>
      <c r="H794" s="59"/>
      <c r="J794" s="59"/>
      <c r="L794" s="59"/>
      <c r="N794" s="59"/>
      <c r="P794" s="59"/>
      <c r="Q794" s="61"/>
    </row>
    <row r="795">
      <c r="B795" s="59"/>
      <c r="D795" s="59"/>
      <c r="F795" s="59"/>
      <c r="H795" s="59"/>
      <c r="J795" s="59"/>
      <c r="L795" s="59"/>
      <c r="N795" s="59"/>
      <c r="P795" s="59"/>
      <c r="Q795" s="61"/>
    </row>
    <row r="796">
      <c r="B796" s="59"/>
      <c r="D796" s="59"/>
      <c r="F796" s="59"/>
      <c r="H796" s="59"/>
      <c r="J796" s="59"/>
      <c r="L796" s="59"/>
      <c r="N796" s="59"/>
      <c r="P796" s="59"/>
      <c r="Q796" s="61"/>
    </row>
    <row r="797">
      <c r="B797" s="59"/>
      <c r="D797" s="59"/>
      <c r="F797" s="59"/>
      <c r="H797" s="59"/>
      <c r="J797" s="59"/>
      <c r="L797" s="59"/>
      <c r="N797" s="59"/>
      <c r="P797" s="59"/>
      <c r="Q797" s="61"/>
    </row>
    <row r="798">
      <c r="B798" s="59"/>
      <c r="D798" s="59"/>
      <c r="F798" s="59"/>
      <c r="H798" s="59"/>
      <c r="J798" s="59"/>
      <c r="L798" s="59"/>
      <c r="N798" s="59"/>
      <c r="P798" s="59"/>
      <c r="Q798" s="61"/>
    </row>
    <row r="799">
      <c r="B799" s="59"/>
      <c r="D799" s="59"/>
      <c r="F799" s="59"/>
      <c r="H799" s="59"/>
      <c r="J799" s="59"/>
      <c r="L799" s="59"/>
      <c r="N799" s="59"/>
      <c r="P799" s="59"/>
      <c r="Q799" s="61"/>
    </row>
    <row r="800">
      <c r="B800" s="59"/>
      <c r="D800" s="59"/>
      <c r="F800" s="59"/>
      <c r="H800" s="59"/>
      <c r="J800" s="59"/>
      <c r="L800" s="59"/>
      <c r="N800" s="59"/>
      <c r="P800" s="59"/>
      <c r="Q800" s="61"/>
    </row>
    <row r="801">
      <c r="B801" s="59"/>
      <c r="D801" s="59"/>
      <c r="F801" s="59"/>
      <c r="H801" s="59"/>
      <c r="J801" s="59"/>
      <c r="L801" s="59"/>
      <c r="N801" s="59"/>
      <c r="P801" s="59"/>
      <c r="Q801" s="61"/>
    </row>
    <row r="802">
      <c r="B802" s="59"/>
      <c r="D802" s="59"/>
      <c r="F802" s="59"/>
      <c r="H802" s="59"/>
      <c r="J802" s="59"/>
      <c r="L802" s="59"/>
      <c r="N802" s="59"/>
      <c r="P802" s="59"/>
      <c r="Q802" s="61"/>
    </row>
    <row r="803">
      <c r="B803" s="59"/>
      <c r="D803" s="59"/>
      <c r="F803" s="59"/>
      <c r="H803" s="59"/>
      <c r="J803" s="59"/>
      <c r="L803" s="59"/>
      <c r="N803" s="59"/>
      <c r="P803" s="59"/>
      <c r="Q803" s="61"/>
    </row>
    <row r="804">
      <c r="B804" s="59"/>
      <c r="D804" s="59"/>
      <c r="F804" s="59"/>
      <c r="H804" s="59"/>
      <c r="J804" s="59"/>
      <c r="L804" s="59"/>
      <c r="N804" s="59"/>
      <c r="P804" s="59"/>
      <c r="Q804" s="61"/>
    </row>
    <row r="805">
      <c r="B805" s="59"/>
      <c r="D805" s="59"/>
      <c r="F805" s="59"/>
      <c r="H805" s="59"/>
      <c r="J805" s="59"/>
      <c r="L805" s="59"/>
      <c r="N805" s="59"/>
      <c r="P805" s="59"/>
      <c r="Q805" s="61"/>
    </row>
    <row r="806">
      <c r="B806" s="59"/>
      <c r="D806" s="59"/>
      <c r="F806" s="59"/>
      <c r="H806" s="59"/>
      <c r="J806" s="59"/>
      <c r="L806" s="59"/>
      <c r="N806" s="59"/>
      <c r="P806" s="59"/>
      <c r="Q806" s="61"/>
    </row>
    <row r="807">
      <c r="B807" s="59"/>
      <c r="D807" s="59"/>
      <c r="F807" s="59"/>
      <c r="H807" s="59"/>
      <c r="J807" s="59"/>
      <c r="L807" s="59"/>
      <c r="N807" s="59"/>
      <c r="P807" s="59"/>
      <c r="Q807" s="61"/>
    </row>
    <row r="808">
      <c r="B808" s="59"/>
      <c r="D808" s="59"/>
      <c r="F808" s="59"/>
      <c r="H808" s="59"/>
      <c r="J808" s="59"/>
      <c r="L808" s="59"/>
      <c r="N808" s="59"/>
      <c r="P808" s="59"/>
      <c r="Q808" s="61"/>
    </row>
    <row r="809">
      <c r="B809" s="59"/>
      <c r="D809" s="59"/>
      <c r="F809" s="59"/>
      <c r="H809" s="59"/>
      <c r="J809" s="59"/>
      <c r="L809" s="59"/>
      <c r="N809" s="59"/>
      <c r="P809" s="59"/>
      <c r="Q809" s="61"/>
    </row>
    <row r="810">
      <c r="B810" s="59"/>
      <c r="D810" s="59"/>
      <c r="F810" s="59"/>
      <c r="H810" s="59"/>
      <c r="J810" s="59"/>
      <c r="L810" s="59"/>
      <c r="N810" s="59"/>
      <c r="P810" s="59"/>
      <c r="Q810" s="61"/>
    </row>
    <row r="811">
      <c r="B811" s="59"/>
      <c r="D811" s="59"/>
      <c r="F811" s="59"/>
      <c r="H811" s="59"/>
      <c r="J811" s="59"/>
      <c r="L811" s="59"/>
      <c r="N811" s="59"/>
      <c r="P811" s="59"/>
      <c r="Q811" s="61"/>
    </row>
    <row r="812">
      <c r="B812" s="59"/>
      <c r="D812" s="59"/>
      <c r="F812" s="59"/>
      <c r="H812" s="59"/>
      <c r="J812" s="59"/>
      <c r="L812" s="59"/>
      <c r="N812" s="59"/>
      <c r="P812" s="59"/>
      <c r="Q812" s="61"/>
    </row>
    <row r="813">
      <c r="B813" s="59"/>
      <c r="D813" s="59"/>
      <c r="F813" s="59"/>
      <c r="H813" s="59"/>
      <c r="J813" s="59"/>
      <c r="L813" s="59"/>
      <c r="N813" s="59"/>
      <c r="P813" s="59"/>
      <c r="Q813" s="61"/>
    </row>
    <row r="814">
      <c r="B814" s="59"/>
      <c r="D814" s="59"/>
      <c r="F814" s="59"/>
      <c r="H814" s="59"/>
      <c r="J814" s="59"/>
      <c r="L814" s="59"/>
      <c r="N814" s="59"/>
      <c r="P814" s="59"/>
      <c r="Q814" s="61"/>
    </row>
    <row r="815">
      <c r="B815" s="59"/>
      <c r="D815" s="59"/>
      <c r="F815" s="59"/>
      <c r="H815" s="59"/>
      <c r="J815" s="59"/>
      <c r="L815" s="59"/>
      <c r="N815" s="59"/>
      <c r="P815" s="59"/>
      <c r="Q815" s="61"/>
    </row>
    <row r="816">
      <c r="B816" s="59"/>
      <c r="D816" s="59"/>
      <c r="F816" s="59"/>
      <c r="H816" s="59"/>
      <c r="J816" s="59"/>
      <c r="L816" s="59"/>
      <c r="N816" s="59"/>
      <c r="P816" s="59"/>
      <c r="Q816" s="61"/>
    </row>
    <row r="817">
      <c r="B817" s="59"/>
      <c r="D817" s="59"/>
      <c r="F817" s="59"/>
      <c r="H817" s="59"/>
      <c r="J817" s="59"/>
      <c r="L817" s="59"/>
      <c r="N817" s="59"/>
      <c r="P817" s="59"/>
      <c r="Q817" s="61"/>
    </row>
    <row r="818">
      <c r="B818" s="59"/>
      <c r="D818" s="59"/>
      <c r="F818" s="59"/>
      <c r="H818" s="59"/>
      <c r="J818" s="59"/>
      <c r="L818" s="59"/>
      <c r="N818" s="59"/>
      <c r="P818" s="59"/>
      <c r="Q818" s="61"/>
    </row>
    <row r="819">
      <c r="B819" s="59"/>
      <c r="D819" s="59"/>
      <c r="F819" s="59"/>
      <c r="H819" s="59"/>
      <c r="J819" s="59"/>
      <c r="L819" s="59"/>
      <c r="N819" s="59"/>
      <c r="P819" s="59"/>
      <c r="Q819" s="61"/>
    </row>
    <row r="820">
      <c r="B820" s="59"/>
      <c r="D820" s="59"/>
      <c r="F820" s="59"/>
      <c r="H820" s="59"/>
      <c r="J820" s="59"/>
      <c r="L820" s="59"/>
      <c r="N820" s="59"/>
      <c r="P820" s="59"/>
      <c r="Q820" s="61"/>
    </row>
    <row r="821">
      <c r="B821" s="59"/>
      <c r="D821" s="59"/>
      <c r="F821" s="59"/>
      <c r="H821" s="59"/>
      <c r="J821" s="59"/>
      <c r="L821" s="59"/>
      <c r="N821" s="59"/>
      <c r="P821" s="59"/>
      <c r="Q821" s="61"/>
    </row>
    <row r="822">
      <c r="B822" s="59"/>
      <c r="D822" s="59"/>
      <c r="F822" s="59"/>
      <c r="H822" s="59"/>
      <c r="J822" s="59"/>
      <c r="L822" s="59"/>
      <c r="N822" s="59"/>
      <c r="P822" s="59"/>
      <c r="Q822" s="61"/>
    </row>
    <row r="823">
      <c r="B823" s="59"/>
      <c r="D823" s="59"/>
      <c r="F823" s="59"/>
      <c r="H823" s="59"/>
      <c r="J823" s="59"/>
      <c r="L823" s="59"/>
      <c r="N823" s="59"/>
      <c r="P823" s="59"/>
      <c r="Q823" s="61"/>
    </row>
    <row r="824">
      <c r="B824" s="59"/>
      <c r="D824" s="59"/>
      <c r="F824" s="59"/>
      <c r="H824" s="59"/>
      <c r="J824" s="59"/>
      <c r="L824" s="59"/>
      <c r="N824" s="59"/>
      <c r="P824" s="59"/>
      <c r="Q824" s="61"/>
    </row>
    <row r="825">
      <c r="B825" s="59"/>
      <c r="D825" s="59"/>
      <c r="F825" s="59"/>
      <c r="H825" s="59"/>
      <c r="J825" s="59"/>
      <c r="L825" s="59"/>
      <c r="N825" s="59"/>
      <c r="P825" s="59"/>
      <c r="Q825" s="61"/>
    </row>
    <row r="826">
      <c r="B826" s="59"/>
      <c r="D826" s="59"/>
      <c r="F826" s="59"/>
      <c r="H826" s="59"/>
      <c r="J826" s="59"/>
      <c r="L826" s="59"/>
      <c r="N826" s="59"/>
      <c r="P826" s="59"/>
      <c r="Q826" s="61"/>
    </row>
    <row r="827">
      <c r="B827" s="59"/>
      <c r="D827" s="59"/>
      <c r="F827" s="59"/>
      <c r="H827" s="59"/>
      <c r="J827" s="59"/>
      <c r="L827" s="59"/>
      <c r="N827" s="59"/>
      <c r="P827" s="59"/>
      <c r="Q827" s="61"/>
    </row>
    <row r="828">
      <c r="B828" s="59"/>
      <c r="D828" s="59"/>
      <c r="F828" s="59"/>
      <c r="H828" s="59"/>
      <c r="J828" s="59"/>
      <c r="L828" s="59"/>
      <c r="N828" s="59"/>
      <c r="P828" s="59"/>
      <c r="Q828" s="61"/>
    </row>
    <row r="829">
      <c r="B829" s="59"/>
      <c r="D829" s="59"/>
      <c r="F829" s="59"/>
      <c r="H829" s="59"/>
      <c r="J829" s="59"/>
      <c r="L829" s="59"/>
      <c r="N829" s="59"/>
      <c r="P829" s="59"/>
      <c r="Q829" s="61"/>
    </row>
    <row r="830">
      <c r="B830" s="59"/>
      <c r="D830" s="59"/>
      <c r="F830" s="59"/>
      <c r="H830" s="59"/>
      <c r="J830" s="59"/>
      <c r="L830" s="59"/>
      <c r="N830" s="59"/>
      <c r="P830" s="59"/>
      <c r="Q830" s="61"/>
    </row>
    <row r="831">
      <c r="B831" s="59"/>
      <c r="D831" s="59"/>
      <c r="F831" s="59"/>
      <c r="H831" s="59"/>
      <c r="J831" s="59"/>
      <c r="L831" s="59"/>
      <c r="N831" s="59"/>
      <c r="P831" s="59"/>
      <c r="Q831" s="61"/>
    </row>
    <row r="832">
      <c r="B832" s="59"/>
      <c r="D832" s="59"/>
      <c r="F832" s="59"/>
      <c r="H832" s="59"/>
      <c r="J832" s="59"/>
      <c r="L832" s="59"/>
      <c r="N832" s="59"/>
      <c r="P832" s="59"/>
      <c r="Q832" s="61"/>
    </row>
    <row r="833">
      <c r="B833" s="59"/>
      <c r="D833" s="59"/>
      <c r="F833" s="59"/>
      <c r="H833" s="59"/>
      <c r="J833" s="59"/>
      <c r="L833" s="59"/>
      <c r="N833" s="59"/>
      <c r="P833" s="59"/>
      <c r="Q833" s="61"/>
    </row>
    <row r="834">
      <c r="B834" s="59"/>
      <c r="D834" s="59"/>
      <c r="F834" s="59"/>
      <c r="H834" s="59"/>
      <c r="J834" s="59"/>
      <c r="L834" s="59"/>
      <c r="N834" s="59"/>
      <c r="P834" s="59"/>
      <c r="Q834" s="61"/>
    </row>
    <row r="835">
      <c r="B835" s="59"/>
      <c r="D835" s="59"/>
      <c r="F835" s="59"/>
      <c r="H835" s="59"/>
      <c r="J835" s="59"/>
      <c r="L835" s="59"/>
      <c r="N835" s="59"/>
      <c r="P835" s="59"/>
      <c r="Q835" s="61"/>
    </row>
    <row r="836">
      <c r="B836" s="59"/>
      <c r="D836" s="59"/>
      <c r="F836" s="59"/>
      <c r="H836" s="59"/>
      <c r="J836" s="59"/>
      <c r="L836" s="59"/>
      <c r="N836" s="59"/>
      <c r="P836" s="59"/>
      <c r="Q836" s="61"/>
    </row>
    <row r="837">
      <c r="B837" s="59"/>
      <c r="D837" s="59"/>
      <c r="F837" s="59"/>
      <c r="H837" s="59"/>
      <c r="J837" s="59"/>
      <c r="L837" s="59"/>
      <c r="N837" s="59"/>
      <c r="P837" s="59"/>
      <c r="Q837" s="61"/>
    </row>
    <row r="838">
      <c r="B838" s="59"/>
      <c r="D838" s="59"/>
      <c r="F838" s="59"/>
      <c r="H838" s="59"/>
      <c r="J838" s="59"/>
      <c r="L838" s="59"/>
      <c r="N838" s="59"/>
      <c r="P838" s="59"/>
      <c r="Q838" s="61"/>
    </row>
    <row r="839">
      <c r="B839" s="59"/>
      <c r="D839" s="59"/>
      <c r="F839" s="59"/>
      <c r="H839" s="59"/>
      <c r="J839" s="59"/>
      <c r="L839" s="59"/>
      <c r="N839" s="59"/>
      <c r="P839" s="59"/>
      <c r="Q839" s="61"/>
    </row>
    <row r="840">
      <c r="B840" s="59"/>
      <c r="D840" s="59"/>
      <c r="F840" s="59"/>
      <c r="H840" s="59"/>
      <c r="J840" s="59"/>
      <c r="L840" s="59"/>
      <c r="N840" s="59"/>
      <c r="P840" s="59"/>
      <c r="Q840" s="61"/>
    </row>
    <row r="841">
      <c r="B841" s="59"/>
      <c r="D841" s="59"/>
      <c r="F841" s="59"/>
      <c r="H841" s="59"/>
      <c r="J841" s="59"/>
      <c r="L841" s="59"/>
      <c r="N841" s="59"/>
      <c r="P841" s="59"/>
      <c r="Q841" s="61"/>
    </row>
    <row r="842">
      <c r="B842" s="59"/>
      <c r="D842" s="59"/>
      <c r="F842" s="59"/>
      <c r="H842" s="59"/>
      <c r="J842" s="59"/>
      <c r="L842" s="59"/>
      <c r="N842" s="59"/>
      <c r="P842" s="59"/>
      <c r="Q842" s="61"/>
    </row>
    <row r="843">
      <c r="B843" s="59"/>
      <c r="D843" s="59"/>
      <c r="F843" s="59"/>
      <c r="H843" s="59"/>
      <c r="J843" s="59"/>
      <c r="L843" s="59"/>
      <c r="N843" s="59"/>
      <c r="P843" s="59"/>
      <c r="Q843" s="61"/>
    </row>
    <row r="844">
      <c r="B844" s="59"/>
      <c r="D844" s="59"/>
      <c r="F844" s="59"/>
      <c r="H844" s="59"/>
      <c r="J844" s="59"/>
      <c r="L844" s="59"/>
      <c r="N844" s="59"/>
      <c r="P844" s="59"/>
      <c r="Q844" s="61"/>
    </row>
    <row r="845">
      <c r="B845" s="59"/>
      <c r="D845" s="59"/>
      <c r="F845" s="59"/>
      <c r="H845" s="59"/>
      <c r="J845" s="59"/>
      <c r="L845" s="59"/>
      <c r="N845" s="59"/>
      <c r="P845" s="59"/>
      <c r="Q845" s="61"/>
    </row>
    <row r="846">
      <c r="B846" s="59"/>
      <c r="D846" s="59"/>
      <c r="F846" s="59"/>
      <c r="H846" s="59"/>
      <c r="J846" s="59"/>
      <c r="L846" s="59"/>
      <c r="N846" s="59"/>
      <c r="P846" s="59"/>
      <c r="Q846" s="61"/>
    </row>
    <row r="847">
      <c r="B847" s="59"/>
      <c r="D847" s="59"/>
      <c r="F847" s="59"/>
      <c r="H847" s="59"/>
      <c r="J847" s="59"/>
      <c r="L847" s="59"/>
      <c r="N847" s="59"/>
      <c r="P847" s="59"/>
      <c r="Q847" s="61"/>
    </row>
    <row r="848">
      <c r="B848" s="59"/>
      <c r="D848" s="59"/>
      <c r="F848" s="59"/>
      <c r="H848" s="59"/>
      <c r="J848" s="59"/>
      <c r="L848" s="59"/>
      <c r="N848" s="59"/>
      <c r="P848" s="59"/>
      <c r="Q848" s="61"/>
    </row>
    <row r="849">
      <c r="B849" s="59"/>
      <c r="D849" s="59"/>
      <c r="F849" s="59"/>
      <c r="H849" s="59"/>
      <c r="J849" s="59"/>
      <c r="L849" s="59"/>
      <c r="N849" s="59"/>
      <c r="P849" s="59"/>
      <c r="Q849" s="61"/>
    </row>
    <row r="850">
      <c r="B850" s="59"/>
      <c r="D850" s="59"/>
      <c r="F850" s="59"/>
      <c r="H850" s="59"/>
      <c r="J850" s="59"/>
      <c r="L850" s="59"/>
      <c r="N850" s="59"/>
      <c r="P850" s="59"/>
      <c r="Q850" s="61"/>
    </row>
    <row r="851">
      <c r="B851" s="59"/>
      <c r="D851" s="59"/>
      <c r="F851" s="59"/>
      <c r="H851" s="59"/>
      <c r="J851" s="59"/>
      <c r="L851" s="59"/>
      <c r="N851" s="59"/>
      <c r="P851" s="59"/>
      <c r="Q851" s="61"/>
    </row>
    <row r="852">
      <c r="B852" s="59"/>
      <c r="D852" s="59"/>
      <c r="F852" s="59"/>
      <c r="H852" s="59"/>
      <c r="J852" s="59"/>
      <c r="L852" s="59"/>
      <c r="N852" s="59"/>
      <c r="P852" s="59"/>
      <c r="Q852" s="61"/>
    </row>
    <row r="853">
      <c r="B853" s="59"/>
      <c r="D853" s="59"/>
      <c r="F853" s="59"/>
      <c r="H853" s="59"/>
      <c r="J853" s="59"/>
      <c r="L853" s="59"/>
      <c r="N853" s="59"/>
      <c r="P853" s="59"/>
      <c r="Q853" s="61"/>
    </row>
    <row r="854">
      <c r="B854" s="59"/>
      <c r="D854" s="59"/>
      <c r="F854" s="59"/>
      <c r="H854" s="59"/>
      <c r="J854" s="59"/>
      <c r="L854" s="59"/>
      <c r="N854" s="59"/>
      <c r="P854" s="59"/>
      <c r="Q854" s="61"/>
    </row>
    <row r="855">
      <c r="B855" s="59"/>
      <c r="D855" s="59"/>
      <c r="F855" s="59"/>
      <c r="H855" s="59"/>
      <c r="J855" s="59"/>
      <c r="L855" s="59"/>
      <c r="N855" s="59"/>
      <c r="P855" s="59"/>
      <c r="Q855" s="61"/>
    </row>
    <row r="856">
      <c r="B856" s="59"/>
      <c r="D856" s="59"/>
      <c r="F856" s="59"/>
      <c r="H856" s="59"/>
      <c r="J856" s="59"/>
      <c r="L856" s="59"/>
      <c r="N856" s="59"/>
      <c r="P856" s="59"/>
      <c r="Q856" s="61"/>
    </row>
    <row r="857">
      <c r="B857" s="59"/>
      <c r="D857" s="59"/>
      <c r="F857" s="59"/>
      <c r="H857" s="59"/>
      <c r="J857" s="59"/>
      <c r="L857" s="59"/>
      <c r="N857" s="59"/>
      <c r="P857" s="59"/>
      <c r="Q857" s="61"/>
    </row>
    <row r="858">
      <c r="B858" s="59"/>
      <c r="D858" s="59"/>
      <c r="F858" s="59"/>
      <c r="H858" s="59"/>
      <c r="J858" s="59"/>
      <c r="L858" s="59"/>
      <c r="N858" s="59"/>
      <c r="P858" s="59"/>
      <c r="Q858" s="61"/>
    </row>
    <row r="859">
      <c r="B859" s="59"/>
      <c r="D859" s="59"/>
      <c r="F859" s="59"/>
      <c r="H859" s="59"/>
      <c r="J859" s="59"/>
      <c r="L859" s="59"/>
      <c r="N859" s="59"/>
      <c r="P859" s="59"/>
      <c r="Q859" s="61"/>
    </row>
    <row r="860">
      <c r="B860" s="59"/>
      <c r="D860" s="59"/>
      <c r="F860" s="59"/>
      <c r="H860" s="59"/>
      <c r="J860" s="59"/>
      <c r="L860" s="59"/>
      <c r="N860" s="59"/>
      <c r="P860" s="59"/>
      <c r="Q860" s="61"/>
    </row>
    <row r="861">
      <c r="B861" s="59"/>
      <c r="D861" s="59"/>
      <c r="F861" s="59"/>
      <c r="H861" s="59"/>
      <c r="J861" s="59"/>
      <c r="L861" s="59"/>
      <c r="N861" s="59"/>
      <c r="P861" s="59"/>
      <c r="Q861" s="61"/>
    </row>
    <row r="862">
      <c r="B862" s="59"/>
      <c r="D862" s="59"/>
      <c r="F862" s="59"/>
      <c r="H862" s="59"/>
      <c r="J862" s="59"/>
      <c r="L862" s="59"/>
      <c r="N862" s="59"/>
      <c r="P862" s="59"/>
      <c r="Q862" s="61"/>
    </row>
    <row r="863">
      <c r="B863" s="59"/>
      <c r="D863" s="59"/>
      <c r="F863" s="59"/>
      <c r="H863" s="59"/>
      <c r="J863" s="59"/>
      <c r="L863" s="59"/>
      <c r="N863" s="59"/>
      <c r="P863" s="59"/>
      <c r="Q863" s="61"/>
    </row>
    <row r="864">
      <c r="B864" s="59"/>
      <c r="D864" s="59"/>
      <c r="F864" s="59"/>
      <c r="H864" s="59"/>
      <c r="J864" s="59"/>
      <c r="L864" s="59"/>
      <c r="N864" s="59"/>
      <c r="P864" s="59"/>
      <c r="Q864" s="61"/>
    </row>
    <row r="865">
      <c r="B865" s="59"/>
      <c r="D865" s="59"/>
      <c r="F865" s="59"/>
      <c r="H865" s="59"/>
      <c r="J865" s="59"/>
      <c r="L865" s="59"/>
      <c r="N865" s="59"/>
      <c r="P865" s="59"/>
      <c r="Q865" s="61"/>
    </row>
    <row r="866">
      <c r="B866" s="59"/>
      <c r="D866" s="59"/>
      <c r="F866" s="59"/>
      <c r="H866" s="59"/>
      <c r="J866" s="59"/>
      <c r="L866" s="59"/>
      <c r="N866" s="59"/>
      <c r="P866" s="59"/>
      <c r="Q866" s="61"/>
    </row>
    <row r="867">
      <c r="B867" s="59"/>
      <c r="D867" s="59"/>
      <c r="F867" s="59"/>
      <c r="H867" s="59"/>
      <c r="J867" s="59"/>
      <c r="L867" s="59"/>
      <c r="N867" s="59"/>
      <c r="P867" s="59"/>
      <c r="Q867" s="61"/>
    </row>
    <row r="868">
      <c r="B868" s="59"/>
      <c r="D868" s="59"/>
      <c r="F868" s="59"/>
      <c r="H868" s="59"/>
      <c r="J868" s="59"/>
      <c r="L868" s="59"/>
      <c r="N868" s="59"/>
      <c r="P868" s="59"/>
      <c r="Q868" s="61"/>
    </row>
    <row r="869">
      <c r="B869" s="59"/>
      <c r="D869" s="59"/>
      <c r="F869" s="59"/>
      <c r="H869" s="59"/>
      <c r="J869" s="59"/>
      <c r="L869" s="59"/>
      <c r="N869" s="59"/>
      <c r="P869" s="59"/>
      <c r="Q869" s="61"/>
    </row>
    <row r="870">
      <c r="B870" s="59"/>
      <c r="D870" s="59"/>
      <c r="F870" s="59"/>
      <c r="H870" s="59"/>
      <c r="J870" s="59"/>
      <c r="L870" s="59"/>
      <c r="N870" s="59"/>
      <c r="P870" s="59"/>
      <c r="Q870" s="61"/>
    </row>
    <row r="871">
      <c r="B871" s="59"/>
      <c r="D871" s="59"/>
      <c r="F871" s="59"/>
      <c r="H871" s="59"/>
      <c r="J871" s="59"/>
      <c r="L871" s="59"/>
      <c r="N871" s="59"/>
      <c r="P871" s="59"/>
      <c r="Q871" s="61"/>
    </row>
    <row r="872">
      <c r="B872" s="59"/>
      <c r="D872" s="59"/>
      <c r="F872" s="59"/>
      <c r="H872" s="59"/>
      <c r="J872" s="59"/>
      <c r="L872" s="59"/>
      <c r="N872" s="59"/>
      <c r="P872" s="59"/>
      <c r="Q872" s="61"/>
    </row>
    <row r="873">
      <c r="B873" s="59"/>
      <c r="D873" s="59"/>
      <c r="F873" s="59"/>
      <c r="H873" s="59"/>
      <c r="J873" s="59"/>
      <c r="L873" s="59"/>
      <c r="N873" s="59"/>
      <c r="P873" s="59"/>
      <c r="Q873" s="61"/>
    </row>
    <row r="874">
      <c r="B874" s="59"/>
      <c r="D874" s="59"/>
      <c r="F874" s="59"/>
      <c r="H874" s="59"/>
      <c r="J874" s="59"/>
      <c r="L874" s="59"/>
      <c r="N874" s="59"/>
      <c r="P874" s="59"/>
      <c r="Q874" s="61"/>
    </row>
    <row r="875">
      <c r="B875" s="59"/>
      <c r="D875" s="59"/>
      <c r="F875" s="59"/>
      <c r="H875" s="59"/>
      <c r="J875" s="59"/>
      <c r="L875" s="59"/>
      <c r="N875" s="59"/>
      <c r="P875" s="59"/>
      <c r="Q875" s="61"/>
    </row>
    <row r="876">
      <c r="B876" s="59"/>
      <c r="D876" s="59"/>
      <c r="F876" s="59"/>
      <c r="H876" s="59"/>
      <c r="J876" s="59"/>
      <c r="L876" s="59"/>
      <c r="N876" s="59"/>
      <c r="P876" s="59"/>
      <c r="Q876" s="61"/>
    </row>
    <row r="877">
      <c r="B877" s="59"/>
      <c r="D877" s="59"/>
      <c r="F877" s="59"/>
      <c r="H877" s="59"/>
      <c r="J877" s="59"/>
      <c r="L877" s="59"/>
      <c r="N877" s="59"/>
      <c r="P877" s="59"/>
      <c r="Q877" s="61"/>
    </row>
    <row r="878">
      <c r="B878" s="59"/>
      <c r="D878" s="59"/>
      <c r="F878" s="59"/>
      <c r="H878" s="59"/>
      <c r="J878" s="59"/>
      <c r="L878" s="59"/>
      <c r="N878" s="59"/>
      <c r="P878" s="59"/>
      <c r="Q878" s="61"/>
    </row>
    <row r="879">
      <c r="B879" s="59"/>
      <c r="D879" s="59"/>
      <c r="F879" s="59"/>
      <c r="H879" s="59"/>
      <c r="J879" s="59"/>
      <c r="L879" s="59"/>
      <c r="N879" s="59"/>
      <c r="P879" s="59"/>
      <c r="Q879" s="61"/>
    </row>
    <row r="880">
      <c r="B880" s="59"/>
      <c r="D880" s="59"/>
      <c r="F880" s="59"/>
      <c r="H880" s="59"/>
      <c r="J880" s="59"/>
      <c r="L880" s="59"/>
      <c r="N880" s="59"/>
      <c r="P880" s="59"/>
      <c r="Q880" s="61"/>
    </row>
    <row r="881">
      <c r="B881" s="59"/>
      <c r="D881" s="59"/>
      <c r="F881" s="59"/>
      <c r="H881" s="59"/>
      <c r="J881" s="59"/>
      <c r="L881" s="59"/>
      <c r="N881" s="59"/>
      <c r="P881" s="59"/>
      <c r="Q881" s="61"/>
    </row>
    <row r="882">
      <c r="B882" s="59"/>
      <c r="D882" s="59"/>
      <c r="F882" s="59"/>
      <c r="H882" s="59"/>
      <c r="J882" s="59"/>
      <c r="L882" s="59"/>
      <c r="N882" s="59"/>
      <c r="P882" s="59"/>
      <c r="Q882" s="61"/>
    </row>
    <row r="883">
      <c r="B883" s="59"/>
      <c r="D883" s="59"/>
      <c r="F883" s="59"/>
      <c r="H883" s="59"/>
      <c r="J883" s="59"/>
      <c r="L883" s="59"/>
      <c r="N883" s="59"/>
      <c r="P883" s="59"/>
      <c r="Q883" s="61"/>
    </row>
    <row r="884">
      <c r="B884" s="59"/>
      <c r="D884" s="59"/>
      <c r="F884" s="59"/>
      <c r="H884" s="59"/>
      <c r="J884" s="59"/>
      <c r="L884" s="59"/>
      <c r="N884" s="59"/>
      <c r="P884" s="59"/>
      <c r="Q884" s="61"/>
    </row>
    <row r="885">
      <c r="B885" s="59"/>
      <c r="D885" s="59"/>
      <c r="F885" s="59"/>
      <c r="H885" s="59"/>
      <c r="J885" s="59"/>
      <c r="L885" s="59"/>
      <c r="N885" s="59"/>
      <c r="P885" s="59"/>
      <c r="Q885" s="61"/>
    </row>
    <row r="886">
      <c r="B886" s="59"/>
      <c r="D886" s="59"/>
      <c r="F886" s="59"/>
      <c r="H886" s="59"/>
      <c r="J886" s="59"/>
      <c r="L886" s="59"/>
      <c r="N886" s="59"/>
      <c r="P886" s="59"/>
      <c r="Q886" s="61"/>
    </row>
    <row r="887">
      <c r="B887" s="59"/>
      <c r="D887" s="59"/>
      <c r="F887" s="59"/>
      <c r="H887" s="59"/>
      <c r="J887" s="59"/>
      <c r="L887" s="59"/>
      <c r="N887" s="59"/>
      <c r="P887" s="59"/>
      <c r="Q887" s="61"/>
    </row>
    <row r="888">
      <c r="B888" s="59"/>
      <c r="D888" s="59"/>
      <c r="F888" s="59"/>
      <c r="H888" s="59"/>
      <c r="J888" s="59"/>
      <c r="L888" s="59"/>
      <c r="N888" s="59"/>
      <c r="P888" s="59"/>
      <c r="Q888" s="61"/>
    </row>
    <row r="889">
      <c r="B889" s="59"/>
      <c r="D889" s="59"/>
      <c r="F889" s="59"/>
      <c r="H889" s="59"/>
      <c r="J889" s="59"/>
      <c r="L889" s="59"/>
      <c r="N889" s="59"/>
      <c r="P889" s="59"/>
      <c r="Q889" s="61"/>
    </row>
    <row r="890">
      <c r="B890" s="59"/>
      <c r="D890" s="59"/>
      <c r="F890" s="59"/>
      <c r="H890" s="59"/>
      <c r="J890" s="59"/>
      <c r="L890" s="59"/>
      <c r="N890" s="59"/>
      <c r="P890" s="59"/>
      <c r="Q890" s="61"/>
    </row>
    <row r="891">
      <c r="B891" s="59"/>
      <c r="D891" s="59"/>
      <c r="F891" s="59"/>
      <c r="H891" s="59"/>
      <c r="J891" s="59"/>
      <c r="L891" s="59"/>
      <c r="N891" s="59"/>
      <c r="P891" s="59"/>
      <c r="Q891" s="61"/>
    </row>
    <row r="892">
      <c r="B892" s="59"/>
      <c r="D892" s="59"/>
      <c r="F892" s="59"/>
      <c r="H892" s="59"/>
      <c r="J892" s="59"/>
      <c r="L892" s="59"/>
      <c r="N892" s="59"/>
      <c r="P892" s="59"/>
      <c r="Q892" s="61"/>
    </row>
    <row r="893">
      <c r="B893" s="59"/>
      <c r="D893" s="59"/>
      <c r="F893" s="59"/>
      <c r="H893" s="59"/>
      <c r="J893" s="59"/>
      <c r="L893" s="59"/>
      <c r="N893" s="59"/>
      <c r="P893" s="59"/>
      <c r="Q893" s="61"/>
    </row>
    <row r="894">
      <c r="B894" s="59"/>
      <c r="D894" s="59"/>
      <c r="F894" s="59"/>
      <c r="H894" s="59"/>
      <c r="J894" s="59"/>
      <c r="L894" s="59"/>
      <c r="N894" s="59"/>
      <c r="P894" s="59"/>
      <c r="Q894" s="61"/>
    </row>
    <row r="895">
      <c r="B895" s="59"/>
      <c r="D895" s="59"/>
      <c r="F895" s="59"/>
      <c r="H895" s="59"/>
      <c r="J895" s="59"/>
      <c r="L895" s="59"/>
      <c r="N895" s="59"/>
      <c r="P895" s="59"/>
      <c r="Q895" s="61"/>
    </row>
    <row r="896">
      <c r="B896" s="59"/>
      <c r="D896" s="59"/>
      <c r="F896" s="59"/>
      <c r="H896" s="59"/>
      <c r="J896" s="59"/>
      <c r="L896" s="59"/>
      <c r="N896" s="59"/>
      <c r="P896" s="59"/>
      <c r="Q896" s="61"/>
    </row>
    <row r="897">
      <c r="B897" s="59"/>
      <c r="D897" s="59"/>
      <c r="F897" s="59"/>
      <c r="H897" s="59"/>
      <c r="J897" s="59"/>
      <c r="L897" s="59"/>
      <c r="N897" s="59"/>
      <c r="P897" s="59"/>
      <c r="Q897" s="61"/>
    </row>
    <row r="898">
      <c r="B898" s="59"/>
      <c r="D898" s="59"/>
      <c r="F898" s="59"/>
      <c r="H898" s="59"/>
      <c r="J898" s="59"/>
      <c r="L898" s="59"/>
      <c r="N898" s="59"/>
      <c r="P898" s="59"/>
      <c r="Q898" s="61"/>
    </row>
    <row r="899">
      <c r="B899" s="59"/>
      <c r="D899" s="59"/>
      <c r="F899" s="59"/>
      <c r="H899" s="59"/>
      <c r="J899" s="59"/>
      <c r="L899" s="59"/>
      <c r="N899" s="59"/>
      <c r="P899" s="59"/>
      <c r="Q899" s="61"/>
    </row>
    <row r="900">
      <c r="B900" s="59"/>
      <c r="D900" s="59"/>
      <c r="F900" s="59"/>
      <c r="H900" s="59"/>
      <c r="J900" s="59"/>
      <c r="L900" s="59"/>
      <c r="N900" s="59"/>
      <c r="P900" s="59"/>
      <c r="Q900" s="61"/>
    </row>
    <row r="901">
      <c r="B901" s="59"/>
      <c r="D901" s="59"/>
      <c r="F901" s="59"/>
      <c r="H901" s="59"/>
      <c r="J901" s="59"/>
      <c r="L901" s="59"/>
      <c r="N901" s="59"/>
      <c r="P901" s="59"/>
      <c r="Q901" s="61"/>
    </row>
    <row r="902">
      <c r="B902" s="59"/>
      <c r="D902" s="59"/>
      <c r="F902" s="59"/>
      <c r="H902" s="59"/>
      <c r="J902" s="59"/>
      <c r="L902" s="59"/>
      <c r="N902" s="59"/>
      <c r="P902" s="59"/>
      <c r="Q902" s="61"/>
    </row>
    <row r="903">
      <c r="B903" s="59"/>
      <c r="D903" s="59"/>
      <c r="F903" s="59"/>
      <c r="H903" s="59"/>
      <c r="J903" s="59"/>
      <c r="L903" s="59"/>
      <c r="N903" s="59"/>
      <c r="P903" s="59"/>
      <c r="Q903" s="61"/>
    </row>
    <row r="904">
      <c r="B904" s="59"/>
      <c r="D904" s="59"/>
      <c r="F904" s="59"/>
      <c r="H904" s="59"/>
      <c r="J904" s="59"/>
      <c r="L904" s="59"/>
      <c r="N904" s="59"/>
      <c r="P904" s="59"/>
      <c r="Q904" s="61"/>
    </row>
    <row r="905">
      <c r="B905" s="59"/>
      <c r="D905" s="59"/>
      <c r="F905" s="59"/>
      <c r="H905" s="59"/>
      <c r="J905" s="59"/>
      <c r="L905" s="59"/>
      <c r="N905" s="59"/>
      <c r="P905" s="59"/>
      <c r="Q905" s="61"/>
    </row>
    <row r="906">
      <c r="B906" s="59"/>
      <c r="D906" s="59"/>
      <c r="F906" s="59"/>
      <c r="H906" s="59"/>
      <c r="J906" s="59"/>
      <c r="L906" s="59"/>
      <c r="N906" s="59"/>
      <c r="P906" s="59"/>
      <c r="Q906" s="61"/>
    </row>
    <row r="907">
      <c r="B907" s="59"/>
      <c r="D907" s="59"/>
      <c r="F907" s="59"/>
      <c r="H907" s="59"/>
      <c r="J907" s="59"/>
      <c r="L907" s="59"/>
      <c r="N907" s="59"/>
      <c r="P907" s="59"/>
      <c r="Q907" s="61"/>
    </row>
    <row r="908">
      <c r="B908" s="59"/>
      <c r="D908" s="59"/>
      <c r="F908" s="59"/>
      <c r="H908" s="59"/>
      <c r="J908" s="59"/>
      <c r="L908" s="59"/>
      <c r="N908" s="59"/>
      <c r="P908" s="59"/>
      <c r="Q908" s="61"/>
    </row>
    <row r="909">
      <c r="B909" s="59"/>
      <c r="D909" s="59"/>
      <c r="F909" s="59"/>
      <c r="H909" s="59"/>
      <c r="J909" s="59"/>
      <c r="L909" s="59"/>
      <c r="N909" s="59"/>
      <c r="P909" s="59"/>
      <c r="Q909" s="61"/>
    </row>
    <row r="910">
      <c r="B910" s="59"/>
      <c r="D910" s="59"/>
      <c r="F910" s="59"/>
      <c r="H910" s="59"/>
      <c r="J910" s="59"/>
      <c r="L910" s="59"/>
      <c r="N910" s="59"/>
      <c r="P910" s="59"/>
      <c r="Q910" s="61"/>
    </row>
    <row r="911">
      <c r="B911" s="59"/>
      <c r="D911" s="59"/>
      <c r="F911" s="59"/>
      <c r="H911" s="59"/>
      <c r="J911" s="59"/>
      <c r="L911" s="59"/>
      <c r="N911" s="59"/>
      <c r="P911" s="59"/>
      <c r="Q911" s="61"/>
    </row>
    <row r="912">
      <c r="B912" s="59"/>
      <c r="D912" s="59"/>
      <c r="F912" s="59"/>
      <c r="H912" s="59"/>
      <c r="J912" s="59"/>
      <c r="L912" s="59"/>
      <c r="N912" s="59"/>
      <c r="P912" s="59"/>
      <c r="Q912" s="61"/>
    </row>
    <row r="913">
      <c r="B913" s="59"/>
      <c r="D913" s="59"/>
      <c r="F913" s="59"/>
      <c r="H913" s="59"/>
      <c r="J913" s="59"/>
      <c r="L913" s="59"/>
      <c r="N913" s="59"/>
      <c r="P913" s="59"/>
      <c r="Q913" s="61"/>
    </row>
    <row r="914">
      <c r="B914" s="59"/>
      <c r="D914" s="59"/>
      <c r="F914" s="59"/>
      <c r="H914" s="59"/>
      <c r="J914" s="59"/>
      <c r="L914" s="59"/>
      <c r="N914" s="59"/>
      <c r="P914" s="59"/>
      <c r="Q914" s="61"/>
    </row>
    <row r="915">
      <c r="B915" s="59"/>
      <c r="D915" s="59"/>
      <c r="F915" s="59"/>
      <c r="H915" s="59"/>
      <c r="J915" s="59"/>
      <c r="L915" s="59"/>
      <c r="N915" s="59"/>
      <c r="P915" s="59"/>
      <c r="Q915" s="61"/>
    </row>
    <row r="916">
      <c r="B916" s="59"/>
      <c r="D916" s="59"/>
      <c r="F916" s="59"/>
      <c r="H916" s="59"/>
      <c r="J916" s="59"/>
      <c r="L916" s="59"/>
      <c r="N916" s="59"/>
      <c r="P916" s="59"/>
      <c r="Q916" s="61"/>
    </row>
    <row r="917">
      <c r="B917" s="59"/>
      <c r="D917" s="59"/>
      <c r="F917" s="59"/>
      <c r="H917" s="59"/>
      <c r="J917" s="59"/>
      <c r="L917" s="59"/>
      <c r="N917" s="59"/>
      <c r="P917" s="59"/>
      <c r="Q917" s="61"/>
    </row>
    <row r="918">
      <c r="B918" s="59"/>
      <c r="D918" s="59"/>
      <c r="F918" s="59"/>
      <c r="H918" s="59"/>
      <c r="J918" s="59"/>
      <c r="L918" s="59"/>
      <c r="N918" s="59"/>
      <c r="P918" s="59"/>
      <c r="Q918" s="61"/>
    </row>
    <row r="919">
      <c r="B919" s="59"/>
      <c r="D919" s="59"/>
      <c r="F919" s="59"/>
      <c r="H919" s="59"/>
      <c r="J919" s="59"/>
      <c r="L919" s="59"/>
      <c r="N919" s="59"/>
      <c r="P919" s="59"/>
      <c r="Q919" s="61"/>
    </row>
    <row r="920">
      <c r="B920" s="59"/>
      <c r="D920" s="59"/>
      <c r="F920" s="59"/>
      <c r="H920" s="59"/>
      <c r="J920" s="59"/>
      <c r="L920" s="59"/>
      <c r="N920" s="59"/>
      <c r="P920" s="59"/>
      <c r="Q920" s="61"/>
    </row>
    <row r="921">
      <c r="B921" s="59"/>
      <c r="D921" s="59"/>
      <c r="F921" s="59"/>
      <c r="H921" s="59"/>
      <c r="J921" s="59"/>
      <c r="L921" s="59"/>
      <c r="N921" s="59"/>
      <c r="P921" s="59"/>
      <c r="Q921" s="61"/>
    </row>
    <row r="922">
      <c r="B922" s="59"/>
      <c r="D922" s="59"/>
      <c r="F922" s="59"/>
      <c r="H922" s="59"/>
      <c r="J922" s="59"/>
      <c r="L922" s="59"/>
      <c r="N922" s="59"/>
      <c r="P922" s="59"/>
      <c r="Q922" s="61"/>
    </row>
    <row r="923">
      <c r="B923" s="59"/>
      <c r="D923" s="59"/>
      <c r="F923" s="59"/>
      <c r="H923" s="59"/>
      <c r="J923" s="59"/>
      <c r="L923" s="59"/>
      <c r="N923" s="59"/>
      <c r="P923" s="59"/>
      <c r="Q923" s="61"/>
    </row>
    <row r="924">
      <c r="B924" s="59"/>
      <c r="D924" s="59"/>
      <c r="F924" s="59"/>
      <c r="H924" s="59"/>
      <c r="J924" s="59"/>
      <c r="L924" s="59"/>
      <c r="N924" s="59"/>
      <c r="P924" s="59"/>
      <c r="Q924" s="61"/>
    </row>
    <row r="925">
      <c r="B925" s="59"/>
      <c r="D925" s="59"/>
      <c r="F925" s="59"/>
      <c r="H925" s="59"/>
      <c r="J925" s="59"/>
      <c r="L925" s="59"/>
      <c r="N925" s="59"/>
      <c r="P925" s="59"/>
      <c r="Q925" s="61"/>
    </row>
    <row r="926">
      <c r="B926" s="59"/>
      <c r="D926" s="59"/>
      <c r="F926" s="59"/>
      <c r="H926" s="59"/>
      <c r="J926" s="59"/>
      <c r="L926" s="59"/>
      <c r="N926" s="59"/>
      <c r="P926" s="59"/>
      <c r="Q926" s="61"/>
    </row>
    <row r="927">
      <c r="B927" s="59"/>
      <c r="D927" s="59"/>
      <c r="F927" s="59"/>
      <c r="H927" s="59"/>
      <c r="J927" s="59"/>
      <c r="L927" s="59"/>
      <c r="N927" s="59"/>
      <c r="P927" s="59"/>
      <c r="Q927" s="61"/>
    </row>
    <row r="928">
      <c r="B928" s="59"/>
      <c r="D928" s="59"/>
      <c r="F928" s="59"/>
      <c r="H928" s="59"/>
      <c r="J928" s="59"/>
      <c r="L928" s="59"/>
      <c r="N928" s="59"/>
      <c r="P928" s="59"/>
      <c r="Q928" s="61"/>
    </row>
    <row r="929">
      <c r="B929" s="59"/>
      <c r="D929" s="59"/>
      <c r="F929" s="59"/>
      <c r="H929" s="59"/>
      <c r="J929" s="59"/>
      <c r="L929" s="59"/>
      <c r="N929" s="59"/>
      <c r="P929" s="59"/>
      <c r="Q929" s="61"/>
    </row>
    <row r="930">
      <c r="B930" s="59"/>
      <c r="D930" s="59"/>
      <c r="F930" s="59"/>
      <c r="H930" s="59"/>
      <c r="J930" s="59"/>
      <c r="L930" s="59"/>
      <c r="N930" s="59"/>
      <c r="P930" s="59"/>
      <c r="Q930" s="61"/>
    </row>
    <row r="931">
      <c r="B931" s="59"/>
      <c r="D931" s="59"/>
      <c r="F931" s="59"/>
      <c r="H931" s="59"/>
      <c r="J931" s="59"/>
      <c r="L931" s="59"/>
      <c r="N931" s="59"/>
      <c r="P931" s="59"/>
      <c r="Q931" s="61"/>
    </row>
    <row r="932">
      <c r="B932" s="59"/>
      <c r="D932" s="59"/>
      <c r="F932" s="59"/>
      <c r="H932" s="59"/>
      <c r="J932" s="59"/>
      <c r="L932" s="59"/>
      <c r="N932" s="59"/>
      <c r="P932" s="59"/>
      <c r="Q932" s="61"/>
    </row>
    <row r="933">
      <c r="B933" s="59"/>
      <c r="D933" s="59"/>
      <c r="F933" s="59"/>
      <c r="H933" s="59"/>
      <c r="J933" s="59"/>
      <c r="L933" s="59"/>
      <c r="N933" s="59"/>
      <c r="P933" s="59"/>
      <c r="Q933" s="61"/>
    </row>
    <row r="934">
      <c r="B934" s="59"/>
      <c r="D934" s="59"/>
      <c r="F934" s="59"/>
      <c r="H934" s="59"/>
      <c r="J934" s="59"/>
      <c r="L934" s="59"/>
      <c r="N934" s="59"/>
      <c r="P934" s="59"/>
      <c r="Q934" s="61"/>
    </row>
    <row r="935">
      <c r="B935" s="59"/>
      <c r="D935" s="59"/>
      <c r="F935" s="59"/>
      <c r="H935" s="59"/>
      <c r="J935" s="59"/>
      <c r="L935" s="59"/>
      <c r="N935" s="59"/>
      <c r="P935" s="59"/>
      <c r="Q935" s="61"/>
    </row>
    <row r="936">
      <c r="B936" s="59"/>
      <c r="D936" s="59"/>
      <c r="F936" s="59"/>
      <c r="H936" s="59"/>
      <c r="J936" s="59"/>
      <c r="L936" s="59"/>
      <c r="N936" s="59"/>
      <c r="P936" s="59"/>
      <c r="Q936" s="61"/>
    </row>
    <row r="937">
      <c r="B937" s="59"/>
      <c r="D937" s="59"/>
      <c r="F937" s="59"/>
      <c r="H937" s="59"/>
      <c r="J937" s="59"/>
      <c r="L937" s="59"/>
      <c r="N937" s="59"/>
      <c r="P937" s="59"/>
      <c r="Q937" s="61"/>
    </row>
    <row r="938">
      <c r="B938" s="59"/>
      <c r="D938" s="59"/>
      <c r="F938" s="59"/>
      <c r="H938" s="59"/>
      <c r="J938" s="59"/>
      <c r="L938" s="59"/>
      <c r="N938" s="59"/>
      <c r="P938" s="59"/>
      <c r="Q938" s="61"/>
    </row>
    <row r="939">
      <c r="B939" s="59"/>
      <c r="D939" s="59"/>
      <c r="F939" s="59"/>
      <c r="H939" s="59"/>
      <c r="J939" s="59"/>
      <c r="L939" s="59"/>
      <c r="N939" s="59"/>
      <c r="P939" s="59"/>
      <c r="Q939" s="61"/>
    </row>
    <row r="940">
      <c r="B940" s="59"/>
      <c r="D940" s="59"/>
      <c r="F940" s="59"/>
      <c r="H940" s="59"/>
      <c r="J940" s="59"/>
      <c r="L940" s="59"/>
      <c r="N940" s="59"/>
      <c r="P940" s="59"/>
      <c r="Q940" s="61"/>
    </row>
    <row r="941">
      <c r="B941" s="59"/>
      <c r="D941" s="59"/>
      <c r="F941" s="59"/>
      <c r="H941" s="59"/>
      <c r="J941" s="59"/>
      <c r="L941" s="59"/>
      <c r="N941" s="59"/>
      <c r="P941" s="59"/>
      <c r="Q941" s="61"/>
    </row>
    <row r="942">
      <c r="B942" s="59"/>
      <c r="D942" s="59"/>
      <c r="F942" s="59"/>
      <c r="H942" s="59"/>
      <c r="J942" s="59"/>
      <c r="L942" s="59"/>
      <c r="N942" s="59"/>
      <c r="P942" s="59"/>
      <c r="Q942" s="61"/>
    </row>
    <row r="943">
      <c r="B943" s="59"/>
      <c r="D943" s="59"/>
      <c r="F943" s="59"/>
      <c r="H943" s="59"/>
      <c r="J943" s="59"/>
      <c r="L943" s="59"/>
      <c r="N943" s="59"/>
      <c r="P943" s="59"/>
      <c r="Q943" s="61"/>
    </row>
    <row r="944">
      <c r="B944" s="59"/>
      <c r="D944" s="59"/>
      <c r="F944" s="59"/>
      <c r="H944" s="59"/>
      <c r="J944" s="59"/>
      <c r="L944" s="59"/>
      <c r="N944" s="59"/>
      <c r="P944" s="59"/>
      <c r="Q944" s="61"/>
    </row>
    <row r="945">
      <c r="B945" s="59"/>
      <c r="D945" s="59"/>
      <c r="F945" s="59"/>
      <c r="H945" s="59"/>
      <c r="J945" s="59"/>
      <c r="L945" s="59"/>
      <c r="N945" s="59"/>
      <c r="P945" s="59"/>
      <c r="Q945" s="61"/>
    </row>
    <row r="946">
      <c r="B946" s="59"/>
      <c r="D946" s="59"/>
      <c r="F946" s="59"/>
      <c r="H946" s="59"/>
      <c r="J946" s="59"/>
      <c r="L946" s="59"/>
      <c r="N946" s="59"/>
      <c r="P946" s="59"/>
      <c r="Q946" s="61"/>
    </row>
    <row r="947">
      <c r="B947" s="59"/>
      <c r="D947" s="59"/>
      <c r="F947" s="59"/>
      <c r="H947" s="59"/>
      <c r="J947" s="59"/>
      <c r="L947" s="59"/>
      <c r="N947" s="59"/>
      <c r="P947" s="59"/>
      <c r="Q947" s="61"/>
    </row>
    <row r="948">
      <c r="B948" s="59"/>
      <c r="D948" s="59"/>
      <c r="F948" s="59"/>
      <c r="H948" s="59"/>
      <c r="J948" s="59"/>
      <c r="L948" s="59"/>
      <c r="N948" s="59"/>
      <c r="P948" s="59"/>
      <c r="Q948" s="61"/>
    </row>
    <row r="949">
      <c r="B949" s="59"/>
      <c r="D949" s="59"/>
      <c r="F949" s="59"/>
      <c r="H949" s="59"/>
      <c r="J949" s="59"/>
      <c r="L949" s="59"/>
      <c r="N949" s="59"/>
      <c r="P949" s="59"/>
      <c r="Q949" s="61"/>
    </row>
    <row r="950">
      <c r="B950" s="59"/>
      <c r="D950" s="59"/>
      <c r="F950" s="59"/>
      <c r="H950" s="59"/>
      <c r="J950" s="59"/>
      <c r="L950" s="59"/>
      <c r="N950" s="59"/>
      <c r="P950" s="59"/>
      <c r="Q950" s="61"/>
    </row>
    <row r="951">
      <c r="B951" s="59"/>
      <c r="D951" s="59"/>
      <c r="F951" s="59"/>
      <c r="H951" s="59"/>
      <c r="J951" s="59"/>
      <c r="L951" s="59"/>
      <c r="N951" s="59"/>
      <c r="P951" s="59"/>
      <c r="Q951" s="61"/>
    </row>
    <row r="952">
      <c r="B952" s="59"/>
      <c r="D952" s="59"/>
      <c r="F952" s="59"/>
      <c r="H952" s="59"/>
      <c r="J952" s="59"/>
      <c r="L952" s="59"/>
      <c r="N952" s="59"/>
      <c r="P952" s="59"/>
      <c r="Q952" s="61"/>
    </row>
    <row r="953">
      <c r="B953" s="59"/>
      <c r="D953" s="59"/>
      <c r="F953" s="59"/>
      <c r="H953" s="59"/>
      <c r="J953" s="59"/>
      <c r="L953" s="59"/>
      <c r="N953" s="59"/>
      <c r="P953" s="59"/>
      <c r="Q953" s="61"/>
    </row>
    <row r="954">
      <c r="B954" s="59"/>
      <c r="D954" s="59"/>
      <c r="F954" s="59"/>
      <c r="H954" s="59"/>
      <c r="J954" s="59"/>
      <c r="L954" s="59"/>
      <c r="N954" s="59"/>
      <c r="P954" s="59"/>
      <c r="Q954" s="61"/>
    </row>
    <row r="955">
      <c r="B955" s="59"/>
      <c r="D955" s="59"/>
      <c r="F955" s="59"/>
      <c r="H955" s="59"/>
      <c r="J955" s="59"/>
      <c r="L955" s="59"/>
      <c r="N955" s="59"/>
      <c r="P955" s="59"/>
      <c r="Q955" s="61"/>
    </row>
    <row r="956">
      <c r="B956" s="59"/>
      <c r="D956" s="59"/>
      <c r="F956" s="59"/>
      <c r="H956" s="59"/>
      <c r="J956" s="59"/>
      <c r="L956" s="59"/>
      <c r="N956" s="59"/>
      <c r="P956" s="59"/>
      <c r="Q956" s="61"/>
    </row>
    <row r="957">
      <c r="B957" s="59"/>
      <c r="D957" s="59"/>
      <c r="F957" s="59"/>
      <c r="H957" s="59"/>
      <c r="J957" s="59"/>
      <c r="L957" s="59"/>
      <c r="N957" s="59"/>
      <c r="P957" s="59"/>
      <c r="Q957" s="61"/>
    </row>
    <row r="958">
      <c r="B958" s="59"/>
      <c r="D958" s="59"/>
      <c r="F958" s="59"/>
      <c r="H958" s="59"/>
      <c r="J958" s="59"/>
      <c r="L958" s="59"/>
      <c r="N958" s="59"/>
      <c r="P958" s="59"/>
      <c r="Q958" s="61"/>
    </row>
    <row r="959">
      <c r="B959" s="59"/>
      <c r="D959" s="59"/>
      <c r="F959" s="59"/>
      <c r="H959" s="59"/>
      <c r="J959" s="59"/>
      <c r="L959" s="59"/>
      <c r="N959" s="59"/>
      <c r="P959" s="59"/>
      <c r="Q959" s="61"/>
    </row>
    <row r="960">
      <c r="B960" s="59"/>
      <c r="D960" s="59"/>
      <c r="F960" s="59"/>
      <c r="H960" s="59"/>
      <c r="J960" s="59"/>
      <c r="L960" s="59"/>
      <c r="N960" s="59"/>
      <c r="P960" s="59"/>
      <c r="Q960" s="61"/>
    </row>
    <row r="961">
      <c r="B961" s="59"/>
      <c r="D961" s="59"/>
      <c r="F961" s="59"/>
      <c r="H961" s="59"/>
      <c r="J961" s="59"/>
      <c r="L961" s="59"/>
      <c r="N961" s="59"/>
      <c r="P961" s="59"/>
      <c r="Q961" s="61"/>
    </row>
    <row r="962">
      <c r="B962" s="59"/>
      <c r="D962" s="59"/>
      <c r="F962" s="59"/>
      <c r="H962" s="59"/>
      <c r="J962" s="59"/>
      <c r="L962" s="59"/>
      <c r="N962" s="59"/>
      <c r="P962" s="59"/>
      <c r="Q962" s="61"/>
    </row>
    <row r="963">
      <c r="B963" s="59"/>
      <c r="D963" s="59"/>
      <c r="F963" s="59"/>
      <c r="H963" s="59"/>
      <c r="J963" s="59"/>
      <c r="L963" s="59"/>
      <c r="N963" s="59"/>
      <c r="P963" s="59"/>
      <c r="Q963" s="61"/>
    </row>
    <row r="964">
      <c r="B964" s="59"/>
      <c r="D964" s="59"/>
      <c r="F964" s="59"/>
      <c r="H964" s="59"/>
      <c r="J964" s="59"/>
      <c r="L964" s="59"/>
      <c r="N964" s="59"/>
      <c r="P964" s="59"/>
      <c r="Q964" s="61"/>
    </row>
    <row r="965">
      <c r="B965" s="59"/>
      <c r="D965" s="59"/>
      <c r="F965" s="59"/>
      <c r="H965" s="59"/>
      <c r="J965" s="59"/>
      <c r="L965" s="59"/>
      <c r="N965" s="59"/>
      <c r="P965" s="59"/>
      <c r="Q965" s="61"/>
    </row>
    <row r="966">
      <c r="B966" s="59"/>
      <c r="D966" s="59"/>
      <c r="F966" s="59"/>
      <c r="H966" s="59"/>
      <c r="J966" s="59"/>
      <c r="L966" s="59"/>
      <c r="N966" s="59"/>
      <c r="P966" s="59"/>
      <c r="Q966" s="61"/>
    </row>
    <row r="967">
      <c r="B967" s="59"/>
      <c r="D967" s="59"/>
      <c r="F967" s="59"/>
      <c r="H967" s="59"/>
      <c r="J967" s="59"/>
      <c r="L967" s="59"/>
      <c r="N967" s="59"/>
      <c r="P967" s="59"/>
      <c r="Q967" s="61"/>
    </row>
    <row r="968">
      <c r="B968" s="59"/>
      <c r="D968" s="59"/>
      <c r="F968" s="59"/>
      <c r="H968" s="59"/>
      <c r="J968" s="59"/>
      <c r="L968" s="59"/>
      <c r="N968" s="59"/>
      <c r="P968" s="59"/>
      <c r="Q968" s="61"/>
    </row>
    <row r="969">
      <c r="B969" s="59"/>
      <c r="D969" s="59"/>
      <c r="F969" s="59"/>
      <c r="H969" s="59"/>
      <c r="J969" s="59"/>
      <c r="L969" s="59"/>
      <c r="N969" s="59"/>
      <c r="P969" s="59"/>
      <c r="Q969" s="61"/>
    </row>
    <row r="970">
      <c r="B970" s="59"/>
      <c r="D970" s="59"/>
      <c r="F970" s="59"/>
      <c r="H970" s="59"/>
      <c r="J970" s="59"/>
      <c r="L970" s="59"/>
      <c r="N970" s="59"/>
      <c r="P970" s="59"/>
      <c r="Q970" s="61"/>
    </row>
    <row r="971">
      <c r="B971" s="59"/>
      <c r="D971" s="59"/>
      <c r="F971" s="59"/>
      <c r="H971" s="59"/>
      <c r="J971" s="59"/>
      <c r="L971" s="59"/>
      <c r="N971" s="59"/>
      <c r="P971" s="59"/>
      <c r="Q971" s="61"/>
    </row>
    <row r="972">
      <c r="B972" s="59"/>
      <c r="D972" s="59"/>
      <c r="F972" s="59"/>
      <c r="H972" s="59"/>
      <c r="J972" s="59"/>
      <c r="L972" s="59"/>
      <c r="N972" s="59"/>
      <c r="P972" s="59"/>
      <c r="Q972" s="61"/>
    </row>
    <row r="973">
      <c r="B973" s="59"/>
      <c r="D973" s="59"/>
      <c r="F973" s="59"/>
      <c r="H973" s="59"/>
      <c r="J973" s="59"/>
      <c r="L973" s="59"/>
      <c r="N973" s="59"/>
      <c r="P973" s="59"/>
      <c r="Q973" s="61"/>
    </row>
    <row r="974">
      <c r="B974" s="59"/>
      <c r="D974" s="59"/>
      <c r="F974" s="59"/>
      <c r="H974" s="59"/>
      <c r="J974" s="59"/>
      <c r="L974" s="59"/>
      <c r="N974" s="59"/>
      <c r="P974" s="59"/>
      <c r="Q974" s="61"/>
    </row>
    <row r="975">
      <c r="B975" s="59"/>
      <c r="D975" s="59"/>
      <c r="F975" s="59"/>
      <c r="H975" s="59"/>
      <c r="J975" s="59"/>
      <c r="L975" s="59"/>
      <c r="N975" s="59"/>
      <c r="P975" s="59"/>
      <c r="Q975" s="61"/>
    </row>
    <row r="976">
      <c r="B976" s="59"/>
      <c r="D976" s="59"/>
      <c r="F976" s="59"/>
      <c r="H976" s="59"/>
      <c r="J976" s="59"/>
      <c r="L976" s="59"/>
      <c r="N976" s="59"/>
      <c r="P976" s="59"/>
      <c r="Q976" s="61"/>
    </row>
    <row r="977">
      <c r="B977" s="59"/>
      <c r="D977" s="59"/>
      <c r="F977" s="59"/>
      <c r="H977" s="59"/>
      <c r="J977" s="59"/>
      <c r="L977" s="59"/>
      <c r="N977" s="59"/>
      <c r="P977" s="59"/>
      <c r="Q977" s="61"/>
    </row>
    <row r="978">
      <c r="B978" s="59"/>
      <c r="D978" s="59"/>
      <c r="F978" s="59"/>
      <c r="H978" s="59"/>
      <c r="J978" s="59"/>
      <c r="L978" s="59"/>
      <c r="N978" s="59"/>
      <c r="P978" s="59"/>
      <c r="Q978" s="61"/>
    </row>
    <row r="979">
      <c r="B979" s="59"/>
      <c r="D979" s="59"/>
      <c r="F979" s="59"/>
      <c r="H979" s="59"/>
      <c r="J979" s="59"/>
      <c r="L979" s="59"/>
      <c r="N979" s="59"/>
      <c r="P979" s="59"/>
      <c r="Q979" s="61"/>
    </row>
    <row r="980">
      <c r="B980" s="59"/>
      <c r="D980" s="59"/>
      <c r="F980" s="59"/>
      <c r="H980" s="59"/>
      <c r="J980" s="59"/>
      <c r="L980" s="59"/>
      <c r="N980" s="59"/>
      <c r="P980" s="59"/>
      <c r="Q980" s="61"/>
    </row>
    <row r="981">
      <c r="B981" s="59"/>
      <c r="D981" s="59"/>
      <c r="F981" s="59"/>
      <c r="H981" s="59"/>
      <c r="J981" s="59"/>
      <c r="L981" s="59"/>
      <c r="N981" s="59"/>
      <c r="P981" s="59"/>
      <c r="Q981" s="61"/>
    </row>
    <row r="982">
      <c r="B982" s="59"/>
      <c r="D982" s="59"/>
      <c r="F982" s="59"/>
      <c r="H982" s="59"/>
      <c r="J982" s="59"/>
      <c r="L982" s="59"/>
      <c r="N982" s="59"/>
      <c r="P982" s="59"/>
      <c r="Q982" s="61"/>
    </row>
    <row r="983">
      <c r="B983" s="59"/>
      <c r="D983" s="59"/>
      <c r="F983" s="59"/>
      <c r="H983" s="59"/>
      <c r="J983" s="59"/>
      <c r="L983" s="59"/>
      <c r="N983" s="59"/>
      <c r="P983" s="59"/>
      <c r="Q983" s="61"/>
    </row>
    <row r="984">
      <c r="B984" s="59"/>
      <c r="D984" s="59"/>
      <c r="F984" s="59"/>
      <c r="H984" s="59"/>
      <c r="J984" s="59"/>
      <c r="L984" s="59"/>
      <c r="N984" s="59"/>
      <c r="P984" s="59"/>
      <c r="Q984" s="61"/>
    </row>
    <row r="985">
      <c r="B985" s="59"/>
      <c r="D985" s="59"/>
      <c r="F985" s="59"/>
      <c r="H985" s="59"/>
      <c r="J985" s="59"/>
      <c r="L985" s="59"/>
      <c r="N985" s="59"/>
      <c r="P985" s="59"/>
      <c r="Q985" s="61"/>
    </row>
    <row r="986">
      <c r="B986" s="59"/>
      <c r="D986" s="59"/>
      <c r="F986" s="59"/>
      <c r="H986" s="59"/>
      <c r="J986" s="59"/>
      <c r="L986" s="59"/>
      <c r="N986" s="59"/>
      <c r="P986" s="59"/>
      <c r="Q986" s="61"/>
    </row>
    <row r="987">
      <c r="B987" s="59"/>
      <c r="D987" s="59"/>
      <c r="F987" s="59"/>
      <c r="H987" s="59"/>
      <c r="J987" s="59"/>
      <c r="L987" s="59"/>
      <c r="N987" s="59"/>
      <c r="P987" s="59"/>
      <c r="Q987" s="61"/>
    </row>
    <row r="988">
      <c r="B988" s="59"/>
      <c r="D988" s="59"/>
      <c r="F988" s="59"/>
      <c r="H988" s="59"/>
      <c r="J988" s="59"/>
      <c r="L988" s="59"/>
      <c r="N988" s="59"/>
      <c r="P988" s="59"/>
      <c r="Q988" s="61"/>
    </row>
    <row r="989">
      <c r="B989" s="59"/>
      <c r="D989" s="59"/>
      <c r="F989" s="59"/>
      <c r="H989" s="59"/>
      <c r="J989" s="59"/>
      <c r="L989" s="59"/>
      <c r="N989" s="59"/>
      <c r="P989" s="59"/>
      <c r="Q989" s="61"/>
    </row>
    <row r="990">
      <c r="B990" s="59"/>
      <c r="D990" s="59"/>
      <c r="F990" s="59"/>
      <c r="H990" s="59"/>
      <c r="J990" s="59"/>
      <c r="L990" s="59"/>
      <c r="N990" s="59"/>
      <c r="P990" s="59"/>
      <c r="Q990" s="61"/>
    </row>
    <row r="991">
      <c r="B991" s="59"/>
      <c r="D991" s="59"/>
      <c r="F991" s="59"/>
      <c r="H991" s="59"/>
      <c r="J991" s="59"/>
      <c r="L991" s="59"/>
      <c r="N991" s="59"/>
      <c r="P991" s="59"/>
      <c r="Q991" s="61"/>
    </row>
    <row r="992">
      <c r="B992" s="59"/>
      <c r="D992" s="59"/>
      <c r="F992" s="59"/>
      <c r="H992" s="59"/>
      <c r="J992" s="59"/>
      <c r="L992" s="59"/>
      <c r="N992" s="59"/>
      <c r="P992" s="59"/>
      <c r="Q992" s="61"/>
    </row>
    <row r="993">
      <c r="B993" s="59"/>
      <c r="D993" s="59"/>
      <c r="F993" s="59"/>
      <c r="H993" s="59"/>
      <c r="J993" s="59"/>
      <c r="L993" s="59"/>
      <c r="N993" s="59"/>
      <c r="P993" s="59"/>
      <c r="Q993" s="61"/>
    </row>
    <row r="994">
      <c r="B994" s="59"/>
      <c r="D994" s="59"/>
      <c r="F994" s="59"/>
      <c r="H994" s="59"/>
      <c r="J994" s="59"/>
      <c r="L994" s="59"/>
      <c r="N994" s="59"/>
      <c r="P994" s="59"/>
      <c r="Q994" s="61"/>
    </row>
    <row r="995">
      <c r="B995" s="59"/>
      <c r="D995" s="59"/>
      <c r="F995" s="59"/>
      <c r="H995" s="59"/>
      <c r="J995" s="59"/>
      <c r="L995" s="59"/>
      <c r="N995" s="59"/>
      <c r="P995" s="59"/>
      <c r="Q995" s="61"/>
    </row>
    <row r="996">
      <c r="B996" s="59"/>
      <c r="D996" s="59"/>
      <c r="F996" s="59"/>
      <c r="H996" s="59"/>
      <c r="J996" s="59"/>
      <c r="L996" s="59"/>
      <c r="N996" s="59"/>
      <c r="P996" s="59"/>
      <c r="Q996" s="61"/>
    </row>
    <row r="997">
      <c r="B997" s="59"/>
      <c r="D997" s="59"/>
      <c r="F997" s="59"/>
      <c r="H997" s="59"/>
      <c r="J997" s="59"/>
      <c r="L997" s="59"/>
      <c r="N997" s="59"/>
      <c r="P997" s="59"/>
      <c r="Q997" s="61"/>
    </row>
    <row r="998">
      <c r="B998" s="59"/>
      <c r="D998" s="59"/>
      <c r="F998" s="59"/>
      <c r="H998" s="59"/>
      <c r="J998" s="59"/>
      <c r="L998" s="59"/>
      <c r="N998" s="59"/>
      <c r="P998" s="59"/>
      <c r="Q998" s="61"/>
    </row>
    <row r="999">
      <c r="B999" s="59"/>
      <c r="D999" s="59"/>
      <c r="F999" s="59"/>
      <c r="H999" s="59"/>
      <c r="J999" s="59"/>
      <c r="L999" s="59"/>
      <c r="N999" s="59"/>
      <c r="P999" s="59"/>
      <c r="Q999" s="61"/>
    </row>
    <row r="1000">
      <c r="B1000" s="59"/>
      <c r="D1000" s="59"/>
      <c r="F1000" s="59"/>
      <c r="H1000" s="59"/>
      <c r="J1000" s="59"/>
      <c r="L1000" s="59"/>
      <c r="N1000" s="59"/>
      <c r="P1000" s="59"/>
      <c r="Q1000" s="61"/>
    </row>
    <row r="1001">
      <c r="B1001" s="59"/>
      <c r="D1001" s="59"/>
      <c r="F1001" s="59"/>
      <c r="H1001" s="59"/>
      <c r="J1001" s="59"/>
      <c r="L1001" s="59"/>
      <c r="N1001" s="59"/>
      <c r="P1001" s="59"/>
      <c r="Q1001" s="61"/>
    </row>
  </sheetData>
  <hyperlinks>
    <hyperlink r:id="rId1" ref="B13"/>
    <hyperlink r:id="rId2" ref="O16"/>
    <hyperlink r:id="rId3" ref="B17"/>
    <hyperlink r:id="rId4" ref="O17"/>
    <hyperlink r:id="rId5" ref="G18"/>
    <hyperlink r:id="rId6" ref="O18"/>
    <hyperlink r:id="rId7" ref="O22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17.5"/>
    <col customWidth="1" min="5" max="5" width="20.75"/>
    <col customWidth="1" min="6" max="6" width="43.75"/>
    <col customWidth="1" min="8" max="8" width="15.63"/>
    <col customWidth="1" min="13" max="13" width="34.13"/>
    <col customWidth="1" min="15" max="15" width="21.75"/>
  </cols>
  <sheetData>
    <row r="1">
      <c r="A1" s="29" t="s">
        <v>29</v>
      </c>
      <c r="B1" s="30" t="s">
        <v>30</v>
      </c>
      <c r="C1" s="31" t="s">
        <v>31</v>
      </c>
      <c r="D1" s="30" t="s">
        <v>32</v>
      </c>
      <c r="E1" s="31" t="s">
        <v>33</v>
      </c>
      <c r="F1" s="30" t="s">
        <v>34</v>
      </c>
      <c r="G1" s="31" t="s">
        <v>35</v>
      </c>
      <c r="H1" s="32" t="s">
        <v>36</v>
      </c>
      <c r="I1" s="33" t="s">
        <v>37</v>
      </c>
      <c r="J1" s="30" t="s">
        <v>38</v>
      </c>
      <c r="K1" s="33" t="s">
        <v>39</v>
      </c>
      <c r="L1" s="30" t="s">
        <v>38</v>
      </c>
      <c r="M1" s="31" t="s">
        <v>40</v>
      </c>
      <c r="N1" s="30" t="s">
        <v>41</v>
      </c>
      <c r="O1" s="31" t="s">
        <v>42</v>
      </c>
      <c r="P1" s="34" t="s">
        <v>43</v>
      </c>
      <c r="Q1" s="35">
        <f>SUM(H2:H27)</f>
        <v>8015.62</v>
      </c>
    </row>
    <row r="2">
      <c r="A2" s="36" t="s">
        <v>144</v>
      </c>
      <c r="B2" s="40">
        <v>5.011299199E9</v>
      </c>
      <c r="C2" s="38">
        <v>1.0</v>
      </c>
      <c r="D2" s="39">
        <v>1.0</v>
      </c>
      <c r="E2" s="36" t="s">
        <v>145</v>
      </c>
      <c r="F2" s="40" t="s">
        <v>146</v>
      </c>
      <c r="G2" s="94">
        <v>831.0</v>
      </c>
      <c r="H2" s="95">
        <f t="shared" ref="H2:H26" si="1">D2*G2</f>
        <v>831</v>
      </c>
      <c r="I2" s="38" t="s">
        <v>147</v>
      </c>
      <c r="J2" s="39" t="s">
        <v>47</v>
      </c>
      <c r="K2" s="38" t="s">
        <v>115</v>
      </c>
      <c r="L2" s="39" t="s">
        <v>47</v>
      </c>
      <c r="M2" s="36" t="s">
        <v>148</v>
      </c>
      <c r="N2" s="37"/>
      <c r="O2" s="45"/>
      <c r="P2" s="37"/>
      <c r="Q2" s="46"/>
      <c r="R2" s="45"/>
      <c r="S2" s="45"/>
      <c r="T2" s="45"/>
      <c r="U2" s="45"/>
      <c r="V2" s="45"/>
      <c r="W2" s="45"/>
      <c r="X2" s="45"/>
      <c r="Y2" s="45"/>
      <c r="Z2" s="45"/>
    </row>
    <row r="3">
      <c r="A3" s="36" t="s">
        <v>149</v>
      </c>
      <c r="B3" s="37"/>
      <c r="C3" s="38">
        <v>1.0</v>
      </c>
      <c r="D3" s="39">
        <v>1.0</v>
      </c>
      <c r="E3" s="36" t="s">
        <v>150</v>
      </c>
      <c r="F3" s="40" t="s">
        <v>150</v>
      </c>
      <c r="G3" s="94">
        <v>46.45</v>
      </c>
      <c r="H3" s="95">
        <f t="shared" si="1"/>
        <v>46.45</v>
      </c>
      <c r="I3" s="38" t="s">
        <v>115</v>
      </c>
      <c r="J3" s="39" t="s">
        <v>47</v>
      </c>
      <c r="K3" s="38" t="s">
        <v>115</v>
      </c>
      <c r="L3" s="39" t="s">
        <v>47</v>
      </c>
      <c r="M3" s="36" t="s">
        <v>57</v>
      </c>
      <c r="N3" s="37"/>
      <c r="O3" s="45"/>
      <c r="P3" s="37"/>
      <c r="Q3" s="46"/>
      <c r="R3" s="45"/>
      <c r="S3" s="45"/>
      <c r="T3" s="45"/>
      <c r="U3" s="45"/>
      <c r="V3" s="45"/>
      <c r="W3" s="45"/>
      <c r="X3" s="45"/>
      <c r="Y3" s="45"/>
      <c r="Z3" s="45"/>
    </row>
    <row r="4">
      <c r="A4" s="36" t="s">
        <v>151</v>
      </c>
      <c r="B4" s="37"/>
      <c r="C4" s="38">
        <v>1.0</v>
      </c>
      <c r="D4" s="39">
        <v>1.0</v>
      </c>
      <c r="E4" s="36" t="s">
        <v>152</v>
      </c>
      <c r="F4" s="40" t="s">
        <v>152</v>
      </c>
      <c r="G4" s="94">
        <v>298.93</v>
      </c>
      <c r="H4" s="95">
        <f t="shared" si="1"/>
        <v>298.93</v>
      </c>
      <c r="I4" s="38" t="s">
        <v>115</v>
      </c>
      <c r="J4" s="39" t="s">
        <v>47</v>
      </c>
      <c r="K4" s="38" t="s">
        <v>115</v>
      </c>
      <c r="L4" s="39" t="s">
        <v>47</v>
      </c>
      <c r="M4" s="44" t="s">
        <v>49</v>
      </c>
      <c r="N4" s="37"/>
      <c r="O4" s="36" t="s">
        <v>153</v>
      </c>
      <c r="P4" s="37"/>
      <c r="Q4" s="46"/>
      <c r="R4" s="45"/>
      <c r="S4" s="45"/>
      <c r="T4" s="45"/>
      <c r="U4" s="45"/>
      <c r="V4" s="45"/>
      <c r="W4" s="45"/>
      <c r="X4" s="45"/>
      <c r="Y4" s="45"/>
      <c r="Z4" s="45"/>
    </row>
    <row r="5">
      <c r="A5" s="36" t="s">
        <v>154</v>
      </c>
      <c r="B5" s="37"/>
      <c r="C5" s="38">
        <v>1.0</v>
      </c>
      <c r="D5" s="39">
        <v>1.0</v>
      </c>
      <c r="E5" s="17" t="s">
        <v>68</v>
      </c>
      <c r="F5" s="96" t="s">
        <v>68</v>
      </c>
      <c r="G5" s="97">
        <v>1.24</v>
      </c>
      <c r="H5" s="95">
        <f t="shared" si="1"/>
        <v>1.24</v>
      </c>
      <c r="I5" s="38" t="s">
        <v>115</v>
      </c>
      <c r="J5" s="39" t="s">
        <v>47</v>
      </c>
      <c r="K5" s="38" t="s">
        <v>115</v>
      </c>
      <c r="L5" s="39" t="s">
        <v>47</v>
      </c>
      <c r="M5" s="36" t="s">
        <v>57</v>
      </c>
      <c r="N5" s="37"/>
      <c r="O5" s="45"/>
      <c r="P5" s="37"/>
      <c r="Q5" s="46"/>
      <c r="R5" s="45"/>
      <c r="S5" s="45"/>
      <c r="T5" s="45"/>
      <c r="U5" s="45"/>
      <c r="V5" s="45"/>
      <c r="W5" s="45"/>
      <c r="X5" s="45"/>
      <c r="Y5" s="45"/>
      <c r="Z5" s="45"/>
    </row>
    <row r="6">
      <c r="A6" s="36" t="s">
        <v>155</v>
      </c>
      <c r="B6" s="40"/>
      <c r="C6" s="38">
        <v>1.0</v>
      </c>
      <c r="D6" s="39">
        <v>1.0</v>
      </c>
      <c r="E6" s="36" t="s">
        <v>145</v>
      </c>
      <c r="F6" s="40" t="s">
        <v>156</v>
      </c>
      <c r="G6" s="94">
        <v>3267.0</v>
      </c>
      <c r="H6" s="95">
        <f t="shared" si="1"/>
        <v>3267</v>
      </c>
      <c r="I6" s="38" t="s">
        <v>157</v>
      </c>
      <c r="J6" s="39" t="s">
        <v>83</v>
      </c>
      <c r="K6" s="38" t="s">
        <v>158</v>
      </c>
      <c r="L6" s="39" t="s">
        <v>83</v>
      </c>
      <c r="M6" s="36" t="s">
        <v>49</v>
      </c>
      <c r="N6" s="37"/>
      <c r="O6" s="45"/>
      <c r="P6" s="37"/>
      <c r="Q6" s="46"/>
      <c r="R6" s="45"/>
      <c r="S6" s="45"/>
      <c r="T6" s="45"/>
      <c r="U6" s="45"/>
      <c r="V6" s="45"/>
      <c r="W6" s="45"/>
      <c r="X6" s="45"/>
      <c r="Y6" s="45"/>
      <c r="Z6" s="45"/>
    </row>
    <row r="7">
      <c r="A7" s="36" t="s">
        <v>155</v>
      </c>
      <c r="B7" s="40"/>
      <c r="C7" s="38">
        <v>1.0</v>
      </c>
      <c r="D7" s="39">
        <v>1.0</v>
      </c>
      <c r="E7" s="36" t="s">
        <v>145</v>
      </c>
      <c r="F7" s="40" t="s">
        <v>156</v>
      </c>
      <c r="G7" s="94">
        <v>3267.0</v>
      </c>
      <c r="H7" s="95">
        <f t="shared" si="1"/>
        <v>3267</v>
      </c>
      <c r="I7" s="38" t="s">
        <v>157</v>
      </c>
      <c r="J7" s="39" t="s">
        <v>83</v>
      </c>
      <c r="K7" s="38" t="s">
        <v>159</v>
      </c>
      <c r="L7" s="39" t="s">
        <v>83</v>
      </c>
      <c r="M7" s="36" t="s">
        <v>49</v>
      </c>
      <c r="N7" s="37"/>
      <c r="O7" s="45"/>
      <c r="P7" s="37"/>
      <c r="Q7" s="46"/>
      <c r="R7" s="45"/>
      <c r="S7" s="45"/>
      <c r="T7" s="45"/>
      <c r="U7" s="45"/>
      <c r="V7" s="45"/>
      <c r="W7" s="45"/>
      <c r="X7" s="45"/>
      <c r="Y7" s="45"/>
      <c r="Z7" s="45"/>
    </row>
    <row r="8">
      <c r="A8" s="36" t="s">
        <v>160</v>
      </c>
      <c r="B8" s="37"/>
      <c r="C8" s="38">
        <v>1.0</v>
      </c>
      <c r="D8" s="39">
        <v>1.0</v>
      </c>
      <c r="E8" s="36" t="s">
        <v>161</v>
      </c>
      <c r="F8" s="40" t="s">
        <v>161</v>
      </c>
      <c r="G8" s="94">
        <v>304.0</v>
      </c>
      <c r="H8" s="95">
        <f t="shared" si="1"/>
        <v>304</v>
      </c>
      <c r="I8" s="38" t="s">
        <v>157</v>
      </c>
      <c r="J8" s="39" t="s">
        <v>47</v>
      </c>
      <c r="K8" s="38" t="s">
        <v>157</v>
      </c>
      <c r="L8" s="39" t="s">
        <v>47</v>
      </c>
      <c r="M8" s="36" t="s">
        <v>162</v>
      </c>
      <c r="N8" s="37"/>
      <c r="O8" s="45"/>
      <c r="P8" s="37"/>
      <c r="Q8" s="46"/>
      <c r="R8" s="45"/>
      <c r="S8" s="45"/>
      <c r="T8" s="45"/>
      <c r="U8" s="45"/>
      <c r="V8" s="45"/>
      <c r="W8" s="45"/>
      <c r="X8" s="45"/>
      <c r="Y8" s="45"/>
      <c r="Z8" s="45"/>
    </row>
    <row r="9">
      <c r="B9" s="59"/>
      <c r="D9" s="59"/>
      <c r="F9" s="59"/>
      <c r="H9" s="37">
        <f t="shared" si="1"/>
        <v>0</v>
      </c>
      <c r="J9" s="59"/>
      <c r="L9" s="59"/>
      <c r="N9" s="59"/>
      <c r="P9" s="59"/>
      <c r="Q9" s="61"/>
    </row>
    <row r="10">
      <c r="B10" s="59"/>
      <c r="D10" s="59"/>
      <c r="F10" s="59"/>
      <c r="H10" s="37">
        <f t="shared" si="1"/>
        <v>0</v>
      </c>
      <c r="J10" s="59"/>
      <c r="L10" s="59"/>
      <c r="N10" s="59"/>
      <c r="P10" s="59"/>
      <c r="Q10" s="61"/>
    </row>
    <row r="11">
      <c r="B11" s="59"/>
      <c r="D11" s="59"/>
      <c r="F11" s="59"/>
      <c r="H11" s="37">
        <f t="shared" si="1"/>
        <v>0</v>
      </c>
      <c r="J11" s="59"/>
      <c r="L11" s="59"/>
      <c r="N11" s="59"/>
      <c r="P11" s="59"/>
      <c r="Q11" s="61"/>
    </row>
    <row r="12">
      <c r="B12" s="59"/>
      <c r="D12" s="59"/>
      <c r="F12" s="59"/>
      <c r="H12" s="37">
        <f t="shared" si="1"/>
        <v>0</v>
      </c>
      <c r="J12" s="59"/>
      <c r="L12" s="59"/>
      <c r="N12" s="59"/>
      <c r="P12" s="59"/>
      <c r="Q12" s="61"/>
    </row>
    <row r="13">
      <c r="B13" s="59"/>
      <c r="D13" s="59"/>
      <c r="F13" s="59"/>
      <c r="H13" s="37">
        <f t="shared" si="1"/>
        <v>0</v>
      </c>
      <c r="J13" s="59"/>
      <c r="L13" s="59"/>
      <c r="N13" s="59"/>
      <c r="P13" s="59"/>
      <c r="Q13" s="61"/>
    </row>
    <row r="14">
      <c r="B14" s="59"/>
      <c r="D14" s="59"/>
      <c r="F14" s="59"/>
      <c r="H14" s="37">
        <f t="shared" si="1"/>
        <v>0</v>
      </c>
      <c r="J14" s="59"/>
      <c r="L14" s="59"/>
      <c r="N14" s="59"/>
      <c r="P14" s="59"/>
      <c r="Q14" s="61"/>
    </row>
    <row r="15">
      <c r="B15" s="59"/>
      <c r="D15" s="59"/>
      <c r="F15" s="59"/>
      <c r="H15" s="37">
        <f t="shared" si="1"/>
        <v>0</v>
      </c>
      <c r="J15" s="59"/>
      <c r="L15" s="59"/>
      <c r="N15" s="59"/>
      <c r="P15" s="59"/>
      <c r="Q15" s="61"/>
    </row>
    <row r="16">
      <c r="B16" s="59"/>
      <c r="D16" s="59"/>
      <c r="F16" s="59"/>
      <c r="H16" s="37">
        <f t="shared" si="1"/>
        <v>0</v>
      </c>
      <c r="J16" s="59"/>
      <c r="L16" s="59"/>
      <c r="N16" s="59"/>
      <c r="P16" s="59"/>
      <c r="Q16" s="61"/>
    </row>
    <row r="17">
      <c r="B17" s="59"/>
      <c r="D17" s="59"/>
      <c r="F17" s="59"/>
      <c r="H17" s="37">
        <f t="shared" si="1"/>
        <v>0</v>
      </c>
      <c r="J17" s="59"/>
      <c r="L17" s="59"/>
      <c r="N17" s="59"/>
      <c r="P17" s="59"/>
      <c r="Q17" s="61"/>
    </row>
    <row r="18">
      <c r="B18" s="59"/>
      <c r="D18" s="59"/>
      <c r="F18" s="59"/>
      <c r="H18" s="37">
        <f t="shared" si="1"/>
        <v>0</v>
      </c>
      <c r="J18" s="59"/>
      <c r="L18" s="59"/>
      <c r="N18" s="59"/>
      <c r="P18" s="59"/>
      <c r="Q18" s="61"/>
    </row>
    <row r="19">
      <c r="B19" s="59"/>
      <c r="D19" s="59"/>
      <c r="F19" s="59"/>
      <c r="H19" s="37">
        <f t="shared" si="1"/>
        <v>0</v>
      </c>
      <c r="J19" s="59"/>
      <c r="L19" s="59"/>
      <c r="N19" s="59"/>
      <c r="P19" s="59"/>
      <c r="Q19" s="61"/>
    </row>
    <row r="20">
      <c r="B20" s="59"/>
      <c r="D20" s="59"/>
      <c r="F20" s="59"/>
      <c r="H20" s="37">
        <f t="shared" si="1"/>
        <v>0</v>
      </c>
      <c r="J20" s="59"/>
      <c r="L20" s="59"/>
      <c r="N20" s="59"/>
      <c r="P20" s="59"/>
      <c r="Q20" s="61"/>
    </row>
    <row r="21">
      <c r="B21" s="59"/>
      <c r="D21" s="59"/>
      <c r="F21" s="59"/>
      <c r="H21" s="37">
        <f t="shared" si="1"/>
        <v>0</v>
      </c>
      <c r="J21" s="59"/>
      <c r="L21" s="59"/>
      <c r="N21" s="59"/>
      <c r="P21" s="59"/>
      <c r="Q21" s="61"/>
    </row>
    <row r="22">
      <c r="B22" s="59"/>
      <c r="D22" s="59"/>
      <c r="F22" s="59"/>
      <c r="H22" s="37">
        <f t="shared" si="1"/>
        <v>0</v>
      </c>
      <c r="J22" s="59"/>
      <c r="L22" s="59"/>
      <c r="N22" s="59"/>
      <c r="P22" s="59"/>
      <c r="Q22" s="61"/>
    </row>
    <row r="23">
      <c r="B23" s="59"/>
      <c r="D23" s="59"/>
      <c r="F23" s="59"/>
      <c r="H23" s="37">
        <f t="shared" si="1"/>
        <v>0</v>
      </c>
      <c r="J23" s="59"/>
      <c r="L23" s="59"/>
      <c r="N23" s="59"/>
      <c r="P23" s="59"/>
      <c r="Q23" s="61"/>
    </row>
    <row r="24">
      <c r="B24" s="59"/>
      <c r="D24" s="59"/>
      <c r="F24" s="59"/>
      <c r="H24" s="37">
        <f t="shared" si="1"/>
        <v>0</v>
      </c>
      <c r="J24" s="59"/>
      <c r="L24" s="59"/>
      <c r="N24" s="59"/>
      <c r="P24" s="59"/>
      <c r="Q24" s="61"/>
    </row>
    <row r="25">
      <c r="B25" s="59"/>
      <c r="D25" s="59"/>
      <c r="F25" s="59"/>
      <c r="H25" s="37">
        <f t="shared" si="1"/>
        <v>0</v>
      </c>
      <c r="J25" s="59"/>
      <c r="L25" s="59"/>
      <c r="N25" s="59"/>
      <c r="P25" s="59"/>
      <c r="Q25" s="61"/>
    </row>
    <row r="26">
      <c r="B26" s="59"/>
      <c r="D26" s="59"/>
      <c r="F26" s="59"/>
      <c r="H26" s="37">
        <f t="shared" si="1"/>
        <v>0</v>
      </c>
      <c r="J26" s="59"/>
      <c r="L26" s="59"/>
      <c r="N26" s="59"/>
      <c r="P26" s="59"/>
      <c r="Q26" s="61"/>
    </row>
    <row r="27">
      <c r="B27" s="59"/>
      <c r="D27" s="59"/>
      <c r="F27" s="59"/>
      <c r="H27" s="59"/>
      <c r="J27" s="59"/>
      <c r="L27" s="59"/>
      <c r="N27" s="59"/>
      <c r="P27" s="59"/>
      <c r="Q27" s="61"/>
    </row>
    <row r="28">
      <c r="B28" s="59"/>
      <c r="D28" s="59"/>
      <c r="F28" s="59"/>
      <c r="H28" s="59"/>
      <c r="J28" s="59"/>
      <c r="L28" s="59"/>
      <c r="N28" s="59"/>
      <c r="P28" s="59"/>
      <c r="Q28" s="61"/>
    </row>
    <row r="29">
      <c r="B29" s="59"/>
      <c r="D29" s="59"/>
      <c r="F29" s="59"/>
      <c r="H29" s="59"/>
      <c r="J29" s="59"/>
      <c r="L29" s="59"/>
      <c r="N29" s="59"/>
      <c r="P29" s="59"/>
      <c r="Q29" s="61"/>
    </row>
    <row r="30">
      <c r="B30" s="59"/>
      <c r="D30" s="59"/>
      <c r="F30" s="59"/>
      <c r="H30" s="59"/>
      <c r="J30" s="59"/>
      <c r="L30" s="59"/>
      <c r="N30" s="59"/>
      <c r="P30" s="59"/>
      <c r="Q30" s="61"/>
    </row>
    <row r="31">
      <c r="B31" s="59"/>
      <c r="D31" s="59"/>
      <c r="F31" s="59"/>
      <c r="H31" s="59"/>
      <c r="J31" s="59"/>
      <c r="L31" s="59"/>
      <c r="N31" s="59"/>
      <c r="P31" s="59"/>
      <c r="Q31" s="61"/>
    </row>
    <row r="32">
      <c r="B32" s="59"/>
      <c r="D32" s="59"/>
      <c r="F32" s="59"/>
      <c r="H32" s="59"/>
      <c r="J32" s="59"/>
      <c r="L32" s="59"/>
      <c r="N32" s="59"/>
      <c r="P32" s="59"/>
      <c r="Q32" s="61"/>
    </row>
    <row r="33">
      <c r="B33" s="59"/>
      <c r="D33" s="59"/>
      <c r="F33" s="59"/>
      <c r="H33" s="59"/>
      <c r="J33" s="59"/>
      <c r="L33" s="59"/>
      <c r="N33" s="59"/>
      <c r="P33" s="59"/>
      <c r="Q33" s="61"/>
    </row>
    <row r="34">
      <c r="B34" s="59"/>
      <c r="D34" s="59"/>
      <c r="F34" s="59"/>
      <c r="H34" s="59"/>
      <c r="J34" s="59"/>
      <c r="L34" s="59"/>
      <c r="N34" s="59"/>
      <c r="P34" s="59"/>
      <c r="Q34" s="61"/>
    </row>
    <row r="35">
      <c r="B35" s="59"/>
      <c r="D35" s="59"/>
      <c r="F35" s="59"/>
      <c r="H35" s="59"/>
      <c r="J35" s="59"/>
      <c r="L35" s="59"/>
      <c r="N35" s="59"/>
      <c r="P35" s="59"/>
      <c r="Q35" s="61"/>
    </row>
    <row r="36">
      <c r="B36" s="59"/>
      <c r="D36" s="59"/>
      <c r="F36" s="59"/>
      <c r="H36" s="59"/>
      <c r="J36" s="59"/>
      <c r="L36" s="59"/>
      <c r="N36" s="59"/>
      <c r="P36" s="59"/>
      <c r="Q36" s="61"/>
    </row>
    <row r="37">
      <c r="B37" s="59"/>
      <c r="D37" s="59"/>
      <c r="F37" s="59"/>
      <c r="H37" s="59"/>
      <c r="J37" s="59"/>
      <c r="L37" s="59"/>
      <c r="N37" s="59"/>
      <c r="P37" s="59"/>
      <c r="Q37" s="61"/>
    </row>
    <row r="38">
      <c r="B38" s="59"/>
      <c r="D38" s="59"/>
      <c r="F38" s="59"/>
      <c r="H38" s="59"/>
      <c r="J38" s="59"/>
      <c r="L38" s="59"/>
      <c r="N38" s="59"/>
      <c r="P38" s="59"/>
      <c r="Q38" s="61"/>
    </row>
    <row r="39">
      <c r="B39" s="59"/>
      <c r="D39" s="59"/>
      <c r="F39" s="59"/>
      <c r="H39" s="59"/>
      <c r="J39" s="59"/>
      <c r="L39" s="59"/>
      <c r="N39" s="59"/>
      <c r="P39" s="59"/>
      <c r="Q39" s="61"/>
    </row>
    <row r="40">
      <c r="B40" s="59"/>
      <c r="D40" s="59"/>
      <c r="F40" s="59"/>
      <c r="H40" s="59"/>
      <c r="J40" s="59"/>
      <c r="L40" s="59"/>
      <c r="N40" s="59"/>
      <c r="P40" s="59"/>
      <c r="Q40" s="61"/>
    </row>
    <row r="41">
      <c r="B41" s="59"/>
      <c r="D41" s="59"/>
      <c r="F41" s="59"/>
      <c r="H41" s="59"/>
      <c r="J41" s="59"/>
      <c r="L41" s="59"/>
      <c r="N41" s="59"/>
      <c r="P41" s="59"/>
      <c r="Q41" s="61"/>
    </row>
    <row r="42">
      <c r="B42" s="59"/>
      <c r="D42" s="59"/>
      <c r="F42" s="59"/>
      <c r="H42" s="59"/>
      <c r="J42" s="59"/>
      <c r="L42" s="59"/>
      <c r="N42" s="59"/>
      <c r="P42" s="59"/>
      <c r="Q42" s="61"/>
    </row>
    <row r="43">
      <c r="B43" s="59"/>
      <c r="D43" s="59"/>
      <c r="F43" s="59"/>
      <c r="H43" s="59"/>
      <c r="J43" s="59"/>
      <c r="L43" s="59"/>
      <c r="N43" s="59"/>
      <c r="P43" s="59"/>
      <c r="Q43" s="61"/>
    </row>
    <row r="44">
      <c r="B44" s="59"/>
      <c r="D44" s="59"/>
      <c r="F44" s="59"/>
      <c r="H44" s="59"/>
      <c r="J44" s="59"/>
      <c r="L44" s="59"/>
      <c r="N44" s="59"/>
      <c r="P44" s="59"/>
      <c r="Q44" s="61"/>
    </row>
    <row r="45">
      <c r="B45" s="59"/>
      <c r="D45" s="59"/>
      <c r="F45" s="59"/>
      <c r="H45" s="59"/>
      <c r="J45" s="59"/>
      <c r="L45" s="59"/>
      <c r="N45" s="59"/>
      <c r="P45" s="59"/>
      <c r="Q45" s="61"/>
    </row>
    <row r="46">
      <c r="B46" s="59"/>
      <c r="D46" s="59"/>
      <c r="F46" s="59"/>
      <c r="H46" s="59"/>
      <c r="J46" s="59"/>
      <c r="L46" s="59"/>
      <c r="N46" s="59"/>
      <c r="P46" s="59"/>
      <c r="Q46" s="61"/>
    </row>
    <row r="47">
      <c r="B47" s="59"/>
      <c r="D47" s="59"/>
      <c r="F47" s="59"/>
      <c r="H47" s="59"/>
      <c r="J47" s="59"/>
      <c r="L47" s="59"/>
      <c r="N47" s="59"/>
      <c r="P47" s="59"/>
      <c r="Q47" s="61"/>
    </row>
    <row r="48">
      <c r="B48" s="59"/>
      <c r="D48" s="59"/>
      <c r="F48" s="59"/>
      <c r="H48" s="59"/>
      <c r="J48" s="59"/>
      <c r="L48" s="59"/>
      <c r="N48" s="59"/>
      <c r="P48" s="59"/>
      <c r="Q48" s="61"/>
    </row>
    <row r="49">
      <c r="B49" s="59"/>
      <c r="D49" s="59"/>
      <c r="F49" s="59"/>
      <c r="H49" s="59"/>
      <c r="J49" s="59"/>
      <c r="L49" s="59"/>
      <c r="N49" s="59"/>
      <c r="P49" s="59"/>
      <c r="Q49" s="61"/>
    </row>
    <row r="50">
      <c r="B50" s="59"/>
      <c r="D50" s="59"/>
      <c r="F50" s="59"/>
      <c r="H50" s="59"/>
      <c r="J50" s="59"/>
      <c r="L50" s="59"/>
      <c r="N50" s="59"/>
      <c r="P50" s="59"/>
      <c r="Q50" s="61"/>
    </row>
    <row r="51">
      <c r="B51" s="59"/>
      <c r="D51" s="59"/>
      <c r="F51" s="59"/>
      <c r="H51" s="59"/>
      <c r="J51" s="59"/>
      <c r="L51" s="59"/>
      <c r="N51" s="59"/>
      <c r="P51" s="59"/>
      <c r="Q51" s="61"/>
    </row>
    <row r="52">
      <c r="B52" s="59"/>
      <c r="D52" s="59"/>
      <c r="F52" s="59"/>
      <c r="H52" s="59"/>
      <c r="J52" s="59"/>
      <c r="L52" s="59"/>
      <c r="N52" s="59"/>
      <c r="P52" s="59"/>
      <c r="Q52" s="61"/>
    </row>
    <row r="53">
      <c r="B53" s="59"/>
      <c r="D53" s="59"/>
      <c r="F53" s="59"/>
      <c r="H53" s="59"/>
      <c r="J53" s="59"/>
      <c r="L53" s="59"/>
      <c r="N53" s="59"/>
      <c r="P53" s="59"/>
      <c r="Q53" s="61"/>
    </row>
    <row r="54">
      <c r="B54" s="59"/>
      <c r="D54" s="59"/>
      <c r="F54" s="59"/>
      <c r="H54" s="59"/>
      <c r="J54" s="59"/>
      <c r="L54" s="59"/>
      <c r="N54" s="59"/>
      <c r="P54" s="59"/>
      <c r="Q54" s="61"/>
    </row>
    <row r="55">
      <c r="B55" s="59"/>
      <c r="D55" s="59"/>
      <c r="F55" s="59"/>
      <c r="H55" s="59"/>
      <c r="J55" s="59"/>
      <c r="L55" s="59"/>
      <c r="N55" s="59"/>
      <c r="P55" s="59"/>
      <c r="Q55" s="61"/>
    </row>
    <row r="56">
      <c r="B56" s="59"/>
      <c r="D56" s="59"/>
      <c r="F56" s="59"/>
      <c r="H56" s="59"/>
      <c r="J56" s="59"/>
      <c r="L56" s="59"/>
      <c r="N56" s="59"/>
      <c r="P56" s="59"/>
      <c r="Q56" s="61"/>
    </row>
    <row r="57">
      <c r="B57" s="59"/>
      <c r="D57" s="59"/>
      <c r="F57" s="59"/>
      <c r="H57" s="59"/>
      <c r="J57" s="59"/>
      <c r="L57" s="59"/>
      <c r="N57" s="59"/>
      <c r="P57" s="59"/>
      <c r="Q57" s="61"/>
    </row>
    <row r="58">
      <c r="B58" s="59"/>
      <c r="D58" s="59"/>
      <c r="F58" s="59"/>
      <c r="H58" s="59"/>
      <c r="J58" s="59"/>
      <c r="L58" s="59"/>
      <c r="N58" s="59"/>
      <c r="P58" s="59"/>
      <c r="Q58" s="61"/>
    </row>
    <row r="59">
      <c r="B59" s="59"/>
      <c r="D59" s="59"/>
      <c r="F59" s="59"/>
      <c r="H59" s="59"/>
      <c r="J59" s="59"/>
      <c r="L59" s="59"/>
      <c r="N59" s="59"/>
      <c r="P59" s="59"/>
      <c r="Q59" s="61"/>
    </row>
    <row r="60">
      <c r="B60" s="59"/>
      <c r="D60" s="59"/>
      <c r="F60" s="59"/>
      <c r="H60" s="59"/>
      <c r="J60" s="59"/>
      <c r="L60" s="59"/>
      <c r="N60" s="59"/>
      <c r="P60" s="59"/>
      <c r="Q60" s="61"/>
    </row>
    <row r="61">
      <c r="B61" s="59"/>
      <c r="D61" s="59"/>
      <c r="F61" s="59"/>
      <c r="H61" s="59"/>
      <c r="J61" s="59"/>
      <c r="L61" s="59"/>
      <c r="N61" s="59"/>
      <c r="P61" s="59"/>
      <c r="Q61" s="61"/>
    </row>
    <row r="62">
      <c r="B62" s="59"/>
      <c r="D62" s="59"/>
      <c r="F62" s="59"/>
      <c r="H62" s="59"/>
      <c r="J62" s="59"/>
      <c r="L62" s="59"/>
      <c r="N62" s="59"/>
      <c r="P62" s="59"/>
      <c r="Q62" s="61"/>
    </row>
    <row r="63">
      <c r="B63" s="59"/>
      <c r="D63" s="59"/>
      <c r="F63" s="59"/>
      <c r="H63" s="59"/>
      <c r="J63" s="59"/>
      <c r="L63" s="59"/>
      <c r="N63" s="59"/>
      <c r="P63" s="59"/>
      <c r="Q63" s="61"/>
    </row>
    <row r="64">
      <c r="B64" s="59"/>
      <c r="D64" s="59"/>
      <c r="F64" s="59"/>
      <c r="H64" s="59"/>
      <c r="J64" s="59"/>
      <c r="L64" s="59"/>
      <c r="N64" s="59"/>
      <c r="P64" s="59"/>
      <c r="Q64" s="61"/>
    </row>
    <row r="65">
      <c r="B65" s="59"/>
      <c r="D65" s="59"/>
      <c r="F65" s="59"/>
      <c r="H65" s="59"/>
      <c r="J65" s="59"/>
      <c r="L65" s="59"/>
      <c r="N65" s="59"/>
      <c r="P65" s="59"/>
      <c r="Q65" s="61"/>
    </row>
    <row r="66">
      <c r="B66" s="59"/>
      <c r="D66" s="59"/>
      <c r="F66" s="59"/>
      <c r="H66" s="59"/>
      <c r="J66" s="59"/>
      <c r="L66" s="59"/>
      <c r="N66" s="59"/>
      <c r="P66" s="59"/>
      <c r="Q66" s="61"/>
    </row>
    <row r="67">
      <c r="B67" s="59"/>
      <c r="D67" s="59"/>
      <c r="F67" s="59"/>
      <c r="H67" s="59"/>
      <c r="J67" s="59"/>
      <c r="L67" s="59"/>
      <c r="N67" s="59"/>
      <c r="P67" s="59"/>
      <c r="Q67" s="61"/>
    </row>
    <row r="68">
      <c r="B68" s="59"/>
      <c r="D68" s="59"/>
      <c r="F68" s="59"/>
      <c r="H68" s="59"/>
      <c r="J68" s="59"/>
      <c r="L68" s="59"/>
      <c r="N68" s="59"/>
      <c r="P68" s="59"/>
      <c r="Q68" s="61"/>
    </row>
    <row r="69">
      <c r="B69" s="59"/>
      <c r="D69" s="59"/>
      <c r="F69" s="59"/>
      <c r="H69" s="59"/>
      <c r="J69" s="59"/>
      <c r="L69" s="59"/>
      <c r="N69" s="59"/>
      <c r="P69" s="59"/>
      <c r="Q69" s="61"/>
    </row>
    <row r="70">
      <c r="B70" s="59"/>
      <c r="D70" s="59"/>
      <c r="F70" s="59"/>
      <c r="H70" s="59"/>
      <c r="J70" s="59"/>
      <c r="L70" s="59"/>
      <c r="N70" s="59"/>
      <c r="P70" s="59"/>
      <c r="Q70" s="61"/>
    </row>
    <row r="71">
      <c r="B71" s="59"/>
      <c r="D71" s="59"/>
      <c r="F71" s="59"/>
      <c r="H71" s="59"/>
      <c r="J71" s="59"/>
      <c r="L71" s="59"/>
      <c r="N71" s="59"/>
      <c r="P71" s="59"/>
      <c r="Q71" s="61"/>
    </row>
    <row r="72">
      <c r="B72" s="59"/>
      <c r="D72" s="59"/>
      <c r="F72" s="59"/>
      <c r="H72" s="59"/>
      <c r="J72" s="59"/>
      <c r="L72" s="59"/>
      <c r="N72" s="59"/>
      <c r="P72" s="59"/>
      <c r="Q72" s="61"/>
    </row>
    <row r="73">
      <c r="B73" s="59"/>
      <c r="D73" s="59"/>
      <c r="F73" s="59"/>
      <c r="H73" s="59"/>
      <c r="J73" s="59"/>
      <c r="L73" s="59"/>
      <c r="N73" s="59"/>
      <c r="P73" s="59"/>
      <c r="Q73" s="61"/>
    </row>
    <row r="74">
      <c r="B74" s="59"/>
      <c r="D74" s="59"/>
      <c r="F74" s="59"/>
      <c r="H74" s="59"/>
      <c r="J74" s="59"/>
      <c r="L74" s="59"/>
      <c r="N74" s="59"/>
      <c r="P74" s="59"/>
      <c r="Q74" s="61"/>
    </row>
    <row r="75">
      <c r="B75" s="59"/>
      <c r="D75" s="59"/>
      <c r="F75" s="59"/>
      <c r="H75" s="59"/>
      <c r="J75" s="59"/>
      <c r="L75" s="59"/>
      <c r="N75" s="59"/>
      <c r="P75" s="59"/>
      <c r="Q75" s="61"/>
    </row>
    <row r="76">
      <c r="B76" s="59"/>
      <c r="D76" s="59"/>
      <c r="F76" s="59"/>
      <c r="H76" s="59"/>
      <c r="J76" s="59"/>
      <c r="L76" s="59"/>
      <c r="N76" s="59"/>
      <c r="P76" s="59"/>
      <c r="Q76" s="61"/>
    </row>
    <row r="77">
      <c r="B77" s="59"/>
      <c r="D77" s="59"/>
      <c r="F77" s="59"/>
      <c r="H77" s="59"/>
      <c r="J77" s="59"/>
      <c r="L77" s="59"/>
      <c r="N77" s="59"/>
      <c r="P77" s="59"/>
      <c r="Q77" s="61"/>
    </row>
    <row r="78">
      <c r="B78" s="59"/>
      <c r="D78" s="59"/>
      <c r="F78" s="59"/>
      <c r="H78" s="59"/>
      <c r="J78" s="59"/>
      <c r="L78" s="59"/>
      <c r="N78" s="59"/>
      <c r="P78" s="59"/>
      <c r="Q78" s="61"/>
    </row>
    <row r="79">
      <c r="B79" s="59"/>
      <c r="D79" s="59"/>
      <c r="F79" s="59"/>
      <c r="H79" s="59"/>
      <c r="J79" s="59"/>
      <c r="L79" s="59"/>
      <c r="N79" s="59"/>
      <c r="P79" s="59"/>
      <c r="Q79" s="61"/>
    </row>
    <row r="80">
      <c r="B80" s="59"/>
      <c r="D80" s="59"/>
      <c r="F80" s="59"/>
      <c r="H80" s="59"/>
      <c r="J80" s="59"/>
      <c r="L80" s="59"/>
      <c r="N80" s="59"/>
      <c r="P80" s="59"/>
      <c r="Q80" s="61"/>
    </row>
    <row r="81">
      <c r="B81" s="59"/>
      <c r="D81" s="59"/>
      <c r="F81" s="59"/>
      <c r="H81" s="59"/>
      <c r="J81" s="59"/>
      <c r="L81" s="59"/>
      <c r="N81" s="59"/>
      <c r="P81" s="59"/>
      <c r="Q81" s="61"/>
    </row>
    <row r="82">
      <c r="B82" s="59"/>
      <c r="D82" s="59"/>
      <c r="F82" s="59"/>
      <c r="H82" s="59"/>
      <c r="J82" s="59"/>
      <c r="L82" s="59"/>
      <c r="N82" s="59"/>
      <c r="P82" s="59"/>
      <c r="Q82" s="61"/>
    </row>
    <row r="83">
      <c r="B83" s="59"/>
      <c r="D83" s="59"/>
      <c r="F83" s="59"/>
      <c r="H83" s="59"/>
      <c r="J83" s="59"/>
      <c r="L83" s="59"/>
      <c r="N83" s="59"/>
      <c r="P83" s="59"/>
      <c r="Q83" s="61"/>
    </row>
    <row r="84">
      <c r="B84" s="59"/>
      <c r="D84" s="59"/>
      <c r="F84" s="59"/>
      <c r="H84" s="59"/>
      <c r="J84" s="59"/>
      <c r="L84" s="59"/>
      <c r="N84" s="59"/>
      <c r="P84" s="59"/>
      <c r="Q84" s="61"/>
    </row>
    <row r="85">
      <c r="B85" s="59"/>
      <c r="D85" s="59"/>
      <c r="F85" s="59"/>
      <c r="H85" s="59"/>
      <c r="J85" s="59"/>
      <c r="L85" s="59"/>
      <c r="N85" s="59"/>
      <c r="P85" s="59"/>
      <c r="Q85" s="61"/>
    </row>
    <row r="86">
      <c r="B86" s="59"/>
      <c r="D86" s="59"/>
      <c r="F86" s="59"/>
      <c r="H86" s="59"/>
      <c r="J86" s="59"/>
      <c r="L86" s="59"/>
      <c r="N86" s="59"/>
      <c r="P86" s="59"/>
      <c r="Q86" s="61"/>
    </row>
    <row r="87">
      <c r="B87" s="59"/>
      <c r="D87" s="59"/>
      <c r="F87" s="59"/>
      <c r="H87" s="59"/>
      <c r="J87" s="59"/>
      <c r="L87" s="59"/>
      <c r="N87" s="59"/>
      <c r="P87" s="59"/>
      <c r="Q87" s="61"/>
    </row>
    <row r="88">
      <c r="B88" s="59"/>
      <c r="D88" s="59"/>
      <c r="F88" s="59"/>
      <c r="H88" s="59"/>
      <c r="J88" s="59"/>
      <c r="L88" s="59"/>
      <c r="N88" s="59"/>
      <c r="P88" s="59"/>
      <c r="Q88" s="61"/>
    </row>
    <row r="89">
      <c r="B89" s="59"/>
      <c r="D89" s="59"/>
      <c r="F89" s="59"/>
      <c r="H89" s="59"/>
      <c r="J89" s="59"/>
      <c r="L89" s="59"/>
      <c r="N89" s="59"/>
      <c r="P89" s="59"/>
      <c r="Q89" s="61"/>
    </row>
    <row r="90">
      <c r="B90" s="59"/>
      <c r="D90" s="59"/>
      <c r="F90" s="59"/>
      <c r="H90" s="59"/>
      <c r="J90" s="59"/>
      <c r="L90" s="59"/>
      <c r="N90" s="59"/>
      <c r="P90" s="59"/>
      <c r="Q90" s="61"/>
    </row>
    <row r="91">
      <c r="B91" s="59"/>
      <c r="D91" s="59"/>
      <c r="F91" s="59"/>
      <c r="H91" s="59"/>
      <c r="J91" s="59"/>
      <c r="L91" s="59"/>
      <c r="N91" s="59"/>
      <c r="P91" s="59"/>
      <c r="Q91" s="61"/>
    </row>
    <row r="92">
      <c r="B92" s="59"/>
      <c r="D92" s="59"/>
      <c r="F92" s="59"/>
      <c r="H92" s="59"/>
      <c r="J92" s="59"/>
      <c r="L92" s="59"/>
      <c r="N92" s="59"/>
      <c r="P92" s="59"/>
      <c r="Q92" s="61"/>
    </row>
    <row r="93">
      <c r="B93" s="59"/>
      <c r="D93" s="59"/>
      <c r="F93" s="59"/>
      <c r="H93" s="59"/>
      <c r="J93" s="59"/>
      <c r="L93" s="59"/>
      <c r="N93" s="59"/>
      <c r="P93" s="59"/>
      <c r="Q93" s="61"/>
    </row>
    <row r="94">
      <c r="B94" s="59"/>
      <c r="D94" s="59"/>
      <c r="F94" s="59"/>
      <c r="H94" s="59"/>
      <c r="J94" s="59"/>
      <c r="L94" s="59"/>
      <c r="N94" s="59"/>
      <c r="P94" s="59"/>
      <c r="Q94" s="61"/>
    </row>
    <row r="95">
      <c r="B95" s="59"/>
      <c r="D95" s="59"/>
      <c r="F95" s="59"/>
      <c r="H95" s="59"/>
      <c r="J95" s="59"/>
      <c r="L95" s="59"/>
      <c r="N95" s="59"/>
      <c r="P95" s="59"/>
      <c r="Q95" s="61"/>
    </row>
    <row r="96">
      <c r="B96" s="59"/>
      <c r="D96" s="59"/>
      <c r="F96" s="59"/>
      <c r="H96" s="59"/>
      <c r="J96" s="59"/>
      <c r="L96" s="59"/>
      <c r="N96" s="59"/>
      <c r="P96" s="59"/>
      <c r="Q96" s="61"/>
    </row>
    <row r="97">
      <c r="B97" s="59"/>
      <c r="D97" s="59"/>
      <c r="F97" s="59"/>
      <c r="H97" s="59"/>
      <c r="J97" s="59"/>
      <c r="L97" s="59"/>
      <c r="N97" s="59"/>
      <c r="P97" s="59"/>
      <c r="Q97" s="61"/>
    </row>
    <row r="98">
      <c r="B98" s="59"/>
      <c r="D98" s="59"/>
      <c r="F98" s="59"/>
      <c r="H98" s="59"/>
      <c r="J98" s="59"/>
      <c r="L98" s="59"/>
      <c r="N98" s="59"/>
      <c r="P98" s="59"/>
      <c r="Q98" s="61"/>
    </row>
    <row r="99">
      <c r="B99" s="59"/>
      <c r="D99" s="59"/>
      <c r="F99" s="59"/>
      <c r="H99" s="59"/>
      <c r="J99" s="59"/>
      <c r="L99" s="59"/>
      <c r="N99" s="59"/>
      <c r="P99" s="59"/>
      <c r="Q99" s="61"/>
    </row>
    <row r="100">
      <c r="B100" s="59"/>
      <c r="D100" s="59"/>
      <c r="F100" s="59"/>
      <c r="H100" s="59"/>
      <c r="J100" s="59"/>
      <c r="L100" s="59"/>
      <c r="N100" s="59"/>
      <c r="P100" s="59"/>
      <c r="Q100" s="61"/>
    </row>
    <row r="101">
      <c r="B101" s="59"/>
      <c r="D101" s="59"/>
      <c r="F101" s="59"/>
      <c r="H101" s="59"/>
      <c r="J101" s="59"/>
      <c r="L101" s="59"/>
      <c r="N101" s="59"/>
      <c r="P101" s="59"/>
      <c r="Q101" s="61"/>
    </row>
    <row r="102">
      <c r="B102" s="59"/>
      <c r="D102" s="59"/>
      <c r="F102" s="59"/>
      <c r="H102" s="59"/>
      <c r="J102" s="59"/>
      <c r="L102" s="59"/>
      <c r="N102" s="59"/>
      <c r="P102" s="59"/>
      <c r="Q102" s="61"/>
    </row>
    <row r="103">
      <c r="B103" s="59"/>
      <c r="D103" s="59"/>
      <c r="F103" s="59"/>
      <c r="H103" s="59"/>
      <c r="J103" s="59"/>
      <c r="L103" s="59"/>
      <c r="N103" s="59"/>
      <c r="P103" s="59"/>
      <c r="Q103" s="61"/>
    </row>
    <row r="104">
      <c r="B104" s="59"/>
      <c r="D104" s="59"/>
      <c r="F104" s="59"/>
      <c r="H104" s="59"/>
      <c r="J104" s="59"/>
      <c r="L104" s="59"/>
      <c r="N104" s="59"/>
      <c r="P104" s="59"/>
      <c r="Q104" s="61"/>
    </row>
    <row r="105">
      <c r="B105" s="59"/>
      <c r="D105" s="59"/>
      <c r="F105" s="59"/>
      <c r="H105" s="59"/>
      <c r="J105" s="59"/>
      <c r="L105" s="59"/>
      <c r="N105" s="59"/>
      <c r="P105" s="59"/>
      <c r="Q105" s="61"/>
    </row>
    <row r="106">
      <c r="B106" s="59"/>
      <c r="D106" s="59"/>
      <c r="F106" s="59"/>
      <c r="H106" s="59"/>
      <c r="J106" s="59"/>
      <c r="L106" s="59"/>
      <c r="N106" s="59"/>
      <c r="P106" s="59"/>
      <c r="Q106" s="61"/>
    </row>
    <row r="107">
      <c r="B107" s="59"/>
      <c r="D107" s="59"/>
      <c r="F107" s="59"/>
      <c r="H107" s="59"/>
      <c r="J107" s="59"/>
      <c r="L107" s="59"/>
      <c r="N107" s="59"/>
      <c r="P107" s="59"/>
      <c r="Q107" s="61"/>
    </row>
    <row r="108">
      <c r="B108" s="59"/>
      <c r="D108" s="59"/>
      <c r="F108" s="59"/>
      <c r="H108" s="59"/>
      <c r="J108" s="59"/>
      <c r="L108" s="59"/>
      <c r="N108" s="59"/>
      <c r="P108" s="59"/>
      <c r="Q108" s="61"/>
    </row>
    <row r="109">
      <c r="B109" s="59"/>
      <c r="D109" s="59"/>
      <c r="F109" s="59"/>
      <c r="H109" s="59"/>
      <c r="J109" s="59"/>
      <c r="L109" s="59"/>
      <c r="N109" s="59"/>
      <c r="P109" s="59"/>
      <c r="Q109" s="61"/>
    </row>
    <row r="110">
      <c r="B110" s="59"/>
      <c r="D110" s="59"/>
      <c r="F110" s="59"/>
      <c r="H110" s="59"/>
      <c r="J110" s="59"/>
      <c r="L110" s="59"/>
      <c r="N110" s="59"/>
      <c r="P110" s="59"/>
      <c r="Q110" s="61"/>
    </row>
    <row r="111">
      <c r="B111" s="59"/>
      <c r="D111" s="59"/>
      <c r="F111" s="59"/>
      <c r="H111" s="59"/>
      <c r="J111" s="59"/>
      <c r="L111" s="59"/>
      <c r="N111" s="59"/>
      <c r="P111" s="59"/>
      <c r="Q111" s="61"/>
    </row>
    <row r="112">
      <c r="B112" s="59"/>
      <c r="D112" s="59"/>
      <c r="F112" s="59"/>
      <c r="H112" s="59"/>
      <c r="J112" s="59"/>
      <c r="L112" s="59"/>
      <c r="N112" s="59"/>
      <c r="P112" s="59"/>
      <c r="Q112" s="61"/>
    </row>
    <row r="113">
      <c r="B113" s="59"/>
      <c r="D113" s="59"/>
      <c r="F113" s="59"/>
      <c r="H113" s="59"/>
      <c r="J113" s="59"/>
      <c r="L113" s="59"/>
      <c r="N113" s="59"/>
      <c r="P113" s="59"/>
      <c r="Q113" s="61"/>
    </row>
    <row r="114">
      <c r="B114" s="59"/>
      <c r="D114" s="59"/>
      <c r="F114" s="59"/>
      <c r="H114" s="59"/>
      <c r="J114" s="59"/>
      <c r="L114" s="59"/>
      <c r="N114" s="59"/>
      <c r="P114" s="59"/>
      <c r="Q114" s="61"/>
    </row>
    <row r="115">
      <c r="B115" s="59"/>
      <c r="D115" s="59"/>
      <c r="F115" s="59"/>
      <c r="H115" s="59"/>
      <c r="J115" s="59"/>
      <c r="L115" s="59"/>
      <c r="N115" s="59"/>
      <c r="P115" s="59"/>
      <c r="Q115" s="61"/>
    </row>
    <row r="116">
      <c r="B116" s="59"/>
      <c r="D116" s="59"/>
      <c r="F116" s="59"/>
      <c r="H116" s="59"/>
      <c r="J116" s="59"/>
      <c r="L116" s="59"/>
      <c r="N116" s="59"/>
      <c r="P116" s="59"/>
      <c r="Q116" s="61"/>
    </row>
    <row r="117">
      <c r="B117" s="59"/>
      <c r="D117" s="59"/>
      <c r="F117" s="59"/>
      <c r="H117" s="59"/>
      <c r="J117" s="59"/>
      <c r="L117" s="59"/>
      <c r="N117" s="59"/>
      <c r="P117" s="59"/>
      <c r="Q117" s="61"/>
    </row>
    <row r="118">
      <c r="B118" s="59"/>
      <c r="D118" s="59"/>
      <c r="F118" s="59"/>
      <c r="H118" s="59"/>
      <c r="J118" s="59"/>
      <c r="L118" s="59"/>
      <c r="N118" s="59"/>
      <c r="P118" s="59"/>
      <c r="Q118" s="61"/>
    </row>
    <row r="119">
      <c r="B119" s="59"/>
      <c r="D119" s="59"/>
      <c r="F119" s="59"/>
      <c r="H119" s="59"/>
      <c r="J119" s="59"/>
      <c r="L119" s="59"/>
      <c r="N119" s="59"/>
      <c r="P119" s="59"/>
      <c r="Q119" s="61"/>
    </row>
    <row r="120">
      <c r="B120" s="59"/>
      <c r="D120" s="59"/>
      <c r="F120" s="59"/>
      <c r="H120" s="59"/>
      <c r="J120" s="59"/>
      <c r="L120" s="59"/>
      <c r="N120" s="59"/>
      <c r="P120" s="59"/>
      <c r="Q120" s="61"/>
    </row>
    <row r="121">
      <c r="B121" s="59"/>
      <c r="D121" s="59"/>
      <c r="F121" s="59"/>
      <c r="H121" s="59"/>
      <c r="J121" s="59"/>
      <c r="L121" s="59"/>
      <c r="N121" s="59"/>
      <c r="P121" s="59"/>
      <c r="Q121" s="61"/>
    </row>
    <row r="122">
      <c r="B122" s="59"/>
      <c r="D122" s="59"/>
      <c r="F122" s="59"/>
      <c r="H122" s="59"/>
      <c r="J122" s="59"/>
      <c r="L122" s="59"/>
      <c r="N122" s="59"/>
      <c r="P122" s="59"/>
      <c r="Q122" s="61"/>
    </row>
    <row r="123">
      <c r="B123" s="59"/>
      <c r="D123" s="59"/>
      <c r="F123" s="59"/>
      <c r="H123" s="59"/>
      <c r="J123" s="59"/>
      <c r="L123" s="59"/>
      <c r="N123" s="59"/>
      <c r="P123" s="59"/>
      <c r="Q123" s="61"/>
    </row>
    <row r="124">
      <c r="B124" s="59"/>
      <c r="D124" s="59"/>
      <c r="F124" s="59"/>
      <c r="H124" s="59"/>
      <c r="J124" s="59"/>
      <c r="L124" s="59"/>
      <c r="N124" s="59"/>
      <c r="P124" s="59"/>
      <c r="Q124" s="61"/>
    </row>
    <row r="125">
      <c r="B125" s="59"/>
      <c r="D125" s="59"/>
      <c r="F125" s="59"/>
      <c r="H125" s="59"/>
      <c r="J125" s="59"/>
      <c r="L125" s="59"/>
      <c r="N125" s="59"/>
      <c r="P125" s="59"/>
      <c r="Q125" s="61"/>
    </row>
    <row r="126">
      <c r="B126" s="59"/>
      <c r="D126" s="59"/>
      <c r="F126" s="59"/>
      <c r="H126" s="59"/>
      <c r="J126" s="59"/>
      <c r="L126" s="59"/>
      <c r="N126" s="59"/>
      <c r="P126" s="59"/>
      <c r="Q126" s="61"/>
    </row>
    <row r="127">
      <c r="B127" s="59"/>
      <c r="D127" s="59"/>
      <c r="F127" s="59"/>
      <c r="H127" s="59"/>
      <c r="J127" s="59"/>
      <c r="L127" s="59"/>
      <c r="N127" s="59"/>
      <c r="P127" s="59"/>
      <c r="Q127" s="61"/>
    </row>
    <row r="128">
      <c r="B128" s="59"/>
      <c r="D128" s="59"/>
      <c r="F128" s="59"/>
      <c r="H128" s="59"/>
      <c r="J128" s="59"/>
      <c r="L128" s="59"/>
      <c r="N128" s="59"/>
      <c r="P128" s="59"/>
      <c r="Q128" s="61"/>
    </row>
    <row r="129">
      <c r="B129" s="59"/>
      <c r="D129" s="59"/>
      <c r="F129" s="59"/>
      <c r="H129" s="59"/>
      <c r="J129" s="59"/>
      <c r="L129" s="59"/>
      <c r="N129" s="59"/>
      <c r="P129" s="59"/>
      <c r="Q129" s="61"/>
    </row>
    <row r="130">
      <c r="B130" s="59"/>
      <c r="D130" s="59"/>
      <c r="F130" s="59"/>
      <c r="H130" s="59"/>
      <c r="J130" s="59"/>
      <c r="L130" s="59"/>
      <c r="N130" s="59"/>
      <c r="P130" s="59"/>
      <c r="Q130" s="61"/>
    </row>
    <row r="131">
      <c r="B131" s="59"/>
      <c r="D131" s="59"/>
      <c r="F131" s="59"/>
      <c r="H131" s="59"/>
      <c r="J131" s="59"/>
      <c r="L131" s="59"/>
      <c r="N131" s="59"/>
      <c r="P131" s="59"/>
      <c r="Q131" s="61"/>
    </row>
    <row r="132">
      <c r="B132" s="59"/>
      <c r="D132" s="59"/>
      <c r="F132" s="59"/>
      <c r="H132" s="59"/>
      <c r="J132" s="59"/>
      <c r="L132" s="59"/>
      <c r="N132" s="59"/>
      <c r="P132" s="59"/>
      <c r="Q132" s="61"/>
    </row>
    <row r="133">
      <c r="B133" s="59"/>
      <c r="D133" s="59"/>
      <c r="F133" s="59"/>
      <c r="H133" s="59"/>
      <c r="J133" s="59"/>
      <c r="L133" s="59"/>
      <c r="N133" s="59"/>
      <c r="P133" s="59"/>
      <c r="Q133" s="61"/>
    </row>
    <row r="134">
      <c r="B134" s="59"/>
      <c r="D134" s="59"/>
      <c r="F134" s="59"/>
      <c r="H134" s="59"/>
      <c r="J134" s="59"/>
      <c r="L134" s="59"/>
      <c r="N134" s="59"/>
      <c r="P134" s="59"/>
      <c r="Q134" s="61"/>
    </row>
    <row r="135">
      <c r="B135" s="59"/>
      <c r="D135" s="59"/>
      <c r="F135" s="59"/>
      <c r="H135" s="59"/>
      <c r="J135" s="59"/>
      <c r="L135" s="59"/>
      <c r="N135" s="59"/>
      <c r="P135" s="59"/>
      <c r="Q135" s="61"/>
    </row>
    <row r="136">
      <c r="B136" s="59"/>
      <c r="D136" s="59"/>
      <c r="F136" s="59"/>
      <c r="H136" s="59"/>
      <c r="J136" s="59"/>
      <c r="L136" s="59"/>
      <c r="N136" s="59"/>
      <c r="P136" s="59"/>
      <c r="Q136" s="61"/>
    </row>
    <row r="137">
      <c r="B137" s="59"/>
      <c r="D137" s="59"/>
      <c r="F137" s="59"/>
      <c r="H137" s="59"/>
      <c r="J137" s="59"/>
      <c r="L137" s="59"/>
      <c r="N137" s="59"/>
      <c r="P137" s="59"/>
      <c r="Q137" s="61"/>
    </row>
    <row r="138">
      <c r="B138" s="59"/>
      <c r="D138" s="59"/>
      <c r="F138" s="59"/>
      <c r="H138" s="59"/>
      <c r="J138" s="59"/>
      <c r="L138" s="59"/>
      <c r="N138" s="59"/>
      <c r="P138" s="59"/>
      <c r="Q138" s="61"/>
    </row>
    <row r="139">
      <c r="B139" s="59"/>
      <c r="D139" s="59"/>
      <c r="F139" s="59"/>
      <c r="H139" s="59"/>
      <c r="J139" s="59"/>
      <c r="L139" s="59"/>
      <c r="N139" s="59"/>
      <c r="P139" s="59"/>
      <c r="Q139" s="61"/>
    </row>
    <row r="140">
      <c r="B140" s="59"/>
      <c r="D140" s="59"/>
      <c r="F140" s="59"/>
      <c r="H140" s="59"/>
      <c r="J140" s="59"/>
      <c r="L140" s="59"/>
      <c r="N140" s="59"/>
      <c r="P140" s="59"/>
      <c r="Q140" s="61"/>
    </row>
    <row r="141">
      <c r="B141" s="59"/>
      <c r="D141" s="59"/>
      <c r="F141" s="59"/>
      <c r="H141" s="59"/>
      <c r="J141" s="59"/>
      <c r="L141" s="59"/>
      <c r="N141" s="59"/>
      <c r="P141" s="59"/>
      <c r="Q141" s="61"/>
    </row>
    <row r="142">
      <c r="B142" s="59"/>
      <c r="D142" s="59"/>
      <c r="F142" s="59"/>
      <c r="H142" s="59"/>
      <c r="J142" s="59"/>
      <c r="L142" s="59"/>
      <c r="N142" s="59"/>
      <c r="P142" s="59"/>
      <c r="Q142" s="61"/>
    </row>
    <row r="143">
      <c r="B143" s="59"/>
      <c r="D143" s="59"/>
      <c r="F143" s="59"/>
      <c r="H143" s="59"/>
      <c r="J143" s="59"/>
      <c r="L143" s="59"/>
      <c r="N143" s="59"/>
      <c r="P143" s="59"/>
      <c r="Q143" s="61"/>
    </row>
    <row r="144">
      <c r="B144" s="59"/>
      <c r="D144" s="59"/>
      <c r="F144" s="59"/>
      <c r="H144" s="59"/>
      <c r="J144" s="59"/>
      <c r="L144" s="59"/>
      <c r="N144" s="59"/>
      <c r="P144" s="59"/>
      <c r="Q144" s="61"/>
    </row>
    <row r="145">
      <c r="B145" s="59"/>
      <c r="D145" s="59"/>
      <c r="F145" s="59"/>
      <c r="H145" s="59"/>
      <c r="J145" s="59"/>
      <c r="L145" s="59"/>
      <c r="N145" s="59"/>
      <c r="P145" s="59"/>
      <c r="Q145" s="61"/>
    </row>
    <row r="146">
      <c r="B146" s="59"/>
      <c r="D146" s="59"/>
      <c r="F146" s="59"/>
      <c r="H146" s="59"/>
      <c r="J146" s="59"/>
      <c r="L146" s="59"/>
      <c r="N146" s="59"/>
      <c r="P146" s="59"/>
      <c r="Q146" s="61"/>
    </row>
    <row r="147">
      <c r="B147" s="59"/>
      <c r="D147" s="59"/>
      <c r="F147" s="59"/>
      <c r="H147" s="59"/>
      <c r="J147" s="59"/>
      <c r="L147" s="59"/>
      <c r="N147" s="59"/>
      <c r="P147" s="59"/>
      <c r="Q147" s="61"/>
    </row>
    <row r="148">
      <c r="B148" s="59"/>
      <c r="D148" s="59"/>
      <c r="F148" s="59"/>
      <c r="H148" s="59"/>
      <c r="J148" s="59"/>
      <c r="L148" s="59"/>
      <c r="N148" s="59"/>
      <c r="P148" s="59"/>
      <c r="Q148" s="61"/>
    </row>
    <row r="149">
      <c r="B149" s="59"/>
      <c r="D149" s="59"/>
      <c r="F149" s="59"/>
      <c r="H149" s="59"/>
      <c r="J149" s="59"/>
      <c r="L149" s="59"/>
      <c r="N149" s="59"/>
      <c r="P149" s="59"/>
      <c r="Q149" s="61"/>
    </row>
    <row r="150">
      <c r="B150" s="59"/>
      <c r="D150" s="59"/>
      <c r="F150" s="59"/>
      <c r="H150" s="59"/>
      <c r="J150" s="59"/>
      <c r="L150" s="59"/>
      <c r="N150" s="59"/>
      <c r="P150" s="59"/>
      <c r="Q150" s="61"/>
    </row>
    <row r="151">
      <c r="B151" s="59"/>
      <c r="D151" s="59"/>
      <c r="F151" s="59"/>
      <c r="H151" s="59"/>
      <c r="J151" s="59"/>
      <c r="L151" s="59"/>
      <c r="N151" s="59"/>
      <c r="P151" s="59"/>
      <c r="Q151" s="61"/>
    </row>
    <row r="152">
      <c r="B152" s="59"/>
      <c r="D152" s="59"/>
      <c r="F152" s="59"/>
      <c r="H152" s="59"/>
      <c r="J152" s="59"/>
      <c r="L152" s="59"/>
      <c r="N152" s="59"/>
      <c r="P152" s="59"/>
      <c r="Q152" s="61"/>
    </row>
    <row r="153">
      <c r="B153" s="59"/>
      <c r="D153" s="59"/>
      <c r="F153" s="59"/>
      <c r="H153" s="59"/>
      <c r="J153" s="59"/>
      <c r="L153" s="59"/>
      <c r="N153" s="59"/>
      <c r="P153" s="59"/>
      <c r="Q153" s="61"/>
    </row>
    <row r="154">
      <c r="B154" s="59"/>
      <c r="D154" s="59"/>
      <c r="F154" s="59"/>
      <c r="H154" s="59"/>
      <c r="J154" s="59"/>
      <c r="L154" s="59"/>
      <c r="N154" s="59"/>
      <c r="P154" s="59"/>
      <c r="Q154" s="61"/>
    </row>
    <row r="155">
      <c r="B155" s="59"/>
      <c r="D155" s="59"/>
      <c r="F155" s="59"/>
      <c r="H155" s="59"/>
      <c r="J155" s="59"/>
      <c r="L155" s="59"/>
      <c r="N155" s="59"/>
      <c r="P155" s="59"/>
      <c r="Q155" s="61"/>
    </row>
    <row r="156">
      <c r="B156" s="59"/>
      <c r="D156" s="59"/>
      <c r="F156" s="59"/>
      <c r="H156" s="59"/>
      <c r="J156" s="59"/>
      <c r="L156" s="59"/>
      <c r="N156" s="59"/>
      <c r="P156" s="59"/>
      <c r="Q156" s="61"/>
    </row>
    <row r="157">
      <c r="B157" s="59"/>
      <c r="D157" s="59"/>
      <c r="F157" s="59"/>
      <c r="H157" s="59"/>
      <c r="J157" s="59"/>
      <c r="L157" s="59"/>
      <c r="N157" s="59"/>
      <c r="P157" s="59"/>
      <c r="Q157" s="61"/>
    </row>
    <row r="158">
      <c r="B158" s="59"/>
      <c r="D158" s="59"/>
      <c r="F158" s="59"/>
      <c r="H158" s="59"/>
      <c r="J158" s="59"/>
      <c r="L158" s="59"/>
      <c r="N158" s="59"/>
      <c r="P158" s="59"/>
      <c r="Q158" s="61"/>
    </row>
    <row r="159">
      <c r="B159" s="59"/>
      <c r="D159" s="59"/>
      <c r="F159" s="59"/>
      <c r="H159" s="59"/>
      <c r="J159" s="59"/>
      <c r="L159" s="59"/>
      <c r="N159" s="59"/>
      <c r="P159" s="59"/>
      <c r="Q159" s="61"/>
    </row>
    <row r="160">
      <c r="B160" s="59"/>
      <c r="D160" s="59"/>
      <c r="F160" s="59"/>
      <c r="H160" s="59"/>
      <c r="J160" s="59"/>
      <c r="L160" s="59"/>
      <c r="N160" s="59"/>
      <c r="P160" s="59"/>
      <c r="Q160" s="61"/>
    </row>
    <row r="161">
      <c r="B161" s="59"/>
      <c r="D161" s="59"/>
      <c r="F161" s="59"/>
      <c r="H161" s="59"/>
      <c r="J161" s="59"/>
      <c r="L161" s="59"/>
      <c r="N161" s="59"/>
      <c r="P161" s="59"/>
      <c r="Q161" s="61"/>
    </row>
    <row r="162">
      <c r="B162" s="59"/>
      <c r="D162" s="59"/>
      <c r="F162" s="59"/>
      <c r="H162" s="59"/>
      <c r="J162" s="59"/>
      <c r="L162" s="59"/>
      <c r="N162" s="59"/>
      <c r="P162" s="59"/>
      <c r="Q162" s="61"/>
    </row>
    <row r="163">
      <c r="B163" s="59"/>
      <c r="D163" s="59"/>
      <c r="F163" s="59"/>
      <c r="H163" s="59"/>
      <c r="J163" s="59"/>
      <c r="L163" s="59"/>
      <c r="N163" s="59"/>
      <c r="P163" s="59"/>
      <c r="Q163" s="61"/>
    </row>
    <row r="164">
      <c r="B164" s="59"/>
      <c r="D164" s="59"/>
      <c r="F164" s="59"/>
      <c r="H164" s="59"/>
      <c r="J164" s="59"/>
      <c r="L164" s="59"/>
      <c r="N164" s="59"/>
      <c r="P164" s="59"/>
      <c r="Q164" s="61"/>
    </row>
    <row r="165">
      <c r="B165" s="59"/>
      <c r="D165" s="59"/>
      <c r="F165" s="59"/>
      <c r="H165" s="59"/>
      <c r="J165" s="59"/>
      <c r="L165" s="59"/>
      <c r="N165" s="59"/>
      <c r="P165" s="59"/>
      <c r="Q165" s="61"/>
    </row>
    <row r="166">
      <c r="B166" s="59"/>
      <c r="D166" s="59"/>
      <c r="F166" s="59"/>
      <c r="H166" s="59"/>
      <c r="J166" s="59"/>
      <c r="L166" s="59"/>
      <c r="N166" s="59"/>
      <c r="P166" s="59"/>
      <c r="Q166" s="61"/>
    </row>
    <row r="167">
      <c r="B167" s="59"/>
      <c r="D167" s="59"/>
      <c r="F167" s="59"/>
      <c r="H167" s="59"/>
      <c r="J167" s="59"/>
      <c r="L167" s="59"/>
      <c r="N167" s="59"/>
      <c r="P167" s="59"/>
      <c r="Q167" s="61"/>
    </row>
    <row r="168">
      <c r="B168" s="59"/>
      <c r="D168" s="59"/>
      <c r="F168" s="59"/>
      <c r="H168" s="59"/>
      <c r="J168" s="59"/>
      <c r="L168" s="59"/>
      <c r="N168" s="59"/>
      <c r="P168" s="59"/>
      <c r="Q168" s="61"/>
    </row>
    <row r="169">
      <c r="B169" s="59"/>
      <c r="D169" s="59"/>
      <c r="F169" s="59"/>
      <c r="H169" s="59"/>
      <c r="J169" s="59"/>
      <c r="L169" s="59"/>
      <c r="N169" s="59"/>
      <c r="P169" s="59"/>
      <c r="Q169" s="61"/>
    </row>
    <row r="170">
      <c r="B170" s="59"/>
      <c r="D170" s="59"/>
      <c r="F170" s="59"/>
      <c r="H170" s="59"/>
      <c r="J170" s="59"/>
      <c r="L170" s="59"/>
      <c r="N170" s="59"/>
      <c r="P170" s="59"/>
      <c r="Q170" s="61"/>
    </row>
    <row r="171">
      <c r="B171" s="59"/>
      <c r="D171" s="59"/>
      <c r="F171" s="59"/>
      <c r="H171" s="59"/>
      <c r="J171" s="59"/>
      <c r="L171" s="59"/>
      <c r="N171" s="59"/>
      <c r="P171" s="59"/>
      <c r="Q171" s="61"/>
    </row>
    <row r="172">
      <c r="B172" s="59"/>
      <c r="D172" s="59"/>
      <c r="F172" s="59"/>
      <c r="H172" s="59"/>
      <c r="J172" s="59"/>
      <c r="L172" s="59"/>
      <c r="N172" s="59"/>
      <c r="P172" s="59"/>
      <c r="Q172" s="61"/>
    </row>
    <row r="173">
      <c r="B173" s="59"/>
      <c r="D173" s="59"/>
      <c r="F173" s="59"/>
      <c r="H173" s="59"/>
      <c r="J173" s="59"/>
      <c r="L173" s="59"/>
      <c r="N173" s="59"/>
      <c r="P173" s="59"/>
      <c r="Q173" s="61"/>
    </row>
    <row r="174">
      <c r="B174" s="59"/>
      <c r="D174" s="59"/>
      <c r="F174" s="59"/>
      <c r="H174" s="59"/>
      <c r="J174" s="59"/>
      <c r="L174" s="59"/>
      <c r="N174" s="59"/>
      <c r="P174" s="59"/>
      <c r="Q174" s="61"/>
    </row>
    <row r="175">
      <c r="B175" s="59"/>
      <c r="D175" s="59"/>
      <c r="F175" s="59"/>
      <c r="H175" s="59"/>
      <c r="J175" s="59"/>
      <c r="L175" s="59"/>
      <c r="N175" s="59"/>
      <c r="P175" s="59"/>
      <c r="Q175" s="61"/>
    </row>
    <row r="176">
      <c r="B176" s="59"/>
      <c r="D176" s="59"/>
      <c r="F176" s="59"/>
      <c r="H176" s="59"/>
      <c r="J176" s="59"/>
      <c r="L176" s="59"/>
      <c r="N176" s="59"/>
      <c r="P176" s="59"/>
      <c r="Q176" s="61"/>
    </row>
    <row r="177">
      <c r="B177" s="59"/>
      <c r="D177" s="59"/>
      <c r="F177" s="59"/>
      <c r="H177" s="59"/>
      <c r="J177" s="59"/>
      <c r="L177" s="59"/>
      <c r="N177" s="59"/>
      <c r="P177" s="59"/>
      <c r="Q177" s="61"/>
    </row>
    <row r="178">
      <c r="B178" s="59"/>
      <c r="D178" s="59"/>
      <c r="F178" s="59"/>
      <c r="H178" s="59"/>
      <c r="J178" s="59"/>
      <c r="L178" s="59"/>
      <c r="N178" s="59"/>
      <c r="P178" s="59"/>
      <c r="Q178" s="61"/>
    </row>
    <row r="179">
      <c r="B179" s="59"/>
      <c r="D179" s="59"/>
      <c r="F179" s="59"/>
      <c r="H179" s="59"/>
      <c r="J179" s="59"/>
      <c r="L179" s="59"/>
      <c r="N179" s="59"/>
      <c r="P179" s="59"/>
      <c r="Q179" s="61"/>
    </row>
    <row r="180">
      <c r="B180" s="59"/>
      <c r="D180" s="59"/>
      <c r="F180" s="59"/>
      <c r="H180" s="59"/>
      <c r="J180" s="59"/>
      <c r="L180" s="59"/>
      <c r="N180" s="59"/>
      <c r="P180" s="59"/>
      <c r="Q180" s="61"/>
    </row>
    <row r="181">
      <c r="B181" s="59"/>
      <c r="D181" s="59"/>
      <c r="F181" s="59"/>
      <c r="H181" s="59"/>
      <c r="J181" s="59"/>
      <c r="L181" s="59"/>
      <c r="N181" s="59"/>
      <c r="P181" s="59"/>
      <c r="Q181" s="61"/>
    </row>
    <row r="182">
      <c r="B182" s="59"/>
      <c r="D182" s="59"/>
      <c r="F182" s="59"/>
      <c r="H182" s="59"/>
      <c r="J182" s="59"/>
      <c r="L182" s="59"/>
      <c r="N182" s="59"/>
      <c r="P182" s="59"/>
      <c r="Q182" s="61"/>
    </row>
    <row r="183">
      <c r="B183" s="59"/>
      <c r="D183" s="59"/>
      <c r="F183" s="59"/>
      <c r="H183" s="59"/>
      <c r="J183" s="59"/>
      <c r="L183" s="59"/>
      <c r="N183" s="59"/>
      <c r="P183" s="59"/>
      <c r="Q183" s="61"/>
    </row>
    <row r="184">
      <c r="B184" s="59"/>
      <c r="D184" s="59"/>
      <c r="F184" s="59"/>
      <c r="H184" s="59"/>
      <c r="J184" s="59"/>
      <c r="L184" s="59"/>
      <c r="N184" s="59"/>
      <c r="P184" s="59"/>
      <c r="Q184" s="61"/>
    </row>
    <row r="185">
      <c r="B185" s="59"/>
      <c r="D185" s="59"/>
      <c r="F185" s="59"/>
      <c r="H185" s="59"/>
      <c r="J185" s="59"/>
      <c r="L185" s="59"/>
      <c r="N185" s="59"/>
      <c r="P185" s="59"/>
      <c r="Q185" s="61"/>
    </row>
    <row r="186">
      <c r="B186" s="59"/>
      <c r="D186" s="59"/>
      <c r="F186" s="59"/>
      <c r="H186" s="59"/>
      <c r="J186" s="59"/>
      <c r="L186" s="59"/>
      <c r="N186" s="59"/>
      <c r="P186" s="59"/>
      <c r="Q186" s="61"/>
    </row>
    <row r="187">
      <c r="B187" s="59"/>
      <c r="D187" s="59"/>
      <c r="F187" s="59"/>
      <c r="H187" s="59"/>
      <c r="J187" s="59"/>
      <c r="L187" s="59"/>
      <c r="N187" s="59"/>
      <c r="P187" s="59"/>
      <c r="Q187" s="61"/>
    </row>
    <row r="188">
      <c r="B188" s="59"/>
      <c r="D188" s="59"/>
      <c r="F188" s="59"/>
      <c r="H188" s="59"/>
      <c r="J188" s="59"/>
      <c r="L188" s="59"/>
      <c r="N188" s="59"/>
      <c r="P188" s="59"/>
      <c r="Q188" s="61"/>
    </row>
    <row r="189">
      <c r="B189" s="59"/>
      <c r="D189" s="59"/>
      <c r="F189" s="59"/>
      <c r="H189" s="59"/>
      <c r="J189" s="59"/>
      <c r="L189" s="59"/>
      <c r="N189" s="59"/>
      <c r="P189" s="59"/>
      <c r="Q189" s="61"/>
    </row>
    <row r="190">
      <c r="B190" s="59"/>
      <c r="D190" s="59"/>
      <c r="F190" s="59"/>
      <c r="H190" s="59"/>
      <c r="J190" s="59"/>
      <c r="L190" s="59"/>
      <c r="N190" s="59"/>
      <c r="P190" s="59"/>
      <c r="Q190" s="61"/>
    </row>
    <row r="191">
      <c r="B191" s="59"/>
      <c r="D191" s="59"/>
      <c r="F191" s="59"/>
      <c r="H191" s="59"/>
      <c r="J191" s="59"/>
      <c r="L191" s="59"/>
      <c r="N191" s="59"/>
      <c r="P191" s="59"/>
      <c r="Q191" s="61"/>
    </row>
    <row r="192">
      <c r="B192" s="59"/>
      <c r="D192" s="59"/>
      <c r="F192" s="59"/>
      <c r="H192" s="59"/>
      <c r="J192" s="59"/>
      <c r="L192" s="59"/>
      <c r="N192" s="59"/>
      <c r="P192" s="59"/>
      <c r="Q192" s="61"/>
    </row>
    <row r="193">
      <c r="B193" s="59"/>
      <c r="D193" s="59"/>
      <c r="F193" s="59"/>
      <c r="H193" s="59"/>
      <c r="J193" s="59"/>
      <c r="L193" s="59"/>
      <c r="N193" s="59"/>
      <c r="P193" s="59"/>
      <c r="Q193" s="61"/>
    </row>
    <row r="194">
      <c r="B194" s="59"/>
      <c r="D194" s="59"/>
      <c r="F194" s="59"/>
      <c r="H194" s="59"/>
      <c r="J194" s="59"/>
      <c r="L194" s="59"/>
      <c r="N194" s="59"/>
      <c r="P194" s="59"/>
      <c r="Q194" s="61"/>
    </row>
    <row r="195">
      <c r="B195" s="59"/>
      <c r="D195" s="59"/>
      <c r="F195" s="59"/>
      <c r="H195" s="59"/>
      <c r="J195" s="59"/>
      <c r="L195" s="59"/>
      <c r="N195" s="59"/>
      <c r="P195" s="59"/>
      <c r="Q195" s="61"/>
    </row>
    <row r="196">
      <c r="B196" s="59"/>
      <c r="D196" s="59"/>
      <c r="F196" s="59"/>
      <c r="H196" s="59"/>
      <c r="J196" s="59"/>
      <c r="L196" s="59"/>
      <c r="N196" s="59"/>
      <c r="P196" s="59"/>
      <c r="Q196" s="61"/>
    </row>
    <row r="197">
      <c r="B197" s="59"/>
      <c r="D197" s="59"/>
      <c r="F197" s="59"/>
      <c r="H197" s="59"/>
      <c r="J197" s="59"/>
      <c r="L197" s="59"/>
      <c r="N197" s="59"/>
      <c r="P197" s="59"/>
      <c r="Q197" s="61"/>
    </row>
    <row r="198">
      <c r="B198" s="59"/>
      <c r="D198" s="59"/>
      <c r="F198" s="59"/>
      <c r="H198" s="59"/>
      <c r="J198" s="59"/>
      <c r="L198" s="59"/>
      <c r="N198" s="59"/>
      <c r="P198" s="59"/>
      <c r="Q198" s="61"/>
    </row>
    <row r="199">
      <c r="B199" s="59"/>
      <c r="D199" s="59"/>
      <c r="F199" s="59"/>
      <c r="H199" s="59"/>
      <c r="J199" s="59"/>
      <c r="L199" s="59"/>
      <c r="N199" s="59"/>
      <c r="P199" s="59"/>
      <c r="Q199" s="61"/>
    </row>
    <row r="200">
      <c r="B200" s="59"/>
      <c r="D200" s="59"/>
      <c r="F200" s="59"/>
      <c r="H200" s="59"/>
      <c r="J200" s="59"/>
      <c r="L200" s="59"/>
      <c r="N200" s="59"/>
      <c r="P200" s="59"/>
      <c r="Q200" s="61"/>
    </row>
    <row r="201">
      <c r="B201" s="59"/>
      <c r="D201" s="59"/>
      <c r="F201" s="59"/>
      <c r="H201" s="59"/>
      <c r="J201" s="59"/>
      <c r="L201" s="59"/>
      <c r="N201" s="59"/>
      <c r="P201" s="59"/>
      <c r="Q201" s="61"/>
    </row>
    <row r="202">
      <c r="B202" s="59"/>
      <c r="D202" s="59"/>
      <c r="F202" s="59"/>
      <c r="H202" s="59"/>
      <c r="J202" s="59"/>
      <c r="L202" s="59"/>
      <c r="N202" s="59"/>
      <c r="P202" s="59"/>
      <c r="Q202" s="61"/>
    </row>
    <row r="203">
      <c r="B203" s="59"/>
      <c r="D203" s="59"/>
      <c r="F203" s="59"/>
      <c r="H203" s="59"/>
      <c r="J203" s="59"/>
      <c r="L203" s="59"/>
      <c r="N203" s="59"/>
      <c r="P203" s="59"/>
      <c r="Q203" s="61"/>
    </row>
    <row r="204">
      <c r="B204" s="59"/>
      <c r="D204" s="59"/>
      <c r="F204" s="59"/>
      <c r="H204" s="59"/>
      <c r="J204" s="59"/>
      <c r="L204" s="59"/>
      <c r="N204" s="59"/>
      <c r="P204" s="59"/>
      <c r="Q204" s="61"/>
    </row>
    <row r="205">
      <c r="B205" s="59"/>
      <c r="D205" s="59"/>
      <c r="F205" s="59"/>
      <c r="H205" s="59"/>
      <c r="J205" s="59"/>
      <c r="L205" s="59"/>
      <c r="N205" s="59"/>
      <c r="P205" s="59"/>
      <c r="Q205" s="61"/>
    </row>
    <row r="206">
      <c r="B206" s="59"/>
      <c r="D206" s="59"/>
      <c r="F206" s="59"/>
      <c r="H206" s="59"/>
      <c r="J206" s="59"/>
      <c r="L206" s="59"/>
      <c r="N206" s="59"/>
      <c r="P206" s="59"/>
      <c r="Q206" s="61"/>
    </row>
    <row r="207">
      <c r="B207" s="59"/>
      <c r="D207" s="59"/>
      <c r="F207" s="59"/>
      <c r="H207" s="59"/>
      <c r="J207" s="59"/>
      <c r="L207" s="59"/>
      <c r="N207" s="59"/>
      <c r="P207" s="59"/>
      <c r="Q207" s="61"/>
    </row>
    <row r="208">
      <c r="B208" s="59"/>
      <c r="D208" s="59"/>
      <c r="F208" s="59"/>
      <c r="H208" s="59"/>
      <c r="J208" s="59"/>
      <c r="L208" s="59"/>
      <c r="N208" s="59"/>
      <c r="P208" s="59"/>
      <c r="Q208" s="61"/>
    </row>
    <row r="209">
      <c r="B209" s="59"/>
      <c r="D209" s="59"/>
      <c r="F209" s="59"/>
      <c r="H209" s="59"/>
      <c r="J209" s="59"/>
      <c r="L209" s="59"/>
      <c r="N209" s="59"/>
      <c r="P209" s="59"/>
      <c r="Q209" s="61"/>
    </row>
    <row r="210">
      <c r="B210" s="59"/>
      <c r="D210" s="59"/>
      <c r="F210" s="59"/>
      <c r="H210" s="59"/>
      <c r="J210" s="59"/>
      <c r="L210" s="59"/>
      <c r="N210" s="59"/>
      <c r="P210" s="59"/>
      <c r="Q210" s="61"/>
    </row>
    <row r="211">
      <c r="B211" s="59"/>
      <c r="D211" s="59"/>
      <c r="F211" s="59"/>
      <c r="H211" s="59"/>
      <c r="J211" s="59"/>
      <c r="L211" s="59"/>
      <c r="N211" s="59"/>
      <c r="P211" s="59"/>
      <c r="Q211" s="61"/>
    </row>
    <row r="212">
      <c r="B212" s="59"/>
      <c r="D212" s="59"/>
      <c r="F212" s="59"/>
      <c r="H212" s="59"/>
      <c r="J212" s="59"/>
      <c r="L212" s="59"/>
      <c r="N212" s="59"/>
      <c r="P212" s="59"/>
      <c r="Q212" s="61"/>
    </row>
    <row r="213">
      <c r="B213" s="59"/>
      <c r="D213" s="59"/>
      <c r="F213" s="59"/>
      <c r="H213" s="59"/>
      <c r="J213" s="59"/>
      <c r="L213" s="59"/>
      <c r="N213" s="59"/>
      <c r="P213" s="59"/>
      <c r="Q213" s="61"/>
    </row>
    <row r="214">
      <c r="B214" s="59"/>
      <c r="D214" s="59"/>
      <c r="F214" s="59"/>
      <c r="H214" s="59"/>
      <c r="J214" s="59"/>
      <c r="L214" s="59"/>
      <c r="N214" s="59"/>
      <c r="P214" s="59"/>
      <c r="Q214" s="61"/>
    </row>
    <row r="215">
      <c r="B215" s="59"/>
      <c r="D215" s="59"/>
      <c r="F215" s="59"/>
      <c r="H215" s="59"/>
      <c r="J215" s="59"/>
      <c r="L215" s="59"/>
      <c r="N215" s="59"/>
      <c r="P215" s="59"/>
      <c r="Q215" s="61"/>
    </row>
    <row r="216">
      <c r="B216" s="59"/>
      <c r="D216" s="59"/>
      <c r="F216" s="59"/>
      <c r="H216" s="59"/>
      <c r="J216" s="59"/>
      <c r="L216" s="59"/>
      <c r="N216" s="59"/>
      <c r="P216" s="59"/>
      <c r="Q216" s="61"/>
    </row>
    <row r="217">
      <c r="B217" s="59"/>
      <c r="D217" s="59"/>
      <c r="F217" s="59"/>
      <c r="H217" s="59"/>
      <c r="J217" s="59"/>
      <c r="L217" s="59"/>
      <c r="N217" s="59"/>
      <c r="P217" s="59"/>
      <c r="Q217" s="61"/>
    </row>
    <row r="218">
      <c r="B218" s="59"/>
      <c r="D218" s="59"/>
      <c r="F218" s="59"/>
      <c r="H218" s="59"/>
      <c r="J218" s="59"/>
      <c r="L218" s="59"/>
      <c r="N218" s="59"/>
      <c r="P218" s="59"/>
      <c r="Q218" s="61"/>
    </row>
    <row r="219">
      <c r="B219" s="59"/>
      <c r="D219" s="59"/>
      <c r="F219" s="59"/>
      <c r="H219" s="59"/>
      <c r="J219" s="59"/>
      <c r="L219" s="59"/>
      <c r="N219" s="59"/>
      <c r="P219" s="59"/>
      <c r="Q219" s="61"/>
    </row>
    <row r="220">
      <c r="B220" s="59"/>
      <c r="D220" s="59"/>
      <c r="F220" s="59"/>
      <c r="H220" s="59"/>
      <c r="J220" s="59"/>
      <c r="L220" s="59"/>
      <c r="N220" s="59"/>
      <c r="P220" s="59"/>
      <c r="Q220" s="61"/>
    </row>
    <row r="221">
      <c r="B221" s="59"/>
      <c r="D221" s="59"/>
      <c r="F221" s="59"/>
      <c r="H221" s="59"/>
      <c r="J221" s="59"/>
      <c r="L221" s="59"/>
      <c r="N221" s="59"/>
      <c r="P221" s="59"/>
      <c r="Q221" s="61"/>
    </row>
    <row r="222">
      <c r="B222" s="59"/>
      <c r="D222" s="59"/>
      <c r="F222" s="59"/>
      <c r="H222" s="59"/>
      <c r="J222" s="59"/>
      <c r="L222" s="59"/>
      <c r="N222" s="59"/>
      <c r="P222" s="59"/>
      <c r="Q222" s="61"/>
    </row>
    <row r="223">
      <c r="B223" s="59"/>
      <c r="D223" s="59"/>
      <c r="F223" s="59"/>
      <c r="H223" s="59"/>
      <c r="J223" s="59"/>
      <c r="L223" s="59"/>
      <c r="N223" s="59"/>
      <c r="P223" s="59"/>
      <c r="Q223" s="61"/>
    </row>
    <row r="224">
      <c r="B224" s="59"/>
      <c r="D224" s="59"/>
      <c r="F224" s="59"/>
      <c r="H224" s="59"/>
      <c r="J224" s="59"/>
      <c r="L224" s="59"/>
      <c r="N224" s="59"/>
      <c r="P224" s="59"/>
      <c r="Q224" s="61"/>
    </row>
    <row r="225">
      <c r="B225" s="59"/>
      <c r="D225" s="59"/>
      <c r="F225" s="59"/>
      <c r="H225" s="59"/>
      <c r="J225" s="59"/>
      <c r="L225" s="59"/>
      <c r="N225" s="59"/>
      <c r="P225" s="59"/>
      <c r="Q225" s="61"/>
    </row>
    <row r="226">
      <c r="B226" s="59"/>
      <c r="D226" s="59"/>
      <c r="F226" s="59"/>
      <c r="H226" s="59"/>
      <c r="J226" s="59"/>
      <c r="L226" s="59"/>
      <c r="N226" s="59"/>
      <c r="P226" s="59"/>
      <c r="Q226" s="61"/>
    </row>
    <row r="227">
      <c r="B227" s="59"/>
      <c r="D227" s="59"/>
      <c r="F227" s="59"/>
      <c r="H227" s="59"/>
      <c r="J227" s="59"/>
      <c r="L227" s="59"/>
      <c r="N227" s="59"/>
      <c r="P227" s="59"/>
      <c r="Q227" s="61"/>
    </row>
    <row r="228">
      <c r="B228" s="59"/>
      <c r="D228" s="59"/>
      <c r="F228" s="59"/>
      <c r="H228" s="59"/>
      <c r="J228" s="59"/>
      <c r="L228" s="59"/>
      <c r="N228" s="59"/>
      <c r="P228" s="59"/>
      <c r="Q228" s="61"/>
    </row>
    <row r="229">
      <c r="B229" s="59"/>
      <c r="D229" s="59"/>
      <c r="F229" s="59"/>
      <c r="H229" s="59"/>
      <c r="J229" s="59"/>
      <c r="L229" s="59"/>
      <c r="N229" s="59"/>
      <c r="P229" s="59"/>
      <c r="Q229" s="61"/>
    </row>
    <row r="230">
      <c r="B230" s="59"/>
      <c r="D230" s="59"/>
      <c r="F230" s="59"/>
      <c r="H230" s="59"/>
      <c r="J230" s="59"/>
      <c r="L230" s="59"/>
      <c r="N230" s="59"/>
      <c r="P230" s="59"/>
      <c r="Q230" s="61"/>
    </row>
    <row r="231">
      <c r="B231" s="59"/>
      <c r="D231" s="59"/>
      <c r="F231" s="59"/>
      <c r="H231" s="59"/>
      <c r="J231" s="59"/>
      <c r="L231" s="59"/>
      <c r="N231" s="59"/>
      <c r="P231" s="59"/>
      <c r="Q231" s="61"/>
    </row>
    <row r="232">
      <c r="B232" s="59"/>
      <c r="D232" s="59"/>
      <c r="F232" s="59"/>
      <c r="H232" s="59"/>
      <c r="J232" s="59"/>
      <c r="L232" s="59"/>
      <c r="N232" s="59"/>
      <c r="P232" s="59"/>
      <c r="Q232" s="61"/>
    </row>
    <row r="233">
      <c r="B233" s="59"/>
      <c r="D233" s="59"/>
      <c r="F233" s="59"/>
      <c r="H233" s="59"/>
      <c r="J233" s="59"/>
      <c r="L233" s="59"/>
      <c r="N233" s="59"/>
      <c r="P233" s="59"/>
      <c r="Q233" s="61"/>
    </row>
    <row r="234">
      <c r="B234" s="59"/>
      <c r="D234" s="59"/>
      <c r="F234" s="59"/>
      <c r="H234" s="59"/>
      <c r="J234" s="59"/>
      <c r="L234" s="59"/>
      <c r="N234" s="59"/>
      <c r="P234" s="59"/>
      <c r="Q234" s="61"/>
    </row>
    <row r="235">
      <c r="B235" s="59"/>
      <c r="D235" s="59"/>
      <c r="F235" s="59"/>
      <c r="H235" s="59"/>
      <c r="J235" s="59"/>
      <c r="L235" s="59"/>
      <c r="N235" s="59"/>
      <c r="P235" s="59"/>
      <c r="Q235" s="61"/>
    </row>
    <row r="236">
      <c r="B236" s="59"/>
      <c r="D236" s="59"/>
      <c r="F236" s="59"/>
      <c r="H236" s="59"/>
      <c r="J236" s="59"/>
      <c r="L236" s="59"/>
      <c r="N236" s="59"/>
      <c r="P236" s="59"/>
      <c r="Q236" s="61"/>
    </row>
    <row r="237">
      <c r="B237" s="59"/>
      <c r="D237" s="59"/>
      <c r="F237" s="59"/>
      <c r="H237" s="59"/>
      <c r="J237" s="59"/>
      <c r="L237" s="59"/>
      <c r="N237" s="59"/>
      <c r="P237" s="59"/>
      <c r="Q237" s="61"/>
    </row>
    <row r="238">
      <c r="B238" s="59"/>
      <c r="D238" s="59"/>
      <c r="F238" s="59"/>
      <c r="H238" s="59"/>
      <c r="J238" s="59"/>
      <c r="L238" s="59"/>
      <c r="N238" s="59"/>
      <c r="P238" s="59"/>
      <c r="Q238" s="61"/>
    </row>
    <row r="239">
      <c r="B239" s="59"/>
      <c r="D239" s="59"/>
      <c r="F239" s="59"/>
      <c r="H239" s="59"/>
      <c r="J239" s="59"/>
      <c r="L239" s="59"/>
      <c r="N239" s="59"/>
      <c r="P239" s="59"/>
      <c r="Q239" s="61"/>
    </row>
    <row r="240">
      <c r="B240" s="59"/>
      <c r="D240" s="59"/>
      <c r="F240" s="59"/>
      <c r="H240" s="59"/>
      <c r="J240" s="59"/>
      <c r="L240" s="59"/>
      <c r="N240" s="59"/>
      <c r="P240" s="59"/>
      <c r="Q240" s="61"/>
    </row>
    <row r="241">
      <c r="B241" s="59"/>
      <c r="D241" s="59"/>
      <c r="F241" s="59"/>
      <c r="H241" s="59"/>
      <c r="J241" s="59"/>
      <c r="L241" s="59"/>
      <c r="N241" s="59"/>
      <c r="P241" s="59"/>
      <c r="Q241" s="61"/>
    </row>
    <row r="242">
      <c r="B242" s="59"/>
      <c r="D242" s="59"/>
      <c r="F242" s="59"/>
      <c r="H242" s="59"/>
      <c r="J242" s="59"/>
      <c r="L242" s="59"/>
      <c r="N242" s="59"/>
      <c r="P242" s="59"/>
      <c r="Q242" s="61"/>
    </row>
    <row r="243">
      <c r="B243" s="59"/>
      <c r="D243" s="59"/>
      <c r="F243" s="59"/>
      <c r="H243" s="59"/>
      <c r="J243" s="59"/>
      <c r="L243" s="59"/>
      <c r="N243" s="59"/>
      <c r="P243" s="59"/>
      <c r="Q243" s="61"/>
    </row>
    <row r="244">
      <c r="B244" s="59"/>
      <c r="D244" s="59"/>
      <c r="F244" s="59"/>
      <c r="H244" s="59"/>
      <c r="J244" s="59"/>
      <c r="L244" s="59"/>
      <c r="N244" s="59"/>
      <c r="P244" s="59"/>
      <c r="Q244" s="61"/>
    </row>
    <row r="245">
      <c r="B245" s="59"/>
      <c r="D245" s="59"/>
      <c r="F245" s="59"/>
      <c r="H245" s="59"/>
      <c r="J245" s="59"/>
      <c r="L245" s="59"/>
      <c r="N245" s="59"/>
      <c r="P245" s="59"/>
      <c r="Q245" s="61"/>
    </row>
    <row r="246">
      <c r="B246" s="59"/>
      <c r="D246" s="59"/>
      <c r="F246" s="59"/>
      <c r="H246" s="59"/>
      <c r="J246" s="59"/>
      <c r="L246" s="59"/>
      <c r="N246" s="59"/>
      <c r="P246" s="59"/>
      <c r="Q246" s="61"/>
    </row>
    <row r="247">
      <c r="B247" s="59"/>
      <c r="D247" s="59"/>
      <c r="F247" s="59"/>
      <c r="H247" s="59"/>
      <c r="J247" s="59"/>
      <c r="L247" s="59"/>
      <c r="N247" s="59"/>
      <c r="P247" s="59"/>
      <c r="Q247" s="61"/>
    </row>
    <row r="248">
      <c r="B248" s="59"/>
      <c r="D248" s="59"/>
      <c r="F248" s="59"/>
      <c r="H248" s="59"/>
      <c r="J248" s="59"/>
      <c r="L248" s="59"/>
      <c r="N248" s="59"/>
      <c r="P248" s="59"/>
      <c r="Q248" s="61"/>
    </row>
    <row r="249">
      <c r="B249" s="59"/>
      <c r="D249" s="59"/>
      <c r="F249" s="59"/>
      <c r="H249" s="59"/>
      <c r="J249" s="59"/>
      <c r="L249" s="59"/>
      <c r="N249" s="59"/>
      <c r="P249" s="59"/>
      <c r="Q249" s="61"/>
    </row>
    <row r="250">
      <c r="B250" s="59"/>
      <c r="D250" s="59"/>
      <c r="F250" s="59"/>
      <c r="H250" s="59"/>
      <c r="J250" s="59"/>
      <c r="L250" s="59"/>
      <c r="N250" s="59"/>
      <c r="P250" s="59"/>
      <c r="Q250" s="61"/>
    </row>
    <row r="251">
      <c r="B251" s="59"/>
      <c r="D251" s="59"/>
      <c r="F251" s="59"/>
      <c r="H251" s="59"/>
      <c r="J251" s="59"/>
      <c r="L251" s="59"/>
      <c r="N251" s="59"/>
      <c r="P251" s="59"/>
      <c r="Q251" s="61"/>
    </row>
    <row r="252">
      <c r="B252" s="59"/>
      <c r="D252" s="59"/>
      <c r="F252" s="59"/>
      <c r="H252" s="59"/>
      <c r="J252" s="59"/>
      <c r="L252" s="59"/>
      <c r="N252" s="59"/>
      <c r="P252" s="59"/>
      <c r="Q252" s="61"/>
    </row>
    <row r="253">
      <c r="B253" s="59"/>
      <c r="D253" s="59"/>
      <c r="F253" s="59"/>
      <c r="H253" s="59"/>
      <c r="J253" s="59"/>
      <c r="L253" s="59"/>
      <c r="N253" s="59"/>
      <c r="P253" s="59"/>
      <c r="Q253" s="61"/>
    </row>
    <row r="254">
      <c r="B254" s="59"/>
      <c r="D254" s="59"/>
      <c r="F254" s="59"/>
      <c r="H254" s="59"/>
      <c r="J254" s="59"/>
      <c r="L254" s="59"/>
      <c r="N254" s="59"/>
      <c r="P254" s="59"/>
      <c r="Q254" s="61"/>
    </row>
    <row r="255">
      <c r="B255" s="59"/>
      <c r="D255" s="59"/>
      <c r="F255" s="59"/>
      <c r="H255" s="59"/>
      <c r="J255" s="59"/>
      <c r="L255" s="59"/>
      <c r="N255" s="59"/>
      <c r="P255" s="59"/>
      <c r="Q255" s="61"/>
    </row>
    <row r="256">
      <c r="B256" s="59"/>
      <c r="D256" s="59"/>
      <c r="F256" s="59"/>
      <c r="H256" s="59"/>
      <c r="J256" s="59"/>
      <c r="L256" s="59"/>
      <c r="N256" s="59"/>
      <c r="P256" s="59"/>
      <c r="Q256" s="61"/>
    </row>
    <row r="257">
      <c r="B257" s="59"/>
      <c r="D257" s="59"/>
      <c r="F257" s="59"/>
      <c r="H257" s="59"/>
      <c r="J257" s="59"/>
      <c r="L257" s="59"/>
      <c r="N257" s="59"/>
      <c r="P257" s="59"/>
      <c r="Q257" s="61"/>
    </row>
    <row r="258">
      <c r="B258" s="59"/>
      <c r="D258" s="59"/>
      <c r="F258" s="59"/>
      <c r="H258" s="59"/>
      <c r="J258" s="59"/>
      <c r="L258" s="59"/>
      <c r="N258" s="59"/>
      <c r="P258" s="59"/>
      <c r="Q258" s="61"/>
    </row>
    <row r="259">
      <c r="B259" s="59"/>
      <c r="D259" s="59"/>
      <c r="F259" s="59"/>
      <c r="H259" s="59"/>
      <c r="J259" s="59"/>
      <c r="L259" s="59"/>
      <c r="N259" s="59"/>
      <c r="P259" s="59"/>
      <c r="Q259" s="61"/>
    </row>
    <row r="260">
      <c r="B260" s="59"/>
      <c r="D260" s="59"/>
      <c r="F260" s="59"/>
      <c r="H260" s="59"/>
      <c r="J260" s="59"/>
      <c r="L260" s="59"/>
      <c r="N260" s="59"/>
      <c r="P260" s="59"/>
      <c r="Q260" s="61"/>
    </row>
    <row r="261">
      <c r="B261" s="59"/>
      <c r="D261" s="59"/>
      <c r="F261" s="59"/>
      <c r="H261" s="59"/>
      <c r="J261" s="59"/>
      <c r="L261" s="59"/>
      <c r="N261" s="59"/>
      <c r="P261" s="59"/>
      <c r="Q261" s="61"/>
    </row>
    <row r="262">
      <c r="B262" s="59"/>
      <c r="D262" s="59"/>
      <c r="F262" s="59"/>
      <c r="H262" s="59"/>
      <c r="J262" s="59"/>
      <c r="L262" s="59"/>
      <c r="N262" s="59"/>
      <c r="P262" s="59"/>
      <c r="Q262" s="61"/>
    </row>
    <row r="263">
      <c r="B263" s="59"/>
      <c r="D263" s="59"/>
      <c r="F263" s="59"/>
      <c r="H263" s="59"/>
      <c r="J263" s="59"/>
      <c r="L263" s="59"/>
      <c r="N263" s="59"/>
      <c r="P263" s="59"/>
      <c r="Q263" s="61"/>
    </row>
    <row r="264">
      <c r="B264" s="59"/>
      <c r="D264" s="59"/>
      <c r="F264" s="59"/>
      <c r="H264" s="59"/>
      <c r="J264" s="59"/>
      <c r="L264" s="59"/>
      <c r="N264" s="59"/>
      <c r="P264" s="59"/>
      <c r="Q264" s="61"/>
    </row>
    <row r="265">
      <c r="B265" s="59"/>
      <c r="D265" s="59"/>
      <c r="F265" s="59"/>
      <c r="H265" s="59"/>
      <c r="J265" s="59"/>
      <c r="L265" s="59"/>
      <c r="N265" s="59"/>
      <c r="P265" s="59"/>
      <c r="Q265" s="61"/>
    </row>
    <row r="266">
      <c r="B266" s="59"/>
      <c r="D266" s="59"/>
      <c r="F266" s="59"/>
      <c r="H266" s="59"/>
      <c r="J266" s="59"/>
      <c r="L266" s="59"/>
      <c r="N266" s="59"/>
      <c r="P266" s="59"/>
      <c r="Q266" s="61"/>
    </row>
    <row r="267">
      <c r="B267" s="59"/>
      <c r="D267" s="59"/>
      <c r="F267" s="59"/>
      <c r="H267" s="59"/>
      <c r="J267" s="59"/>
      <c r="L267" s="59"/>
      <c r="N267" s="59"/>
      <c r="P267" s="59"/>
      <c r="Q267" s="61"/>
    </row>
    <row r="268">
      <c r="B268" s="59"/>
      <c r="D268" s="59"/>
      <c r="F268" s="59"/>
      <c r="H268" s="59"/>
      <c r="J268" s="59"/>
      <c r="L268" s="59"/>
      <c r="N268" s="59"/>
      <c r="P268" s="59"/>
      <c r="Q268" s="61"/>
    </row>
    <row r="269">
      <c r="B269" s="59"/>
      <c r="D269" s="59"/>
      <c r="F269" s="59"/>
      <c r="H269" s="59"/>
      <c r="J269" s="59"/>
      <c r="L269" s="59"/>
      <c r="N269" s="59"/>
      <c r="P269" s="59"/>
      <c r="Q269" s="61"/>
    </row>
    <row r="270">
      <c r="B270" s="59"/>
      <c r="D270" s="59"/>
      <c r="F270" s="59"/>
      <c r="H270" s="59"/>
      <c r="J270" s="59"/>
      <c r="L270" s="59"/>
      <c r="N270" s="59"/>
      <c r="P270" s="59"/>
      <c r="Q270" s="61"/>
    </row>
    <row r="271">
      <c r="B271" s="59"/>
      <c r="D271" s="59"/>
      <c r="F271" s="59"/>
      <c r="H271" s="59"/>
      <c r="J271" s="59"/>
      <c r="L271" s="59"/>
      <c r="N271" s="59"/>
      <c r="P271" s="59"/>
      <c r="Q271" s="61"/>
    </row>
    <row r="272">
      <c r="B272" s="59"/>
      <c r="D272" s="59"/>
      <c r="F272" s="59"/>
      <c r="H272" s="59"/>
      <c r="J272" s="59"/>
      <c r="L272" s="59"/>
      <c r="N272" s="59"/>
      <c r="P272" s="59"/>
      <c r="Q272" s="61"/>
    </row>
    <row r="273">
      <c r="B273" s="59"/>
      <c r="D273" s="59"/>
      <c r="F273" s="59"/>
      <c r="H273" s="59"/>
      <c r="J273" s="59"/>
      <c r="L273" s="59"/>
      <c r="N273" s="59"/>
      <c r="P273" s="59"/>
      <c r="Q273" s="61"/>
    </row>
    <row r="274">
      <c r="B274" s="59"/>
      <c r="D274" s="59"/>
      <c r="F274" s="59"/>
      <c r="H274" s="59"/>
      <c r="J274" s="59"/>
      <c r="L274" s="59"/>
      <c r="N274" s="59"/>
      <c r="P274" s="59"/>
      <c r="Q274" s="61"/>
    </row>
    <row r="275">
      <c r="B275" s="59"/>
      <c r="D275" s="59"/>
      <c r="F275" s="59"/>
      <c r="H275" s="59"/>
      <c r="J275" s="59"/>
      <c r="L275" s="59"/>
      <c r="N275" s="59"/>
      <c r="P275" s="59"/>
      <c r="Q275" s="61"/>
    </row>
    <row r="276">
      <c r="B276" s="59"/>
      <c r="D276" s="59"/>
      <c r="F276" s="59"/>
      <c r="H276" s="59"/>
      <c r="J276" s="59"/>
      <c r="L276" s="59"/>
      <c r="N276" s="59"/>
      <c r="P276" s="59"/>
      <c r="Q276" s="61"/>
    </row>
    <row r="277">
      <c r="B277" s="59"/>
      <c r="D277" s="59"/>
      <c r="F277" s="59"/>
      <c r="H277" s="59"/>
      <c r="J277" s="59"/>
      <c r="L277" s="59"/>
      <c r="N277" s="59"/>
      <c r="P277" s="59"/>
      <c r="Q277" s="61"/>
    </row>
    <row r="278">
      <c r="B278" s="59"/>
      <c r="D278" s="59"/>
      <c r="F278" s="59"/>
      <c r="H278" s="59"/>
      <c r="J278" s="59"/>
      <c r="L278" s="59"/>
      <c r="N278" s="59"/>
      <c r="P278" s="59"/>
      <c r="Q278" s="61"/>
    </row>
    <row r="279">
      <c r="B279" s="59"/>
      <c r="D279" s="59"/>
      <c r="F279" s="59"/>
      <c r="H279" s="59"/>
      <c r="J279" s="59"/>
      <c r="L279" s="59"/>
      <c r="N279" s="59"/>
      <c r="P279" s="59"/>
      <c r="Q279" s="61"/>
    </row>
    <row r="280">
      <c r="B280" s="59"/>
      <c r="D280" s="59"/>
      <c r="F280" s="59"/>
      <c r="H280" s="59"/>
      <c r="J280" s="59"/>
      <c r="L280" s="59"/>
      <c r="N280" s="59"/>
      <c r="P280" s="59"/>
      <c r="Q280" s="61"/>
    </row>
    <row r="281">
      <c r="B281" s="59"/>
      <c r="D281" s="59"/>
      <c r="F281" s="59"/>
      <c r="H281" s="59"/>
      <c r="J281" s="59"/>
      <c r="L281" s="59"/>
      <c r="N281" s="59"/>
      <c r="P281" s="59"/>
      <c r="Q281" s="61"/>
    </row>
    <row r="282">
      <c r="B282" s="59"/>
      <c r="D282" s="59"/>
      <c r="F282" s="59"/>
      <c r="H282" s="59"/>
      <c r="J282" s="59"/>
      <c r="L282" s="59"/>
      <c r="N282" s="59"/>
      <c r="P282" s="59"/>
      <c r="Q282" s="61"/>
    </row>
    <row r="283">
      <c r="B283" s="59"/>
      <c r="D283" s="59"/>
      <c r="F283" s="59"/>
      <c r="H283" s="59"/>
      <c r="J283" s="59"/>
      <c r="L283" s="59"/>
      <c r="N283" s="59"/>
      <c r="P283" s="59"/>
      <c r="Q283" s="61"/>
    </row>
    <row r="284">
      <c r="B284" s="59"/>
      <c r="D284" s="59"/>
      <c r="F284" s="59"/>
      <c r="H284" s="59"/>
      <c r="J284" s="59"/>
      <c r="L284" s="59"/>
      <c r="N284" s="59"/>
      <c r="P284" s="59"/>
      <c r="Q284" s="61"/>
    </row>
    <row r="285">
      <c r="B285" s="59"/>
      <c r="D285" s="59"/>
      <c r="F285" s="59"/>
      <c r="H285" s="59"/>
      <c r="J285" s="59"/>
      <c r="L285" s="59"/>
      <c r="N285" s="59"/>
      <c r="P285" s="59"/>
      <c r="Q285" s="61"/>
    </row>
    <row r="286">
      <c r="B286" s="59"/>
      <c r="D286" s="59"/>
      <c r="F286" s="59"/>
      <c r="H286" s="59"/>
      <c r="J286" s="59"/>
      <c r="L286" s="59"/>
      <c r="N286" s="59"/>
      <c r="P286" s="59"/>
      <c r="Q286" s="61"/>
    </row>
    <row r="287">
      <c r="B287" s="59"/>
      <c r="D287" s="59"/>
      <c r="F287" s="59"/>
      <c r="H287" s="59"/>
      <c r="J287" s="59"/>
      <c r="L287" s="59"/>
      <c r="N287" s="59"/>
      <c r="P287" s="59"/>
      <c r="Q287" s="61"/>
    </row>
    <row r="288">
      <c r="B288" s="59"/>
      <c r="D288" s="59"/>
      <c r="F288" s="59"/>
      <c r="H288" s="59"/>
      <c r="J288" s="59"/>
      <c r="L288" s="59"/>
      <c r="N288" s="59"/>
      <c r="P288" s="59"/>
      <c r="Q288" s="61"/>
    </row>
    <row r="289">
      <c r="B289" s="59"/>
      <c r="D289" s="59"/>
      <c r="F289" s="59"/>
      <c r="H289" s="59"/>
      <c r="J289" s="59"/>
      <c r="L289" s="59"/>
      <c r="N289" s="59"/>
      <c r="P289" s="59"/>
      <c r="Q289" s="61"/>
    </row>
    <row r="290">
      <c r="B290" s="59"/>
      <c r="D290" s="59"/>
      <c r="F290" s="59"/>
      <c r="H290" s="59"/>
      <c r="J290" s="59"/>
      <c r="L290" s="59"/>
      <c r="N290" s="59"/>
      <c r="P290" s="59"/>
      <c r="Q290" s="61"/>
    </row>
    <row r="291">
      <c r="B291" s="59"/>
      <c r="D291" s="59"/>
      <c r="F291" s="59"/>
      <c r="H291" s="59"/>
      <c r="J291" s="59"/>
      <c r="L291" s="59"/>
      <c r="N291" s="59"/>
      <c r="P291" s="59"/>
      <c r="Q291" s="61"/>
    </row>
    <row r="292">
      <c r="B292" s="59"/>
      <c r="D292" s="59"/>
      <c r="F292" s="59"/>
      <c r="H292" s="59"/>
      <c r="J292" s="59"/>
      <c r="L292" s="59"/>
      <c r="N292" s="59"/>
      <c r="P292" s="59"/>
      <c r="Q292" s="61"/>
    </row>
    <row r="293">
      <c r="B293" s="59"/>
      <c r="D293" s="59"/>
      <c r="F293" s="59"/>
      <c r="H293" s="59"/>
      <c r="J293" s="59"/>
      <c r="L293" s="59"/>
      <c r="N293" s="59"/>
      <c r="P293" s="59"/>
      <c r="Q293" s="61"/>
    </row>
    <row r="294">
      <c r="B294" s="59"/>
      <c r="D294" s="59"/>
      <c r="F294" s="59"/>
      <c r="H294" s="59"/>
      <c r="J294" s="59"/>
      <c r="L294" s="59"/>
      <c r="N294" s="59"/>
      <c r="P294" s="59"/>
      <c r="Q294" s="61"/>
    </row>
    <row r="295">
      <c r="B295" s="59"/>
      <c r="D295" s="59"/>
      <c r="F295" s="59"/>
      <c r="H295" s="59"/>
      <c r="J295" s="59"/>
      <c r="L295" s="59"/>
      <c r="N295" s="59"/>
      <c r="P295" s="59"/>
      <c r="Q295" s="61"/>
    </row>
    <row r="296">
      <c r="B296" s="59"/>
      <c r="D296" s="59"/>
      <c r="F296" s="59"/>
      <c r="H296" s="59"/>
      <c r="J296" s="59"/>
      <c r="L296" s="59"/>
      <c r="N296" s="59"/>
      <c r="P296" s="59"/>
      <c r="Q296" s="61"/>
    </row>
    <row r="297">
      <c r="B297" s="59"/>
      <c r="D297" s="59"/>
      <c r="F297" s="59"/>
      <c r="H297" s="59"/>
      <c r="J297" s="59"/>
      <c r="L297" s="59"/>
      <c r="N297" s="59"/>
      <c r="P297" s="59"/>
      <c r="Q297" s="61"/>
    </row>
    <row r="298">
      <c r="B298" s="59"/>
      <c r="D298" s="59"/>
      <c r="F298" s="59"/>
      <c r="H298" s="59"/>
      <c r="J298" s="59"/>
      <c r="L298" s="59"/>
      <c r="N298" s="59"/>
      <c r="P298" s="59"/>
      <c r="Q298" s="61"/>
    </row>
    <row r="299">
      <c r="B299" s="59"/>
      <c r="D299" s="59"/>
      <c r="F299" s="59"/>
      <c r="H299" s="59"/>
      <c r="J299" s="59"/>
      <c r="L299" s="59"/>
      <c r="N299" s="59"/>
      <c r="P299" s="59"/>
      <c r="Q299" s="61"/>
    </row>
    <row r="300">
      <c r="B300" s="59"/>
      <c r="D300" s="59"/>
      <c r="F300" s="59"/>
      <c r="H300" s="59"/>
      <c r="J300" s="59"/>
      <c r="L300" s="59"/>
      <c r="N300" s="59"/>
      <c r="P300" s="59"/>
      <c r="Q300" s="61"/>
    </row>
    <row r="301">
      <c r="B301" s="59"/>
      <c r="D301" s="59"/>
      <c r="F301" s="59"/>
      <c r="H301" s="59"/>
      <c r="J301" s="59"/>
      <c r="L301" s="59"/>
      <c r="N301" s="59"/>
      <c r="P301" s="59"/>
      <c r="Q301" s="61"/>
    </row>
    <row r="302">
      <c r="B302" s="59"/>
      <c r="D302" s="59"/>
      <c r="F302" s="59"/>
      <c r="H302" s="59"/>
      <c r="J302" s="59"/>
      <c r="L302" s="59"/>
      <c r="N302" s="59"/>
      <c r="P302" s="59"/>
      <c r="Q302" s="61"/>
    </row>
    <row r="303">
      <c r="B303" s="59"/>
      <c r="D303" s="59"/>
      <c r="F303" s="59"/>
      <c r="H303" s="59"/>
      <c r="J303" s="59"/>
      <c r="L303" s="59"/>
      <c r="N303" s="59"/>
      <c r="P303" s="59"/>
      <c r="Q303" s="61"/>
    </row>
    <row r="304">
      <c r="B304" s="59"/>
      <c r="D304" s="59"/>
      <c r="F304" s="59"/>
      <c r="H304" s="59"/>
      <c r="J304" s="59"/>
      <c r="L304" s="59"/>
      <c r="N304" s="59"/>
      <c r="P304" s="59"/>
      <c r="Q304" s="61"/>
    </row>
    <row r="305">
      <c r="B305" s="59"/>
      <c r="D305" s="59"/>
      <c r="F305" s="59"/>
      <c r="H305" s="59"/>
      <c r="J305" s="59"/>
      <c r="L305" s="59"/>
      <c r="N305" s="59"/>
      <c r="P305" s="59"/>
      <c r="Q305" s="61"/>
    </row>
    <row r="306">
      <c r="B306" s="59"/>
      <c r="D306" s="59"/>
      <c r="F306" s="59"/>
      <c r="H306" s="59"/>
      <c r="J306" s="59"/>
      <c r="L306" s="59"/>
      <c r="N306" s="59"/>
      <c r="P306" s="59"/>
      <c r="Q306" s="61"/>
    </row>
    <row r="307">
      <c r="B307" s="59"/>
      <c r="D307" s="59"/>
      <c r="F307" s="59"/>
      <c r="H307" s="59"/>
      <c r="J307" s="59"/>
      <c r="L307" s="59"/>
      <c r="N307" s="59"/>
      <c r="P307" s="59"/>
      <c r="Q307" s="61"/>
    </row>
    <row r="308">
      <c r="B308" s="59"/>
      <c r="D308" s="59"/>
      <c r="F308" s="59"/>
      <c r="H308" s="59"/>
      <c r="J308" s="59"/>
      <c r="L308" s="59"/>
      <c r="N308" s="59"/>
      <c r="P308" s="59"/>
      <c r="Q308" s="61"/>
    </row>
    <row r="309">
      <c r="B309" s="59"/>
      <c r="D309" s="59"/>
      <c r="F309" s="59"/>
      <c r="H309" s="59"/>
      <c r="J309" s="59"/>
      <c r="L309" s="59"/>
      <c r="N309" s="59"/>
      <c r="P309" s="59"/>
      <c r="Q309" s="61"/>
    </row>
    <row r="310">
      <c r="B310" s="59"/>
      <c r="D310" s="59"/>
      <c r="F310" s="59"/>
      <c r="H310" s="59"/>
      <c r="J310" s="59"/>
      <c r="L310" s="59"/>
      <c r="N310" s="59"/>
      <c r="P310" s="59"/>
      <c r="Q310" s="61"/>
    </row>
    <row r="311">
      <c r="B311" s="59"/>
      <c r="D311" s="59"/>
      <c r="F311" s="59"/>
      <c r="H311" s="59"/>
      <c r="J311" s="59"/>
      <c r="L311" s="59"/>
      <c r="N311" s="59"/>
      <c r="P311" s="59"/>
      <c r="Q311" s="61"/>
    </row>
    <row r="312">
      <c r="B312" s="59"/>
      <c r="D312" s="59"/>
      <c r="F312" s="59"/>
      <c r="H312" s="59"/>
      <c r="J312" s="59"/>
      <c r="L312" s="59"/>
      <c r="N312" s="59"/>
      <c r="P312" s="59"/>
      <c r="Q312" s="61"/>
    </row>
    <row r="313">
      <c r="B313" s="59"/>
      <c r="D313" s="59"/>
      <c r="F313" s="59"/>
      <c r="H313" s="59"/>
      <c r="J313" s="59"/>
      <c r="L313" s="59"/>
      <c r="N313" s="59"/>
      <c r="P313" s="59"/>
      <c r="Q313" s="61"/>
    </row>
    <row r="314">
      <c r="B314" s="59"/>
      <c r="D314" s="59"/>
      <c r="F314" s="59"/>
      <c r="H314" s="59"/>
      <c r="J314" s="59"/>
      <c r="L314" s="59"/>
      <c r="N314" s="59"/>
      <c r="P314" s="59"/>
      <c r="Q314" s="61"/>
    </row>
    <row r="315">
      <c r="B315" s="59"/>
      <c r="D315" s="59"/>
      <c r="F315" s="59"/>
      <c r="H315" s="59"/>
      <c r="J315" s="59"/>
      <c r="L315" s="59"/>
      <c r="N315" s="59"/>
      <c r="P315" s="59"/>
      <c r="Q315" s="61"/>
    </row>
    <row r="316">
      <c r="B316" s="59"/>
      <c r="D316" s="59"/>
      <c r="F316" s="59"/>
      <c r="H316" s="59"/>
      <c r="J316" s="59"/>
      <c r="L316" s="59"/>
      <c r="N316" s="59"/>
      <c r="P316" s="59"/>
      <c r="Q316" s="61"/>
    </row>
    <row r="317">
      <c r="B317" s="59"/>
      <c r="D317" s="59"/>
      <c r="F317" s="59"/>
      <c r="H317" s="59"/>
      <c r="J317" s="59"/>
      <c r="L317" s="59"/>
      <c r="N317" s="59"/>
      <c r="P317" s="59"/>
      <c r="Q317" s="61"/>
    </row>
    <row r="318">
      <c r="B318" s="59"/>
      <c r="D318" s="59"/>
      <c r="F318" s="59"/>
      <c r="H318" s="59"/>
      <c r="J318" s="59"/>
      <c r="L318" s="59"/>
      <c r="N318" s="59"/>
      <c r="P318" s="59"/>
      <c r="Q318" s="61"/>
    </row>
    <row r="319">
      <c r="B319" s="59"/>
      <c r="D319" s="59"/>
      <c r="F319" s="59"/>
      <c r="H319" s="59"/>
      <c r="J319" s="59"/>
      <c r="L319" s="59"/>
      <c r="N319" s="59"/>
      <c r="P319" s="59"/>
      <c r="Q319" s="61"/>
    </row>
    <row r="320">
      <c r="B320" s="59"/>
      <c r="D320" s="59"/>
      <c r="F320" s="59"/>
      <c r="H320" s="59"/>
      <c r="J320" s="59"/>
      <c r="L320" s="59"/>
      <c r="N320" s="59"/>
      <c r="P320" s="59"/>
      <c r="Q320" s="61"/>
    </row>
    <row r="321">
      <c r="B321" s="59"/>
      <c r="D321" s="59"/>
      <c r="F321" s="59"/>
      <c r="H321" s="59"/>
      <c r="J321" s="59"/>
      <c r="L321" s="59"/>
      <c r="N321" s="59"/>
      <c r="P321" s="59"/>
      <c r="Q321" s="61"/>
    </row>
    <row r="322">
      <c r="B322" s="59"/>
      <c r="D322" s="59"/>
      <c r="F322" s="59"/>
      <c r="H322" s="59"/>
      <c r="J322" s="59"/>
      <c r="L322" s="59"/>
      <c r="N322" s="59"/>
      <c r="P322" s="59"/>
      <c r="Q322" s="61"/>
    </row>
    <row r="323">
      <c r="B323" s="59"/>
      <c r="D323" s="59"/>
      <c r="F323" s="59"/>
      <c r="H323" s="59"/>
      <c r="J323" s="59"/>
      <c r="L323" s="59"/>
      <c r="N323" s="59"/>
      <c r="P323" s="59"/>
      <c r="Q323" s="61"/>
    </row>
    <row r="324">
      <c r="B324" s="59"/>
      <c r="D324" s="59"/>
      <c r="F324" s="59"/>
      <c r="H324" s="59"/>
      <c r="J324" s="59"/>
      <c r="L324" s="59"/>
      <c r="N324" s="59"/>
      <c r="P324" s="59"/>
      <c r="Q324" s="61"/>
    </row>
    <row r="325">
      <c r="B325" s="59"/>
      <c r="D325" s="59"/>
      <c r="F325" s="59"/>
      <c r="H325" s="59"/>
      <c r="J325" s="59"/>
      <c r="L325" s="59"/>
      <c r="N325" s="59"/>
      <c r="P325" s="59"/>
      <c r="Q325" s="61"/>
    </row>
    <row r="326">
      <c r="B326" s="59"/>
      <c r="D326" s="59"/>
      <c r="F326" s="59"/>
      <c r="H326" s="59"/>
      <c r="J326" s="59"/>
      <c r="L326" s="59"/>
      <c r="N326" s="59"/>
      <c r="P326" s="59"/>
      <c r="Q326" s="61"/>
    </row>
    <row r="327">
      <c r="B327" s="59"/>
      <c r="D327" s="59"/>
      <c r="F327" s="59"/>
      <c r="H327" s="59"/>
      <c r="J327" s="59"/>
      <c r="L327" s="59"/>
      <c r="N327" s="59"/>
      <c r="P327" s="59"/>
      <c r="Q327" s="61"/>
    </row>
    <row r="328">
      <c r="B328" s="59"/>
      <c r="D328" s="59"/>
      <c r="F328" s="59"/>
      <c r="H328" s="59"/>
      <c r="J328" s="59"/>
      <c r="L328" s="59"/>
      <c r="N328" s="59"/>
      <c r="P328" s="59"/>
      <c r="Q328" s="61"/>
    </row>
    <row r="329">
      <c r="B329" s="59"/>
      <c r="D329" s="59"/>
      <c r="F329" s="59"/>
      <c r="H329" s="59"/>
      <c r="J329" s="59"/>
      <c r="L329" s="59"/>
      <c r="N329" s="59"/>
      <c r="P329" s="59"/>
      <c r="Q329" s="61"/>
    </row>
    <row r="330">
      <c r="B330" s="59"/>
      <c r="D330" s="59"/>
      <c r="F330" s="59"/>
      <c r="H330" s="59"/>
      <c r="J330" s="59"/>
      <c r="L330" s="59"/>
      <c r="N330" s="59"/>
      <c r="P330" s="59"/>
      <c r="Q330" s="61"/>
    </row>
    <row r="331">
      <c r="B331" s="59"/>
      <c r="D331" s="59"/>
      <c r="F331" s="59"/>
      <c r="H331" s="59"/>
      <c r="J331" s="59"/>
      <c r="L331" s="59"/>
      <c r="N331" s="59"/>
      <c r="P331" s="59"/>
      <c r="Q331" s="61"/>
    </row>
    <row r="332">
      <c r="B332" s="59"/>
      <c r="D332" s="59"/>
      <c r="F332" s="59"/>
      <c r="H332" s="59"/>
      <c r="J332" s="59"/>
      <c r="L332" s="59"/>
      <c r="N332" s="59"/>
      <c r="P332" s="59"/>
      <c r="Q332" s="61"/>
    </row>
    <row r="333">
      <c r="B333" s="59"/>
      <c r="D333" s="59"/>
      <c r="F333" s="59"/>
      <c r="H333" s="59"/>
      <c r="J333" s="59"/>
      <c r="L333" s="59"/>
      <c r="N333" s="59"/>
      <c r="P333" s="59"/>
      <c r="Q333" s="61"/>
    </row>
    <row r="334">
      <c r="B334" s="59"/>
      <c r="D334" s="59"/>
      <c r="F334" s="59"/>
      <c r="H334" s="59"/>
      <c r="J334" s="59"/>
      <c r="L334" s="59"/>
      <c r="N334" s="59"/>
      <c r="P334" s="59"/>
      <c r="Q334" s="61"/>
    </row>
    <row r="335">
      <c r="B335" s="59"/>
      <c r="D335" s="59"/>
      <c r="F335" s="59"/>
      <c r="H335" s="59"/>
      <c r="J335" s="59"/>
      <c r="L335" s="59"/>
      <c r="N335" s="59"/>
      <c r="P335" s="59"/>
      <c r="Q335" s="61"/>
    </row>
    <row r="336">
      <c r="B336" s="59"/>
      <c r="D336" s="59"/>
      <c r="F336" s="59"/>
      <c r="H336" s="59"/>
      <c r="J336" s="59"/>
      <c r="L336" s="59"/>
      <c r="N336" s="59"/>
      <c r="P336" s="59"/>
      <c r="Q336" s="61"/>
    </row>
    <row r="337">
      <c r="B337" s="59"/>
      <c r="D337" s="59"/>
      <c r="F337" s="59"/>
      <c r="H337" s="59"/>
      <c r="J337" s="59"/>
      <c r="L337" s="59"/>
      <c r="N337" s="59"/>
      <c r="P337" s="59"/>
      <c r="Q337" s="61"/>
    </row>
    <row r="338">
      <c r="B338" s="59"/>
      <c r="D338" s="59"/>
      <c r="F338" s="59"/>
      <c r="H338" s="59"/>
      <c r="J338" s="59"/>
      <c r="L338" s="59"/>
      <c r="N338" s="59"/>
      <c r="P338" s="59"/>
      <c r="Q338" s="61"/>
    </row>
    <row r="339">
      <c r="B339" s="59"/>
      <c r="D339" s="59"/>
      <c r="F339" s="59"/>
      <c r="H339" s="59"/>
      <c r="J339" s="59"/>
      <c r="L339" s="59"/>
      <c r="N339" s="59"/>
      <c r="P339" s="59"/>
      <c r="Q339" s="61"/>
    </row>
    <row r="340">
      <c r="B340" s="59"/>
      <c r="D340" s="59"/>
      <c r="F340" s="59"/>
      <c r="H340" s="59"/>
      <c r="J340" s="59"/>
      <c r="L340" s="59"/>
      <c r="N340" s="59"/>
      <c r="P340" s="59"/>
      <c r="Q340" s="61"/>
    </row>
    <row r="341">
      <c r="B341" s="59"/>
      <c r="D341" s="59"/>
      <c r="F341" s="59"/>
      <c r="H341" s="59"/>
      <c r="J341" s="59"/>
      <c r="L341" s="59"/>
      <c r="N341" s="59"/>
      <c r="P341" s="59"/>
      <c r="Q341" s="61"/>
    </row>
    <row r="342">
      <c r="B342" s="59"/>
      <c r="D342" s="59"/>
      <c r="F342" s="59"/>
      <c r="H342" s="59"/>
      <c r="J342" s="59"/>
      <c r="L342" s="59"/>
      <c r="N342" s="59"/>
      <c r="P342" s="59"/>
      <c r="Q342" s="61"/>
    </row>
    <row r="343">
      <c r="B343" s="59"/>
      <c r="D343" s="59"/>
      <c r="F343" s="59"/>
      <c r="H343" s="59"/>
      <c r="J343" s="59"/>
      <c r="L343" s="59"/>
      <c r="N343" s="59"/>
      <c r="P343" s="59"/>
      <c r="Q343" s="61"/>
    </row>
    <row r="344">
      <c r="B344" s="59"/>
      <c r="D344" s="59"/>
      <c r="F344" s="59"/>
      <c r="H344" s="59"/>
      <c r="J344" s="59"/>
      <c r="L344" s="59"/>
      <c r="N344" s="59"/>
      <c r="P344" s="59"/>
      <c r="Q344" s="61"/>
    </row>
    <row r="345">
      <c r="B345" s="59"/>
      <c r="D345" s="59"/>
      <c r="F345" s="59"/>
      <c r="H345" s="59"/>
      <c r="J345" s="59"/>
      <c r="L345" s="59"/>
      <c r="N345" s="59"/>
      <c r="P345" s="59"/>
      <c r="Q345" s="61"/>
    </row>
    <row r="346">
      <c r="B346" s="59"/>
      <c r="D346" s="59"/>
      <c r="F346" s="59"/>
      <c r="H346" s="59"/>
      <c r="J346" s="59"/>
      <c r="L346" s="59"/>
      <c r="N346" s="59"/>
      <c r="P346" s="59"/>
      <c r="Q346" s="61"/>
    </row>
    <row r="347">
      <c r="B347" s="59"/>
      <c r="D347" s="59"/>
      <c r="F347" s="59"/>
      <c r="H347" s="59"/>
      <c r="J347" s="59"/>
      <c r="L347" s="59"/>
      <c r="N347" s="59"/>
      <c r="P347" s="59"/>
      <c r="Q347" s="61"/>
    </row>
    <row r="348">
      <c r="B348" s="59"/>
      <c r="D348" s="59"/>
      <c r="F348" s="59"/>
      <c r="H348" s="59"/>
      <c r="J348" s="59"/>
      <c r="L348" s="59"/>
      <c r="N348" s="59"/>
      <c r="P348" s="59"/>
      <c r="Q348" s="61"/>
    </row>
    <row r="349">
      <c r="B349" s="59"/>
      <c r="D349" s="59"/>
      <c r="F349" s="59"/>
      <c r="H349" s="59"/>
      <c r="J349" s="59"/>
      <c r="L349" s="59"/>
      <c r="N349" s="59"/>
      <c r="P349" s="59"/>
      <c r="Q349" s="61"/>
    </row>
    <row r="350">
      <c r="B350" s="59"/>
      <c r="D350" s="59"/>
      <c r="F350" s="59"/>
      <c r="H350" s="59"/>
      <c r="J350" s="59"/>
      <c r="L350" s="59"/>
      <c r="N350" s="59"/>
      <c r="P350" s="59"/>
      <c r="Q350" s="61"/>
    </row>
    <row r="351">
      <c r="B351" s="59"/>
      <c r="D351" s="59"/>
      <c r="F351" s="59"/>
      <c r="H351" s="59"/>
      <c r="J351" s="59"/>
      <c r="L351" s="59"/>
      <c r="N351" s="59"/>
      <c r="P351" s="59"/>
      <c r="Q351" s="61"/>
    </row>
    <row r="352">
      <c r="B352" s="59"/>
      <c r="D352" s="59"/>
      <c r="F352" s="59"/>
      <c r="H352" s="59"/>
      <c r="J352" s="59"/>
      <c r="L352" s="59"/>
      <c r="N352" s="59"/>
      <c r="P352" s="59"/>
      <c r="Q352" s="61"/>
    </row>
    <row r="353">
      <c r="B353" s="59"/>
      <c r="D353" s="59"/>
      <c r="F353" s="59"/>
      <c r="H353" s="59"/>
      <c r="J353" s="59"/>
      <c r="L353" s="59"/>
      <c r="N353" s="59"/>
      <c r="P353" s="59"/>
      <c r="Q353" s="61"/>
    </row>
    <row r="354">
      <c r="B354" s="59"/>
      <c r="D354" s="59"/>
      <c r="F354" s="59"/>
      <c r="H354" s="59"/>
      <c r="J354" s="59"/>
      <c r="L354" s="59"/>
      <c r="N354" s="59"/>
      <c r="P354" s="59"/>
      <c r="Q354" s="61"/>
    </row>
    <row r="355">
      <c r="B355" s="59"/>
      <c r="D355" s="59"/>
      <c r="F355" s="59"/>
      <c r="H355" s="59"/>
      <c r="J355" s="59"/>
      <c r="L355" s="59"/>
      <c r="N355" s="59"/>
      <c r="P355" s="59"/>
      <c r="Q355" s="61"/>
    </row>
    <row r="356">
      <c r="B356" s="59"/>
      <c r="D356" s="59"/>
      <c r="F356" s="59"/>
      <c r="H356" s="59"/>
      <c r="J356" s="59"/>
      <c r="L356" s="59"/>
      <c r="N356" s="59"/>
      <c r="P356" s="59"/>
      <c r="Q356" s="61"/>
    </row>
    <row r="357">
      <c r="B357" s="59"/>
      <c r="D357" s="59"/>
      <c r="F357" s="59"/>
      <c r="H357" s="59"/>
      <c r="J357" s="59"/>
      <c r="L357" s="59"/>
      <c r="N357" s="59"/>
      <c r="P357" s="59"/>
      <c r="Q357" s="61"/>
    </row>
    <row r="358">
      <c r="B358" s="59"/>
      <c r="D358" s="59"/>
      <c r="F358" s="59"/>
      <c r="H358" s="59"/>
      <c r="J358" s="59"/>
      <c r="L358" s="59"/>
      <c r="N358" s="59"/>
      <c r="P358" s="59"/>
      <c r="Q358" s="61"/>
    </row>
    <row r="359">
      <c r="B359" s="59"/>
      <c r="D359" s="59"/>
      <c r="F359" s="59"/>
      <c r="H359" s="59"/>
      <c r="J359" s="59"/>
      <c r="L359" s="59"/>
      <c r="N359" s="59"/>
      <c r="P359" s="59"/>
      <c r="Q359" s="61"/>
    </row>
    <row r="360">
      <c r="B360" s="59"/>
      <c r="D360" s="59"/>
      <c r="F360" s="59"/>
      <c r="H360" s="59"/>
      <c r="J360" s="59"/>
      <c r="L360" s="59"/>
      <c r="N360" s="59"/>
      <c r="P360" s="59"/>
      <c r="Q360" s="61"/>
    </row>
    <row r="361">
      <c r="B361" s="59"/>
      <c r="D361" s="59"/>
      <c r="F361" s="59"/>
      <c r="H361" s="59"/>
      <c r="J361" s="59"/>
      <c r="L361" s="59"/>
      <c r="N361" s="59"/>
      <c r="P361" s="59"/>
      <c r="Q361" s="61"/>
    </row>
    <row r="362">
      <c r="B362" s="59"/>
      <c r="D362" s="59"/>
      <c r="F362" s="59"/>
      <c r="H362" s="59"/>
      <c r="J362" s="59"/>
      <c r="L362" s="59"/>
      <c r="N362" s="59"/>
      <c r="P362" s="59"/>
      <c r="Q362" s="61"/>
    </row>
    <row r="363">
      <c r="B363" s="59"/>
      <c r="D363" s="59"/>
      <c r="F363" s="59"/>
      <c r="H363" s="59"/>
      <c r="J363" s="59"/>
      <c r="L363" s="59"/>
      <c r="N363" s="59"/>
      <c r="P363" s="59"/>
      <c r="Q363" s="61"/>
    </row>
    <row r="364">
      <c r="B364" s="59"/>
      <c r="D364" s="59"/>
      <c r="F364" s="59"/>
      <c r="H364" s="59"/>
      <c r="J364" s="59"/>
      <c r="L364" s="59"/>
      <c r="N364" s="59"/>
      <c r="P364" s="59"/>
      <c r="Q364" s="61"/>
    </row>
    <row r="365">
      <c r="B365" s="59"/>
      <c r="D365" s="59"/>
      <c r="F365" s="59"/>
      <c r="H365" s="59"/>
      <c r="J365" s="59"/>
      <c r="L365" s="59"/>
      <c r="N365" s="59"/>
      <c r="P365" s="59"/>
      <c r="Q365" s="61"/>
    </row>
    <row r="366">
      <c r="B366" s="59"/>
      <c r="D366" s="59"/>
      <c r="F366" s="59"/>
      <c r="H366" s="59"/>
      <c r="J366" s="59"/>
      <c r="L366" s="59"/>
      <c r="N366" s="59"/>
      <c r="P366" s="59"/>
      <c r="Q366" s="61"/>
    </row>
    <row r="367">
      <c r="B367" s="59"/>
      <c r="D367" s="59"/>
      <c r="F367" s="59"/>
      <c r="H367" s="59"/>
      <c r="J367" s="59"/>
      <c r="L367" s="59"/>
      <c r="N367" s="59"/>
      <c r="P367" s="59"/>
      <c r="Q367" s="61"/>
    </row>
    <row r="368">
      <c r="B368" s="59"/>
      <c r="D368" s="59"/>
      <c r="F368" s="59"/>
      <c r="H368" s="59"/>
      <c r="J368" s="59"/>
      <c r="L368" s="59"/>
      <c r="N368" s="59"/>
      <c r="P368" s="59"/>
      <c r="Q368" s="61"/>
    </row>
    <row r="369">
      <c r="B369" s="59"/>
      <c r="D369" s="59"/>
      <c r="F369" s="59"/>
      <c r="H369" s="59"/>
      <c r="J369" s="59"/>
      <c r="L369" s="59"/>
      <c r="N369" s="59"/>
      <c r="P369" s="59"/>
      <c r="Q369" s="61"/>
    </row>
    <row r="370">
      <c r="B370" s="59"/>
      <c r="D370" s="59"/>
      <c r="F370" s="59"/>
      <c r="H370" s="59"/>
      <c r="J370" s="59"/>
      <c r="L370" s="59"/>
      <c r="N370" s="59"/>
      <c r="P370" s="59"/>
      <c r="Q370" s="61"/>
    </row>
    <row r="371">
      <c r="B371" s="59"/>
      <c r="D371" s="59"/>
      <c r="F371" s="59"/>
      <c r="H371" s="59"/>
      <c r="J371" s="59"/>
      <c r="L371" s="59"/>
      <c r="N371" s="59"/>
      <c r="P371" s="59"/>
      <c r="Q371" s="61"/>
    </row>
    <row r="372">
      <c r="B372" s="59"/>
      <c r="D372" s="59"/>
      <c r="F372" s="59"/>
      <c r="H372" s="59"/>
      <c r="J372" s="59"/>
      <c r="L372" s="59"/>
      <c r="N372" s="59"/>
      <c r="P372" s="59"/>
      <c r="Q372" s="61"/>
    </row>
    <row r="373">
      <c r="B373" s="59"/>
      <c r="D373" s="59"/>
      <c r="F373" s="59"/>
      <c r="H373" s="59"/>
      <c r="J373" s="59"/>
      <c r="L373" s="59"/>
      <c r="N373" s="59"/>
      <c r="P373" s="59"/>
      <c r="Q373" s="61"/>
    </row>
    <row r="374">
      <c r="B374" s="59"/>
      <c r="D374" s="59"/>
      <c r="F374" s="59"/>
      <c r="H374" s="59"/>
      <c r="J374" s="59"/>
      <c r="L374" s="59"/>
      <c r="N374" s="59"/>
      <c r="P374" s="59"/>
      <c r="Q374" s="61"/>
    </row>
    <row r="375">
      <c r="B375" s="59"/>
      <c r="D375" s="59"/>
      <c r="F375" s="59"/>
      <c r="H375" s="59"/>
      <c r="J375" s="59"/>
      <c r="L375" s="59"/>
      <c r="N375" s="59"/>
      <c r="P375" s="59"/>
      <c r="Q375" s="61"/>
    </row>
    <row r="376">
      <c r="B376" s="59"/>
      <c r="D376" s="59"/>
      <c r="F376" s="59"/>
      <c r="H376" s="59"/>
      <c r="J376" s="59"/>
      <c r="L376" s="59"/>
      <c r="N376" s="59"/>
      <c r="P376" s="59"/>
      <c r="Q376" s="61"/>
    </row>
    <row r="377">
      <c r="B377" s="59"/>
      <c r="D377" s="59"/>
      <c r="F377" s="59"/>
      <c r="H377" s="59"/>
      <c r="J377" s="59"/>
      <c r="L377" s="59"/>
      <c r="N377" s="59"/>
      <c r="P377" s="59"/>
      <c r="Q377" s="61"/>
    </row>
    <row r="378">
      <c r="B378" s="59"/>
      <c r="D378" s="59"/>
      <c r="F378" s="59"/>
      <c r="H378" s="59"/>
      <c r="J378" s="59"/>
      <c r="L378" s="59"/>
      <c r="N378" s="59"/>
      <c r="P378" s="59"/>
      <c r="Q378" s="61"/>
    </row>
    <row r="379">
      <c r="B379" s="59"/>
      <c r="D379" s="59"/>
      <c r="F379" s="59"/>
      <c r="H379" s="59"/>
      <c r="J379" s="59"/>
      <c r="L379" s="59"/>
      <c r="N379" s="59"/>
      <c r="P379" s="59"/>
      <c r="Q379" s="61"/>
    </row>
    <row r="380">
      <c r="B380" s="59"/>
      <c r="D380" s="59"/>
      <c r="F380" s="59"/>
      <c r="H380" s="59"/>
      <c r="J380" s="59"/>
      <c r="L380" s="59"/>
      <c r="N380" s="59"/>
      <c r="P380" s="59"/>
      <c r="Q380" s="61"/>
    </row>
    <row r="381">
      <c r="B381" s="59"/>
      <c r="D381" s="59"/>
      <c r="F381" s="59"/>
      <c r="H381" s="59"/>
      <c r="J381" s="59"/>
      <c r="L381" s="59"/>
      <c r="N381" s="59"/>
      <c r="P381" s="59"/>
      <c r="Q381" s="61"/>
    </row>
    <row r="382">
      <c r="B382" s="59"/>
      <c r="D382" s="59"/>
      <c r="F382" s="59"/>
      <c r="H382" s="59"/>
      <c r="J382" s="59"/>
      <c r="L382" s="59"/>
      <c r="N382" s="59"/>
      <c r="P382" s="59"/>
      <c r="Q382" s="61"/>
    </row>
    <row r="383">
      <c r="B383" s="59"/>
      <c r="D383" s="59"/>
      <c r="F383" s="59"/>
      <c r="H383" s="59"/>
      <c r="J383" s="59"/>
      <c r="L383" s="59"/>
      <c r="N383" s="59"/>
      <c r="P383" s="59"/>
      <c r="Q383" s="61"/>
    </row>
    <row r="384">
      <c r="B384" s="59"/>
      <c r="D384" s="59"/>
      <c r="F384" s="59"/>
      <c r="H384" s="59"/>
      <c r="J384" s="59"/>
      <c r="L384" s="59"/>
      <c r="N384" s="59"/>
      <c r="P384" s="59"/>
      <c r="Q384" s="61"/>
    </row>
    <row r="385">
      <c r="B385" s="59"/>
      <c r="D385" s="59"/>
      <c r="F385" s="59"/>
      <c r="H385" s="59"/>
      <c r="J385" s="59"/>
      <c r="L385" s="59"/>
      <c r="N385" s="59"/>
      <c r="P385" s="59"/>
      <c r="Q385" s="61"/>
    </row>
    <row r="386">
      <c r="B386" s="59"/>
      <c r="D386" s="59"/>
      <c r="F386" s="59"/>
      <c r="H386" s="59"/>
      <c r="J386" s="59"/>
      <c r="L386" s="59"/>
      <c r="N386" s="59"/>
      <c r="P386" s="59"/>
      <c r="Q386" s="61"/>
    </row>
    <row r="387">
      <c r="B387" s="59"/>
      <c r="D387" s="59"/>
      <c r="F387" s="59"/>
      <c r="H387" s="59"/>
      <c r="J387" s="59"/>
      <c r="L387" s="59"/>
      <c r="N387" s="59"/>
      <c r="P387" s="59"/>
      <c r="Q387" s="61"/>
    </row>
    <row r="388">
      <c r="B388" s="59"/>
      <c r="D388" s="59"/>
      <c r="F388" s="59"/>
      <c r="H388" s="59"/>
      <c r="J388" s="59"/>
      <c r="L388" s="59"/>
      <c r="N388" s="59"/>
      <c r="P388" s="59"/>
      <c r="Q388" s="61"/>
    </row>
    <row r="389">
      <c r="B389" s="59"/>
      <c r="D389" s="59"/>
      <c r="F389" s="59"/>
      <c r="H389" s="59"/>
      <c r="J389" s="59"/>
      <c r="L389" s="59"/>
      <c r="N389" s="59"/>
      <c r="P389" s="59"/>
      <c r="Q389" s="61"/>
    </row>
    <row r="390">
      <c r="B390" s="59"/>
      <c r="D390" s="59"/>
      <c r="F390" s="59"/>
      <c r="H390" s="59"/>
      <c r="J390" s="59"/>
      <c r="L390" s="59"/>
      <c r="N390" s="59"/>
      <c r="P390" s="59"/>
      <c r="Q390" s="61"/>
    </row>
    <row r="391">
      <c r="B391" s="59"/>
      <c r="D391" s="59"/>
      <c r="F391" s="59"/>
      <c r="H391" s="59"/>
      <c r="J391" s="59"/>
      <c r="L391" s="59"/>
      <c r="N391" s="59"/>
      <c r="P391" s="59"/>
      <c r="Q391" s="61"/>
    </row>
    <row r="392">
      <c r="B392" s="59"/>
      <c r="D392" s="59"/>
      <c r="F392" s="59"/>
      <c r="H392" s="59"/>
      <c r="J392" s="59"/>
      <c r="L392" s="59"/>
      <c r="N392" s="59"/>
      <c r="P392" s="59"/>
      <c r="Q392" s="61"/>
    </row>
    <row r="393">
      <c r="B393" s="59"/>
      <c r="D393" s="59"/>
      <c r="F393" s="59"/>
      <c r="H393" s="59"/>
      <c r="J393" s="59"/>
      <c r="L393" s="59"/>
      <c r="N393" s="59"/>
      <c r="P393" s="59"/>
      <c r="Q393" s="61"/>
    </row>
    <row r="394">
      <c r="B394" s="59"/>
      <c r="D394" s="59"/>
      <c r="F394" s="59"/>
      <c r="H394" s="59"/>
      <c r="J394" s="59"/>
      <c r="L394" s="59"/>
      <c r="N394" s="59"/>
      <c r="P394" s="59"/>
      <c r="Q394" s="61"/>
    </row>
    <row r="395">
      <c r="B395" s="59"/>
      <c r="D395" s="59"/>
      <c r="F395" s="59"/>
      <c r="H395" s="59"/>
      <c r="J395" s="59"/>
      <c r="L395" s="59"/>
      <c r="N395" s="59"/>
      <c r="P395" s="59"/>
      <c r="Q395" s="61"/>
    </row>
    <row r="396">
      <c r="B396" s="59"/>
      <c r="D396" s="59"/>
      <c r="F396" s="59"/>
      <c r="H396" s="59"/>
      <c r="J396" s="59"/>
      <c r="L396" s="59"/>
      <c r="N396" s="59"/>
      <c r="P396" s="59"/>
      <c r="Q396" s="61"/>
    </row>
    <row r="397">
      <c r="B397" s="59"/>
      <c r="D397" s="59"/>
      <c r="F397" s="59"/>
      <c r="H397" s="59"/>
      <c r="J397" s="59"/>
      <c r="L397" s="59"/>
      <c r="N397" s="59"/>
      <c r="P397" s="59"/>
      <c r="Q397" s="61"/>
    </row>
    <row r="398">
      <c r="B398" s="59"/>
      <c r="D398" s="59"/>
      <c r="F398" s="59"/>
      <c r="H398" s="59"/>
      <c r="J398" s="59"/>
      <c r="L398" s="59"/>
      <c r="N398" s="59"/>
      <c r="P398" s="59"/>
      <c r="Q398" s="61"/>
    </row>
    <row r="399">
      <c r="B399" s="59"/>
      <c r="D399" s="59"/>
      <c r="F399" s="59"/>
      <c r="H399" s="59"/>
      <c r="J399" s="59"/>
      <c r="L399" s="59"/>
      <c r="N399" s="59"/>
      <c r="P399" s="59"/>
      <c r="Q399" s="61"/>
    </row>
    <row r="400">
      <c r="B400" s="59"/>
      <c r="D400" s="59"/>
      <c r="F400" s="59"/>
      <c r="H400" s="59"/>
      <c r="J400" s="59"/>
      <c r="L400" s="59"/>
      <c r="N400" s="59"/>
      <c r="P400" s="59"/>
      <c r="Q400" s="61"/>
    </row>
    <row r="401">
      <c r="B401" s="59"/>
      <c r="D401" s="59"/>
      <c r="F401" s="59"/>
      <c r="H401" s="59"/>
      <c r="J401" s="59"/>
      <c r="L401" s="59"/>
      <c r="N401" s="59"/>
      <c r="P401" s="59"/>
      <c r="Q401" s="61"/>
    </row>
    <row r="402">
      <c r="B402" s="59"/>
      <c r="D402" s="59"/>
      <c r="F402" s="59"/>
      <c r="H402" s="59"/>
      <c r="J402" s="59"/>
      <c r="L402" s="59"/>
      <c r="N402" s="59"/>
      <c r="P402" s="59"/>
      <c r="Q402" s="61"/>
    </row>
    <row r="403">
      <c r="B403" s="59"/>
      <c r="D403" s="59"/>
      <c r="F403" s="59"/>
      <c r="H403" s="59"/>
      <c r="J403" s="59"/>
      <c r="L403" s="59"/>
      <c r="N403" s="59"/>
      <c r="P403" s="59"/>
      <c r="Q403" s="61"/>
    </row>
    <row r="404">
      <c r="B404" s="59"/>
      <c r="D404" s="59"/>
      <c r="F404" s="59"/>
      <c r="H404" s="59"/>
      <c r="J404" s="59"/>
      <c r="L404" s="59"/>
      <c r="N404" s="59"/>
      <c r="P404" s="59"/>
      <c r="Q404" s="61"/>
    </row>
    <row r="405">
      <c r="B405" s="59"/>
      <c r="D405" s="59"/>
      <c r="F405" s="59"/>
      <c r="H405" s="59"/>
      <c r="J405" s="59"/>
      <c r="L405" s="59"/>
      <c r="N405" s="59"/>
      <c r="P405" s="59"/>
      <c r="Q405" s="61"/>
    </row>
    <row r="406">
      <c r="B406" s="59"/>
      <c r="D406" s="59"/>
      <c r="F406" s="59"/>
      <c r="H406" s="59"/>
      <c r="J406" s="59"/>
      <c r="L406" s="59"/>
      <c r="N406" s="59"/>
      <c r="P406" s="59"/>
      <c r="Q406" s="61"/>
    </row>
    <row r="407">
      <c r="B407" s="59"/>
      <c r="D407" s="59"/>
      <c r="F407" s="59"/>
      <c r="H407" s="59"/>
      <c r="J407" s="59"/>
      <c r="L407" s="59"/>
      <c r="N407" s="59"/>
      <c r="P407" s="59"/>
      <c r="Q407" s="61"/>
    </row>
    <row r="408">
      <c r="B408" s="59"/>
      <c r="D408" s="59"/>
      <c r="F408" s="59"/>
      <c r="H408" s="59"/>
      <c r="J408" s="59"/>
      <c r="L408" s="59"/>
      <c r="N408" s="59"/>
      <c r="P408" s="59"/>
      <c r="Q408" s="61"/>
    </row>
    <row r="409">
      <c r="B409" s="59"/>
      <c r="D409" s="59"/>
      <c r="F409" s="59"/>
      <c r="H409" s="59"/>
      <c r="J409" s="59"/>
      <c r="L409" s="59"/>
      <c r="N409" s="59"/>
      <c r="P409" s="59"/>
      <c r="Q409" s="61"/>
    </row>
    <row r="410">
      <c r="B410" s="59"/>
      <c r="D410" s="59"/>
      <c r="F410" s="59"/>
      <c r="H410" s="59"/>
      <c r="J410" s="59"/>
      <c r="L410" s="59"/>
      <c r="N410" s="59"/>
      <c r="P410" s="59"/>
      <c r="Q410" s="61"/>
    </row>
    <row r="411">
      <c r="B411" s="59"/>
      <c r="D411" s="59"/>
      <c r="F411" s="59"/>
      <c r="H411" s="59"/>
      <c r="J411" s="59"/>
      <c r="L411" s="59"/>
      <c r="N411" s="59"/>
      <c r="P411" s="59"/>
      <c r="Q411" s="61"/>
    </row>
    <row r="412">
      <c r="B412" s="59"/>
      <c r="D412" s="59"/>
      <c r="F412" s="59"/>
      <c r="H412" s="59"/>
      <c r="J412" s="59"/>
      <c r="L412" s="59"/>
      <c r="N412" s="59"/>
      <c r="P412" s="59"/>
      <c r="Q412" s="61"/>
    </row>
    <row r="413">
      <c r="B413" s="59"/>
      <c r="D413" s="59"/>
      <c r="F413" s="59"/>
      <c r="H413" s="59"/>
      <c r="J413" s="59"/>
      <c r="L413" s="59"/>
      <c r="N413" s="59"/>
      <c r="P413" s="59"/>
      <c r="Q413" s="61"/>
    </row>
    <row r="414">
      <c r="B414" s="59"/>
      <c r="D414" s="59"/>
      <c r="F414" s="59"/>
      <c r="H414" s="59"/>
      <c r="J414" s="59"/>
      <c r="L414" s="59"/>
      <c r="N414" s="59"/>
      <c r="P414" s="59"/>
      <c r="Q414" s="61"/>
    </row>
    <row r="415">
      <c r="B415" s="59"/>
      <c r="D415" s="59"/>
      <c r="F415" s="59"/>
      <c r="H415" s="59"/>
      <c r="J415" s="59"/>
      <c r="L415" s="59"/>
      <c r="N415" s="59"/>
      <c r="P415" s="59"/>
      <c r="Q415" s="61"/>
    </row>
    <row r="416">
      <c r="B416" s="59"/>
      <c r="D416" s="59"/>
      <c r="F416" s="59"/>
      <c r="H416" s="59"/>
      <c r="J416" s="59"/>
      <c r="L416" s="59"/>
      <c r="N416" s="59"/>
      <c r="P416" s="59"/>
      <c r="Q416" s="61"/>
    </row>
    <row r="417">
      <c r="B417" s="59"/>
      <c r="D417" s="59"/>
      <c r="F417" s="59"/>
      <c r="H417" s="59"/>
      <c r="J417" s="59"/>
      <c r="L417" s="59"/>
      <c r="N417" s="59"/>
      <c r="P417" s="59"/>
      <c r="Q417" s="61"/>
    </row>
    <row r="418">
      <c r="B418" s="59"/>
      <c r="D418" s="59"/>
      <c r="F418" s="59"/>
      <c r="H418" s="59"/>
      <c r="J418" s="59"/>
      <c r="L418" s="59"/>
      <c r="N418" s="59"/>
      <c r="P418" s="59"/>
      <c r="Q418" s="61"/>
    </row>
    <row r="419">
      <c r="B419" s="59"/>
      <c r="D419" s="59"/>
      <c r="F419" s="59"/>
      <c r="H419" s="59"/>
      <c r="J419" s="59"/>
      <c r="L419" s="59"/>
      <c r="N419" s="59"/>
      <c r="P419" s="59"/>
      <c r="Q419" s="61"/>
    </row>
    <row r="420">
      <c r="B420" s="59"/>
      <c r="D420" s="59"/>
      <c r="F420" s="59"/>
      <c r="H420" s="59"/>
      <c r="J420" s="59"/>
      <c r="L420" s="59"/>
      <c r="N420" s="59"/>
      <c r="P420" s="59"/>
      <c r="Q420" s="61"/>
    </row>
    <row r="421">
      <c r="B421" s="59"/>
      <c r="D421" s="59"/>
      <c r="F421" s="59"/>
      <c r="H421" s="59"/>
      <c r="J421" s="59"/>
      <c r="L421" s="59"/>
      <c r="N421" s="59"/>
      <c r="P421" s="59"/>
      <c r="Q421" s="61"/>
    </row>
    <row r="422">
      <c r="B422" s="59"/>
      <c r="D422" s="59"/>
      <c r="F422" s="59"/>
      <c r="H422" s="59"/>
      <c r="J422" s="59"/>
      <c r="L422" s="59"/>
      <c r="N422" s="59"/>
      <c r="P422" s="59"/>
      <c r="Q422" s="61"/>
    </row>
    <row r="423">
      <c r="B423" s="59"/>
      <c r="D423" s="59"/>
      <c r="F423" s="59"/>
      <c r="H423" s="59"/>
      <c r="J423" s="59"/>
      <c r="L423" s="59"/>
      <c r="N423" s="59"/>
      <c r="P423" s="59"/>
      <c r="Q423" s="61"/>
    </row>
    <row r="424">
      <c r="B424" s="59"/>
      <c r="D424" s="59"/>
      <c r="F424" s="59"/>
      <c r="H424" s="59"/>
      <c r="J424" s="59"/>
      <c r="L424" s="59"/>
      <c r="N424" s="59"/>
      <c r="P424" s="59"/>
      <c r="Q424" s="61"/>
    </row>
    <row r="425">
      <c r="B425" s="59"/>
      <c r="D425" s="59"/>
      <c r="F425" s="59"/>
      <c r="H425" s="59"/>
      <c r="J425" s="59"/>
      <c r="L425" s="59"/>
      <c r="N425" s="59"/>
      <c r="P425" s="59"/>
      <c r="Q425" s="61"/>
    </row>
    <row r="426">
      <c r="B426" s="59"/>
      <c r="D426" s="59"/>
      <c r="F426" s="59"/>
      <c r="H426" s="59"/>
      <c r="J426" s="59"/>
      <c r="L426" s="59"/>
      <c r="N426" s="59"/>
      <c r="P426" s="59"/>
      <c r="Q426" s="61"/>
    </row>
    <row r="427">
      <c r="B427" s="59"/>
      <c r="D427" s="59"/>
      <c r="F427" s="59"/>
      <c r="H427" s="59"/>
      <c r="J427" s="59"/>
      <c r="L427" s="59"/>
      <c r="N427" s="59"/>
      <c r="P427" s="59"/>
      <c r="Q427" s="61"/>
    </row>
    <row r="428">
      <c r="B428" s="59"/>
      <c r="D428" s="59"/>
      <c r="F428" s="59"/>
      <c r="H428" s="59"/>
      <c r="J428" s="59"/>
      <c r="L428" s="59"/>
      <c r="N428" s="59"/>
      <c r="P428" s="59"/>
      <c r="Q428" s="61"/>
    </row>
    <row r="429">
      <c r="B429" s="59"/>
      <c r="D429" s="59"/>
      <c r="F429" s="59"/>
      <c r="H429" s="59"/>
      <c r="J429" s="59"/>
      <c r="L429" s="59"/>
      <c r="N429" s="59"/>
      <c r="P429" s="59"/>
      <c r="Q429" s="61"/>
    </row>
    <row r="430">
      <c r="B430" s="59"/>
      <c r="D430" s="59"/>
      <c r="F430" s="59"/>
      <c r="H430" s="59"/>
      <c r="J430" s="59"/>
      <c r="L430" s="59"/>
      <c r="N430" s="59"/>
      <c r="P430" s="59"/>
      <c r="Q430" s="61"/>
    </row>
    <row r="431">
      <c r="B431" s="59"/>
      <c r="D431" s="59"/>
      <c r="F431" s="59"/>
      <c r="H431" s="59"/>
      <c r="J431" s="59"/>
      <c r="L431" s="59"/>
      <c r="N431" s="59"/>
      <c r="P431" s="59"/>
      <c r="Q431" s="61"/>
    </row>
    <row r="432">
      <c r="B432" s="59"/>
      <c r="D432" s="59"/>
      <c r="F432" s="59"/>
      <c r="H432" s="59"/>
      <c r="J432" s="59"/>
      <c r="L432" s="59"/>
      <c r="N432" s="59"/>
      <c r="P432" s="59"/>
      <c r="Q432" s="61"/>
    </row>
    <row r="433">
      <c r="B433" s="59"/>
      <c r="D433" s="59"/>
      <c r="F433" s="59"/>
      <c r="H433" s="59"/>
      <c r="J433" s="59"/>
      <c r="L433" s="59"/>
      <c r="N433" s="59"/>
      <c r="P433" s="59"/>
      <c r="Q433" s="61"/>
    </row>
    <row r="434">
      <c r="B434" s="59"/>
      <c r="D434" s="59"/>
      <c r="F434" s="59"/>
      <c r="H434" s="59"/>
      <c r="J434" s="59"/>
      <c r="L434" s="59"/>
      <c r="N434" s="59"/>
      <c r="P434" s="59"/>
      <c r="Q434" s="61"/>
    </row>
    <row r="435">
      <c r="B435" s="59"/>
      <c r="D435" s="59"/>
      <c r="F435" s="59"/>
      <c r="H435" s="59"/>
      <c r="J435" s="59"/>
      <c r="L435" s="59"/>
      <c r="N435" s="59"/>
      <c r="P435" s="59"/>
      <c r="Q435" s="61"/>
    </row>
    <row r="436">
      <c r="B436" s="59"/>
      <c r="D436" s="59"/>
      <c r="F436" s="59"/>
      <c r="H436" s="59"/>
      <c r="J436" s="59"/>
      <c r="L436" s="59"/>
      <c r="N436" s="59"/>
      <c r="P436" s="59"/>
      <c r="Q436" s="61"/>
    </row>
    <row r="437">
      <c r="B437" s="59"/>
      <c r="D437" s="59"/>
      <c r="F437" s="59"/>
      <c r="H437" s="59"/>
      <c r="J437" s="59"/>
      <c r="L437" s="59"/>
      <c r="N437" s="59"/>
      <c r="P437" s="59"/>
      <c r="Q437" s="61"/>
    </row>
    <row r="438">
      <c r="B438" s="59"/>
      <c r="D438" s="59"/>
      <c r="F438" s="59"/>
      <c r="H438" s="59"/>
      <c r="J438" s="59"/>
      <c r="L438" s="59"/>
      <c r="N438" s="59"/>
      <c r="P438" s="59"/>
      <c r="Q438" s="61"/>
    </row>
    <row r="439">
      <c r="B439" s="59"/>
      <c r="D439" s="59"/>
      <c r="F439" s="59"/>
      <c r="H439" s="59"/>
      <c r="J439" s="59"/>
      <c r="L439" s="59"/>
      <c r="N439" s="59"/>
      <c r="P439" s="59"/>
      <c r="Q439" s="61"/>
    </row>
    <row r="440">
      <c r="B440" s="59"/>
      <c r="D440" s="59"/>
      <c r="F440" s="59"/>
      <c r="H440" s="59"/>
      <c r="J440" s="59"/>
      <c r="L440" s="59"/>
      <c r="N440" s="59"/>
      <c r="P440" s="59"/>
      <c r="Q440" s="61"/>
    </row>
    <row r="441">
      <c r="B441" s="59"/>
      <c r="D441" s="59"/>
      <c r="F441" s="59"/>
      <c r="H441" s="59"/>
      <c r="J441" s="59"/>
      <c r="L441" s="59"/>
      <c r="N441" s="59"/>
      <c r="P441" s="59"/>
      <c r="Q441" s="61"/>
    </row>
    <row r="442">
      <c r="B442" s="59"/>
      <c r="D442" s="59"/>
      <c r="F442" s="59"/>
      <c r="H442" s="59"/>
      <c r="J442" s="59"/>
      <c r="L442" s="59"/>
      <c r="N442" s="59"/>
      <c r="P442" s="59"/>
      <c r="Q442" s="61"/>
    </row>
    <row r="443">
      <c r="B443" s="59"/>
      <c r="D443" s="59"/>
      <c r="F443" s="59"/>
      <c r="H443" s="59"/>
      <c r="J443" s="59"/>
      <c r="L443" s="59"/>
      <c r="N443" s="59"/>
      <c r="P443" s="59"/>
      <c r="Q443" s="61"/>
    </row>
    <row r="444">
      <c r="B444" s="59"/>
      <c r="D444" s="59"/>
      <c r="F444" s="59"/>
      <c r="H444" s="59"/>
      <c r="J444" s="59"/>
      <c r="L444" s="59"/>
      <c r="N444" s="59"/>
      <c r="P444" s="59"/>
      <c r="Q444" s="61"/>
    </row>
    <row r="445">
      <c r="B445" s="59"/>
      <c r="D445" s="59"/>
      <c r="F445" s="59"/>
      <c r="H445" s="59"/>
      <c r="J445" s="59"/>
      <c r="L445" s="59"/>
      <c r="N445" s="59"/>
      <c r="P445" s="59"/>
      <c r="Q445" s="61"/>
    </row>
    <row r="446">
      <c r="B446" s="59"/>
      <c r="D446" s="59"/>
      <c r="F446" s="59"/>
      <c r="H446" s="59"/>
      <c r="J446" s="59"/>
      <c r="L446" s="59"/>
      <c r="N446" s="59"/>
      <c r="P446" s="59"/>
      <c r="Q446" s="61"/>
    </row>
    <row r="447">
      <c r="B447" s="59"/>
      <c r="D447" s="59"/>
      <c r="F447" s="59"/>
      <c r="H447" s="59"/>
      <c r="J447" s="59"/>
      <c r="L447" s="59"/>
      <c r="N447" s="59"/>
      <c r="P447" s="59"/>
      <c r="Q447" s="61"/>
    </row>
    <row r="448">
      <c r="B448" s="59"/>
      <c r="D448" s="59"/>
      <c r="F448" s="59"/>
      <c r="H448" s="59"/>
      <c r="J448" s="59"/>
      <c r="L448" s="59"/>
      <c r="N448" s="59"/>
      <c r="P448" s="59"/>
      <c r="Q448" s="61"/>
    </row>
    <row r="449">
      <c r="B449" s="59"/>
      <c r="D449" s="59"/>
      <c r="F449" s="59"/>
      <c r="H449" s="59"/>
      <c r="J449" s="59"/>
      <c r="L449" s="59"/>
      <c r="N449" s="59"/>
      <c r="P449" s="59"/>
      <c r="Q449" s="61"/>
    </row>
    <row r="450">
      <c r="B450" s="59"/>
      <c r="D450" s="59"/>
      <c r="F450" s="59"/>
      <c r="H450" s="59"/>
      <c r="J450" s="59"/>
      <c r="L450" s="59"/>
      <c r="N450" s="59"/>
      <c r="P450" s="59"/>
      <c r="Q450" s="61"/>
    </row>
    <row r="451">
      <c r="B451" s="59"/>
      <c r="D451" s="59"/>
      <c r="F451" s="59"/>
      <c r="H451" s="59"/>
      <c r="J451" s="59"/>
      <c r="L451" s="59"/>
      <c r="N451" s="59"/>
      <c r="P451" s="59"/>
      <c r="Q451" s="61"/>
    </row>
    <row r="452">
      <c r="B452" s="59"/>
      <c r="D452" s="59"/>
      <c r="F452" s="59"/>
      <c r="H452" s="59"/>
      <c r="J452" s="59"/>
      <c r="L452" s="59"/>
      <c r="N452" s="59"/>
      <c r="P452" s="59"/>
      <c r="Q452" s="61"/>
    </row>
    <row r="453">
      <c r="B453" s="59"/>
      <c r="D453" s="59"/>
      <c r="F453" s="59"/>
      <c r="H453" s="59"/>
      <c r="J453" s="59"/>
      <c r="L453" s="59"/>
      <c r="N453" s="59"/>
      <c r="P453" s="59"/>
      <c r="Q453" s="61"/>
    </row>
    <row r="454">
      <c r="B454" s="59"/>
      <c r="D454" s="59"/>
      <c r="F454" s="59"/>
      <c r="H454" s="59"/>
      <c r="J454" s="59"/>
      <c r="L454" s="59"/>
      <c r="N454" s="59"/>
      <c r="P454" s="59"/>
      <c r="Q454" s="61"/>
    </row>
    <row r="455">
      <c r="B455" s="59"/>
      <c r="D455" s="59"/>
      <c r="F455" s="59"/>
      <c r="H455" s="59"/>
      <c r="J455" s="59"/>
      <c r="L455" s="59"/>
      <c r="N455" s="59"/>
      <c r="P455" s="59"/>
      <c r="Q455" s="61"/>
    </row>
    <row r="456">
      <c r="B456" s="59"/>
      <c r="D456" s="59"/>
      <c r="F456" s="59"/>
      <c r="H456" s="59"/>
      <c r="J456" s="59"/>
      <c r="L456" s="59"/>
      <c r="N456" s="59"/>
      <c r="P456" s="59"/>
      <c r="Q456" s="61"/>
    </row>
    <row r="457">
      <c r="B457" s="59"/>
      <c r="D457" s="59"/>
      <c r="F457" s="59"/>
      <c r="H457" s="59"/>
      <c r="J457" s="59"/>
      <c r="L457" s="59"/>
      <c r="N457" s="59"/>
      <c r="P457" s="59"/>
      <c r="Q457" s="61"/>
    </row>
    <row r="458">
      <c r="B458" s="59"/>
      <c r="D458" s="59"/>
      <c r="F458" s="59"/>
      <c r="H458" s="59"/>
      <c r="J458" s="59"/>
      <c r="L458" s="59"/>
      <c r="N458" s="59"/>
      <c r="P458" s="59"/>
      <c r="Q458" s="61"/>
    </row>
    <row r="459">
      <c r="B459" s="59"/>
      <c r="D459" s="59"/>
      <c r="F459" s="59"/>
      <c r="H459" s="59"/>
      <c r="J459" s="59"/>
      <c r="L459" s="59"/>
      <c r="N459" s="59"/>
      <c r="P459" s="59"/>
      <c r="Q459" s="61"/>
    </row>
    <row r="460">
      <c r="B460" s="59"/>
      <c r="D460" s="59"/>
      <c r="F460" s="59"/>
      <c r="H460" s="59"/>
      <c r="J460" s="59"/>
      <c r="L460" s="59"/>
      <c r="N460" s="59"/>
      <c r="P460" s="59"/>
      <c r="Q460" s="61"/>
    </row>
    <row r="461">
      <c r="B461" s="59"/>
      <c r="D461" s="59"/>
      <c r="F461" s="59"/>
      <c r="H461" s="59"/>
      <c r="J461" s="59"/>
      <c r="L461" s="59"/>
      <c r="N461" s="59"/>
      <c r="P461" s="59"/>
      <c r="Q461" s="61"/>
    </row>
    <row r="462">
      <c r="B462" s="59"/>
      <c r="D462" s="59"/>
      <c r="F462" s="59"/>
      <c r="H462" s="59"/>
      <c r="J462" s="59"/>
      <c r="L462" s="59"/>
      <c r="N462" s="59"/>
      <c r="P462" s="59"/>
      <c r="Q462" s="61"/>
    </row>
    <row r="463">
      <c r="B463" s="59"/>
      <c r="D463" s="59"/>
      <c r="F463" s="59"/>
      <c r="H463" s="59"/>
      <c r="J463" s="59"/>
      <c r="L463" s="59"/>
      <c r="N463" s="59"/>
      <c r="P463" s="59"/>
      <c r="Q463" s="61"/>
    </row>
    <row r="464">
      <c r="B464" s="59"/>
      <c r="D464" s="59"/>
      <c r="F464" s="59"/>
      <c r="H464" s="59"/>
      <c r="J464" s="59"/>
      <c r="L464" s="59"/>
      <c r="N464" s="59"/>
      <c r="P464" s="59"/>
      <c r="Q464" s="61"/>
    </row>
    <row r="465">
      <c r="B465" s="59"/>
      <c r="D465" s="59"/>
      <c r="F465" s="59"/>
      <c r="H465" s="59"/>
      <c r="J465" s="59"/>
      <c r="L465" s="59"/>
      <c r="N465" s="59"/>
      <c r="P465" s="59"/>
      <c r="Q465" s="61"/>
    </row>
    <row r="466">
      <c r="B466" s="59"/>
      <c r="D466" s="59"/>
      <c r="F466" s="59"/>
      <c r="H466" s="59"/>
      <c r="J466" s="59"/>
      <c r="L466" s="59"/>
      <c r="N466" s="59"/>
      <c r="P466" s="59"/>
      <c r="Q466" s="61"/>
    </row>
    <row r="467">
      <c r="B467" s="59"/>
      <c r="D467" s="59"/>
      <c r="F467" s="59"/>
      <c r="H467" s="59"/>
      <c r="J467" s="59"/>
      <c r="L467" s="59"/>
      <c r="N467" s="59"/>
      <c r="P467" s="59"/>
      <c r="Q467" s="61"/>
    </row>
    <row r="468">
      <c r="B468" s="59"/>
      <c r="D468" s="59"/>
      <c r="F468" s="59"/>
      <c r="H468" s="59"/>
      <c r="J468" s="59"/>
      <c r="L468" s="59"/>
      <c r="N468" s="59"/>
      <c r="P468" s="59"/>
      <c r="Q468" s="61"/>
    </row>
    <row r="469">
      <c r="B469" s="59"/>
      <c r="D469" s="59"/>
      <c r="F469" s="59"/>
      <c r="H469" s="59"/>
      <c r="J469" s="59"/>
      <c r="L469" s="59"/>
      <c r="N469" s="59"/>
      <c r="P469" s="59"/>
      <c r="Q469" s="61"/>
    </row>
    <row r="470">
      <c r="B470" s="59"/>
      <c r="D470" s="59"/>
      <c r="F470" s="59"/>
      <c r="H470" s="59"/>
      <c r="J470" s="59"/>
      <c r="L470" s="59"/>
      <c r="N470" s="59"/>
      <c r="P470" s="59"/>
      <c r="Q470" s="61"/>
    </row>
    <row r="471">
      <c r="B471" s="59"/>
      <c r="D471" s="59"/>
      <c r="F471" s="59"/>
      <c r="H471" s="59"/>
      <c r="J471" s="59"/>
      <c r="L471" s="59"/>
      <c r="N471" s="59"/>
      <c r="P471" s="59"/>
      <c r="Q471" s="61"/>
    </row>
    <row r="472">
      <c r="B472" s="59"/>
      <c r="D472" s="59"/>
      <c r="F472" s="59"/>
      <c r="H472" s="59"/>
      <c r="J472" s="59"/>
      <c r="L472" s="59"/>
      <c r="N472" s="59"/>
      <c r="P472" s="59"/>
      <c r="Q472" s="61"/>
    </row>
    <row r="473">
      <c r="B473" s="59"/>
      <c r="D473" s="59"/>
      <c r="F473" s="59"/>
      <c r="H473" s="59"/>
      <c r="J473" s="59"/>
      <c r="L473" s="59"/>
      <c r="N473" s="59"/>
      <c r="P473" s="59"/>
      <c r="Q473" s="61"/>
    </row>
    <row r="474">
      <c r="B474" s="59"/>
      <c r="D474" s="59"/>
      <c r="F474" s="59"/>
      <c r="H474" s="59"/>
      <c r="J474" s="59"/>
      <c r="L474" s="59"/>
      <c r="N474" s="59"/>
      <c r="P474" s="59"/>
      <c r="Q474" s="61"/>
    </row>
    <row r="475">
      <c r="B475" s="59"/>
      <c r="D475" s="59"/>
      <c r="F475" s="59"/>
      <c r="H475" s="59"/>
      <c r="J475" s="59"/>
      <c r="L475" s="59"/>
      <c r="N475" s="59"/>
      <c r="P475" s="59"/>
      <c r="Q475" s="61"/>
    </row>
    <row r="476">
      <c r="B476" s="59"/>
      <c r="D476" s="59"/>
      <c r="F476" s="59"/>
      <c r="H476" s="59"/>
      <c r="J476" s="59"/>
      <c r="L476" s="59"/>
      <c r="N476" s="59"/>
      <c r="P476" s="59"/>
      <c r="Q476" s="61"/>
    </row>
    <row r="477">
      <c r="B477" s="59"/>
      <c r="D477" s="59"/>
      <c r="F477" s="59"/>
      <c r="H477" s="59"/>
      <c r="J477" s="59"/>
      <c r="L477" s="59"/>
      <c r="N477" s="59"/>
      <c r="P477" s="59"/>
      <c r="Q477" s="61"/>
    </row>
    <row r="478">
      <c r="B478" s="59"/>
      <c r="D478" s="59"/>
      <c r="F478" s="59"/>
      <c r="H478" s="59"/>
      <c r="J478" s="59"/>
      <c r="L478" s="59"/>
      <c r="N478" s="59"/>
      <c r="P478" s="59"/>
      <c r="Q478" s="61"/>
    </row>
    <row r="479">
      <c r="B479" s="59"/>
      <c r="D479" s="59"/>
      <c r="F479" s="59"/>
      <c r="H479" s="59"/>
      <c r="J479" s="59"/>
      <c r="L479" s="59"/>
      <c r="N479" s="59"/>
      <c r="P479" s="59"/>
      <c r="Q479" s="61"/>
    </row>
    <row r="480">
      <c r="B480" s="59"/>
      <c r="D480" s="59"/>
      <c r="F480" s="59"/>
      <c r="H480" s="59"/>
      <c r="J480" s="59"/>
      <c r="L480" s="59"/>
      <c r="N480" s="59"/>
      <c r="P480" s="59"/>
      <c r="Q480" s="61"/>
    </row>
    <row r="481">
      <c r="B481" s="59"/>
      <c r="D481" s="59"/>
      <c r="F481" s="59"/>
      <c r="H481" s="59"/>
      <c r="J481" s="59"/>
      <c r="L481" s="59"/>
      <c r="N481" s="59"/>
      <c r="P481" s="59"/>
      <c r="Q481" s="61"/>
    </row>
    <row r="482">
      <c r="B482" s="59"/>
      <c r="D482" s="59"/>
      <c r="F482" s="59"/>
      <c r="H482" s="59"/>
      <c r="J482" s="59"/>
      <c r="L482" s="59"/>
      <c r="N482" s="59"/>
      <c r="P482" s="59"/>
      <c r="Q482" s="61"/>
    </row>
    <row r="483">
      <c r="B483" s="59"/>
      <c r="D483" s="59"/>
      <c r="F483" s="59"/>
      <c r="H483" s="59"/>
      <c r="J483" s="59"/>
      <c r="L483" s="59"/>
      <c r="N483" s="59"/>
      <c r="P483" s="59"/>
      <c r="Q483" s="61"/>
    </row>
    <row r="484">
      <c r="B484" s="59"/>
      <c r="D484" s="59"/>
      <c r="F484" s="59"/>
      <c r="H484" s="59"/>
      <c r="J484" s="59"/>
      <c r="L484" s="59"/>
      <c r="N484" s="59"/>
      <c r="P484" s="59"/>
      <c r="Q484" s="61"/>
    </row>
    <row r="485">
      <c r="B485" s="59"/>
      <c r="D485" s="59"/>
      <c r="F485" s="59"/>
      <c r="H485" s="59"/>
      <c r="J485" s="59"/>
      <c r="L485" s="59"/>
      <c r="N485" s="59"/>
      <c r="P485" s="59"/>
      <c r="Q485" s="61"/>
    </row>
    <row r="486">
      <c r="B486" s="59"/>
      <c r="D486" s="59"/>
      <c r="F486" s="59"/>
      <c r="H486" s="59"/>
      <c r="J486" s="59"/>
      <c r="L486" s="59"/>
      <c r="N486" s="59"/>
      <c r="P486" s="59"/>
      <c r="Q486" s="61"/>
    </row>
    <row r="487">
      <c r="B487" s="59"/>
      <c r="D487" s="59"/>
      <c r="F487" s="59"/>
      <c r="H487" s="59"/>
      <c r="J487" s="59"/>
      <c r="L487" s="59"/>
      <c r="N487" s="59"/>
      <c r="P487" s="59"/>
      <c r="Q487" s="61"/>
    </row>
    <row r="488">
      <c r="B488" s="59"/>
      <c r="D488" s="59"/>
      <c r="F488" s="59"/>
      <c r="H488" s="59"/>
      <c r="J488" s="59"/>
      <c r="L488" s="59"/>
      <c r="N488" s="59"/>
      <c r="P488" s="59"/>
      <c r="Q488" s="61"/>
    </row>
    <row r="489">
      <c r="B489" s="59"/>
      <c r="D489" s="59"/>
      <c r="F489" s="59"/>
      <c r="H489" s="59"/>
      <c r="J489" s="59"/>
      <c r="L489" s="59"/>
      <c r="N489" s="59"/>
      <c r="P489" s="59"/>
      <c r="Q489" s="61"/>
    </row>
    <row r="490">
      <c r="B490" s="59"/>
      <c r="D490" s="59"/>
      <c r="F490" s="59"/>
      <c r="H490" s="59"/>
      <c r="J490" s="59"/>
      <c r="L490" s="59"/>
      <c r="N490" s="59"/>
      <c r="P490" s="59"/>
      <c r="Q490" s="61"/>
    </row>
    <row r="491">
      <c r="B491" s="59"/>
      <c r="D491" s="59"/>
      <c r="F491" s="59"/>
      <c r="H491" s="59"/>
      <c r="J491" s="59"/>
      <c r="L491" s="59"/>
      <c r="N491" s="59"/>
      <c r="P491" s="59"/>
      <c r="Q491" s="61"/>
    </row>
    <row r="492">
      <c r="B492" s="59"/>
      <c r="D492" s="59"/>
      <c r="F492" s="59"/>
      <c r="H492" s="59"/>
      <c r="J492" s="59"/>
      <c r="L492" s="59"/>
      <c r="N492" s="59"/>
      <c r="P492" s="59"/>
      <c r="Q492" s="61"/>
    </row>
    <row r="493">
      <c r="B493" s="59"/>
      <c r="D493" s="59"/>
      <c r="F493" s="59"/>
      <c r="H493" s="59"/>
      <c r="J493" s="59"/>
      <c r="L493" s="59"/>
      <c r="N493" s="59"/>
      <c r="P493" s="59"/>
      <c r="Q493" s="61"/>
    </row>
    <row r="494">
      <c r="B494" s="59"/>
      <c r="D494" s="59"/>
      <c r="F494" s="59"/>
      <c r="H494" s="59"/>
      <c r="J494" s="59"/>
      <c r="L494" s="59"/>
      <c r="N494" s="59"/>
      <c r="P494" s="59"/>
      <c r="Q494" s="61"/>
    </row>
    <row r="495">
      <c r="B495" s="59"/>
      <c r="D495" s="59"/>
      <c r="F495" s="59"/>
      <c r="H495" s="59"/>
      <c r="J495" s="59"/>
      <c r="L495" s="59"/>
      <c r="N495" s="59"/>
      <c r="P495" s="59"/>
      <c r="Q495" s="61"/>
    </row>
    <row r="496">
      <c r="B496" s="59"/>
      <c r="D496" s="59"/>
      <c r="F496" s="59"/>
      <c r="H496" s="59"/>
      <c r="J496" s="59"/>
      <c r="L496" s="59"/>
      <c r="N496" s="59"/>
      <c r="P496" s="59"/>
      <c r="Q496" s="61"/>
    </row>
    <row r="497">
      <c r="B497" s="59"/>
      <c r="D497" s="59"/>
      <c r="F497" s="59"/>
      <c r="H497" s="59"/>
      <c r="J497" s="59"/>
      <c r="L497" s="59"/>
      <c r="N497" s="59"/>
      <c r="P497" s="59"/>
      <c r="Q497" s="61"/>
    </row>
    <row r="498">
      <c r="B498" s="59"/>
      <c r="D498" s="59"/>
      <c r="F498" s="59"/>
      <c r="H498" s="59"/>
      <c r="J498" s="59"/>
      <c r="L498" s="59"/>
      <c r="N498" s="59"/>
      <c r="P498" s="59"/>
      <c r="Q498" s="61"/>
    </row>
    <row r="499">
      <c r="B499" s="59"/>
      <c r="D499" s="59"/>
      <c r="F499" s="59"/>
      <c r="H499" s="59"/>
      <c r="J499" s="59"/>
      <c r="L499" s="59"/>
      <c r="N499" s="59"/>
      <c r="P499" s="59"/>
      <c r="Q499" s="61"/>
    </row>
    <row r="500">
      <c r="B500" s="59"/>
      <c r="D500" s="59"/>
      <c r="F500" s="59"/>
      <c r="H500" s="59"/>
      <c r="J500" s="59"/>
      <c r="L500" s="59"/>
      <c r="N500" s="59"/>
      <c r="P500" s="59"/>
      <c r="Q500" s="61"/>
    </row>
    <row r="501">
      <c r="B501" s="59"/>
      <c r="D501" s="59"/>
      <c r="F501" s="59"/>
      <c r="H501" s="59"/>
      <c r="J501" s="59"/>
      <c r="L501" s="59"/>
      <c r="N501" s="59"/>
      <c r="P501" s="59"/>
      <c r="Q501" s="61"/>
    </row>
    <row r="502">
      <c r="B502" s="59"/>
      <c r="D502" s="59"/>
      <c r="F502" s="59"/>
      <c r="H502" s="59"/>
      <c r="J502" s="59"/>
      <c r="L502" s="59"/>
      <c r="N502" s="59"/>
      <c r="P502" s="59"/>
      <c r="Q502" s="61"/>
    </row>
    <row r="503">
      <c r="B503" s="59"/>
      <c r="D503" s="59"/>
      <c r="F503" s="59"/>
      <c r="H503" s="59"/>
      <c r="J503" s="59"/>
      <c r="L503" s="59"/>
      <c r="N503" s="59"/>
      <c r="P503" s="59"/>
      <c r="Q503" s="61"/>
    </row>
    <row r="504">
      <c r="B504" s="59"/>
      <c r="D504" s="59"/>
      <c r="F504" s="59"/>
      <c r="H504" s="59"/>
      <c r="J504" s="59"/>
      <c r="L504" s="59"/>
      <c r="N504" s="59"/>
      <c r="P504" s="59"/>
      <c r="Q504" s="61"/>
    </row>
    <row r="505">
      <c r="B505" s="59"/>
      <c r="D505" s="59"/>
      <c r="F505" s="59"/>
      <c r="H505" s="59"/>
      <c r="J505" s="59"/>
      <c r="L505" s="59"/>
      <c r="N505" s="59"/>
      <c r="P505" s="59"/>
      <c r="Q505" s="61"/>
    </row>
    <row r="506">
      <c r="B506" s="59"/>
      <c r="D506" s="59"/>
      <c r="F506" s="59"/>
      <c r="H506" s="59"/>
      <c r="J506" s="59"/>
      <c r="L506" s="59"/>
      <c r="N506" s="59"/>
      <c r="P506" s="59"/>
      <c r="Q506" s="61"/>
    </row>
    <row r="507">
      <c r="B507" s="59"/>
      <c r="D507" s="59"/>
      <c r="F507" s="59"/>
      <c r="H507" s="59"/>
      <c r="J507" s="59"/>
      <c r="L507" s="59"/>
      <c r="N507" s="59"/>
      <c r="P507" s="59"/>
      <c r="Q507" s="61"/>
    </row>
    <row r="508">
      <c r="B508" s="59"/>
      <c r="D508" s="59"/>
      <c r="F508" s="59"/>
      <c r="H508" s="59"/>
      <c r="J508" s="59"/>
      <c r="L508" s="59"/>
      <c r="N508" s="59"/>
      <c r="P508" s="59"/>
      <c r="Q508" s="61"/>
    </row>
    <row r="509">
      <c r="B509" s="59"/>
      <c r="D509" s="59"/>
      <c r="F509" s="59"/>
      <c r="H509" s="59"/>
      <c r="J509" s="59"/>
      <c r="L509" s="59"/>
      <c r="N509" s="59"/>
      <c r="P509" s="59"/>
      <c r="Q509" s="61"/>
    </row>
    <row r="510">
      <c r="B510" s="59"/>
      <c r="D510" s="59"/>
      <c r="F510" s="59"/>
      <c r="H510" s="59"/>
      <c r="J510" s="59"/>
      <c r="L510" s="59"/>
      <c r="N510" s="59"/>
      <c r="P510" s="59"/>
      <c r="Q510" s="61"/>
    </row>
    <row r="511">
      <c r="B511" s="59"/>
      <c r="D511" s="59"/>
      <c r="F511" s="59"/>
      <c r="H511" s="59"/>
      <c r="J511" s="59"/>
      <c r="L511" s="59"/>
      <c r="N511" s="59"/>
      <c r="P511" s="59"/>
      <c r="Q511" s="61"/>
    </row>
    <row r="512">
      <c r="B512" s="59"/>
      <c r="D512" s="59"/>
      <c r="F512" s="59"/>
      <c r="H512" s="59"/>
      <c r="J512" s="59"/>
      <c r="L512" s="59"/>
      <c r="N512" s="59"/>
      <c r="P512" s="59"/>
      <c r="Q512" s="61"/>
    </row>
    <row r="513">
      <c r="B513" s="59"/>
      <c r="D513" s="59"/>
      <c r="F513" s="59"/>
      <c r="H513" s="59"/>
      <c r="J513" s="59"/>
      <c r="L513" s="59"/>
      <c r="N513" s="59"/>
      <c r="P513" s="59"/>
      <c r="Q513" s="61"/>
    </row>
    <row r="514">
      <c r="B514" s="59"/>
      <c r="D514" s="59"/>
      <c r="F514" s="59"/>
      <c r="H514" s="59"/>
      <c r="J514" s="59"/>
      <c r="L514" s="59"/>
      <c r="N514" s="59"/>
      <c r="P514" s="59"/>
      <c r="Q514" s="61"/>
    </row>
    <row r="515">
      <c r="B515" s="59"/>
      <c r="D515" s="59"/>
      <c r="F515" s="59"/>
      <c r="H515" s="59"/>
      <c r="J515" s="59"/>
      <c r="L515" s="59"/>
      <c r="N515" s="59"/>
      <c r="P515" s="59"/>
      <c r="Q515" s="61"/>
    </row>
    <row r="516">
      <c r="B516" s="59"/>
      <c r="D516" s="59"/>
      <c r="F516" s="59"/>
      <c r="H516" s="59"/>
      <c r="J516" s="59"/>
      <c r="L516" s="59"/>
      <c r="N516" s="59"/>
      <c r="P516" s="59"/>
      <c r="Q516" s="61"/>
    </row>
    <row r="517">
      <c r="B517" s="59"/>
      <c r="D517" s="59"/>
      <c r="F517" s="59"/>
      <c r="H517" s="59"/>
      <c r="J517" s="59"/>
      <c r="L517" s="59"/>
      <c r="N517" s="59"/>
      <c r="P517" s="59"/>
      <c r="Q517" s="61"/>
    </row>
    <row r="518">
      <c r="B518" s="59"/>
      <c r="D518" s="59"/>
      <c r="F518" s="59"/>
      <c r="H518" s="59"/>
      <c r="J518" s="59"/>
      <c r="L518" s="59"/>
      <c r="N518" s="59"/>
      <c r="P518" s="59"/>
      <c r="Q518" s="61"/>
    </row>
    <row r="519">
      <c r="B519" s="59"/>
      <c r="D519" s="59"/>
      <c r="F519" s="59"/>
      <c r="H519" s="59"/>
      <c r="J519" s="59"/>
      <c r="L519" s="59"/>
      <c r="N519" s="59"/>
      <c r="P519" s="59"/>
      <c r="Q519" s="61"/>
    </row>
    <row r="520">
      <c r="B520" s="59"/>
      <c r="D520" s="59"/>
      <c r="F520" s="59"/>
      <c r="H520" s="59"/>
      <c r="J520" s="59"/>
      <c r="L520" s="59"/>
      <c r="N520" s="59"/>
      <c r="P520" s="59"/>
      <c r="Q520" s="61"/>
    </row>
    <row r="521">
      <c r="B521" s="59"/>
      <c r="D521" s="59"/>
      <c r="F521" s="59"/>
      <c r="H521" s="59"/>
      <c r="J521" s="59"/>
      <c r="L521" s="59"/>
      <c r="N521" s="59"/>
      <c r="P521" s="59"/>
      <c r="Q521" s="61"/>
    </row>
    <row r="522">
      <c r="B522" s="59"/>
      <c r="D522" s="59"/>
      <c r="F522" s="59"/>
      <c r="H522" s="59"/>
      <c r="J522" s="59"/>
      <c r="L522" s="59"/>
      <c r="N522" s="59"/>
      <c r="P522" s="59"/>
      <c r="Q522" s="61"/>
    </row>
    <row r="523">
      <c r="B523" s="59"/>
      <c r="D523" s="59"/>
      <c r="F523" s="59"/>
      <c r="H523" s="59"/>
      <c r="J523" s="59"/>
      <c r="L523" s="59"/>
      <c r="N523" s="59"/>
      <c r="P523" s="59"/>
      <c r="Q523" s="61"/>
    </row>
    <row r="524">
      <c r="B524" s="59"/>
      <c r="D524" s="59"/>
      <c r="F524" s="59"/>
      <c r="H524" s="59"/>
      <c r="J524" s="59"/>
      <c r="L524" s="59"/>
      <c r="N524" s="59"/>
      <c r="P524" s="59"/>
      <c r="Q524" s="61"/>
    </row>
    <row r="525">
      <c r="B525" s="59"/>
      <c r="D525" s="59"/>
      <c r="F525" s="59"/>
      <c r="H525" s="59"/>
      <c r="J525" s="59"/>
      <c r="L525" s="59"/>
      <c r="N525" s="59"/>
      <c r="P525" s="59"/>
      <c r="Q525" s="61"/>
    </row>
    <row r="526">
      <c r="B526" s="59"/>
      <c r="D526" s="59"/>
      <c r="F526" s="59"/>
      <c r="H526" s="59"/>
      <c r="J526" s="59"/>
      <c r="L526" s="59"/>
      <c r="N526" s="59"/>
      <c r="P526" s="59"/>
      <c r="Q526" s="61"/>
    </row>
    <row r="527">
      <c r="B527" s="59"/>
      <c r="D527" s="59"/>
      <c r="F527" s="59"/>
      <c r="H527" s="59"/>
      <c r="J527" s="59"/>
      <c r="L527" s="59"/>
      <c r="N527" s="59"/>
      <c r="P527" s="59"/>
      <c r="Q527" s="61"/>
    </row>
    <row r="528">
      <c r="B528" s="59"/>
      <c r="D528" s="59"/>
      <c r="F528" s="59"/>
      <c r="H528" s="59"/>
      <c r="J528" s="59"/>
      <c r="L528" s="59"/>
      <c r="N528" s="59"/>
      <c r="P528" s="59"/>
      <c r="Q528" s="61"/>
    </row>
    <row r="529">
      <c r="B529" s="59"/>
      <c r="D529" s="59"/>
      <c r="F529" s="59"/>
      <c r="H529" s="59"/>
      <c r="J529" s="59"/>
      <c r="L529" s="59"/>
      <c r="N529" s="59"/>
      <c r="P529" s="59"/>
      <c r="Q529" s="61"/>
    </row>
    <row r="530">
      <c r="B530" s="59"/>
      <c r="D530" s="59"/>
      <c r="F530" s="59"/>
      <c r="H530" s="59"/>
      <c r="J530" s="59"/>
      <c r="L530" s="59"/>
      <c r="N530" s="59"/>
      <c r="P530" s="59"/>
      <c r="Q530" s="61"/>
    </row>
    <row r="531">
      <c r="B531" s="59"/>
      <c r="D531" s="59"/>
      <c r="F531" s="59"/>
      <c r="H531" s="59"/>
      <c r="J531" s="59"/>
      <c r="L531" s="59"/>
      <c r="N531" s="59"/>
      <c r="P531" s="59"/>
      <c r="Q531" s="61"/>
    </row>
    <row r="532">
      <c r="B532" s="59"/>
      <c r="D532" s="59"/>
      <c r="F532" s="59"/>
      <c r="H532" s="59"/>
      <c r="J532" s="59"/>
      <c r="L532" s="59"/>
      <c r="N532" s="59"/>
      <c r="P532" s="59"/>
      <c r="Q532" s="61"/>
    </row>
    <row r="533">
      <c r="B533" s="59"/>
      <c r="D533" s="59"/>
      <c r="F533" s="59"/>
      <c r="H533" s="59"/>
      <c r="J533" s="59"/>
      <c r="L533" s="59"/>
      <c r="N533" s="59"/>
      <c r="P533" s="59"/>
      <c r="Q533" s="61"/>
    </row>
    <row r="534">
      <c r="B534" s="59"/>
      <c r="D534" s="59"/>
      <c r="F534" s="59"/>
      <c r="H534" s="59"/>
      <c r="J534" s="59"/>
      <c r="L534" s="59"/>
      <c r="N534" s="59"/>
      <c r="P534" s="59"/>
      <c r="Q534" s="61"/>
    </row>
    <row r="535">
      <c r="B535" s="59"/>
      <c r="D535" s="59"/>
      <c r="F535" s="59"/>
      <c r="H535" s="59"/>
      <c r="J535" s="59"/>
      <c r="L535" s="59"/>
      <c r="N535" s="59"/>
      <c r="P535" s="59"/>
      <c r="Q535" s="61"/>
    </row>
    <row r="536">
      <c r="B536" s="59"/>
      <c r="D536" s="59"/>
      <c r="F536" s="59"/>
      <c r="H536" s="59"/>
      <c r="J536" s="59"/>
      <c r="L536" s="59"/>
      <c r="N536" s="59"/>
      <c r="P536" s="59"/>
      <c r="Q536" s="61"/>
    </row>
    <row r="537">
      <c r="B537" s="59"/>
      <c r="D537" s="59"/>
      <c r="F537" s="59"/>
      <c r="H537" s="59"/>
      <c r="J537" s="59"/>
      <c r="L537" s="59"/>
      <c r="N537" s="59"/>
      <c r="P537" s="59"/>
      <c r="Q537" s="61"/>
    </row>
    <row r="538">
      <c r="B538" s="59"/>
      <c r="D538" s="59"/>
      <c r="F538" s="59"/>
      <c r="H538" s="59"/>
      <c r="J538" s="59"/>
      <c r="L538" s="59"/>
      <c r="N538" s="59"/>
      <c r="P538" s="59"/>
      <c r="Q538" s="61"/>
    </row>
    <row r="539">
      <c r="B539" s="59"/>
      <c r="D539" s="59"/>
      <c r="F539" s="59"/>
      <c r="H539" s="59"/>
      <c r="J539" s="59"/>
      <c r="L539" s="59"/>
      <c r="N539" s="59"/>
      <c r="P539" s="59"/>
      <c r="Q539" s="61"/>
    </row>
    <row r="540">
      <c r="B540" s="59"/>
      <c r="D540" s="59"/>
      <c r="F540" s="59"/>
      <c r="H540" s="59"/>
      <c r="J540" s="59"/>
      <c r="L540" s="59"/>
      <c r="N540" s="59"/>
      <c r="P540" s="59"/>
      <c r="Q540" s="61"/>
    </row>
    <row r="541">
      <c r="B541" s="59"/>
      <c r="D541" s="59"/>
      <c r="F541" s="59"/>
      <c r="H541" s="59"/>
      <c r="J541" s="59"/>
      <c r="L541" s="59"/>
      <c r="N541" s="59"/>
      <c r="P541" s="59"/>
      <c r="Q541" s="61"/>
    </row>
    <row r="542">
      <c r="B542" s="59"/>
      <c r="D542" s="59"/>
      <c r="F542" s="59"/>
      <c r="H542" s="59"/>
      <c r="J542" s="59"/>
      <c r="L542" s="59"/>
      <c r="N542" s="59"/>
      <c r="P542" s="59"/>
      <c r="Q542" s="61"/>
    </row>
    <row r="543">
      <c r="B543" s="59"/>
      <c r="D543" s="59"/>
      <c r="F543" s="59"/>
      <c r="H543" s="59"/>
      <c r="J543" s="59"/>
      <c r="L543" s="59"/>
      <c r="N543" s="59"/>
      <c r="P543" s="59"/>
      <c r="Q543" s="61"/>
    </row>
    <row r="544">
      <c r="B544" s="59"/>
      <c r="D544" s="59"/>
      <c r="F544" s="59"/>
      <c r="H544" s="59"/>
      <c r="J544" s="59"/>
      <c r="L544" s="59"/>
      <c r="N544" s="59"/>
      <c r="P544" s="59"/>
      <c r="Q544" s="61"/>
    </row>
    <row r="545">
      <c r="B545" s="59"/>
      <c r="D545" s="59"/>
      <c r="F545" s="59"/>
      <c r="H545" s="59"/>
      <c r="J545" s="59"/>
      <c r="L545" s="59"/>
      <c r="N545" s="59"/>
      <c r="P545" s="59"/>
      <c r="Q545" s="61"/>
    </row>
    <row r="546">
      <c r="B546" s="59"/>
      <c r="D546" s="59"/>
      <c r="F546" s="59"/>
      <c r="H546" s="59"/>
      <c r="J546" s="59"/>
      <c r="L546" s="59"/>
      <c r="N546" s="59"/>
      <c r="P546" s="59"/>
      <c r="Q546" s="61"/>
    </row>
    <row r="547">
      <c r="B547" s="59"/>
      <c r="D547" s="59"/>
      <c r="F547" s="59"/>
      <c r="H547" s="59"/>
      <c r="J547" s="59"/>
      <c r="L547" s="59"/>
      <c r="N547" s="59"/>
      <c r="P547" s="59"/>
      <c r="Q547" s="61"/>
    </row>
    <row r="548">
      <c r="B548" s="59"/>
      <c r="D548" s="59"/>
      <c r="F548" s="59"/>
      <c r="H548" s="59"/>
      <c r="J548" s="59"/>
      <c r="L548" s="59"/>
      <c r="N548" s="59"/>
      <c r="P548" s="59"/>
      <c r="Q548" s="61"/>
    </row>
    <row r="549">
      <c r="B549" s="59"/>
      <c r="D549" s="59"/>
      <c r="F549" s="59"/>
      <c r="H549" s="59"/>
      <c r="J549" s="59"/>
      <c r="L549" s="59"/>
      <c r="N549" s="59"/>
      <c r="P549" s="59"/>
      <c r="Q549" s="61"/>
    </row>
    <row r="550">
      <c r="B550" s="59"/>
      <c r="D550" s="59"/>
      <c r="F550" s="59"/>
      <c r="H550" s="59"/>
      <c r="J550" s="59"/>
      <c r="L550" s="59"/>
      <c r="N550" s="59"/>
      <c r="P550" s="59"/>
      <c r="Q550" s="61"/>
    </row>
    <row r="551">
      <c r="B551" s="59"/>
      <c r="D551" s="59"/>
      <c r="F551" s="59"/>
      <c r="H551" s="59"/>
      <c r="J551" s="59"/>
      <c r="L551" s="59"/>
      <c r="N551" s="59"/>
      <c r="P551" s="59"/>
      <c r="Q551" s="61"/>
    </row>
    <row r="552">
      <c r="B552" s="59"/>
      <c r="D552" s="59"/>
      <c r="F552" s="59"/>
      <c r="H552" s="59"/>
      <c r="J552" s="59"/>
      <c r="L552" s="59"/>
      <c r="N552" s="59"/>
      <c r="P552" s="59"/>
      <c r="Q552" s="61"/>
    </row>
    <row r="553">
      <c r="B553" s="59"/>
      <c r="D553" s="59"/>
      <c r="F553" s="59"/>
      <c r="H553" s="59"/>
      <c r="J553" s="59"/>
      <c r="L553" s="59"/>
      <c r="N553" s="59"/>
      <c r="P553" s="59"/>
      <c r="Q553" s="61"/>
    </row>
    <row r="554">
      <c r="B554" s="59"/>
      <c r="D554" s="59"/>
      <c r="F554" s="59"/>
      <c r="H554" s="59"/>
      <c r="J554" s="59"/>
      <c r="L554" s="59"/>
      <c r="N554" s="59"/>
      <c r="P554" s="59"/>
      <c r="Q554" s="61"/>
    </row>
    <row r="555">
      <c r="B555" s="59"/>
      <c r="D555" s="59"/>
      <c r="F555" s="59"/>
      <c r="H555" s="59"/>
      <c r="J555" s="59"/>
      <c r="L555" s="59"/>
      <c r="N555" s="59"/>
      <c r="P555" s="59"/>
      <c r="Q555" s="61"/>
    </row>
    <row r="556">
      <c r="B556" s="59"/>
      <c r="D556" s="59"/>
      <c r="F556" s="59"/>
      <c r="H556" s="59"/>
      <c r="J556" s="59"/>
      <c r="L556" s="59"/>
      <c r="N556" s="59"/>
      <c r="P556" s="59"/>
      <c r="Q556" s="61"/>
    </row>
    <row r="557">
      <c r="B557" s="59"/>
      <c r="D557" s="59"/>
      <c r="F557" s="59"/>
      <c r="H557" s="59"/>
      <c r="J557" s="59"/>
      <c r="L557" s="59"/>
      <c r="N557" s="59"/>
      <c r="P557" s="59"/>
      <c r="Q557" s="61"/>
    </row>
    <row r="558">
      <c r="B558" s="59"/>
      <c r="D558" s="59"/>
      <c r="F558" s="59"/>
      <c r="H558" s="59"/>
      <c r="J558" s="59"/>
      <c r="L558" s="59"/>
      <c r="N558" s="59"/>
      <c r="P558" s="59"/>
      <c r="Q558" s="61"/>
    </row>
    <row r="559">
      <c r="B559" s="59"/>
      <c r="D559" s="59"/>
      <c r="F559" s="59"/>
      <c r="H559" s="59"/>
      <c r="J559" s="59"/>
      <c r="L559" s="59"/>
      <c r="N559" s="59"/>
      <c r="P559" s="59"/>
      <c r="Q559" s="61"/>
    </row>
    <row r="560">
      <c r="B560" s="59"/>
      <c r="D560" s="59"/>
      <c r="F560" s="59"/>
      <c r="H560" s="59"/>
      <c r="J560" s="59"/>
      <c r="L560" s="59"/>
      <c r="N560" s="59"/>
      <c r="P560" s="59"/>
      <c r="Q560" s="61"/>
    </row>
    <row r="561">
      <c r="B561" s="59"/>
      <c r="D561" s="59"/>
      <c r="F561" s="59"/>
      <c r="H561" s="59"/>
      <c r="J561" s="59"/>
      <c r="L561" s="59"/>
      <c r="N561" s="59"/>
      <c r="P561" s="59"/>
      <c r="Q561" s="61"/>
    </row>
    <row r="562">
      <c r="B562" s="59"/>
      <c r="D562" s="59"/>
      <c r="F562" s="59"/>
      <c r="H562" s="59"/>
      <c r="J562" s="59"/>
      <c r="L562" s="59"/>
      <c r="N562" s="59"/>
      <c r="P562" s="59"/>
      <c r="Q562" s="61"/>
    </row>
    <row r="563">
      <c r="B563" s="59"/>
      <c r="D563" s="59"/>
      <c r="F563" s="59"/>
      <c r="H563" s="59"/>
      <c r="J563" s="59"/>
      <c r="L563" s="59"/>
      <c r="N563" s="59"/>
      <c r="P563" s="59"/>
      <c r="Q563" s="61"/>
    </row>
    <row r="564">
      <c r="B564" s="59"/>
      <c r="D564" s="59"/>
      <c r="F564" s="59"/>
      <c r="H564" s="59"/>
      <c r="J564" s="59"/>
      <c r="L564" s="59"/>
      <c r="N564" s="59"/>
      <c r="P564" s="59"/>
      <c r="Q564" s="61"/>
    </row>
    <row r="565">
      <c r="B565" s="59"/>
      <c r="D565" s="59"/>
      <c r="F565" s="59"/>
      <c r="H565" s="59"/>
      <c r="J565" s="59"/>
      <c r="L565" s="59"/>
      <c r="N565" s="59"/>
      <c r="P565" s="59"/>
      <c r="Q565" s="61"/>
    </row>
    <row r="566">
      <c r="B566" s="59"/>
      <c r="D566" s="59"/>
      <c r="F566" s="59"/>
      <c r="H566" s="59"/>
      <c r="J566" s="59"/>
      <c r="L566" s="59"/>
      <c r="N566" s="59"/>
      <c r="P566" s="59"/>
      <c r="Q566" s="61"/>
    </row>
    <row r="567">
      <c r="B567" s="59"/>
      <c r="D567" s="59"/>
      <c r="F567" s="59"/>
      <c r="H567" s="59"/>
      <c r="J567" s="59"/>
      <c r="L567" s="59"/>
      <c r="N567" s="59"/>
      <c r="P567" s="59"/>
      <c r="Q567" s="61"/>
    </row>
    <row r="568">
      <c r="B568" s="59"/>
      <c r="D568" s="59"/>
      <c r="F568" s="59"/>
      <c r="H568" s="59"/>
      <c r="J568" s="59"/>
      <c r="L568" s="59"/>
      <c r="N568" s="59"/>
      <c r="P568" s="59"/>
      <c r="Q568" s="61"/>
    </row>
    <row r="569">
      <c r="B569" s="59"/>
      <c r="D569" s="59"/>
      <c r="F569" s="59"/>
      <c r="H569" s="59"/>
      <c r="J569" s="59"/>
      <c r="L569" s="59"/>
      <c r="N569" s="59"/>
      <c r="P569" s="59"/>
      <c r="Q569" s="61"/>
    </row>
    <row r="570">
      <c r="B570" s="59"/>
      <c r="D570" s="59"/>
      <c r="F570" s="59"/>
      <c r="H570" s="59"/>
      <c r="J570" s="59"/>
      <c r="L570" s="59"/>
      <c r="N570" s="59"/>
      <c r="P570" s="59"/>
      <c r="Q570" s="61"/>
    </row>
    <row r="571">
      <c r="B571" s="59"/>
      <c r="D571" s="59"/>
      <c r="F571" s="59"/>
      <c r="H571" s="59"/>
      <c r="J571" s="59"/>
      <c r="L571" s="59"/>
      <c r="N571" s="59"/>
      <c r="P571" s="59"/>
      <c r="Q571" s="61"/>
    </row>
    <row r="572">
      <c r="B572" s="59"/>
      <c r="D572" s="59"/>
      <c r="F572" s="59"/>
      <c r="H572" s="59"/>
      <c r="J572" s="59"/>
      <c r="L572" s="59"/>
      <c r="N572" s="59"/>
      <c r="P572" s="59"/>
      <c r="Q572" s="61"/>
    </row>
    <row r="573">
      <c r="B573" s="59"/>
      <c r="D573" s="59"/>
      <c r="F573" s="59"/>
      <c r="H573" s="59"/>
      <c r="J573" s="59"/>
      <c r="L573" s="59"/>
      <c r="N573" s="59"/>
      <c r="P573" s="59"/>
      <c r="Q573" s="61"/>
    </row>
    <row r="574">
      <c r="B574" s="59"/>
      <c r="D574" s="59"/>
      <c r="F574" s="59"/>
      <c r="H574" s="59"/>
      <c r="J574" s="59"/>
      <c r="L574" s="59"/>
      <c r="N574" s="59"/>
      <c r="P574" s="59"/>
      <c r="Q574" s="61"/>
    </row>
    <row r="575">
      <c r="B575" s="59"/>
      <c r="D575" s="59"/>
      <c r="F575" s="59"/>
      <c r="H575" s="59"/>
      <c r="J575" s="59"/>
      <c r="L575" s="59"/>
      <c r="N575" s="59"/>
      <c r="P575" s="59"/>
      <c r="Q575" s="61"/>
    </row>
    <row r="576">
      <c r="B576" s="59"/>
      <c r="D576" s="59"/>
      <c r="F576" s="59"/>
      <c r="H576" s="59"/>
      <c r="J576" s="59"/>
      <c r="L576" s="59"/>
      <c r="N576" s="59"/>
      <c r="P576" s="59"/>
      <c r="Q576" s="61"/>
    </row>
    <row r="577">
      <c r="B577" s="59"/>
      <c r="D577" s="59"/>
      <c r="F577" s="59"/>
      <c r="H577" s="59"/>
      <c r="J577" s="59"/>
      <c r="L577" s="59"/>
      <c r="N577" s="59"/>
      <c r="P577" s="59"/>
      <c r="Q577" s="61"/>
    </row>
    <row r="578">
      <c r="B578" s="59"/>
      <c r="D578" s="59"/>
      <c r="F578" s="59"/>
      <c r="H578" s="59"/>
      <c r="J578" s="59"/>
      <c r="L578" s="59"/>
      <c r="N578" s="59"/>
      <c r="P578" s="59"/>
      <c r="Q578" s="61"/>
    </row>
    <row r="579">
      <c r="B579" s="59"/>
      <c r="D579" s="59"/>
      <c r="F579" s="59"/>
      <c r="H579" s="59"/>
      <c r="J579" s="59"/>
      <c r="L579" s="59"/>
      <c r="N579" s="59"/>
      <c r="P579" s="59"/>
      <c r="Q579" s="61"/>
    </row>
    <row r="580">
      <c r="B580" s="59"/>
      <c r="D580" s="59"/>
      <c r="F580" s="59"/>
      <c r="H580" s="59"/>
      <c r="J580" s="59"/>
      <c r="L580" s="59"/>
      <c r="N580" s="59"/>
      <c r="P580" s="59"/>
      <c r="Q580" s="61"/>
    </row>
    <row r="581">
      <c r="B581" s="59"/>
      <c r="D581" s="59"/>
      <c r="F581" s="59"/>
      <c r="H581" s="59"/>
      <c r="J581" s="59"/>
      <c r="L581" s="59"/>
      <c r="N581" s="59"/>
      <c r="P581" s="59"/>
      <c r="Q581" s="61"/>
    </row>
    <row r="582">
      <c r="B582" s="59"/>
      <c r="D582" s="59"/>
      <c r="F582" s="59"/>
      <c r="H582" s="59"/>
      <c r="J582" s="59"/>
      <c r="L582" s="59"/>
      <c r="N582" s="59"/>
      <c r="P582" s="59"/>
      <c r="Q582" s="61"/>
    </row>
    <row r="583">
      <c r="B583" s="59"/>
      <c r="D583" s="59"/>
      <c r="F583" s="59"/>
      <c r="H583" s="59"/>
      <c r="J583" s="59"/>
      <c r="L583" s="59"/>
      <c r="N583" s="59"/>
      <c r="P583" s="59"/>
      <c r="Q583" s="61"/>
    </row>
    <row r="584">
      <c r="B584" s="59"/>
      <c r="D584" s="59"/>
      <c r="F584" s="59"/>
      <c r="H584" s="59"/>
      <c r="J584" s="59"/>
      <c r="L584" s="59"/>
      <c r="N584" s="59"/>
      <c r="P584" s="59"/>
      <c r="Q584" s="61"/>
    </row>
    <row r="585">
      <c r="B585" s="59"/>
      <c r="D585" s="59"/>
      <c r="F585" s="59"/>
      <c r="H585" s="59"/>
      <c r="J585" s="59"/>
      <c r="L585" s="59"/>
      <c r="N585" s="59"/>
      <c r="P585" s="59"/>
      <c r="Q585" s="61"/>
    </row>
    <row r="586">
      <c r="B586" s="59"/>
      <c r="D586" s="59"/>
      <c r="F586" s="59"/>
      <c r="H586" s="59"/>
      <c r="J586" s="59"/>
      <c r="L586" s="59"/>
      <c r="N586" s="59"/>
      <c r="P586" s="59"/>
      <c r="Q586" s="61"/>
    </row>
    <row r="587">
      <c r="B587" s="59"/>
      <c r="D587" s="59"/>
      <c r="F587" s="59"/>
      <c r="H587" s="59"/>
      <c r="J587" s="59"/>
      <c r="L587" s="59"/>
      <c r="N587" s="59"/>
      <c r="P587" s="59"/>
      <c r="Q587" s="61"/>
    </row>
    <row r="588">
      <c r="B588" s="59"/>
      <c r="D588" s="59"/>
      <c r="F588" s="59"/>
      <c r="H588" s="59"/>
      <c r="J588" s="59"/>
      <c r="L588" s="59"/>
      <c r="N588" s="59"/>
      <c r="P588" s="59"/>
      <c r="Q588" s="61"/>
    </row>
    <row r="589">
      <c r="B589" s="59"/>
      <c r="D589" s="59"/>
      <c r="F589" s="59"/>
      <c r="H589" s="59"/>
      <c r="J589" s="59"/>
      <c r="L589" s="59"/>
      <c r="N589" s="59"/>
      <c r="P589" s="59"/>
      <c r="Q589" s="61"/>
    </row>
    <row r="590">
      <c r="B590" s="59"/>
      <c r="D590" s="59"/>
      <c r="F590" s="59"/>
      <c r="H590" s="59"/>
      <c r="J590" s="59"/>
      <c r="L590" s="59"/>
      <c r="N590" s="59"/>
      <c r="P590" s="59"/>
      <c r="Q590" s="61"/>
    </row>
    <row r="591">
      <c r="B591" s="59"/>
      <c r="D591" s="59"/>
      <c r="F591" s="59"/>
      <c r="H591" s="59"/>
      <c r="J591" s="59"/>
      <c r="L591" s="59"/>
      <c r="N591" s="59"/>
      <c r="P591" s="59"/>
      <c r="Q591" s="61"/>
    </row>
    <row r="592">
      <c r="B592" s="59"/>
      <c r="D592" s="59"/>
      <c r="F592" s="59"/>
      <c r="H592" s="59"/>
      <c r="J592" s="59"/>
      <c r="L592" s="59"/>
      <c r="N592" s="59"/>
      <c r="P592" s="59"/>
      <c r="Q592" s="61"/>
    </row>
    <row r="593">
      <c r="B593" s="59"/>
      <c r="D593" s="59"/>
      <c r="F593" s="59"/>
      <c r="H593" s="59"/>
      <c r="J593" s="59"/>
      <c r="L593" s="59"/>
      <c r="N593" s="59"/>
      <c r="P593" s="59"/>
      <c r="Q593" s="61"/>
    </row>
    <row r="594">
      <c r="B594" s="59"/>
      <c r="D594" s="59"/>
      <c r="F594" s="59"/>
      <c r="H594" s="59"/>
      <c r="J594" s="59"/>
      <c r="L594" s="59"/>
      <c r="N594" s="59"/>
      <c r="P594" s="59"/>
      <c r="Q594" s="61"/>
    </row>
    <row r="595">
      <c r="B595" s="59"/>
      <c r="D595" s="59"/>
      <c r="F595" s="59"/>
      <c r="H595" s="59"/>
      <c r="J595" s="59"/>
      <c r="L595" s="59"/>
      <c r="N595" s="59"/>
      <c r="P595" s="59"/>
      <c r="Q595" s="61"/>
    </row>
    <row r="596">
      <c r="B596" s="59"/>
      <c r="D596" s="59"/>
      <c r="F596" s="59"/>
      <c r="H596" s="59"/>
      <c r="J596" s="59"/>
      <c r="L596" s="59"/>
      <c r="N596" s="59"/>
      <c r="P596" s="59"/>
      <c r="Q596" s="61"/>
    </row>
    <row r="597">
      <c r="B597" s="59"/>
      <c r="D597" s="59"/>
      <c r="F597" s="59"/>
      <c r="H597" s="59"/>
      <c r="J597" s="59"/>
      <c r="L597" s="59"/>
      <c r="N597" s="59"/>
      <c r="P597" s="59"/>
      <c r="Q597" s="61"/>
    </row>
    <row r="598">
      <c r="B598" s="59"/>
      <c r="D598" s="59"/>
      <c r="F598" s="59"/>
      <c r="H598" s="59"/>
      <c r="J598" s="59"/>
      <c r="L598" s="59"/>
      <c r="N598" s="59"/>
      <c r="P598" s="59"/>
      <c r="Q598" s="61"/>
    </row>
    <row r="599">
      <c r="B599" s="59"/>
      <c r="D599" s="59"/>
      <c r="F599" s="59"/>
      <c r="H599" s="59"/>
      <c r="J599" s="59"/>
      <c r="L599" s="59"/>
      <c r="N599" s="59"/>
      <c r="P599" s="59"/>
      <c r="Q599" s="61"/>
    </row>
    <row r="600">
      <c r="B600" s="59"/>
      <c r="D600" s="59"/>
      <c r="F600" s="59"/>
      <c r="H600" s="59"/>
      <c r="J600" s="59"/>
      <c r="L600" s="59"/>
      <c r="N600" s="59"/>
      <c r="P600" s="59"/>
      <c r="Q600" s="61"/>
    </row>
    <row r="601">
      <c r="B601" s="59"/>
      <c r="D601" s="59"/>
      <c r="F601" s="59"/>
      <c r="H601" s="59"/>
      <c r="J601" s="59"/>
      <c r="L601" s="59"/>
      <c r="N601" s="59"/>
      <c r="P601" s="59"/>
      <c r="Q601" s="61"/>
    </row>
    <row r="602">
      <c r="B602" s="59"/>
      <c r="D602" s="59"/>
      <c r="F602" s="59"/>
      <c r="H602" s="59"/>
      <c r="J602" s="59"/>
      <c r="L602" s="59"/>
      <c r="N602" s="59"/>
      <c r="P602" s="59"/>
      <c r="Q602" s="61"/>
    </row>
    <row r="603">
      <c r="B603" s="59"/>
      <c r="D603" s="59"/>
      <c r="F603" s="59"/>
      <c r="H603" s="59"/>
      <c r="J603" s="59"/>
      <c r="L603" s="59"/>
      <c r="N603" s="59"/>
      <c r="P603" s="59"/>
      <c r="Q603" s="61"/>
    </row>
    <row r="604">
      <c r="B604" s="59"/>
      <c r="D604" s="59"/>
      <c r="F604" s="59"/>
      <c r="H604" s="59"/>
      <c r="J604" s="59"/>
      <c r="L604" s="59"/>
      <c r="N604" s="59"/>
      <c r="P604" s="59"/>
      <c r="Q604" s="61"/>
    </row>
    <row r="605">
      <c r="B605" s="59"/>
      <c r="D605" s="59"/>
      <c r="F605" s="59"/>
      <c r="H605" s="59"/>
      <c r="J605" s="59"/>
      <c r="L605" s="59"/>
      <c r="N605" s="59"/>
      <c r="P605" s="59"/>
      <c r="Q605" s="61"/>
    </row>
    <row r="606">
      <c r="B606" s="59"/>
      <c r="D606" s="59"/>
      <c r="F606" s="59"/>
      <c r="H606" s="59"/>
      <c r="J606" s="59"/>
      <c r="L606" s="59"/>
      <c r="N606" s="59"/>
      <c r="P606" s="59"/>
      <c r="Q606" s="61"/>
    </row>
    <row r="607">
      <c r="B607" s="59"/>
      <c r="D607" s="59"/>
      <c r="F607" s="59"/>
      <c r="H607" s="59"/>
      <c r="J607" s="59"/>
      <c r="L607" s="59"/>
      <c r="N607" s="59"/>
      <c r="P607" s="59"/>
      <c r="Q607" s="61"/>
    </row>
    <row r="608">
      <c r="B608" s="59"/>
      <c r="D608" s="59"/>
      <c r="F608" s="59"/>
      <c r="H608" s="59"/>
      <c r="J608" s="59"/>
      <c r="L608" s="59"/>
      <c r="N608" s="59"/>
      <c r="P608" s="59"/>
      <c r="Q608" s="61"/>
    </row>
    <row r="609">
      <c r="B609" s="59"/>
      <c r="D609" s="59"/>
      <c r="F609" s="59"/>
      <c r="H609" s="59"/>
      <c r="J609" s="59"/>
      <c r="L609" s="59"/>
      <c r="N609" s="59"/>
      <c r="P609" s="59"/>
      <c r="Q609" s="61"/>
    </row>
    <row r="610">
      <c r="B610" s="59"/>
      <c r="D610" s="59"/>
      <c r="F610" s="59"/>
      <c r="H610" s="59"/>
      <c r="J610" s="59"/>
      <c r="L610" s="59"/>
      <c r="N610" s="59"/>
      <c r="P610" s="59"/>
      <c r="Q610" s="61"/>
    </row>
    <row r="611">
      <c r="B611" s="59"/>
      <c r="D611" s="59"/>
      <c r="F611" s="59"/>
      <c r="H611" s="59"/>
      <c r="J611" s="59"/>
      <c r="L611" s="59"/>
      <c r="N611" s="59"/>
      <c r="P611" s="59"/>
      <c r="Q611" s="61"/>
    </row>
    <row r="612">
      <c r="B612" s="59"/>
      <c r="D612" s="59"/>
      <c r="F612" s="59"/>
      <c r="H612" s="59"/>
      <c r="J612" s="59"/>
      <c r="L612" s="59"/>
      <c r="N612" s="59"/>
      <c r="P612" s="59"/>
      <c r="Q612" s="61"/>
    </row>
    <row r="613">
      <c r="B613" s="59"/>
      <c r="D613" s="59"/>
      <c r="F613" s="59"/>
      <c r="H613" s="59"/>
      <c r="J613" s="59"/>
      <c r="L613" s="59"/>
      <c r="N613" s="59"/>
      <c r="P613" s="59"/>
      <c r="Q613" s="61"/>
    </row>
    <row r="614">
      <c r="B614" s="59"/>
      <c r="D614" s="59"/>
      <c r="F614" s="59"/>
      <c r="H614" s="59"/>
      <c r="J614" s="59"/>
      <c r="L614" s="59"/>
      <c r="N614" s="59"/>
      <c r="P614" s="59"/>
      <c r="Q614" s="61"/>
    </row>
    <row r="615">
      <c r="B615" s="59"/>
      <c r="D615" s="59"/>
      <c r="F615" s="59"/>
      <c r="H615" s="59"/>
      <c r="J615" s="59"/>
      <c r="L615" s="59"/>
      <c r="N615" s="59"/>
      <c r="P615" s="59"/>
      <c r="Q615" s="61"/>
    </row>
    <row r="616">
      <c r="B616" s="59"/>
      <c r="D616" s="59"/>
      <c r="F616" s="59"/>
      <c r="H616" s="59"/>
      <c r="J616" s="59"/>
      <c r="L616" s="59"/>
      <c r="N616" s="59"/>
      <c r="P616" s="59"/>
      <c r="Q616" s="61"/>
    </row>
    <row r="617">
      <c r="B617" s="59"/>
      <c r="D617" s="59"/>
      <c r="F617" s="59"/>
      <c r="H617" s="59"/>
      <c r="J617" s="59"/>
      <c r="L617" s="59"/>
      <c r="N617" s="59"/>
      <c r="P617" s="59"/>
      <c r="Q617" s="61"/>
    </row>
    <row r="618">
      <c r="B618" s="59"/>
      <c r="D618" s="59"/>
      <c r="F618" s="59"/>
      <c r="H618" s="59"/>
      <c r="J618" s="59"/>
      <c r="L618" s="59"/>
      <c r="N618" s="59"/>
      <c r="P618" s="59"/>
      <c r="Q618" s="61"/>
    </row>
    <row r="619">
      <c r="B619" s="59"/>
      <c r="D619" s="59"/>
      <c r="F619" s="59"/>
      <c r="H619" s="59"/>
      <c r="J619" s="59"/>
      <c r="L619" s="59"/>
      <c r="N619" s="59"/>
      <c r="P619" s="59"/>
      <c r="Q619" s="61"/>
    </row>
    <row r="620">
      <c r="B620" s="59"/>
      <c r="D620" s="59"/>
      <c r="F620" s="59"/>
      <c r="H620" s="59"/>
      <c r="J620" s="59"/>
      <c r="L620" s="59"/>
      <c r="N620" s="59"/>
      <c r="P620" s="59"/>
      <c r="Q620" s="61"/>
    </row>
    <row r="621">
      <c r="B621" s="59"/>
      <c r="D621" s="59"/>
      <c r="F621" s="59"/>
      <c r="H621" s="59"/>
      <c r="J621" s="59"/>
      <c r="L621" s="59"/>
      <c r="N621" s="59"/>
      <c r="P621" s="59"/>
      <c r="Q621" s="61"/>
    </row>
    <row r="622">
      <c r="B622" s="59"/>
      <c r="D622" s="59"/>
      <c r="F622" s="59"/>
      <c r="H622" s="59"/>
      <c r="J622" s="59"/>
      <c r="L622" s="59"/>
      <c r="N622" s="59"/>
      <c r="P622" s="59"/>
      <c r="Q622" s="61"/>
    </row>
    <row r="623">
      <c r="B623" s="59"/>
      <c r="D623" s="59"/>
      <c r="F623" s="59"/>
      <c r="H623" s="59"/>
      <c r="J623" s="59"/>
      <c r="L623" s="59"/>
      <c r="N623" s="59"/>
      <c r="P623" s="59"/>
      <c r="Q623" s="61"/>
    </row>
    <row r="624">
      <c r="B624" s="59"/>
      <c r="D624" s="59"/>
      <c r="F624" s="59"/>
      <c r="H624" s="59"/>
      <c r="J624" s="59"/>
      <c r="L624" s="59"/>
      <c r="N624" s="59"/>
      <c r="P624" s="59"/>
      <c r="Q624" s="61"/>
    </row>
    <row r="625">
      <c r="B625" s="59"/>
      <c r="D625" s="59"/>
      <c r="F625" s="59"/>
      <c r="H625" s="59"/>
      <c r="J625" s="59"/>
      <c r="L625" s="59"/>
      <c r="N625" s="59"/>
      <c r="P625" s="59"/>
      <c r="Q625" s="61"/>
    </row>
    <row r="626">
      <c r="B626" s="59"/>
      <c r="D626" s="59"/>
      <c r="F626" s="59"/>
      <c r="H626" s="59"/>
      <c r="J626" s="59"/>
      <c r="L626" s="59"/>
      <c r="N626" s="59"/>
      <c r="P626" s="59"/>
      <c r="Q626" s="61"/>
    </row>
    <row r="627">
      <c r="B627" s="59"/>
      <c r="D627" s="59"/>
      <c r="F627" s="59"/>
      <c r="H627" s="59"/>
      <c r="J627" s="59"/>
      <c r="L627" s="59"/>
      <c r="N627" s="59"/>
      <c r="P627" s="59"/>
      <c r="Q627" s="61"/>
    </row>
    <row r="628">
      <c r="B628" s="59"/>
      <c r="D628" s="59"/>
      <c r="F628" s="59"/>
      <c r="H628" s="59"/>
      <c r="J628" s="59"/>
      <c r="L628" s="59"/>
      <c r="N628" s="59"/>
      <c r="P628" s="59"/>
      <c r="Q628" s="61"/>
    </row>
    <row r="629">
      <c r="B629" s="59"/>
      <c r="D629" s="59"/>
      <c r="F629" s="59"/>
      <c r="H629" s="59"/>
      <c r="J629" s="59"/>
      <c r="L629" s="59"/>
      <c r="N629" s="59"/>
      <c r="P629" s="59"/>
      <c r="Q629" s="61"/>
    </row>
    <row r="630">
      <c r="B630" s="59"/>
      <c r="D630" s="59"/>
      <c r="F630" s="59"/>
      <c r="H630" s="59"/>
      <c r="J630" s="59"/>
      <c r="L630" s="59"/>
      <c r="N630" s="59"/>
      <c r="P630" s="59"/>
      <c r="Q630" s="61"/>
    </row>
    <row r="631">
      <c r="B631" s="59"/>
      <c r="D631" s="59"/>
      <c r="F631" s="59"/>
      <c r="H631" s="59"/>
      <c r="J631" s="59"/>
      <c r="L631" s="59"/>
      <c r="N631" s="59"/>
      <c r="P631" s="59"/>
      <c r="Q631" s="61"/>
    </row>
    <row r="632">
      <c r="B632" s="59"/>
      <c r="D632" s="59"/>
      <c r="F632" s="59"/>
      <c r="H632" s="59"/>
      <c r="J632" s="59"/>
      <c r="L632" s="59"/>
      <c r="N632" s="59"/>
      <c r="P632" s="59"/>
      <c r="Q632" s="61"/>
    </row>
    <row r="633">
      <c r="B633" s="59"/>
      <c r="D633" s="59"/>
      <c r="F633" s="59"/>
      <c r="H633" s="59"/>
      <c r="J633" s="59"/>
      <c r="L633" s="59"/>
      <c r="N633" s="59"/>
      <c r="P633" s="59"/>
      <c r="Q633" s="61"/>
    </row>
    <row r="634">
      <c r="B634" s="59"/>
      <c r="D634" s="59"/>
      <c r="F634" s="59"/>
      <c r="H634" s="59"/>
      <c r="J634" s="59"/>
      <c r="L634" s="59"/>
      <c r="N634" s="59"/>
      <c r="P634" s="59"/>
      <c r="Q634" s="61"/>
    </row>
    <row r="635">
      <c r="B635" s="59"/>
      <c r="D635" s="59"/>
      <c r="F635" s="59"/>
      <c r="H635" s="59"/>
      <c r="J635" s="59"/>
      <c r="L635" s="59"/>
      <c r="N635" s="59"/>
      <c r="P635" s="59"/>
      <c r="Q635" s="61"/>
    </row>
    <row r="636">
      <c r="B636" s="59"/>
      <c r="D636" s="59"/>
      <c r="F636" s="59"/>
      <c r="H636" s="59"/>
      <c r="J636" s="59"/>
      <c r="L636" s="59"/>
      <c r="N636" s="59"/>
      <c r="P636" s="59"/>
      <c r="Q636" s="61"/>
    </row>
    <row r="637">
      <c r="B637" s="59"/>
      <c r="D637" s="59"/>
      <c r="F637" s="59"/>
      <c r="H637" s="59"/>
      <c r="J637" s="59"/>
      <c r="L637" s="59"/>
      <c r="N637" s="59"/>
      <c r="P637" s="59"/>
      <c r="Q637" s="61"/>
    </row>
    <row r="638">
      <c r="B638" s="59"/>
      <c r="D638" s="59"/>
      <c r="F638" s="59"/>
      <c r="H638" s="59"/>
      <c r="J638" s="59"/>
      <c r="L638" s="59"/>
      <c r="N638" s="59"/>
      <c r="P638" s="59"/>
      <c r="Q638" s="61"/>
    </row>
    <row r="639">
      <c r="B639" s="59"/>
      <c r="D639" s="59"/>
      <c r="F639" s="59"/>
      <c r="H639" s="59"/>
      <c r="J639" s="59"/>
      <c r="L639" s="59"/>
      <c r="N639" s="59"/>
      <c r="P639" s="59"/>
      <c r="Q639" s="61"/>
    </row>
    <row r="640">
      <c r="B640" s="59"/>
      <c r="D640" s="59"/>
      <c r="F640" s="59"/>
      <c r="H640" s="59"/>
      <c r="J640" s="59"/>
      <c r="L640" s="59"/>
      <c r="N640" s="59"/>
      <c r="P640" s="59"/>
      <c r="Q640" s="61"/>
    </row>
    <row r="641">
      <c r="B641" s="59"/>
      <c r="D641" s="59"/>
      <c r="F641" s="59"/>
      <c r="H641" s="59"/>
      <c r="J641" s="59"/>
      <c r="L641" s="59"/>
      <c r="N641" s="59"/>
      <c r="P641" s="59"/>
      <c r="Q641" s="61"/>
    </row>
    <row r="642">
      <c r="B642" s="59"/>
      <c r="D642" s="59"/>
      <c r="F642" s="59"/>
      <c r="H642" s="59"/>
      <c r="J642" s="59"/>
      <c r="L642" s="59"/>
      <c r="N642" s="59"/>
      <c r="P642" s="59"/>
      <c r="Q642" s="61"/>
    </row>
    <row r="643">
      <c r="B643" s="59"/>
      <c r="D643" s="59"/>
      <c r="F643" s="59"/>
      <c r="H643" s="59"/>
      <c r="J643" s="59"/>
      <c r="L643" s="59"/>
      <c r="N643" s="59"/>
      <c r="P643" s="59"/>
      <c r="Q643" s="61"/>
    </row>
    <row r="644">
      <c r="B644" s="59"/>
      <c r="D644" s="59"/>
      <c r="F644" s="59"/>
      <c r="H644" s="59"/>
      <c r="J644" s="59"/>
      <c r="L644" s="59"/>
      <c r="N644" s="59"/>
      <c r="P644" s="59"/>
      <c r="Q644" s="61"/>
    </row>
    <row r="645">
      <c r="B645" s="59"/>
      <c r="D645" s="59"/>
      <c r="F645" s="59"/>
      <c r="H645" s="59"/>
      <c r="J645" s="59"/>
      <c r="L645" s="59"/>
      <c r="N645" s="59"/>
      <c r="P645" s="59"/>
      <c r="Q645" s="61"/>
    </row>
    <row r="646">
      <c r="B646" s="59"/>
      <c r="D646" s="59"/>
      <c r="F646" s="59"/>
      <c r="H646" s="59"/>
      <c r="J646" s="59"/>
      <c r="L646" s="59"/>
      <c r="N646" s="59"/>
      <c r="P646" s="59"/>
      <c r="Q646" s="61"/>
    </row>
    <row r="647">
      <c r="B647" s="59"/>
      <c r="D647" s="59"/>
      <c r="F647" s="59"/>
      <c r="H647" s="59"/>
      <c r="J647" s="59"/>
      <c r="L647" s="59"/>
      <c r="N647" s="59"/>
      <c r="P647" s="59"/>
      <c r="Q647" s="61"/>
    </row>
    <row r="648">
      <c r="B648" s="59"/>
      <c r="D648" s="59"/>
      <c r="F648" s="59"/>
      <c r="H648" s="59"/>
      <c r="J648" s="59"/>
      <c r="L648" s="59"/>
      <c r="N648" s="59"/>
      <c r="P648" s="59"/>
      <c r="Q648" s="61"/>
    </row>
    <row r="649">
      <c r="B649" s="59"/>
      <c r="D649" s="59"/>
      <c r="F649" s="59"/>
      <c r="H649" s="59"/>
      <c r="J649" s="59"/>
      <c r="L649" s="59"/>
      <c r="N649" s="59"/>
      <c r="P649" s="59"/>
      <c r="Q649" s="61"/>
    </row>
    <row r="650">
      <c r="B650" s="59"/>
      <c r="D650" s="59"/>
      <c r="F650" s="59"/>
      <c r="H650" s="59"/>
      <c r="J650" s="59"/>
      <c r="L650" s="59"/>
      <c r="N650" s="59"/>
      <c r="P650" s="59"/>
      <c r="Q650" s="61"/>
    </row>
    <row r="651">
      <c r="B651" s="59"/>
      <c r="D651" s="59"/>
      <c r="F651" s="59"/>
      <c r="H651" s="59"/>
      <c r="J651" s="59"/>
      <c r="L651" s="59"/>
      <c r="N651" s="59"/>
      <c r="P651" s="59"/>
      <c r="Q651" s="61"/>
    </row>
    <row r="652">
      <c r="B652" s="59"/>
      <c r="D652" s="59"/>
      <c r="F652" s="59"/>
      <c r="H652" s="59"/>
      <c r="J652" s="59"/>
      <c r="L652" s="59"/>
      <c r="N652" s="59"/>
      <c r="P652" s="59"/>
      <c r="Q652" s="61"/>
    </row>
    <row r="653">
      <c r="B653" s="59"/>
      <c r="D653" s="59"/>
      <c r="F653" s="59"/>
      <c r="H653" s="59"/>
      <c r="J653" s="59"/>
      <c r="L653" s="59"/>
      <c r="N653" s="59"/>
      <c r="P653" s="59"/>
      <c r="Q653" s="61"/>
    </row>
    <row r="654">
      <c r="B654" s="59"/>
      <c r="D654" s="59"/>
      <c r="F654" s="59"/>
      <c r="H654" s="59"/>
      <c r="J654" s="59"/>
      <c r="L654" s="59"/>
      <c r="N654" s="59"/>
      <c r="P654" s="59"/>
      <c r="Q654" s="61"/>
    </row>
    <row r="655">
      <c r="B655" s="59"/>
      <c r="D655" s="59"/>
      <c r="F655" s="59"/>
      <c r="H655" s="59"/>
      <c r="J655" s="59"/>
      <c r="L655" s="59"/>
      <c r="N655" s="59"/>
      <c r="P655" s="59"/>
      <c r="Q655" s="61"/>
    </row>
    <row r="656">
      <c r="B656" s="59"/>
      <c r="D656" s="59"/>
      <c r="F656" s="59"/>
      <c r="H656" s="59"/>
      <c r="J656" s="59"/>
      <c r="L656" s="59"/>
      <c r="N656" s="59"/>
      <c r="P656" s="59"/>
      <c r="Q656" s="61"/>
    </row>
    <row r="657">
      <c r="B657" s="59"/>
      <c r="D657" s="59"/>
      <c r="F657" s="59"/>
      <c r="H657" s="59"/>
      <c r="J657" s="59"/>
      <c r="L657" s="59"/>
      <c r="N657" s="59"/>
      <c r="P657" s="59"/>
      <c r="Q657" s="61"/>
    </row>
    <row r="658">
      <c r="B658" s="59"/>
      <c r="D658" s="59"/>
      <c r="F658" s="59"/>
      <c r="H658" s="59"/>
      <c r="J658" s="59"/>
      <c r="L658" s="59"/>
      <c r="N658" s="59"/>
      <c r="P658" s="59"/>
      <c r="Q658" s="61"/>
    </row>
    <row r="659">
      <c r="B659" s="59"/>
      <c r="D659" s="59"/>
      <c r="F659" s="59"/>
      <c r="H659" s="59"/>
      <c r="J659" s="59"/>
      <c r="L659" s="59"/>
      <c r="N659" s="59"/>
      <c r="P659" s="59"/>
      <c r="Q659" s="61"/>
    </row>
    <row r="660">
      <c r="B660" s="59"/>
      <c r="D660" s="59"/>
      <c r="F660" s="59"/>
      <c r="H660" s="59"/>
      <c r="J660" s="59"/>
      <c r="L660" s="59"/>
      <c r="N660" s="59"/>
      <c r="P660" s="59"/>
      <c r="Q660" s="61"/>
    </row>
    <row r="661">
      <c r="B661" s="59"/>
      <c r="D661" s="59"/>
      <c r="F661" s="59"/>
      <c r="H661" s="59"/>
      <c r="J661" s="59"/>
      <c r="L661" s="59"/>
      <c r="N661" s="59"/>
      <c r="P661" s="59"/>
      <c r="Q661" s="61"/>
    </row>
    <row r="662">
      <c r="B662" s="59"/>
      <c r="D662" s="59"/>
      <c r="F662" s="59"/>
      <c r="H662" s="59"/>
      <c r="J662" s="59"/>
      <c r="L662" s="59"/>
      <c r="N662" s="59"/>
      <c r="P662" s="59"/>
      <c r="Q662" s="61"/>
    </row>
    <row r="663">
      <c r="B663" s="59"/>
      <c r="D663" s="59"/>
      <c r="F663" s="59"/>
      <c r="H663" s="59"/>
      <c r="J663" s="59"/>
      <c r="L663" s="59"/>
      <c r="N663" s="59"/>
      <c r="P663" s="59"/>
      <c r="Q663" s="61"/>
    </row>
    <row r="664">
      <c r="B664" s="59"/>
      <c r="D664" s="59"/>
      <c r="F664" s="59"/>
      <c r="H664" s="59"/>
      <c r="J664" s="59"/>
      <c r="L664" s="59"/>
      <c r="N664" s="59"/>
      <c r="P664" s="59"/>
      <c r="Q664" s="61"/>
    </row>
    <row r="665">
      <c r="B665" s="59"/>
      <c r="D665" s="59"/>
      <c r="F665" s="59"/>
      <c r="H665" s="59"/>
      <c r="J665" s="59"/>
      <c r="L665" s="59"/>
      <c r="N665" s="59"/>
      <c r="P665" s="59"/>
      <c r="Q665" s="61"/>
    </row>
    <row r="666">
      <c r="B666" s="59"/>
      <c r="D666" s="59"/>
      <c r="F666" s="59"/>
      <c r="H666" s="59"/>
      <c r="J666" s="59"/>
      <c r="L666" s="59"/>
      <c r="N666" s="59"/>
      <c r="P666" s="59"/>
      <c r="Q666" s="61"/>
    </row>
    <row r="667">
      <c r="B667" s="59"/>
      <c r="D667" s="59"/>
      <c r="F667" s="59"/>
      <c r="H667" s="59"/>
      <c r="J667" s="59"/>
      <c r="L667" s="59"/>
      <c r="N667" s="59"/>
      <c r="P667" s="59"/>
      <c r="Q667" s="61"/>
    </row>
    <row r="668">
      <c r="B668" s="59"/>
      <c r="D668" s="59"/>
      <c r="F668" s="59"/>
      <c r="H668" s="59"/>
      <c r="J668" s="59"/>
      <c r="L668" s="59"/>
      <c r="N668" s="59"/>
      <c r="P668" s="59"/>
      <c r="Q668" s="61"/>
    </row>
    <row r="669">
      <c r="B669" s="59"/>
      <c r="D669" s="59"/>
      <c r="F669" s="59"/>
      <c r="H669" s="59"/>
      <c r="J669" s="59"/>
      <c r="L669" s="59"/>
      <c r="N669" s="59"/>
      <c r="P669" s="59"/>
      <c r="Q669" s="61"/>
    </row>
    <row r="670">
      <c r="B670" s="59"/>
      <c r="D670" s="59"/>
      <c r="F670" s="59"/>
      <c r="H670" s="59"/>
      <c r="J670" s="59"/>
      <c r="L670" s="59"/>
      <c r="N670" s="59"/>
      <c r="P670" s="59"/>
      <c r="Q670" s="61"/>
    </row>
    <row r="671">
      <c r="B671" s="59"/>
      <c r="D671" s="59"/>
      <c r="F671" s="59"/>
      <c r="H671" s="59"/>
      <c r="J671" s="59"/>
      <c r="L671" s="59"/>
      <c r="N671" s="59"/>
      <c r="P671" s="59"/>
      <c r="Q671" s="61"/>
    </row>
    <row r="672">
      <c r="B672" s="59"/>
      <c r="D672" s="59"/>
      <c r="F672" s="59"/>
      <c r="H672" s="59"/>
      <c r="J672" s="59"/>
      <c r="L672" s="59"/>
      <c r="N672" s="59"/>
      <c r="P672" s="59"/>
      <c r="Q672" s="61"/>
    </row>
    <row r="673">
      <c r="B673" s="59"/>
      <c r="D673" s="59"/>
      <c r="F673" s="59"/>
      <c r="H673" s="59"/>
      <c r="J673" s="59"/>
      <c r="L673" s="59"/>
      <c r="N673" s="59"/>
      <c r="P673" s="59"/>
      <c r="Q673" s="61"/>
    </row>
    <row r="674">
      <c r="B674" s="59"/>
      <c r="D674" s="59"/>
      <c r="F674" s="59"/>
      <c r="H674" s="59"/>
      <c r="J674" s="59"/>
      <c r="L674" s="59"/>
      <c r="N674" s="59"/>
      <c r="P674" s="59"/>
      <c r="Q674" s="61"/>
    </row>
    <row r="675">
      <c r="B675" s="59"/>
      <c r="D675" s="59"/>
      <c r="F675" s="59"/>
      <c r="H675" s="59"/>
      <c r="J675" s="59"/>
      <c r="L675" s="59"/>
      <c r="N675" s="59"/>
      <c r="P675" s="59"/>
      <c r="Q675" s="61"/>
    </row>
    <row r="676">
      <c r="B676" s="59"/>
      <c r="D676" s="59"/>
      <c r="F676" s="59"/>
      <c r="H676" s="59"/>
      <c r="J676" s="59"/>
      <c r="L676" s="59"/>
      <c r="N676" s="59"/>
      <c r="P676" s="59"/>
      <c r="Q676" s="61"/>
    </row>
    <row r="677">
      <c r="B677" s="59"/>
      <c r="D677" s="59"/>
      <c r="F677" s="59"/>
      <c r="H677" s="59"/>
      <c r="J677" s="59"/>
      <c r="L677" s="59"/>
      <c r="N677" s="59"/>
      <c r="P677" s="59"/>
      <c r="Q677" s="61"/>
    </row>
    <row r="678">
      <c r="B678" s="59"/>
      <c r="D678" s="59"/>
      <c r="F678" s="59"/>
      <c r="H678" s="59"/>
      <c r="J678" s="59"/>
      <c r="L678" s="59"/>
      <c r="N678" s="59"/>
      <c r="P678" s="59"/>
      <c r="Q678" s="61"/>
    </row>
    <row r="679">
      <c r="B679" s="59"/>
      <c r="D679" s="59"/>
      <c r="F679" s="59"/>
      <c r="H679" s="59"/>
      <c r="J679" s="59"/>
      <c r="L679" s="59"/>
      <c r="N679" s="59"/>
      <c r="P679" s="59"/>
      <c r="Q679" s="61"/>
    </row>
    <row r="680">
      <c r="B680" s="59"/>
      <c r="D680" s="59"/>
      <c r="F680" s="59"/>
      <c r="H680" s="59"/>
      <c r="J680" s="59"/>
      <c r="L680" s="59"/>
      <c r="N680" s="59"/>
      <c r="P680" s="59"/>
      <c r="Q680" s="61"/>
    </row>
    <row r="681">
      <c r="B681" s="59"/>
      <c r="D681" s="59"/>
      <c r="F681" s="59"/>
      <c r="H681" s="59"/>
      <c r="J681" s="59"/>
      <c r="L681" s="59"/>
      <c r="N681" s="59"/>
      <c r="P681" s="59"/>
      <c r="Q681" s="61"/>
    </row>
    <row r="682">
      <c r="B682" s="59"/>
      <c r="D682" s="59"/>
      <c r="F682" s="59"/>
      <c r="H682" s="59"/>
      <c r="J682" s="59"/>
      <c r="L682" s="59"/>
      <c r="N682" s="59"/>
      <c r="P682" s="59"/>
      <c r="Q682" s="61"/>
    </row>
    <row r="683">
      <c r="B683" s="59"/>
      <c r="D683" s="59"/>
      <c r="F683" s="59"/>
      <c r="H683" s="59"/>
      <c r="J683" s="59"/>
      <c r="L683" s="59"/>
      <c r="N683" s="59"/>
      <c r="P683" s="59"/>
      <c r="Q683" s="61"/>
    </row>
    <row r="684">
      <c r="B684" s="59"/>
      <c r="D684" s="59"/>
      <c r="F684" s="59"/>
      <c r="H684" s="59"/>
      <c r="J684" s="59"/>
      <c r="L684" s="59"/>
      <c r="N684" s="59"/>
      <c r="P684" s="59"/>
      <c r="Q684" s="61"/>
    </row>
    <row r="685">
      <c r="B685" s="59"/>
      <c r="D685" s="59"/>
      <c r="F685" s="59"/>
      <c r="H685" s="59"/>
      <c r="J685" s="59"/>
      <c r="L685" s="59"/>
      <c r="N685" s="59"/>
      <c r="P685" s="59"/>
      <c r="Q685" s="61"/>
    </row>
    <row r="686">
      <c r="B686" s="59"/>
      <c r="D686" s="59"/>
      <c r="F686" s="59"/>
      <c r="H686" s="59"/>
      <c r="J686" s="59"/>
      <c r="L686" s="59"/>
      <c r="N686" s="59"/>
      <c r="P686" s="59"/>
      <c r="Q686" s="61"/>
    </row>
    <row r="687">
      <c r="B687" s="59"/>
      <c r="D687" s="59"/>
      <c r="F687" s="59"/>
      <c r="H687" s="59"/>
      <c r="J687" s="59"/>
      <c r="L687" s="59"/>
      <c r="N687" s="59"/>
      <c r="P687" s="59"/>
      <c r="Q687" s="61"/>
    </row>
    <row r="688">
      <c r="B688" s="59"/>
      <c r="D688" s="59"/>
      <c r="F688" s="59"/>
      <c r="H688" s="59"/>
      <c r="J688" s="59"/>
      <c r="L688" s="59"/>
      <c r="N688" s="59"/>
      <c r="P688" s="59"/>
      <c r="Q688" s="61"/>
    </row>
    <row r="689">
      <c r="B689" s="59"/>
      <c r="D689" s="59"/>
      <c r="F689" s="59"/>
      <c r="H689" s="59"/>
      <c r="J689" s="59"/>
      <c r="L689" s="59"/>
      <c r="N689" s="59"/>
      <c r="P689" s="59"/>
      <c r="Q689" s="61"/>
    </row>
    <row r="690">
      <c r="B690" s="59"/>
      <c r="D690" s="59"/>
      <c r="F690" s="59"/>
      <c r="H690" s="59"/>
      <c r="J690" s="59"/>
      <c r="L690" s="59"/>
      <c r="N690" s="59"/>
      <c r="P690" s="59"/>
      <c r="Q690" s="61"/>
    </row>
    <row r="691">
      <c r="B691" s="59"/>
      <c r="D691" s="59"/>
      <c r="F691" s="59"/>
      <c r="H691" s="59"/>
      <c r="J691" s="59"/>
      <c r="L691" s="59"/>
      <c r="N691" s="59"/>
      <c r="P691" s="59"/>
      <c r="Q691" s="61"/>
    </row>
    <row r="692">
      <c r="B692" s="59"/>
      <c r="D692" s="59"/>
      <c r="F692" s="59"/>
      <c r="H692" s="59"/>
      <c r="J692" s="59"/>
      <c r="L692" s="59"/>
      <c r="N692" s="59"/>
      <c r="P692" s="59"/>
      <c r="Q692" s="61"/>
    </row>
    <row r="693">
      <c r="B693" s="59"/>
      <c r="D693" s="59"/>
      <c r="F693" s="59"/>
      <c r="H693" s="59"/>
      <c r="J693" s="59"/>
      <c r="L693" s="59"/>
      <c r="N693" s="59"/>
      <c r="P693" s="59"/>
      <c r="Q693" s="61"/>
    </row>
    <row r="694">
      <c r="B694" s="59"/>
      <c r="D694" s="59"/>
      <c r="F694" s="59"/>
      <c r="H694" s="59"/>
      <c r="J694" s="59"/>
      <c r="L694" s="59"/>
      <c r="N694" s="59"/>
      <c r="P694" s="59"/>
      <c r="Q694" s="61"/>
    </row>
    <row r="695">
      <c r="B695" s="59"/>
      <c r="D695" s="59"/>
      <c r="F695" s="59"/>
      <c r="H695" s="59"/>
      <c r="J695" s="59"/>
      <c r="L695" s="59"/>
      <c r="N695" s="59"/>
      <c r="P695" s="59"/>
      <c r="Q695" s="61"/>
    </row>
    <row r="696">
      <c r="B696" s="59"/>
      <c r="D696" s="59"/>
      <c r="F696" s="59"/>
      <c r="H696" s="59"/>
      <c r="J696" s="59"/>
      <c r="L696" s="59"/>
      <c r="N696" s="59"/>
      <c r="P696" s="59"/>
      <c r="Q696" s="61"/>
    </row>
    <row r="697">
      <c r="B697" s="59"/>
      <c r="D697" s="59"/>
      <c r="F697" s="59"/>
      <c r="H697" s="59"/>
      <c r="J697" s="59"/>
      <c r="L697" s="59"/>
      <c r="N697" s="59"/>
      <c r="P697" s="59"/>
      <c r="Q697" s="61"/>
    </row>
    <row r="698">
      <c r="B698" s="59"/>
      <c r="D698" s="59"/>
      <c r="F698" s="59"/>
      <c r="H698" s="59"/>
      <c r="J698" s="59"/>
      <c r="L698" s="59"/>
      <c r="N698" s="59"/>
      <c r="P698" s="59"/>
      <c r="Q698" s="61"/>
    </row>
    <row r="699">
      <c r="B699" s="59"/>
      <c r="D699" s="59"/>
      <c r="F699" s="59"/>
      <c r="H699" s="59"/>
      <c r="J699" s="59"/>
      <c r="L699" s="59"/>
      <c r="N699" s="59"/>
      <c r="P699" s="59"/>
      <c r="Q699" s="61"/>
    </row>
    <row r="700">
      <c r="B700" s="59"/>
      <c r="D700" s="59"/>
      <c r="F700" s="59"/>
      <c r="H700" s="59"/>
      <c r="J700" s="59"/>
      <c r="L700" s="59"/>
      <c r="N700" s="59"/>
      <c r="P700" s="59"/>
      <c r="Q700" s="61"/>
    </row>
    <row r="701">
      <c r="B701" s="59"/>
      <c r="D701" s="59"/>
      <c r="F701" s="59"/>
      <c r="H701" s="59"/>
      <c r="J701" s="59"/>
      <c r="L701" s="59"/>
      <c r="N701" s="59"/>
      <c r="P701" s="59"/>
      <c r="Q701" s="61"/>
    </row>
    <row r="702">
      <c r="B702" s="59"/>
      <c r="D702" s="59"/>
      <c r="F702" s="59"/>
      <c r="H702" s="59"/>
      <c r="J702" s="59"/>
      <c r="L702" s="59"/>
      <c r="N702" s="59"/>
      <c r="P702" s="59"/>
      <c r="Q702" s="61"/>
    </row>
    <row r="703">
      <c r="B703" s="59"/>
      <c r="D703" s="59"/>
      <c r="F703" s="59"/>
      <c r="H703" s="59"/>
      <c r="J703" s="59"/>
      <c r="L703" s="59"/>
      <c r="N703" s="59"/>
      <c r="P703" s="59"/>
      <c r="Q703" s="61"/>
    </row>
    <row r="704">
      <c r="B704" s="59"/>
      <c r="D704" s="59"/>
      <c r="F704" s="59"/>
      <c r="H704" s="59"/>
      <c r="J704" s="59"/>
      <c r="L704" s="59"/>
      <c r="N704" s="59"/>
      <c r="P704" s="59"/>
      <c r="Q704" s="61"/>
    </row>
    <row r="705">
      <c r="B705" s="59"/>
      <c r="D705" s="59"/>
      <c r="F705" s="59"/>
      <c r="H705" s="59"/>
      <c r="J705" s="59"/>
      <c r="L705" s="59"/>
      <c r="N705" s="59"/>
      <c r="P705" s="59"/>
      <c r="Q705" s="61"/>
    </row>
    <row r="706">
      <c r="B706" s="59"/>
      <c r="D706" s="59"/>
      <c r="F706" s="59"/>
      <c r="H706" s="59"/>
      <c r="J706" s="59"/>
      <c r="L706" s="59"/>
      <c r="N706" s="59"/>
      <c r="P706" s="59"/>
      <c r="Q706" s="61"/>
    </row>
    <row r="707">
      <c r="B707" s="59"/>
      <c r="D707" s="59"/>
      <c r="F707" s="59"/>
      <c r="H707" s="59"/>
      <c r="J707" s="59"/>
      <c r="L707" s="59"/>
      <c r="N707" s="59"/>
      <c r="P707" s="59"/>
      <c r="Q707" s="61"/>
    </row>
    <row r="708">
      <c r="B708" s="59"/>
      <c r="D708" s="59"/>
      <c r="F708" s="59"/>
      <c r="H708" s="59"/>
      <c r="J708" s="59"/>
      <c r="L708" s="59"/>
      <c r="N708" s="59"/>
      <c r="P708" s="59"/>
      <c r="Q708" s="61"/>
    </row>
    <row r="709">
      <c r="B709" s="59"/>
      <c r="D709" s="59"/>
      <c r="F709" s="59"/>
      <c r="H709" s="59"/>
      <c r="J709" s="59"/>
      <c r="L709" s="59"/>
      <c r="N709" s="59"/>
      <c r="P709" s="59"/>
      <c r="Q709" s="61"/>
    </row>
    <row r="710">
      <c r="B710" s="59"/>
      <c r="D710" s="59"/>
      <c r="F710" s="59"/>
      <c r="H710" s="59"/>
      <c r="J710" s="59"/>
      <c r="L710" s="59"/>
      <c r="N710" s="59"/>
      <c r="P710" s="59"/>
      <c r="Q710" s="61"/>
    </row>
    <row r="711">
      <c r="B711" s="59"/>
      <c r="D711" s="59"/>
      <c r="F711" s="59"/>
      <c r="H711" s="59"/>
      <c r="J711" s="59"/>
      <c r="L711" s="59"/>
      <c r="N711" s="59"/>
      <c r="P711" s="59"/>
      <c r="Q711" s="61"/>
    </row>
    <row r="712">
      <c r="B712" s="59"/>
      <c r="D712" s="59"/>
      <c r="F712" s="59"/>
      <c r="H712" s="59"/>
      <c r="J712" s="59"/>
      <c r="L712" s="59"/>
      <c r="N712" s="59"/>
      <c r="P712" s="59"/>
      <c r="Q712" s="61"/>
    </row>
    <row r="713">
      <c r="B713" s="59"/>
      <c r="D713" s="59"/>
      <c r="F713" s="59"/>
      <c r="H713" s="59"/>
      <c r="J713" s="59"/>
      <c r="L713" s="59"/>
      <c r="N713" s="59"/>
      <c r="P713" s="59"/>
      <c r="Q713" s="61"/>
    </row>
    <row r="714">
      <c r="B714" s="59"/>
      <c r="D714" s="59"/>
      <c r="F714" s="59"/>
      <c r="H714" s="59"/>
      <c r="J714" s="59"/>
      <c r="L714" s="59"/>
      <c r="N714" s="59"/>
      <c r="P714" s="59"/>
      <c r="Q714" s="61"/>
    </row>
    <row r="715">
      <c r="B715" s="59"/>
      <c r="D715" s="59"/>
      <c r="F715" s="59"/>
      <c r="H715" s="59"/>
      <c r="J715" s="59"/>
      <c r="L715" s="59"/>
      <c r="N715" s="59"/>
      <c r="P715" s="59"/>
      <c r="Q715" s="61"/>
    </row>
    <row r="716">
      <c r="B716" s="59"/>
      <c r="D716" s="59"/>
      <c r="F716" s="59"/>
      <c r="H716" s="59"/>
      <c r="J716" s="59"/>
      <c r="L716" s="59"/>
      <c r="N716" s="59"/>
      <c r="P716" s="59"/>
      <c r="Q716" s="61"/>
    </row>
    <row r="717">
      <c r="B717" s="59"/>
      <c r="D717" s="59"/>
      <c r="F717" s="59"/>
      <c r="H717" s="59"/>
      <c r="J717" s="59"/>
      <c r="L717" s="59"/>
      <c r="N717" s="59"/>
      <c r="P717" s="59"/>
      <c r="Q717" s="61"/>
    </row>
    <row r="718">
      <c r="B718" s="59"/>
      <c r="D718" s="59"/>
      <c r="F718" s="59"/>
      <c r="H718" s="59"/>
      <c r="J718" s="59"/>
      <c r="L718" s="59"/>
      <c r="N718" s="59"/>
      <c r="P718" s="59"/>
      <c r="Q718" s="61"/>
    </row>
    <row r="719">
      <c r="B719" s="59"/>
      <c r="D719" s="59"/>
      <c r="F719" s="59"/>
      <c r="H719" s="59"/>
      <c r="J719" s="59"/>
      <c r="L719" s="59"/>
      <c r="N719" s="59"/>
      <c r="P719" s="59"/>
      <c r="Q719" s="61"/>
    </row>
    <row r="720">
      <c r="B720" s="59"/>
      <c r="D720" s="59"/>
      <c r="F720" s="59"/>
      <c r="H720" s="59"/>
      <c r="J720" s="59"/>
      <c r="L720" s="59"/>
      <c r="N720" s="59"/>
      <c r="P720" s="59"/>
      <c r="Q720" s="61"/>
    </row>
    <row r="721">
      <c r="B721" s="59"/>
      <c r="D721" s="59"/>
      <c r="F721" s="59"/>
      <c r="H721" s="59"/>
      <c r="J721" s="59"/>
      <c r="L721" s="59"/>
      <c r="N721" s="59"/>
      <c r="P721" s="59"/>
      <c r="Q721" s="61"/>
    </row>
    <row r="722">
      <c r="B722" s="59"/>
      <c r="D722" s="59"/>
      <c r="F722" s="59"/>
      <c r="H722" s="59"/>
      <c r="J722" s="59"/>
      <c r="L722" s="59"/>
      <c r="N722" s="59"/>
      <c r="P722" s="59"/>
      <c r="Q722" s="61"/>
    </row>
    <row r="723">
      <c r="B723" s="59"/>
      <c r="D723" s="59"/>
      <c r="F723" s="59"/>
      <c r="H723" s="59"/>
      <c r="J723" s="59"/>
      <c r="L723" s="59"/>
      <c r="N723" s="59"/>
      <c r="P723" s="59"/>
      <c r="Q723" s="61"/>
    </row>
    <row r="724">
      <c r="B724" s="59"/>
      <c r="D724" s="59"/>
      <c r="F724" s="59"/>
      <c r="H724" s="59"/>
      <c r="J724" s="59"/>
      <c r="L724" s="59"/>
      <c r="N724" s="59"/>
      <c r="P724" s="59"/>
      <c r="Q724" s="61"/>
    </row>
    <row r="725">
      <c r="B725" s="59"/>
      <c r="D725" s="59"/>
      <c r="F725" s="59"/>
      <c r="H725" s="59"/>
      <c r="J725" s="59"/>
      <c r="L725" s="59"/>
      <c r="N725" s="59"/>
      <c r="P725" s="59"/>
      <c r="Q725" s="61"/>
    </row>
    <row r="726">
      <c r="B726" s="59"/>
      <c r="D726" s="59"/>
      <c r="F726" s="59"/>
      <c r="H726" s="59"/>
      <c r="J726" s="59"/>
      <c r="L726" s="59"/>
      <c r="N726" s="59"/>
      <c r="P726" s="59"/>
      <c r="Q726" s="61"/>
    </row>
    <row r="727">
      <c r="B727" s="59"/>
      <c r="D727" s="59"/>
      <c r="F727" s="59"/>
      <c r="H727" s="59"/>
      <c r="J727" s="59"/>
      <c r="L727" s="59"/>
      <c r="N727" s="59"/>
      <c r="P727" s="59"/>
      <c r="Q727" s="61"/>
    </row>
    <row r="728">
      <c r="B728" s="59"/>
      <c r="D728" s="59"/>
      <c r="F728" s="59"/>
      <c r="H728" s="59"/>
      <c r="J728" s="59"/>
      <c r="L728" s="59"/>
      <c r="N728" s="59"/>
      <c r="P728" s="59"/>
      <c r="Q728" s="61"/>
    </row>
    <row r="729">
      <c r="B729" s="59"/>
      <c r="D729" s="59"/>
      <c r="F729" s="59"/>
      <c r="H729" s="59"/>
      <c r="J729" s="59"/>
      <c r="L729" s="59"/>
      <c r="N729" s="59"/>
      <c r="P729" s="59"/>
      <c r="Q729" s="61"/>
    </row>
    <row r="730">
      <c r="B730" s="59"/>
      <c r="D730" s="59"/>
      <c r="F730" s="59"/>
      <c r="H730" s="59"/>
      <c r="J730" s="59"/>
      <c r="L730" s="59"/>
      <c r="N730" s="59"/>
      <c r="P730" s="59"/>
      <c r="Q730" s="61"/>
    </row>
    <row r="731">
      <c r="B731" s="59"/>
      <c r="D731" s="59"/>
      <c r="F731" s="59"/>
      <c r="H731" s="59"/>
      <c r="J731" s="59"/>
      <c r="L731" s="59"/>
      <c r="N731" s="59"/>
      <c r="P731" s="59"/>
      <c r="Q731" s="61"/>
    </row>
    <row r="732">
      <c r="B732" s="59"/>
      <c r="D732" s="59"/>
      <c r="F732" s="59"/>
      <c r="H732" s="59"/>
      <c r="J732" s="59"/>
      <c r="L732" s="59"/>
      <c r="N732" s="59"/>
      <c r="P732" s="59"/>
      <c r="Q732" s="61"/>
    </row>
    <row r="733">
      <c r="B733" s="59"/>
      <c r="D733" s="59"/>
      <c r="F733" s="59"/>
      <c r="H733" s="59"/>
      <c r="J733" s="59"/>
      <c r="L733" s="59"/>
      <c r="N733" s="59"/>
      <c r="P733" s="59"/>
      <c r="Q733" s="61"/>
    </row>
    <row r="734">
      <c r="B734" s="59"/>
      <c r="D734" s="59"/>
      <c r="F734" s="59"/>
      <c r="H734" s="59"/>
      <c r="J734" s="59"/>
      <c r="L734" s="59"/>
      <c r="N734" s="59"/>
      <c r="P734" s="59"/>
      <c r="Q734" s="61"/>
    </row>
    <row r="735">
      <c r="B735" s="59"/>
      <c r="D735" s="59"/>
      <c r="F735" s="59"/>
      <c r="H735" s="59"/>
      <c r="J735" s="59"/>
      <c r="L735" s="59"/>
      <c r="N735" s="59"/>
      <c r="P735" s="59"/>
      <c r="Q735" s="61"/>
    </row>
    <row r="736">
      <c r="B736" s="59"/>
      <c r="D736" s="59"/>
      <c r="F736" s="59"/>
      <c r="H736" s="59"/>
      <c r="J736" s="59"/>
      <c r="L736" s="59"/>
      <c r="N736" s="59"/>
      <c r="P736" s="59"/>
      <c r="Q736" s="61"/>
    </row>
    <row r="737">
      <c r="B737" s="59"/>
      <c r="D737" s="59"/>
      <c r="F737" s="59"/>
      <c r="H737" s="59"/>
      <c r="J737" s="59"/>
      <c r="L737" s="59"/>
      <c r="N737" s="59"/>
      <c r="P737" s="59"/>
      <c r="Q737" s="61"/>
    </row>
    <row r="738">
      <c r="B738" s="59"/>
      <c r="D738" s="59"/>
      <c r="F738" s="59"/>
      <c r="H738" s="59"/>
      <c r="J738" s="59"/>
      <c r="L738" s="59"/>
      <c r="N738" s="59"/>
      <c r="P738" s="59"/>
      <c r="Q738" s="61"/>
    </row>
    <row r="739">
      <c r="B739" s="59"/>
      <c r="D739" s="59"/>
      <c r="F739" s="59"/>
      <c r="H739" s="59"/>
      <c r="J739" s="59"/>
      <c r="L739" s="59"/>
      <c r="N739" s="59"/>
      <c r="P739" s="59"/>
      <c r="Q739" s="61"/>
    </row>
    <row r="740">
      <c r="B740" s="59"/>
      <c r="D740" s="59"/>
      <c r="F740" s="59"/>
      <c r="H740" s="59"/>
      <c r="J740" s="59"/>
      <c r="L740" s="59"/>
      <c r="N740" s="59"/>
      <c r="P740" s="59"/>
      <c r="Q740" s="61"/>
    </row>
    <row r="741">
      <c r="B741" s="59"/>
      <c r="D741" s="59"/>
      <c r="F741" s="59"/>
      <c r="H741" s="59"/>
      <c r="J741" s="59"/>
      <c r="L741" s="59"/>
      <c r="N741" s="59"/>
      <c r="P741" s="59"/>
      <c r="Q741" s="61"/>
    </row>
    <row r="742">
      <c r="B742" s="59"/>
      <c r="D742" s="59"/>
      <c r="F742" s="59"/>
      <c r="H742" s="59"/>
      <c r="J742" s="59"/>
      <c r="L742" s="59"/>
      <c r="N742" s="59"/>
      <c r="P742" s="59"/>
      <c r="Q742" s="61"/>
    </row>
    <row r="743">
      <c r="B743" s="59"/>
      <c r="D743" s="59"/>
      <c r="F743" s="59"/>
      <c r="H743" s="59"/>
      <c r="J743" s="59"/>
      <c r="L743" s="59"/>
      <c r="N743" s="59"/>
      <c r="P743" s="59"/>
      <c r="Q743" s="61"/>
    </row>
    <row r="744">
      <c r="B744" s="59"/>
      <c r="D744" s="59"/>
      <c r="F744" s="59"/>
      <c r="H744" s="59"/>
      <c r="J744" s="59"/>
      <c r="L744" s="59"/>
      <c r="N744" s="59"/>
      <c r="P744" s="59"/>
      <c r="Q744" s="61"/>
    </row>
    <row r="745">
      <c r="B745" s="59"/>
      <c r="D745" s="59"/>
      <c r="F745" s="59"/>
      <c r="H745" s="59"/>
      <c r="J745" s="59"/>
      <c r="L745" s="59"/>
      <c r="N745" s="59"/>
      <c r="P745" s="59"/>
      <c r="Q745" s="61"/>
    </row>
    <row r="746">
      <c r="B746" s="59"/>
      <c r="D746" s="59"/>
      <c r="F746" s="59"/>
      <c r="H746" s="59"/>
      <c r="J746" s="59"/>
      <c r="L746" s="59"/>
      <c r="N746" s="59"/>
      <c r="P746" s="59"/>
      <c r="Q746" s="61"/>
    </row>
    <row r="747">
      <c r="B747" s="59"/>
      <c r="D747" s="59"/>
      <c r="F747" s="59"/>
      <c r="H747" s="59"/>
      <c r="J747" s="59"/>
      <c r="L747" s="59"/>
      <c r="N747" s="59"/>
      <c r="P747" s="59"/>
      <c r="Q747" s="61"/>
    </row>
    <row r="748">
      <c r="B748" s="59"/>
      <c r="D748" s="59"/>
      <c r="F748" s="59"/>
      <c r="H748" s="59"/>
      <c r="J748" s="59"/>
      <c r="L748" s="59"/>
      <c r="N748" s="59"/>
      <c r="P748" s="59"/>
      <c r="Q748" s="61"/>
    </row>
    <row r="749">
      <c r="B749" s="59"/>
      <c r="D749" s="59"/>
      <c r="F749" s="59"/>
      <c r="H749" s="59"/>
      <c r="J749" s="59"/>
      <c r="L749" s="59"/>
      <c r="N749" s="59"/>
      <c r="P749" s="59"/>
      <c r="Q749" s="61"/>
    </row>
    <row r="750">
      <c r="B750" s="59"/>
      <c r="D750" s="59"/>
      <c r="F750" s="59"/>
      <c r="H750" s="59"/>
      <c r="J750" s="59"/>
      <c r="L750" s="59"/>
      <c r="N750" s="59"/>
      <c r="P750" s="59"/>
      <c r="Q750" s="61"/>
    </row>
    <row r="751">
      <c r="B751" s="59"/>
      <c r="D751" s="59"/>
      <c r="F751" s="59"/>
      <c r="H751" s="59"/>
      <c r="J751" s="59"/>
      <c r="L751" s="59"/>
      <c r="N751" s="59"/>
      <c r="P751" s="59"/>
      <c r="Q751" s="61"/>
    </row>
    <row r="752">
      <c r="B752" s="59"/>
      <c r="D752" s="59"/>
      <c r="F752" s="59"/>
      <c r="H752" s="59"/>
      <c r="J752" s="59"/>
      <c r="L752" s="59"/>
      <c r="N752" s="59"/>
      <c r="P752" s="59"/>
      <c r="Q752" s="61"/>
    </row>
    <row r="753">
      <c r="B753" s="59"/>
      <c r="D753" s="59"/>
      <c r="F753" s="59"/>
      <c r="H753" s="59"/>
      <c r="J753" s="59"/>
      <c r="L753" s="59"/>
      <c r="N753" s="59"/>
      <c r="P753" s="59"/>
      <c r="Q753" s="61"/>
    </row>
    <row r="754">
      <c r="B754" s="59"/>
      <c r="D754" s="59"/>
      <c r="F754" s="59"/>
      <c r="H754" s="59"/>
      <c r="J754" s="59"/>
      <c r="L754" s="59"/>
      <c r="N754" s="59"/>
      <c r="P754" s="59"/>
      <c r="Q754" s="61"/>
    </row>
    <row r="755">
      <c r="B755" s="59"/>
      <c r="D755" s="59"/>
      <c r="F755" s="59"/>
      <c r="H755" s="59"/>
      <c r="J755" s="59"/>
      <c r="L755" s="59"/>
      <c r="N755" s="59"/>
      <c r="P755" s="59"/>
      <c r="Q755" s="61"/>
    </row>
    <row r="756">
      <c r="B756" s="59"/>
      <c r="D756" s="59"/>
      <c r="F756" s="59"/>
      <c r="H756" s="59"/>
      <c r="J756" s="59"/>
      <c r="L756" s="59"/>
      <c r="N756" s="59"/>
      <c r="P756" s="59"/>
      <c r="Q756" s="61"/>
    </row>
    <row r="757">
      <c r="B757" s="59"/>
      <c r="D757" s="59"/>
      <c r="F757" s="59"/>
      <c r="H757" s="59"/>
      <c r="J757" s="59"/>
      <c r="L757" s="59"/>
      <c r="N757" s="59"/>
      <c r="P757" s="59"/>
      <c r="Q757" s="61"/>
    </row>
    <row r="758">
      <c r="B758" s="59"/>
      <c r="D758" s="59"/>
      <c r="F758" s="59"/>
      <c r="H758" s="59"/>
      <c r="J758" s="59"/>
      <c r="L758" s="59"/>
      <c r="N758" s="59"/>
      <c r="P758" s="59"/>
      <c r="Q758" s="61"/>
    </row>
    <row r="759">
      <c r="B759" s="59"/>
      <c r="D759" s="59"/>
      <c r="F759" s="59"/>
      <c r="H759" s="59"/>
      <c r="J759" s="59"/>
      <c r="L759" s="59"/>
      <c r="N759" s="59"/>
      <c r="P759" s="59"/>
      <c r="Q759" s="61"/>
    </row>
    <row r="760">
      <c r="B760" s="59"/>
      <c r="D760" s="59"/>
      <c r="F760" s="59"/>
      <c r="H760" s="59"/>
      <c r="J760" s="59"/>
      <c r="L760" s="59"/>
      <c r="N760" s="59"/>
      <c r="P760" s="59"/>
      <c r="Q760" s="61"/>
    </row>
    <row r="761">
      <c r="B761" s="59"/>
      <c r="D761" s="59"/>
      <c r="F761" s="59"/>
      <c r="H761" s="59"/>
      <c r="J761" s="59"/>
      <c r="L761" s="59"/>
      <c r="N761" s="59"/>
      <c r="P761" s="59"/>
      <c r="Q761" s="61"/>
    </row>
    <row r="762">
      <c r="B762" s="59"/>
      <c r="D762" s="59"/>
      <c r="F762" s="59"/>
      <c r="H762" s="59"/>
      <c r="J762" s="59"/>
      <c r="L762" s="59"/>
      <c r="N762" s="59"/>
      <c r="P762" s="59"/>
      <c r="Q762" s="61"/>
    </row>
    <row r="763">
      <c r="B763" s="59"/>
      <c r="D763" s="59"/>
      <c r="F763" s="59"/>
      <c r="H763" s="59"/>
      <c r="J763" s="59"/>
      <c r="L763" s="59"/>
      <c r="N763" s="59"/>
      <c r="P763" s="59"/>
      <c r="Q763" s="61"/>
    </row>
    <row r="764">
      <c r="B764" s="59"/>
      <c r="D764" s="59"/>
      <c r="F764" s="59"/>
      <c r="H764" s="59"/>
      <c r="J764" s="59"/>
      <c r="L764" s="59"/>
      <c r="N764" s="59"/>
      <c r="P764" s="59"/>
      <c r="Q764" s="61"/>
    </row>
    <row r="765">
      <c r="B765" s="59"/>
      <c r="D765" s="59"/>
      <c r="F765" s="59"/>
      <c r="H765" s="59"/>
      <c r="J765" s="59"/>
      <c r="L765" s="59"/>
      <c r="N765" s="59"/>
      <c r="P765" s="59"/>
      <c r="Q765" s="61"/>
    </row>
    <row r="766">
      <c r="B766" s="59"/>
      <c r="D766" s="59"/>
      <c r="F766" s="59"/>
      <c r="H766" s="59"/>
      <c r="J766" s="59"/>
      <c r="L766" s="59"/>
      <c r="N766" s="59"/>
      <c r="P766" s="59"/>
      <c r="Q766" s="61"/>
    </row>
    <row r="767">
      <c r="B767" s="59"/>
      <c r="D767" s="59"/>
      <c r="F767" s="59"/>
      <c r="H767" s="59"/>
      <c r="J767" s="59"/>
      <c r="L767" s="59"/>
      <c r="N767" s="59"/>
      <c r="P767" s="59"/>
      <c r="Q767" s="61"/>
    </row>
    <row r="768">
      <c r="B768" s="59"/>
      <c r="D768" s="59"/>
      <c r="F768" s="59"/>
      <c r="H768" s="59"/>
      <c r="J768" s="59"/>
      <c r="L768" s="59"/>
      <c r="N768" s="59"/>
      <c r="P768" s="59"/>
      <c r="Q768" s="61"/>
    </row>
    <row r="769">
      <c r="B769" s="59"/>
      <c r="D769" s="59"/>
      <c r="F769" s="59"/>
      <c r="H769" s="59"/>
      <c r="J769" s="59"/>
      <c r="L769" s="59"/>
      <c r="N769" s="59"/>
      <c r="P769" s="59"/>
      <c r="Q769" s="61"/>
    </row>
    <row r="770">
      <c r="B770" s="59"/>
      <c r="D770" s="59"/>
      <c r="F770" s="59"/>
      <c r="H770" s="59"/>
      <c r="J770" s="59"/>
      <c r="L770" s="59"/>
      <c r="N770" s="59"/>
      <c r="P770" s="59"/>
      <c r="Q770" s="61"/>
    </row>
    <row r="771">
      <c r="B771" s="59"/>
      <c r="D771" s="59"/>
      <c r="F771" s="59"/>
      <c r="H771" s="59"/>
      <c r="J771" s="59"/>
      <c r="L771" s="59"/>
      <c r="N771" s="59"/>
      <c r="P771" s="59"/>
      <c r="Q771" s="61"/>
    </row>
    <row r="772">
      <c r="B772" s="59"/>
      <c r="D772" s="59"/>
      <c r="F772" s="59"/>
      <c r="H772" s="59"/>
      <c r="J772" s="59"/>
      <c r="L772" s="59"/>
      <c r="N772" s="59"/>
      <c r="P772" s="59"/>
      <c r="Q772" s="61"/>
    </row>
    <row r="773">
      <c r="B773" s="59"/>
      <c r="D773" s="59"/>
      <c r="F773" s="59"/>
      <c r="H773" s="59"/>
      <c r="J773" s="59"/>
      <c r="L773" s="59"/>
      <c r="N773" s="59"/>
      <c r="P773" s="59"/>
      <c r="Q773" s="61"/>
    </row>
    <row r="774">
      <c r="B774" s="59"/>
      <c r="D774" s="59"/>
      <c r="F774" s="59"/>
      <c r="H774" s="59"/>
      <c r="J774" s="59"/>
      <c r="L774" s="59"/>
      <c r="N774" s="59"/>
      <c r="P774" s="59"/>
      <c r="Q774" s="61"/>
    </row>
    <row r="775">
      <c r="B775" s="59"/>
      <c r="D775" s="59"/>
      <c r="F775" s="59"/>
      <c r="H775" s="59"/>
      <c r="J775" s="59"/>
      <c r="L775" s="59"/>
      <c r="N775" s="59"/>
      <c r="P775" s="59"/>
      <c r="Q775" s="61"/>
    </row>
    <row r="776">
      <c r="B776" s="59"/>
      <c r="D776" s="59"/>
      <c r="F776" s="59"/>
      <c r="H776" s="59"/>
      <c r="J776" s="59"/>
      <c r="L776" s="59"/>
      <c r="N776" s="59"/>
      <c r="P776" s="59"/>
      <c r="Q776" s="61"/>
    </row>
    <row r="777">
      <c r="B777" s="59"/>
      <c r="D777" s="59"/>
      <c r="F777" s="59"/>
      <c r="H777" s="59"/>
      <c r="J777" s="59"/>
      <c r="L777" s="59"/>
      <c r="N777" s="59"/>
      <c r="P777" s="59"/>
      <c r="Q777" s="61"/>
    </row>
    <row r="778">
      <c r="B778" s="59"/>
      <c r="D778" s="59"/>
      <c r="F778" s="59"/>
      <c r="H778" s="59"/>
      <c r="J778" s="59"/>
      <c r="L778" s="59"/>
      <c r="N778" s="59"/>
      <c r="P778" s="59"/>
      <c r="Q778" s="61"/>
    </row>
    <row r="779">
      <c r="B779" s="59"/>
      <c r="D779" s="59"/>
      <c r="F779" s="59"/>
      <c r="H779" s="59"/>
      <c r="J779" s="59"/>
      <c r="L779" s="59"/>
      <c r="N779" s="59"/>
      <c r="P779" s="59"/>
      <c r="Q779" s="61"/>
    </row>
    <row r="780">
      <c r="B780" s="59"/>
      <c r="D780" s="59"/>
      <c r="F780" s="59"/>
      <c r="H780" s="59"/>
      <c r="J780" s="59"/>
      <c r="L780" s="59"/>
      <c r="N780" s="59"/>
      <c r="P780" s="59"/>
      <c r="Q780" s="61"/>
    </row>
    <row r="781">
      <c r="B781" s="59"/>
      <c r="D781" s="59"/>
      <c r="F781" s="59"/>
      <c r="H781" s="59"/>
      <c r="J781" s="59"/>
      <c r="L781" s="59"/>
      <c r="N781" s="59"/>
      <c r="P781" s="59"/>
      <c r="Q781" s="61"/>
    </row>
    <row r="782">
      <c r="B782" s="59"/>
      <c r="D782" s="59"/>
      <c r="F782" s="59"/>
      <c r="H782" s="59"/>
      <c r="J782" s="59"/>
      <c r="L782" s="59"/>
      <c r="N782" s="59"/>
      <c r="P782" s="59"/>
      <c r="Q782" s="61"/>
    </row>
    <row r="783">
      <c r="B783" s="59"/>
      <c r="D783" s="59"/>
      <c r="F783" s="59"/>
      <c r="H783" s="59"/>
      <c r="J783" s="59"/>
      <c r="L783" s="59"/>
      <c r="N783" s="59"/>
      <c r="P783" s="59"/>
      <c r="Q783" s="61"/>
    </row>
    <row r="784">
      <c r="B784" s="59"/>
      <c r="D784" s="59"/>
      <c r="F784" s="59"/>
      <c r="H784" s="59"/>
      <c r="J784" s="59"/>
      <c r="L784" s="59"/>
      <c r="N784" s="59"/>
      <c r="P784" s="59"/>
      <c r="Q784" s="61"/>
    </row>
    <row r="785">
      <c r="B785" s="59"/>
      <c r="D785" s="59"/>
      <c r="F785" s="59"/>
      <c r="H785" s="59"/>
      <c r="J785" s="59"/>
      <c r="L785" s="59"/>
      <c r="N785" s="59"/>
      <c r="P785" s="59"/>
      <c r="Q785" s="61"/>
    </row>
    <row r="786">
      <c r="B786" s="59"/>
      <c r="D786" s="59"/>
      <c r="F786" s="59"/>
      <c r="H786" s="59"/>
      <c r="J786" s="59"/>
      <c r="L786" s="59"/>
      <c r="N786" s="59"/>
      <c r="P786" s="59"/>
      <c r="Q786" s="61"/>
    </row>
    <row r="787">
      <c r="B787" s="59"/>
      <c r="D787" s="59"/>
      <c r="F787" s="59"/>
      <c r="H787" s="59"/>
      <c r="J787" s="59"/>
      <c r="L787" s="59"/>
      <c r="N787" s="59"/>
      <c r="P787" s="59"/>
      <c r="Q787" s="61"/>
    </row>
    <row r="788">
      <c r="B788" s="59"/>
      <c r="D788" s="59"/>
      <c r="F788" s="59"/>
      <c r="H788" s="59"/>
      <c r="J788" s="59"/>
      <c r="L788" s="59"/>
      <c r="N788" s="59"/>
      <c r="P788" s="59"/>
      <c r="Q788" s="61"/>
    </row>
    <row r="789">
      <c r="B789" s="59"/>
      <c r="D789" s="59"/>
      <c r="F789" s="59"/>
      <c r="H789" s="59"/>
      <c r="J789" s="59"/>
      <c r="L789" s="59"/>
      <c r="N789" s="59"/>
      <c r="P789" s="59"/>
      <c r="Q789" s="61"/>
    </row>
    <row r="790">
      <c r="B790" s="59"/>
      <c r="D790" s="59"/>
      <c r="F790" s="59"/>
      <c r="H790" s="59"/>
      <c r="J790" s="59"/>
      <c r="L790" s="59"/>
      <c r="N790" s="59"/>
      <c r="P790" s="59"/>
      <c r="Q790" s="61"/>
    </row>
    <row r="791">
      <c r="B791" s="59"/>
      <c r="D791" s="59"/>
      <c r="F791" s="59"/>
      <c r="H791" s="59"/>
      <c r="J791" s="59"/>
      <c r="L791" s="59"/>
      <c r="N791" s="59"/>
      <c r="P791" s="59"/>
      <c r="Q791" s="61"/>
    </row>
    <row r="792">
      <c r="B792" s="59"/>
      <c r="D792" s="59"/>
      <c r="F792" s="59"/>
      <c r="H792" s="59"/>
      <c r="J792" s="59"/>
      <c r="L792" s="59"/>
      <c r="N792" s="59"/>
      <c r="P792" s="59"/>
      <c r="Q792" s="61"/>
    </row>
    <row r="793">
      <c r="B793" s="59"/>
      <c r="D793" s="59"/>
      <c r="F793" s="59"/>
      <c r="H793" s="59"/>
      <c r="J793" s="59"/>
      <c r="L793" s="59"/>
      <c r="N793" s="59"/>
      <c r="P793" s="59"/>
      <c r="Q793" s="61"/>
    </row>
    <row r="794">
      <c r="B794" s="59"/>
      <c r="D794" s="59"/>
      <c r="F794" s="59"/>
      <c r="H794" s="59"/>
      <c r="J794" s="59"/>
      <c r="L794" s="59"/>
      <c r="N794" s="59"/>
      <c r="P794" s="59"/>
      <c r="Q794" s="61"/>
    </row>
    <row r="795">
      <c r="B795" s="59"/>
      <c r="D795" s="59"/>
      <c r="F795" s="59"/>
      <c r="H795" s="59"/>
      <c r="J795" s="59"/>
      <c r="L795" s="59"/>
      <c r="N795" s="59"/>
      <c r="P795" s="59"/>
      <c r="Q795" s="61"/>
    </row>
    <row r="796">
      <c r="B796" s="59"/>
      <c r="D796" s="59"/>
      <c r="F796" s="59"/>
      <c r="H796" s="59"/>
      <c r="J796" s="59"/>
      <c r="L796" s="59"/>
      <c r="N796" s="59"/>
      <c r="P796" s="59"/>
      <c r="Q796" s="61"/>
    </row>
    <row r="797">
      <c r="B797" s="59"/>
      <c r="D797" s="59"/>
      <c r="F797" s="59"/>
      <c r="H797" s="59"/>
      <c r="J797" s="59"/>
      <c r="L797" s="59"/>
      <c r="N797" s="59"/>
      <c r="P797" s="59"/>
      <c r="Q797" s="61"/>
    </row>
    <row r="798">
      <c r="B798" s="59"/>
      <c r="D798" s="59"/>
      <c r="F798" s="59"/>
      <c r="H798" s="59"/>
      <c r="J798" s="59"/>
      <c r="L798" s="59"/>
      <c r="N798" s="59"/>
      <c r="P798" s="59"/>
      <c r="Q798" s="61"/>
    </row>
    <row r="799">
      <c r="B799" s="59"/>
      <c r="D799" s="59"/>
      <c r="F799" s="59"/>
      <c r="H799" s="59"/>
      <c r="J799" s="59"/>
      <c r="L799" s="59"/>
      <c r="N799" s="59"/>
      <c r="P799" s="59"/>
      <c r="Q799" s="61"/>
    </row>
    <row r="800">
      <c r="B800" s="59"/>
      <c r="D800" s="59"/>
      <c r="F800" s="59"/>
      <c r="H800" s="59"/>
      <c r="J800" s="59"/>
      <c r="L800" s="59"/>
      <c r="N800" s="59"/>
      <c r="P800" s="59"/>
      <c r="Q800" s="61"/>
    </row>
    <row r="801">
      <c r="B801" s="59"/>
      <c r="D801" s="59"/>
      <c r="F801" s="59"/>
      <c r="H801" s="59"/>
      <c r="J801" s="59"/>
      <c r="L801" s="59"/>
      <c r="N801" s="59"/>
      <c r="P801" s="59"/>
      <c r="Q801" s="61"/>
    </row>
    <row r="802">
      <c r="B802" s="59"/>
      <c r="D802" s="59"/>
      <c r="F802" s="59"/>
      <c r="H802" s="59"/>
      <c r="J802" s="59"/>
      <c r="L802" s="59"/>
      <c r="N802" s="59"/>
      <c r="P802" s="59"/>
      <c r="Q802" s="61"/>
    </row>
    <row r="803">
      <c r="B803" s="59"/>
      <c r="D803" s="59"/>
      <c r="F803" s="59"/>
      <c r="H803" s="59"/>
      <c r="J803" s="59"/>
      <c r="L803" s="59"/>
      <c r="N803" s="59"/>
      <c r="P803" s="59"/>
      <c r="Q803" s="61"/>
    </row>
    <row r="804">
      <c r="B804" s="59"/>
      <c r="D804" s="59"/>
      <c r="F804" s="59"/>
      <c r="H804" s="59"/>
      <c r="J804" s="59"/>
      <c r="L804" s="59"/>
      <c r="N804" s="59"/>
      <c r="P804" s="59"/>
      <c r="Q804" s="61"/>
    </row>
    <row r="805">
      <c r="B805" s="59"/>
      <c r="D805" s="59"/>
      <c r="F805" s="59"/>
      <c r="H805" s="59"/>
      <c r="J805" s="59"/>
      <c r="L805" s="59"/>
      <c r="N805" s="59"/>
      <c r="P805" s="59"/>
      <c r="Q805" s="61"/>
    </row>
    <row r="806">
      <c r="B806" s="59"/>
      <c r="D806" s="59"/>
      <c r="F806" s="59"/>
      <c r="H806" s="59"/>
      <c r="J806" s="59"/>
      <c r="L806" s="59"/>
      <c r="N806" s="59"/>
      <c r="P806" s="59"/>
      <c r="Q806" s="61"/>
    </row>
    <row r="807">
      <c r="B807" s="59"/>
      <c r="D807" s="59"/>
      <c r="F807" s="59"/>
      <c r="H807" s="59"/>
      <c r="J807" s="59"/>
      <c r="L807" s="59"/>
      <c r="N807" s="59"/>
      <c r="P807" s="59"/>
      <c r="Q807" s="61"/>
    </row>
    <row r="808">
      <c r="B808" s="59"/>
      <c r="D808" s="59"/>
      <c r="F808" s="59"/>
      <c r="H808" s="59"/>
      <c r="J808" s="59"/>
      <c r="L808" s="59"/>
      <c r="N808" s="59"/>
      <c r="P808" s="59"/>
      <c r="Q808" s="61"/>
    </row>
    <row r="809">
      <c r="B809" s="59"/>
      <c r="D809" s="59"/>
      <c r="F809" s="59"/>
      <c r="H809" s="59"/>
      <c r="J809" s="59"/>
      <c r="L809" s="59"/>
      <c r="N809" s="59"/>
      <c r="P809" s="59"/>
      <c r="Q809" s="61"/>
    </row>
    <row r="810">
      <c r="B810" s="59"/>
      <c r="D810" s="59"/>
      <c r="F810" s="59"/>
      <c r="H810" s="59"/>
      <c r="J810" s="59"/>
      <c r="L810" s="59"/>
      <c r="N810" s="59"/>
      <c r="P810" s="59"/>
      <c r="Q810" s="61"/>
    </row>
    <row r="811">
      <c r="B811" s="59"/>
      <c r="D811" s="59"/>
      <c r="F811" s="59"/>
      <c r="H811" s="59"/>
      <c r="J811" s="59"/>
      <c r="L811" s="59"/>
      <c r="N811" s="59"/>
      <c r="P811" s="59"/>
      <c r="Q811" s="61"/>
    </row>
    <row r="812">
      <c r="B812" s="59"/>
      <c r="D812" s="59"/>
      <c r="F812" s="59"/>
      <c r="H812" s="59"/>
      <c r="J812" s="59"/>
      <c r="L812" s="59"/>
      <c r="N812" s="59"/>
      <c r="P812" s="59"/>
      <c r="Q812" s="61"/>
    </row>
    <row r="813">
      <c r="B813" s="59"/>
      <c r="D813" s="59"/>
      <c r="F813" s="59"/>
      <c r="H813" s="59"/>
      <c r="J813" s="59"/>
      <c r="L813" s="59"/>
      <c r="N813" s="59"/>
      <c r="P813" s="59"/>
      <c r="Q813" s="61"/>
    </row>
    <row r="814">
      <c r="B814" s="59"/>
      <c r="D814" s="59"/>
      <c r="F814" s="59"/>
      <c r="H814" s="59"/>
      <c r="J814" s="59"/>
      <c r="L814" s="59"/>
      <c r="N814" s="59"/>
      <c r="P814" s="59"/>
      <c r="Q814" s="61"/>
    </row>
    <row r="815">
      <c r="B815" s="59"/>
      <c r="D815" s="59"/>
      <c r="F815" s="59"/>
      <c r="H815" s="59"/>
      <c r="J815" s="59"/>
      <c r="L815" s="59"/>
      <c r="N815" s="59"/>
      <c r="P815" s="59"/>
      <c r="Q815" s="61"/>
    </row>
    <row r="816">
      <c r="B816" s="59"/>
      <c r="D816" s="59"/>
      <c r="F816" s="59"/>
      <c r="H816" s="59"/>
      <c r="J816" s="59"/>
      <c r="L816" s="59"/>
      <c r="N816" s="59"/>
      <c r="P816" s="59"/>
      <c r="Q816" s="61"/>
    </row>
    <row r="817">
      <c r="B817" s="59"/>
      <c r="D817" s="59"/>
      <c r="F817" s="59"/>
      <c r="H817" s="59"/>
      <c r="J817" s="59"/>
      <c r="L817" s="59"/>
      <c r="N817" s="59"/>
      <c r="P817" s="59"/>
      <c r="Q817" s="61"/>
    </row>
    <row r="818">
      <c r="B818" s="59"/>
      <c r="D818" s="59"/>
      <c r="F818" s="59"/>
      <c r="H818" s="59"/>
      <c r="J818" s="59"/>
      <c r="L818" s="59"/>
      <c r="N818" s="59"/>
      <c r="P818" s="59"/>
      <c r="Q818" s="61"/>
    </row>
    <row r="819">
      <c r="B819" s="59"/>
      <c r="D819" s="59"/>
      <c r="F819" s="59"/>
      <c r="H819" s="59"/>
      <c r="J819" s="59"/>
      <c r="L819" s="59"/>
      <c r="N819" s="59"/>
      <c r="P819" s="59"/>
      <c r="Q819" s="61"/>
    </row>
    <row r="820">
      <c r="B820" s="59"/>
      <c r="D820" s="59"/>
      <c r="F820" s="59"/>
      <c r="H820" s="59"/>
      <c r="J820" s="59"/>
      <c r="L820" s="59"/>
      <c r="N820" s="59"/>
      <c r="P820" s="59"/>
      <c r="Q820" s="61"/>
    </row>
    <row r="821">
      <c r="B821" s="59"/>
      <c r="D821" s="59"/>
      <c r="F821" s="59"/>
      <c r="H821" s="59"/>
      <c r="J821" s="59"/>
      <c r="L821" s="59"/>
      <c r="N821" s="59"/>
      <c r="P821" s="59"/>
      <c r="Q821" s="61"/>
    </row>
    <row r="822">
      <c r="B822" s="59"/>
      <c r="D822" s="59"/>
      <c r="F822" s="59"/>
      <c r="H822" s="59"/>
      <c r="J822" s="59"/>
      <c r="L822" s="59"/>
      <c r="N822" s="59"/>
      <c r="P822" s="59"/>
      <c r="Q822" s="61"/>
    </row>
    <row r="823">
      <c r="B823" s="59"/>
      <c r="D823" s="59"/>
      <c r="F823" s="59"/>
      <c r="H823" s="59"/>
      <c r="J823" s="59"/>
      <c r="L823" s="59"/>
      <c r="N823" s="59"/>
      <c r="P823" s="59"/>
      <c r="Q823" s="61"/>
    </row>
    <row r="824">
      <c r="B824" s="59"/>
      <c r="D824" s="59"/>
      <c r="F824" s="59"/>
      <c r="H824" s="59"/>
      <c r="J824" s="59"/>
      <c r="L824" s="59"/>
      <c r="N824" s="59"/>
      <c r="P824" s="59"/>
      <c r="Q824" s="61"/>
    </row>
    <row r="825">
      <c r="B825" s="59"/>
      <c r="D825" s="59"/>
      <c r="F825" s="59"/>
      <c r="H825" s="59"/>
      <c r="J825" s="59"/>
      <c r="L825" s="59"/>
      <c r="N825" s="59"/>
      <c r="P825" s="59"/>
      <c r="Q825" s="61"/>
    </row>
    <row r="826">
      <c r="B826" s="59"/>
      <c r="D826" s="59"/>
      <c r="F826" s="59"/>
      <c r="H826" s="59"/>
      <c r="J826" s="59"/>
      <c r="L826" s="59"/>
      <c r="N826" s="59"/>
      <c r="P826" s="59"/>
      <c r="Q826" s="61"/>
    </row>
    <row r="827">
      <c r="B827" s="59"/>
      <c r="D827" s="59"/>
      <c r="F827" s="59"/>
      <c r="H827" s="59"/>
      <c r="J827" s="59"/>
      <c r="L827" s="59"/>
      <c r="N827" s="59"/>
      <c r="P827" s="59"/>
      <c r="Q827" s="61"/>
    </row>
    <row r="828">
      <c r="B828" s="59"/>
      <c r="D828" s="59"/>
      <c r="F828" s="59"/>
      <c r="H828" s="59"/>
      <c r="J828" s="59"/>
      <c r="L828" s="59"/>
      <c r="N828" s="59"/>
      <c r="P828" s="59"/>
      <c r="Q828" s="61"/>
    </row>
    <row r="829">
      <c r="B829" s="59"/>
      <c r="D829" s="59"/>
      <c r="F829" s="59"/>
      <c r="H829" s="59"/>
      <c r="J829" s="59"/>
      <c r="L829" s="59"/>
      <c r="N829" s="59"/>
      <c r="P829" s="59"/>
      <c r="Q829" s="61"/>
    </row>
    <row r="830">
      <c r="B830" s="59"/>
      <c r="D830" s="59"/>
      <c r="F830" s="59"/>
      <c r="H830" s="59"/>
      <c r="J830" s="59"/>
      <c r="L830" s="59"/>
      <c r="N830" s="59"/>
      <c r="P830" s="59"/>
      <c r="Q830" s="61"/>
    </row>
    <row r="831">
      <c r="B831" s="59"/>
      <c r="D831" s="59"/>
      <c r="F831" s="59"/>
      <c r="H831" s="59"/>
      <c r="J831" s="59"/>
      <c r="L831" s="59"/>
      <c r="N831" s="59"/>
      <c r="P831" s="59"/>
      <c r="Q831" s="61"/>
    </row>
    <row r="832">
      <c r="B832" s="59"/>
      <c r="D832" s="59"/>
      <c r="F832" s="59"/>
      <c r="H832" s="59"/>
      <c r="J832" s="59"/>
      <c r="L832" s="59"/>
      <c r="N832" s="59"/>
      <c r="P832" s="59"/>
      <c r="Q832" s="61"/>
    </row>
    <row r="833">
      <c r="B833" s="59"/>
      <c r="D833" s="59"/>
      <c r="F833" s="59"/>
      <c r="H833" s="59"/>
      <c r="J833" s="59"/>
      <c r="L833" s="59"/>
      <c r="N833" s="59"/>
      <c r="P833" s="59"/>
      <c r="Q833" s="61"/>
    </row>
    <row r="834">
      <c r="B834" s="59"/>
      <c r="D834" s="59"/>
      <c r="F834" s="59"/>
      <c r="H834" s="59"/>
      <c r="J834" s="59"/>
      <c r="L834" s="59"/>
      <c r="N834" s="59"/>
      <c r="P834" s="59"/>
      <c r="Q834" s="61"/>
    </row>
    <row r="835">
      <c r="B835" s="59"/>
      <c r="D835" s="59"/>
      <c r="F835" s="59"/>
      <c r="H835" s="59"/>
      <c r="J835" s="59"/>
      <c r="L835" s="59"/>
      <c r="N835" s="59"/>
      <c r="P835" s="59"/>
      <c r="Q835" s="61"/>
    </row>
    <row r="836">
      <c r="B836" s="59"/>
      <c r="D836" s="59"/>
      <c r="F836" s="59"/>
      <c r="H836" s="59"/>
      <c r="J836" s="59"/>
      <c r="L836" s="59"/>
      <c r="N836" s="59"/>
      <c r="P836" s="59"/>
      <c r="Q836" s="61"/>
    </row>
    <row r="837">
      <c r="B837" s="59"/>
      <c r="D837" s="59"/>
      <c r="F837" s="59"/>
      <c r="H837" s="59"/>
      <c r="J837" s="59"/>
      <c r="L837" s="59"/>
      <c r="N837" s="59"/>
      <c r="P837" s="59"/>
      <c r="Q837" s="61"/>
    </row>
    <row r="838">
      <c r="B838" s="59"/>
      <c r="D838" s="59"/>
      <c r="F838" s="59"/>
      <c r="H838" s="59"/>
      <c r="J838" s="59"/>
      <c r="L838" s="59"/>
      <c r="N838" s="59"/>
      <c r="P838" s="59"/>
      <c r="Q838" s="61"/>
    </row>
    <row r="839">
      <c r="B839" s="59"/>
      <c r="D839" s="59"/>
      <c r="F839" s="59"/>
      <c r="H839" s="59"/>
      <c r="J839" s="59"/>
      <c r="L839" s="59"/>
      <c r="N839" s="59"/>
      <c r="P839" s="59"/>
      <c r="Q839" s="61"/>
    </row>
    <row r="840">
      <c r="B840" s="59"/>
      <c r="D840" s="59"/>
      <c r="F840" s="59"/>
      <c r="H840" s="59"/>
      <c r="J840" s="59"/>
      <c r="L840" s="59"/>
      <c r="N840" s="59"/>
      <c r="P840" s="59"/>
      <c r="Q840" s="61"/>
    </row>
    <row r="841">
      <c r="B841" s="59"/>
      <c r="D841" s="59"/>
      <c r="F841" s="59"/>
      <c r="H841" s="59"/>
      <c r="J841" s="59"/>
      <c r="L841" s="59"/>
      <c r="N841" s="59"/>
      <c r="P841" s="59"/>
      <c r="Q841" s="61"/>
    </row>
    <row r="842">
      <c r="B842" s="59"/>
      <c r="D842" s="59"/>
      <c r="F842" s="59"/>
      <c r="H842" s="59"/>
      <c r="J842" s="59"/>
      <c r="L842" s="59"/>
      <c r="N842" s="59"/>
      <c r="P842" s="59"/>
      <c r="Q842" s="61"/>
    </row>
    <row r="843">
      <c r="B843" s="59"/>
      <c r="D843" s="59"/>
      <c r="F843" s="59"/>
      <c r="H843" s="59"/>
      <c r="J843" s="59"/>
      <c r="L843" s="59"/>
      <c r="N843" s="59"/>
      <c r="P843" s="59"/>
      <c r="Q843" s="61"/>
    </row>
    <row r="844">
      <c r="B844" s="59"/>
      <c r="D844" s="59"/>
      <c r="F844" s="59"/>
      <c r="H844" s="59"/>
      <c r="J844" s="59"/>
      <c r="L844" s="59"/>
      <c r="N844" s="59"/>
      <c r="P844" s="59"/>
      <c r="Q844" s="61"/>
    </row>
    <row r="845">
      <c r="B845" s="59"/>
      <c r="D845" s="59"/>
      <c r="F845" s="59"/>
      <c r="H845" s="59"/>
      <c r="J845" s="59"/>
      <c r="L845" s="59"/>
      <c r="N845" s="59"/>
      <c r="P845" s="59"/>
      <c r="Q845" s="61"/>
    </row>
    <row r="846">
      <c r="B846" s="59"/>
      <c r="D846" s="59"/>
      <c r="F846" s="59"/>
      <c r="H846" s="59"/>
      <c r="J846" s="59"/>
      <c r="L846" s="59"/>
      <c r="N846" s="59"/>
      <c r="P846" s="59"/>
      <c r="Q846" s="61"/>
    </row>
    <row r="847">
      <c r="B847" s="59"/>
      <c r="D847" s="59"/>
      <c r="F847" s="59"/>
      <c r="H847" s="59"/>
      <c r="J847" s="59"/>
      <c r="L847" s="59"/>
      <c r="N847" s="59"/>
      <c r="P847" s="59"/>
      <c r="Q847" s="61"/>
    </row>
    <row r="848">
      <c r="B848" s="59"/>
      <c r="D848" s="59"/>
      <c r="F848" s="59"/>
      <c r="H848" s="59"/>
      <c r="J848" s="59"/>
      <c r="L848" s="59"/>
      <c r="N848" s="59"/>
      <c r="P848" s="59"/>
      <c r="Q848" s="61"/>
    </row>
    <row r="849">
      <c r="B849" s="59"/>
      <c r="D849" s="59"/>
      <c r="F849" s="59"/>
      <c r="H849" s="59"/>
      <c r="J849" s="59"/>
      <c r="L849" s="59"/>
      <c r="N849" s="59"/>
      <c r="P849" s="59"/>
      <c r="Q849" s="61"/>
    </row>
    <row r="850">
      <c r="B850" s="59"/>
      <c r="D850" s="59"/>
      <c r="F850" s="59"/>
      <c r="H850" s="59"/>
      <c r="J850" s="59"/>
      <c r="L850" s="59"/>
      <c r="N850" s="59"/>
      <c r="P850" s="59"/>
      <c r="Q850" s="61"/>
    </row>
    <row r="851">
      <c r="B851" s="59"/>
      <c r="D851" s="59"/>
      <c r="F851" s="59"/>
      <c r="H851" s="59"/>
      <c r="J851" s="59"/>
      <c r="L851" s="59"/>
      <c r="N851" s="59"/>
      <c r="P851" s="59"/>
      <c r="Q851" s="61"/>
    </row>
    <row r="852">
      <c r="B852" s="59"/>
      <c r="D852" s="59"/>
      <c r="F852" s="59"/>
      <c r="H852" s="59"/>
      <c r="J852" s="59"/>
      <c r="L852" s="59"/>
      <c r="N852" s="59"/>
      <c r="P852" s="59"/>
      <c r="Q852" s="61"/>
    </row>
    <row r="853">
      <c r="B853" s="59"/>
      <c r="D853" s="59"/>
      <c r="F853" s="59"/>
      <c r="H853" s="59"/>
      <c r="J853" s="59"/>
      <c r="L853" s="59"/>
      <c r="N853" s="59"/>
      <c r="P853" s="59"/>
      <c r="Q853" s="61"/>
    </row>
    <row r="854">
      <c r="B854" s="59"/>
      <c r="D854" s="59"/>
      <c r="F854" s="59"/>
      <c r="H854" s="59"/>
      <c r="J854" s="59"/>
      <c r="L854" s="59"/>
      <c r="N854" s="59"/>
      <c r="P854" s="59"/>
      <c r="Q854" s="61"/>
    </row>
    <row r="855">
      <c r="B855" s="59"/>
      <c r="D855" s="59"/>
      <c r="F855" s="59"/>
      <c r="H855" s="59"/>
      <c r="J855" s="59"/>
      <c r="L855" s="59"/>
      <c r="N855" s="59"/>
      <c r="P855" s="59"/>
      <c r="Q855" s="61"/>
    </row>
    <row r="856">
      <c r="B856" s="59"/>
      <c r="D856" s="59"/>
      <c r="F856" s="59"/>
      <c r="H856" s="59"/>
      <c r="J856" s="59"/>
      <c r="L856" s="59"/>
      <c r="N856" s="59"/>
      <c r="P856" s="59"/>
      <c r="Q856" s="61"/>
    </row>
    <row r="857">
      <c r="B857" s="59"/>
      <c r="D857" s="59"/>
      <c r="F857" s="59"/>
      <c r="H857" s="59"/>
      <c r="J857" s="59"/>
      <c r="L857" s="59"/>
      <c r="N857" s="59"/>
      <c r="P857" s="59"/>
      <c r="Q857" s="61"/>
    </row>
    <row r="858">
      <c r="B858" s="59"/>
      <c r="D858" s="59"/>
      <c r="F858" s="59"/>
      <c r="H858" s="59"/>
      <c r="J858" s="59"/>
      <c r="L858" s="59"/>
      <c r="N858" s="59"/>
      <c r="P858" s="59"/>
      <c r="Q858" s="61"/>
    </row>
    <row r="859">
      <c r="B859" s="59"/>
      <c r="D859" s="59"/>
      <c r="F859" s="59"/>
      <c r="H859" s="59"/>
      <c r="J859" s="59"/>
      <c r="L859" s="59"/>
      <c r="N859" s="59"/>
      <c r="P859" s="59"/>
      <c r="Q859" s="61"/>
    </row>
    <row r="860">
      <c r="B860" s="59"/>
      <c r="D860" s="59"/>
      <c r="F860" s="59"/>
      <c r="H860" s="59"/>
      <c r="J860" s="59"/>
      <c r="L860" s="59"/>
      <c r="N860" s="59"/>
      <c r="P860" s="59"/>
      <c r="Q860" s="61"/>
    </row>
    <row r="861">
      <c r="B861" s="59"/>
      <c r="D861" s="59"/>
      <c r="F861" s="59"/>
      <c r="H861" s="59"/>
      <c r="J861" s="59"/>
      <c r="L861" s="59"/>
      <c r="N861" s="59"/>
      <c r="P861" s="59"/>
      <c r="Q861" s="61"/>
    </row>
    <row r="862">
      <c r="B862" s="59"/>
      <c r="D862" s="59"/>
      <c r="F862" s="59"/>
      <c r="H862" s="59"/>
      <c r="J862" s="59"/>
      <c r="L862" s="59"/>
      <c r="N862" s="59"/>
      <c r="P862" s="59"/>
      <c r="Q862" s="61"/>
    </row>
    <row r="863">
      <c r="B863" s="59"/>
      <c r="D863" s="59"/>
      <c r="F863" s="59"/>
      <c r="H863" s="59"/>
      <c r="J863" s="59"/>
      <c r="L863" s="59"/>
      <c r="N863" s="59"/>
      <c r="P863" s="59"/>
      <c r="Q863" s="61"/>
    </row>
    <row r="864">
      <c r="B864" s="59"/>
      <c r="D864" s="59"/>
      <c r="F864" s="59"/>
      <c r="H864" s="59"/>
      <c r="J864" s="59"/>
      <c r="L864" s="59"/>
      <c r="N864" s="59"/>
      <c r="P864" s="59"/>
      <c r="Q864" s="61"/>
    </row>
    <row r="865">
      <c r="B865" s="59"/>
      <c r="D865" s="59"/>
      <c r="F865" s="59"/>
      <c r="H865" s="59"/>
      <c r="J865" s="59"/>
      <c r="L865" s="59"/>
      <c r="N865" s="59"/>
      <c r="P865" s="59"/>
      <c r="Q865" s="61"/>
    </row>
    <row r="866">
      <c r="B866" s="59"/>
      <c r="D866" s="59"/>
      <c r="F866" s="59"/>
      <c r="H866" s="59"/>
      <c r="J866" s="59"/>
      <c r="L866" s="59"/>
      <c r="N866" s="59"/>
      <c r="P866" s="59"/>
      <c r="Q866" s="61"/>
    </row>
    <row r="867">
      <c r="B867" s="59"/>
      <c r="D867" s="59"/>
      <c r="F867" s="59"/>
      <c r="H867" s="59"/>
      <c r="J867" s="59"/>
      <c r="L867" s="59"/>
      <c r="N867" s="59"/>
      <c r="P867" s="59"/>
      <c r="Q867" s="61"/>
    </row>
    <row r="868">
      <c r="B868" s="59"/>
      <c r="D868" s="59"/>
      <c r="F868" s="59"/>
      <c r="H868" s="59"/>
      <c r="J868" s="59"/>
      <c r="L868" s="59"/>
      <c r="N868" s="59"/>
      <c r="P868" s="59"/>
      <c r="Q868" s="61"/>
    </row>
    <row r="869">
      <c r="B869" s="59"/>
      <c r="D869" s="59"/>
      <c r="F869" s="59"/>
      <c r="H869" s="59"/>
      <c r="J869" s="59"/>
      <c r="L869" s="59"/>
      <c r="N869" s="59"/>
      <c r="P869" s="59"/>
      <c r="Q869" s="61"/>
    </row>
    <row r="870">
      <c r="B870" s="59"/>
      <c r="D870" s="59"/>
      <c r="F870" s="59"/>
      <c r="H870" s="59"/>
      <c r="J870" s="59"/>
      <c r="L870" s="59"/>
      <c r="N870" s="59"/>
      <c r="P870" s="59"/>
      <c r="Q870" s="61"/>
    </row>
    <row r="871">
      <c r="B871" s="59"/>
      <c r="D871" s="59"/>
      <c r="F871" s="59"/>
      <c r="H871" s="59"/>
      <c r="J871" s="59"/>
      <c r="L871" s="59"/>
      <c r="N871" s="59"/>
      <c r="P871" s="59"/>
      <c r="Q871" s="61"/>
    </row>
    <row r="872">
      <c r="B872" s="59"/>
      <c r="D872" s="59"/>
      <c r="F872" s="59"/>
      <c r="H872" s="59"/>
      <c r="J872" s="59"/>
      <c r="L872" s="59"/>
      <c r="N872" s="59"/>
      <c r="P872" s="59"/>
      <c r="Q872" s="61"/>
    </row>
    <row r="873">
      <c r="B873" s="59"/>
      <c r="D873" s="59"/>
      <c r="F873" s="59"/>
      <c r="H873" s="59"/>
      <c r="J873" s="59"/>
      <c r="L873" s="59"/>
      <c r="N873" s="59"/>
      <c r="P873" s="59"/>
      <c r="Q873" s="61"/>
    </row>
    <row r="874">
      <c r="B874" s="59"/>
      <c r="D874" s="59"/>
      <c r="F874" s="59"/>
      <c r="H874" s="59"/>
      <c r="J874" s="59"/>
      <c r="L874" s="59"/>
      <c r="N874" s="59"/>
      <c r="P874" s="59"/>
      <c r="Q874" s="61"/>
    </row>
    <row r="875">
      <c r="B875" s="59"/>
      <c r="D875" s="59"/>
      <c r="F875" s="59"/>
      <c r="H875" s="59"/>
      <c r="J875" s="59"/>
      <c r="L875" s="59"/>
      <c r="N875" s="59"/>
      <c r="P875" s="59"/>
      <c r="Q875" s="61"/>
    </row>
    <row r="876">
      <c r="B876" s="59"/>
      <c r="D876" s="59"/>
      <c r="F876" s="59"/>
      <c r="H876" s="59"/>
      <c r="J876" s="59"/>
      <c r="L876" s="59"/>
      <c r="N876" s="59"/>
      <c r="P876" s="59"/>
      <c r="Q876" s="61"/>
    </row>
    <row r="877">
      <c r="B877" s="59"/>
      <c r="D877" s="59"/>
      <c r="F877" s="59"/>
      <c r="H877" s="59"/>
      <c r="J877" s="59"/>
      <c r="L877" s="59"/>
      <c r="N877" s="59"/>
      <c r="P877" s="59"/>
      <c r="Q877" s="61"/>
    </row>
    <row r="878">
      <c r="B878" s="59"/>
      <c r="D878" s="59"/>
      <c r="F878" s="59"/>
      <c r="H878" s="59"/>
      <c r="J878" s="59"/>
      <c r="L878" s="59"/>
      <c r="N878" s="59"/>
      <c r="P878" s="59"/>
      <c r="Q878" s="61"/>
    </row>
    <row r="879">
      <c r="B879" s="59"/>
      <c r="D879" s="59"/>
      <c r="F879" s="59"/>
      <c r="H879" s="59"/>
      <c r="J879" s="59"/>
      <c r="L879" s="59"/>
      <c r="N879" s="59"/>
      <c r="P879" s="59"/>
      <c r="Q879" s="61"/>
    </row>
    <row r="880">
      <c r="B880" s="59"/>
      <c r="D880" s="59"/>
      <c r="F880" s="59"/>
      <c r="H880" s="59"/>
      <c r="J880" s="59"/>
      <c r="L880" s="59"/>
      <c r="N880" s="59"/>
      <c r="P880" s="59"/>
      <c r="Q880" s="61"/>
    </row>
    <row r="881">
      <c r="B881" s="59"/>
      <c r="D881" s="59"/>
      <c r="F881" s="59"/>
      <c r="H881" s="59"/>
      <c r="J881" s="59"/>
      <c r="L881" s="59"/>
      <c r="N881" s="59"/>
      <c r="P881" s="59"/>
      <c r="Q881" s="61"/>
    </row>
    <row r="882">
      <c r="B882" s="59"/>
      <c r="D882" s="59"/>
      <c r="F882" s="59"/>
      <c r="H882" s="59"/>
      <c r="J882" s="59"/>
      <c r="L882" s="59"/>
      <c r="N882" s="59"/>
      <c r="P882" s="59"/>
      <c r="Q882" s="61"/>
    </row>
    <row r="883">
      <c r="B883" s="59"/>
      <c r="D883" s="59"/>
      <c r="F883" s="59"/>
      <c r="H883" s="59"/>
      <c r="J883" s="59"/>
      <c r="L883" s="59"/>
      <c r="N883" s="59"/>
      <c r="P883" s="59"/>
      <c r="Q883" s="61"/>
    </row>
    <row r="884">
      <c r="B884" s="59"/>
      <c r="D884" s="59"/>
      <c r="F884" s="59"/>
      <c r="H884" s="59"/>
      <c r="J884" s="59"/>
      <c r="L884" s="59"/>
      <c r="N884" s="59"/>
      <c r="P884" s="59"/>
      <c r="Q884" s="61"/>
    </row>
    <row r="885">
      <c r="B885" s="59"/>
      <c r="D885" s="59"/>
      <c r="F885" s="59"/>
      <c r="H885" s="59"/>
      <c r="J885" s="59"/>
      <c r="L885" s="59"/>
      <c r="N885" s="59"/>
      <c r="P885" s="59"/>
      <c r="Q885" s="61"/>
    </row>
    <row r="886">
      <c r="B886" s="59"/>
      <c r="D886" s="59"/>
      <c r="F886" s="59"/>
      <c r="H886" s="59"/>
      <c r="J886" s="59"/>
      <c r="L886" s="59"/>
      <c r="N886" s="59"/>
      <c r="P886" s="59"/>
      <c r="Q886" s="61"/>
    </row>
    <row r="887">
      <c r="B887" s="59"/>
      <c r="D887" s="59"/>
      <c r="F887" s="59"/>
      <c r="H887" s="59"/>
      <c r="J887" s="59"/>
      <c r="L887" s="59"/>
      <c r="N887" s="59"/>
      <c r="P887" s="59"/>
      <c r="Q887" s="61"/>
    </row>
    <row r="888">
      <c r="B888" s="59"/>
      <c r="D888" s="59"/>
      <c r="F888" s="59"/>
      <c r="H888" s="59"/>
      <c r="J888" s="59"/>
      <c r="L888" s="59"/>
      <c r="N888" s="59"/>
      <c r="P888" s="59"/>
      <c r="Q888" s="61"/>
    </row>
    <row r="889">
      <c r="B889" s="59"/>
      <c r="D889" s="59"/>
      <c r="F889" s="59"/>
      <c r="H889" s="59"/>
      <c r="J889" s="59"/>
      <c r="L889" s="59"/>
      <c r="N889" s="59"/>
      <c r="P889" s="59"/>
      <c r="Q889" s="61"/>
    </row>
    <row r="890">
      <c r="B890" s="59"/>
      <c r="D890" s="59"/>
      <c r="F890" s="59"/>
      <c r="H890" s="59"/>
      <c r="J890" s="59"/>
      <c r="L890" s="59"/>
      <c r="N890" s="59"/>
      <c r="P890" s="59"/>
      <c r="Q890" s="61"/>
    </row>
    <row r="891">
      <c r="B891" s="59"/>
      <c r="D891" s="59"/>
      <c r="F891" s="59"/>
      <c r="H891" s="59"/>
      <c r="J891" s="59"/>
      <c r="L891" s="59"/>
      <c r="N891" s="59"/>
      <c r="P891" s="59"/>
      <c r="Q891" s="61"/>
    </row>
    <row r="892">
      <c r="B892" s="59"/>
      <c r="D892" s="59"/>
      <c r="F892" s="59"/>
      <c r="H892" s="59"/>
      <c r="J892" s="59"/>
      <c r="L892" s="59"/>
      <c r="N892" s="59"/>
      <c r="P892" s="59"/>
      <c r="Q892" s="61"/>
    </row>
    <row r="893">
      <c r="B893" s="59"/>
      <c r="D893" s="59"/>
      <c r="F893" s="59"/>
      <c r="H893" s="59"/>
      <c r="J893" s="59"/>
      <c r="L893" s="59"/>
      <c r="N893" s="59"/>
      <c r="P893" s="59"/>
      <c r="Q893" s="61"/>
    </row>
    <row r="894">
      <c r="B894" s="59"/>
      <c r="D894" s="59"/>
      <c r="F894" s="59"/>
      <c r="H894" s="59"/>
      <c r="J894" s="59"/>
      <c r="L894" s="59"/>
      <c r="N894" s="59"/>
      <c r="P894" s="59"/>
      <c r="Q894" s="61"/>
    </row>
    <row r="895">
      <c r="B895" s="59"/>
      <c r="D895" s="59"/>
      <c r="F895" s="59"/>
      <c r="H895" s="59"/>
      <c r="J895" s="59"/>
      <c r="L895" s="59"/>
      <c r="N895" s="59"/>
      <c r="P895" s="59"/>
      <c r="Q895" s="61"/>
    </row>
    <row r="896">
      <c r="B896" s="59"/>
      <c r="D896" s="59"/>
      <c r="F896" s="59"/>
      <c r="H896" s="59"/>
      <c r="J896" s="59"/>
      <c r="L896" s="59"/>
      <c r="N896" s="59"/>
      <c r="P896" s="59"/>
      <c r="Q896" s="61"/>
    </row>
    <row r="897">
      <c r="B897" s="59"/>
      <c r="D897" s="59"/>
      <c r="F897" s="59"/>
      <c r="H897" s="59"/>
      <c r="J897" s="59"/>
      <c r="L897" s="59"/>
      <c r="N897" s="59"/>
      <c r="P897" s="59"/>
      <c r="Q897" s="61"/>
    </row>
    <row r="898">
      <c r="B898" s="59"/>
      <c r="D898" s="59"/>
      <c r="F898" s="59"/>
      <c r="H898" s="59"/>
      <c r="J898" s="59"/>
      <c r="L898" s="59"/>
      <c r="N898" s="59"/>
      <c r="P898" s="59"/>
      <c r="Q898" s="61"/>
    </row>
    <row r="899">
      <c r="B899" s="59"/>
      <c r="D899" s="59"/>
      <c r="F899" s="59"/>
      <c r="H899" s="59"/>
      <c r="J899" s="59"/>
      <c r="L899" s="59"/>
      <c r="N899" s="59"/>
      <c r="P899" s="59"/>
      <c r="Q899" s="61"/>
    </row>
    <row r="900">
      <c r="B900" s="59"/>
      <c r="D900" s="59"/>
      <c r="F900" s="59"/>
      <c r="H900" s="59"/>
      <c r="J900" s="59"/>
      <c r="L900" s="59"/>
      <c r="N900" s="59"/>
      <c r="P900" s="59"/>
      <c r="Q900" s="61"/>
    </row>
    <row r="901">
      <c r="B901" s="59"/>
      <c r="D901" s="59"/>
      <c r="F901" s="59"/>
      <c r="H901" s="59"/>
      <c r="J901" s="59"/>
      <c r="L901" s="59"/>
      <c r="N901" s="59"/>
      <c r="P901" s="59"/>
      <c r="Q901" s="61"/>
    </row>
    <row r="902">
      <c r="B902" s="59"/>
      <c r="D902" s="59"/>
      <c r="F902" s="59"/>
      <c r="H902" s="59"/>
      <c r="J902" s="59"/>
      <c r="L902" s="59"/>
      <c r="N902" s="59"/>
      <c r="P902" s="59"/>
      <c r="Q902" s="61"/>
    </row>
    <row r="903">
      <c r="B903" s="59"/>
      <c r="D903" s="59"/>
      <c r="F903" s="59"/>
      <c r="H903" s="59"/>
      <c r="J903" s="59"/>
      <c r="L903" s="59"/>
      <c r="N903" s="59"/>
      <c r="P903" s="59"/>
      <c r="Q903" s="61"/>
    </row>
    <row r="904">
      <c r="B904" s="59"/>
      <c r="D904" s="59"/>
      <c r="F904" s="59"/>
      <c r="H904" s="59"/>
      <c r="J904" s="59"/>
      <c r="L904" s="59"/>
      <c r="N904" s="59"/>
      <c r="P904" s="59"/>
      <c r="Q904" s="61"/>
    </row>
    <row r="905">
      <c r="B905" s="59"/>
      <c r="D905" s="59"/>
      <c r="F905" s="59"/>
      <c r="H905" s="59"/>
      <c r="J905" s="59"/>
      <c r="L905" s="59"/>
      <c r="N905" s="59"/>
      <c r="P905" s="59"/>
      <c r="Q905" s="61"/>
    </row>
    <row r="906">
      <c r="B906" s="59"/>
      <c r="D906" s="59"/>
      <c r="F906" s="59"/>
      <c r="H906" s="59"/>
      <c r="J906" s="59"/>
      <c r="L906" s="59"/>
      <c r="N906" s="59"/>
      <c r="P906" s="59"/>
      <c r="Q906" s="61"/>
    </row>
    <row r="907">
      <c r="B907" s="59"/>
      <c r="D907" s="59"/>
      <c r="F907" s="59"/>
      <c r="H907" s="59"/>
      <c r="J907" s="59"/>
      <c r="L907" s="59"/>
      <c r="N907" s="59"/>
      <c r="P907" s="59"/>
      <c r="Q907" s="61"/>
    </row>
    <row r="908">
      <c r="B908" s="59"/>
      <c r="D908" s="59"/>
      <c r="F908" s="59"/>
      <c r="H908" s="59"/>
      <c r="J908" s="59"/>
      <c r="L908" s="59"/>
      <c r="N908" s="59"/>
      <c r="P908" s="59"/>
      <c r="Q908" s="61"/>
    </row>
    <row r="909">
      <c r="B909" s="59"/>
      <c r="D909" s="59"/>
      <c r="F909" s="59"/>
      <c r="H909" s="59"/>
      <c r="J909" s="59"/>
      <c r="L909" s="59"/>
      <c r="N909" s="59"/>
      <c r="P909" s="59"/>
      <c r="Q909" s="61"/>
    </row>
    <row r="910">
      <c r="B910" s="59"/>
      <c r="D910" s="59"/>
      <c r="F910" s="59"/>
      <c r="H910" s="59"/>
      <c r="J910" s="59"/>
      <c r="L910" s="59"/>
      <c r="N910" s="59"/>
      <c r="P910" s="59"/>
      <c r="Q910" s="61"/>
    </row>
    <row r="911">
      <c r="B911" s="59"/>
      <c r="D911" s="59"/>
      <c r="F911" s="59"/>
      <c r="H911" s="59"/>
      <c r="J911" s="59"/>
      <c r="L911" s="59"/>
      <c r="N911" s="59"/>
      <c r="P911" s="59"/>
      <c r="Q911" s="61"/>
    </row>
    <row r="912">
      <c r="B912" s="59"/>
      <c r="D912" s="59"/>
      <c r="F912" s="59"/>
      <c r="H912" s="59"/>
      <c r="J912" s="59"/>
      <c r="L912" s="59"/>
      <c r="N912" s="59"/>
      <c r="P912" s="59"/>
      <c r="Q912" s="61"/>
    </row>
    <row r="913">
      <c r="B913" s="59"/>
      <c r="D913" s="59"/>
      <c r="F913" s="59"/>
      <c r="H913" s="59"/>
      <c r="J913" s="59"/>
      <c r="L913" s="59"/>
      <c r="N913" s="59"/>
      <c r="P913" s="59"/>
      <c r="Q913" s="61"/>
    </row>
    <row r="914">
      <c r="B914" s="59"/>
      <c r="D914" s="59"/>
      <c r="F914" s="59"/>
      <c r="H914" s="59"/>
      <c r="J914" s="59"/>
      <c r="L914" s="59"/>
      <c r="N914" s="59"/>
      <c r="P914" s="59"/>
      <c r="Q914" s="61"/>
    </row>
    <row r="915">
      <c r="B915" s="59"/>
      <c r="D915" s="59"/>
      <c r="F915" s="59"/>
      <c r="H915" s="59"/>
      <c r="J915" s="59"/>
      <c r="L915" s="59"/>
      <c r="N915" s="59"/>
      <c r="P915" s="59"/>
      <c r="Q915" s="61"/>
    </row>
    <row r="916">
      <c r="B916" s="59"/>
      <c r="D916" s="59"/>
      <c r="F916" s="59"/>
      <c r="H916" s="59"/>
      <c r="J916" s="59"/>
      <c r="L916" s="59"/>
      <c r="N916" s="59"/>
      <c r="P916" s="59"/>
      <c r="Q916" s="61"/>
    </row>
    <row r="917">
      <c r="B917" s="59"/>
      <c r="D917" s="59"/>
      <c r="F917" s="59"/>
      <c r="H917" s="59"/>
      <c r="J917" s="59"/>
      <c r="L917" s="59"/>
      <c r="N917" s="59"/>
      <c r="P917" s="59"/>
      <c r="Q917" s="61"/>
    </row>
    <row r="918">
      <c r="B918" s="59"/>
      <c r="D918" s="59"/>
      <c r="F918" s="59"/>
      <c r="H918" s="59"/>
      <c r="J918" s="59"/>
      <c r="L918" s="59"/>
      <c r="N918" s="59"/>
      <c r="P918" s="59"/>
      <c r="Q918" s="61"/>
    </row>
    <row r="919">
      <c r="B919" s="59"/>
      <c r="D919" s="59"/>
      <c r="F919" s="59"/>
      <c r="H919" s="59"/>
      <c r="J919" s="59"/>
      <c r="L919" s="59"/>
      <c r="N919" s="59"/>
      <c r="P919" s="59"/>
      <c r="Q919" s="61"/>
    </row>
    <row r="920">
      <c r="B920" s="59"/>
      <c r="D920" s="59"/>
      <c r="F920" s="59"/>
      <c r="H920" s="59"/>
      <c r="J920" s="59"/>
      <c r="L920" s="59"/>
      <c r="N920" s="59"/>
      <c r="P920" s="59"/>
      <c r="Q920" s="61"/>
    </row>
    <row r="921">
      <c r="B921" s="59"/>
      <c r="D921" s="59"/>
      <c r="F921" s="59"/>
      <c r="H921" s="59"/>
      <c r="J921" s="59"/>
      <c r="L921" s="59"/>
      <c r="N921" s="59"/>
      <c r="P921" s="59"/>
      <c r="Q921" s="61"/>
    </row>
    <row r="922">
      <c r="B922" s="59"/>
      <c r="D922" s="59"/>
      <c r="F922" s="59"/>
      <c r="H922" s="59"/>
      <c r="J922" s="59"/>
      <c r="L922" s="59"/>
      <c r="N922" s="59"/>
      <c r="P922" s="59"/>
      <c r="Q922" s="61"/>
    </row>
    <row r="923">
      <c r="B923" s="59"/>
      <c r="D923" s="59"/>
      <c r="F923" s="59"/>
      <c r="H923" s="59"/>
      <c r="J923" s="59"/>
      <c r="L923" s="59"/>
      <c r="N923" s="59"/>
      <c r="P923" s="59"/>
      <c r="Q923" s="61"/>
    </row>
    <row r="924">
      <c r="B924" s="59"/>
      <c r="D924" s="59"/>
      <c r="F924" s="59"/>
      <c r="H924" s="59"/>
      <c r="J924" s="59"/>
      <c r="L924" s="59"/>
      <c r="N924" s="59"/>
      <c r="P924" s="59"/>
      <c r="Q924" s="61"/>
    </row>
    <row r="925">
      <c r="B925" s="59"/>
      <c r="D925" s="59"/>
      <c r="F925" s="59"/>
      <c r="H925" s="59"/>
      <c r="J925" s="59"/>
      <c r="L925" s="59"/>
      <c r="N925" s="59"/>
      <c r="P925" s="59"/>
      <c r="Q925" s="61"/>
    </row>
    <row r="926">
      <c r="B926" s="59"/>
      <c r="D926" s="59"/>
      <c r="F926" s="59"/>
      <c r="H926" s="59"/>
      <c r="J926" s="59"/>
      <c r="L926" s="59"/>
      <c r="N926" s="59"/>
      <c r="P926" s="59"/>
      <c r="Q926" s="61"/>
    </row>
    <row r="927">
      <c r="B927" s="59"/>
      <c r="D927" s="59"/>
      <c r="F927" s="59"/>
      <c r="H927" s="59"/>
      <c r="J927" s="59"/>
      <c r="L927" s="59"/>
      <c r="N927" s="59"/>
      <c r="P927" s="59"/>
      <c r="Q927" s="61"/>
    </row>
    <row r="928">
      <c r="B928" s="59"/>
      <c r="D928" s="59"/>
      <c r="F928" s="59"/>
      <c r="H928" s="59"/>
      <c r="J928" s="59"/>
      <c r="L928" s="59"/>
      <c r="N928" s="59"/>
      <c r="P928" s="59"/>
      <c r="Q928" s="61"/>
    </row>
    <row r="929">
      <c r="B929" s="59"/>
      <c r="D929" s="59"/>
      <c r="F929" s="59"/>
      <c r="H929" s="59"/>
      <c r="J929" s="59"/>
      <c r="L929" s="59"/>
      <c r="N929" s="59"/>
      <c r="P929" s="59"/>
      <c r="Q929" s="61"/>
    </row>
    <row r="930">
      <c r="B930" s="59"/>
      <c r="D930" s="59"/>
      <c r="F930" s="59"/>
      <c r="H930" s="59"/>
      <c r="J930" s="59"/>
      <c r="L930" s="59"/>
      <c r="N930" s="59"/>
      <c r="P930" s="59"/>
      <c r="Q930" s="61"/>
    </row>
    <row r="931">
      <c r="B931" s="59"/>
      <c r="D931" s="59"/>
      <c r="F931" s="59"/>
      <c r="H931" s="59"/>
      <c r="J931" s="59"/>
      <c r="L931" s="59"/>
      <c r="N931" s="59"/>
      <c r="P931" s="59"/>
      <c r="Q931" s="61"/>
    </row>
    <row r="932">
      <c r="B932" s="59"/>
      <c r="D932" s="59"/>
      <c r="F932" s="59"/>
      <c r="H932" s="59"/>
      <c r="J932" s="59"/>
      <c r="L932" s="59"/>
      <c r="N932" s="59"/>
      <c r="P932" s="59"/>
      <c r="Q932" s="61"/>
    </row>
    <row r="933">
      <c r="B933" s="59"/>
      <c r="D933" s="59"/>
      <c r="F933" s="59"/>
      <c r="H933" s="59"/>
      <c r="J933" s="59"/>
      <c r="L933" s="59"/>
      <c r="N933" s="59"/>
      <c r="P933" s="59"/>
      <c r="Q933" s="61"/>
    </row>
    <row r="934">
      <c r="B934" s="59"/>
      <c r="D934" s="59"/>
      <c r="F934" s="59"/>
      <c r="H934" s="59"/>
      <c r="J934" s="59"/>
      <c r="L934" s="59"/>
      <c r="N934" s="59"/>
      <c r="P934" s="59"/>
      <c r="Q934" s="61"/>
    </row>
    <row r="935">
      <c r="B935" s="59"/>
      <c r="D935" s="59"/>
      <c r="F935" s="59"/>
      <c r="H935" s="59"/>
      <c r="J935" s="59"/>
      <c r="L935" s="59"/>
      <c r="N935" s="59"/>
      <c r="P935" s="59"/>
      <c r="Q935" s="61"/>
    </row>
    <row r="936">
      <c r="B936" s="59"/>
      <c r="D936" s="59"/>
      <c r="F936" s="59"/>
      <c r="H936" s="59"/>
      <c r="J936" s="59"/>
      <c r="L936" s="59"/>
      <c r="N936" s="59"/>
      <c r="P936" s="59"/>
      <c r="Q936" s="61"/>
    </row>
    <row r="937">
      <c r="B937" s="59"/>
      <c r="D937" s="59"/>
      <c r="F937" s="59"/>
      <c r="H937" s="59"/>
      <c r="J937" s="59"/>
      <c r="L937" s="59"/>
      <c r="N937" s="59"/>
      <c r="P937" s="59"/>
      <c r="Q937" s="61"/>
    </row>
    <row r="938">
      <c r="B938" s="59"/>
      <c r="D938" s="59"/>
      <c r="F938" s="59"/>
      <c r="H938" s="59"/>
      <c r="J938" s="59"/>
      <c r="L938" s="59"/>
      <c r="N938" s="59"/>
      <c r="P938" s="59"/>
      <c r="Q938" s="61"/>
    </row>
    <row r="939">
      <c r="B939" s="59"/>
      <c r="D939" s="59"/>
      <c r="F939" s="59"/>
      <c r="H939" s="59"/>
      <c r="J939" s="59"/>
      <c r="L939" s="59"/>
      <c r="N939" s="59"/>
      <c r="P939" s="59"/>
      <c r="Q939" s="61"/>
    </row>
    <row r="940">
      <c r="B940" s="59"/>
      <c r="D940" s="59"/>
      <c r="F940" s="59"/>
      <c r="H940" s="59"/>
      <c r="J940" s="59"/>
      <c r="L940" s="59"/>
      <c r="N940" s="59"/>
      <c r="P940" s="59"/>
      <c r="Q940" s="61"/>
    </row>
    <row r="941">
      <c r="B941" s="59"/>
      <c r="D941" s="59"/>
      <c r="F941" s="59"/>
      <c r="H941" s="59"/>
      <c r="J941" s="59"/>
      <c r="L941" s="59"/>
      <c r="N941" s="59"/>
      <c r="P941" s="59"/>
      <c r="Q941" s="61"/>
    </row>
    <row r="942">
      <c r="B942" s="59"/>
      <c r="D942" s="59"/>
      <c r="F942" s="59"/>
      <c r="H942" s="59"/>
      <c r="J942" s="59"/>
      <c r="L942" s="59"/>
      <c r="N942" s="59"/>
      <c r="P942" s="59"/>
      <c r="Q942" s="61"/>
    </row>
    <row r="943">
      <c r="B943" s="59"/>
      <c r="D943" s="59"/>
      <c r="F943" s="59"/>
      <c r="H943" s="59"/>
      <c r="J943" s="59"/>
      <c r="L943" s="59"/>
      <c r="N943" s="59"/>
      <c r="P943" s="59"/>
      <c r="Q943" s="61"/>
    </row>
    <row r="944">
      <c r="B944" s="59"/>
      <c r="D944" s="59"/>
      <c r="F944" s="59"/>
      <c r="H944" s="59"/>
      <c r="J944" s="59"/>
      <c r="L944" s="59"/>
      <c r="N944" s="59"/>
      <c r="P944" s="59"/>
      <c r="Q944" s="61"/>
    </row>
    <row r="945">
      <c r="B945" s="59"/>
      <c r="D945" s="59"/>
      <c r="F945" s="59"/>
      <c r="H945" s="59"/>
      <c r="J945" s="59"/>
      <c r="L945" s="59"/>
      <c r="N945" s="59"/>
      <c r="P945" s="59"/>
      <c r="Q945" s="61"/>
    </row>
    <row r="946">
      <c r="B946" s="59"/>
      <c r="D946" s="59"/>
      <c r="F946" s="59"/>
      <c r="H946" s="59"/>
      <c r="J946" s="59"/>
      <c r="L946" s="59"/>
      <c r="N946" s="59"/>
      <c r="P946" s="59"/>
      <c r="Q946" s="61"/>
    </row>
    <row r="947">
      <c r="B947" s="59"/>
      <c r="D947" s="59"/>
      <c r="F947" s="59"/>
      <c r="H947" s="59"/>
      <c r="J947" s="59"/>
      <c r="L947" s="59"/>
      <c r="N947" s="59"/>
      <c r="P947" s="59"/>
      <c r="Q947" s="61"/>
    </row>
    <row r="948">
      <c r="B948" s="59"/>
      <c r="D948" s="59"/>
      <c r="F948" s="59"/>
      <c r="H948" s="59"/>
      <c r="J948" s="59"/>
      <c r="L948" s="59"/>
      <c r="N948" s="59"/>
      <c r="P948" s="59"/>
      <c r="Q948" s="61"/>
    </row>
    <row r="949">
      <c r="B949" s="59"/>
      <c r="D949" s="59"/>
      <c r="F949" s="59"/>
      <c r="H949" s="59"/>
      <c r="J949" s="59"/>
      <c r="L949" s="59"/>
      <c r="N949" s="59"/>
      <c r="P949" s="59"/>
      <c r="Q949" s="61"/>
    </row>
    <row r="950">
      <c r="B950" s="59"/>
      <c r="D950" s="59"/>
      <c r="F950" s="59"/>
      <c r="H950" s="59"/>
      <c r="J950" s="59"/>
      <c r="L950" s="59"/>
      <c r="N950" s="59"/>
      <c r="P950" s="59"/>
      <c r="Q950" s="61"/>
    </row>
    <row r="951">
      <c r="B951" s="59"/>
      <c r="D951" s="59"/>
      <c r="F951" s="59"/>
      <c r="H951" s="59"/>
      <c r="J951" s="59"/>
      <c r="L951" s="59"/>
      <c r="N951" s="59"/>
      <c r="P951" s="59"/>
      <c r="Q951" s="61"/>
    </row>
    <row r="952">
      <c r="B952" s="59"/>
      <c r="D952" s="59"/>
      <c r="F952" s="59"/>
      <c r="H952" s="59"/>
      <c r="J952" s="59"/>
      <c r="L952" s="59"/>
      <c r="N952" s="59"/>
      <c r="P952" s="59"/>
      <c r="Q952" s="61"/>
    </row>
    <row r="953">
      <c r="B953" s="59"/>
      <c r="D953" s="59"/>
      <c r="F953" s="59"/>
      <c r="H953" s="59"/>
      <c r="J953" s="59"/>
      <c r="L953" s="59"/>
      <c r="N953" s="59"/>
      <c r="P953" s="59"/>
      <c r="Q953" s="61"/>
    </row>
    <row r="954">
      <c r="B954" s="59"/>
      <c r="D954" s="59"/>
      <c r="F954" s="59"/>
      <c r="H954" s="59"/>
      <c r="J954" s="59"/>
      <c r="L954" s="59"/>
      <c r="N954" s="59"/>
      <c r="P954" s="59"/>
      <c r="Q954" s="61"/>
    </row>
    <row r="955">
      <c r="B955" s="59"/>
      <c r="D955" s="59"/>
      <c r="F955" s="59"/>
      <c r="H955" s="59"/>
      <c r="J955" s="59"/>
      <c r="L955" s="59"/>
      <c r="N955" s="59"/>
      <c r="P955" s="59"/>
      <c r="Q955" s="61"/>
    </row>
    <row r="956">
      <c r="B956" s="59"/>
      <c r="D956" s="59"/>
      <c r="F956" s="59"/>
      <c r="H956" s="59"/>
      <c r="J956" s="59"/>
      <c r="L956" s="59"/>
      <c r="N956" s="59"/>
      <c r="P956" s="59"/>
      <c r="Q956" s="61"/>
    </row>
    <row r="957">
      <c r="B957" s="59"/>
      <c r="D957" s="59"/>
      <c r="F957" s="59"/>
      <c r="H957" s="59"/>
      <c r="J957" s="59"/>
      <c r="L957" s="59"/>
      <c r="N957" s="59"/>
      <c r="P957" s="59"/>
      <c r="Q957" s="61"/>
    </row>
    <row r="958">
      <c r="B958" s="59"/>
      <c r="D958" s="59"/>
      <c r="F958" s="59"/>
      <c r="H958" s="59"/>
      <c r="J958" s="59"/>
      <c r="L958" s="59"/>
      <c r="N958" s="59"/>
      <c r="P958" s="59"/>
      <c r="Q958" s="61"/>
    </row>
    <row r="959">
      <c r="B959" s="59"/>
      <c r="D959" s="59"/>
      <c r="F959" s="59"/>
      <c r="H959" s="59"/>
      <c r="J959" s="59"/>
      <c r="L959" s="59"/>
      <c r="N959" s="59"/>
      <c r="P959" s="59"/>
      <c r="Q959" s="61"/>
    </row>
    <row r="960">
      <c r="B960" s="59"/>
      <c r="D960" s="59"/>
      <c r="F960" s="59"/>
      <c r="H960" s="59"/>
      <c r="J960" s="59"/>
      <c r="L960" s="59"/>
      <c r="N960" s="59"/>
      <c r="P960" s="59"/>
      <c r="Q960" s="61"/>
    </row>
    <row r="961">
      <c r="B961" s="59"/>
      <c r="D961" s="59"/>
      <c r="F961" s="59"/>
      <c r="H961" s="59"/>
      <c r="J961" s="59"/>
      <c r="L961" s="59"/>
      <c r="N961" s="59"/>
      <c r="P961" s="59"/>
      <c r="Q961" s="61"/>
    </row>
    <row r="962">
      <c r="B962" s="59"/>
      <c r="D962" s="59"/>
      <c r="F962" s="59"/>
      <c r="H962" s="59"/>
      <c r="J962" s="59"/>
      <c r="L962" s="59"/>
      <c r="N962" s="59"/>
      <c r="P962" s="59"/>
      <c r="Q962" s="61"/>
    </row>
    <row r="963">
      <c r="B963" s="59"/>
      <c r="D963" s="59"/>
      <c r="F963" s="59"/>
      <c r="H963" s="59"/>
      <c r="J963" s="59"/>
      <c r="L963" s="59"/>
      <c r="N963" s="59"/>
      <c r="P963" s="59"/>
      <c r="Q963" s="61"/>
    </row>
    <row r="964">
      <c r="B964" s="59"/>
      <c r="D964" s="59"/>
      <c r="F964" s="59"/>
      <c r="H964" s="59"/>
      <c r="J964" s="59"/>
      <c r="L964" s="59"/>
      <c r="N964" s="59"/>
      <c r="P964" s="59"/>
      <c r="Q964" s="61"/>
    </row>
    <row r="965">
      <c r="B965" s="59"/>
      <c r="D965" s="59"/>
      <c r="F965" s="59"/>
      <c r="H965" s="59"/>
      <c r="J965" s="59"/>
      <c r="L965" s="59"/>
      <c r="N965" s="59"/>
      <c r="P965" s="59"/>
      <c r="Q965" s="61"/>
    </row>
    <row r="966">
      <c r="B966" s="59"/>
      <c r="D966" s="59"/>
      <c r="F966" s="59"/>
      <c r="H966" s="59"/>
      <c r="J966" s="59"/>
      <c r="L966" s="59"/>
      <c r="N966" s="59"/>
      <c r="P966" s="59"/>
      <c r="Q966" s="61"/>
    </row>
    <row r="967">
      <c r="B967" s="59"/>
      <c r="D967" s="59"/>
      <c r="F967" s="59"/>
      <c r="H967" s="59"/>
      <c r="J967" s="59"/>
      <c r="L967" s="59"/>
      <c r="N967" s="59"/>
      <c r="P967" s="59"/>
      <c r="Q967" s="61"/>
    </row>
    <row r="968">
      <c r="B968" s="59"/>
      <c r="D968" s="59"/>
      <c r="F968" s="59"/>
      <c r="H968" s="59"/>
      <c r="J968" s="59"/>
      <c r="L968" s="59"/>
      <c r="N968" s="59"/>
      <c r="P968" s="59"/>
      <c r="Q968" s="61"/>
    </row>
    <row r="969">
      <c r="B969" s="59"/>
      <c r="D969" s="59"/>
      <c r="F969" s="59"/>
      <c r="H969" s="59"/>
      <c r="J969" s="59"/>
      <c r="L969" s="59"/>
      <c r="N969" s="59"/>
      <c r="P969" s="59"/>
      <c r="Q969" s="61"/>
    </row>
    <row r="970">
      <c r="B970" s="59"/>
      <c r="D970" s="59"/>
      <c r="F970" s="59"/>
      <c r="H970" s="59"/>
      <c r="J970" s="59"/>
      <c r="L970" s="59"/>
      <c r="N970" s="59"/>
      <c r="P970" s="59"/>
      <c r="Q970" s="61"/>
    </row>
    <row r="971">
      <c r="B971" s="59"/>
      <c r="D971" s="59"/>
      <c r="F971" s="59"/>
      <c r="H971" s="59"/>
      <c r="J971" s="59"/>
      <c r="L971" s="59"/>
      <c r="N971" s="59"/>
      <c r="P971" s="59"/>
      <c r="Q971" s="61"/>
    </row>
    <row r="972">
      <c r="B972" s="59"/>
      <c r="D972" s="59"/>
      <c r="F972" s="59"/>
      <c r="H972" s="59"/>
      <c r="J972" s="59"/>
      <c r="L972" s="59"/>
      <c r="N972" s="59"/>
      <c r="P972" s="59"/>
      <c r="Q972" s="61"/>
    </row>
    <row r="973">
      <c r="B973" s="59"/>
      <c r="D973" s="59"/>
      <c r="F973" s="59"/>
      <c r="H973" s="59"/>
      <c r="J973" s="59"/>
      <c r="L973" s="59"/>
      <c r="N973" s="59"/>
      <c r="P973" s="59"/>
      <c r="Q973" s="61"/>
    </row>
    <row r="974">
      <c r="B974" s="59"/>
      <c r="D974" s="59"/>
      <c r="F974" s="59"/>
      <c r="H974" s="59"/>
      <c r="J974" s="59"/>
      <c r="L974" s="59"/>
      <c r="N974" s="59"/>
      <c r="P974" s="59"/>
      <c r="Q974" s="61"/>
    </row>
    <row r="975">
      <c r="B975" s="59"/>
      <c r="D975" s="59"/>
      <c r="F975" s="59"/>
      <c r="H975" s="59"/>
      <c r="J975" s="59"/>
      <c r="L975" s="59"/>
      <c r="N975" s="59"/>
      <c r="P975" s="59"/>
      <c r="Q975" s="61"/>
    </row>
    <row r="976">
      <c r="B976" s="59"/>
      <c r="D976" s="59"/>
      <c r="F976" s="59"/>
      <c r="H976" s="59"/>
      <c r="J976" s="59"/>
      <c r="L976" s="59"/>
      <c r="N976" s="59"/>
      <c r="P976" s="59"/>
      <c r="Q976" s="61"/>
    </row>
    <row r="977">
      <c r="B977" s="59"/>
      <c r="D977" s="59"/>
      <c r="F977" s="59"/>
      <c r="H977" s="59"/>
      <c r="J977" s="59"/>
      <c r="L977" s="59"/>
      <c r="N977" s="59"/>
      <c r="P977" s="59"/>
      <c r="Q977" s="61"/>
    </row>
    <row r="978">
      <c r="B978" s="59"/>
      <c r="D978" s="59"/>
      <c r="F978" s="59"/>
      <c r="H978" s="59"/>
      <c r="J978" s="59"/>
      <c r="L978" s="59"/>
      <c r="N978" s="59"/>
      <c r="P978" s="59"/>
      <c r="Q978" s="61"/>
    </row>
    <row r="979">
      <c r="B979" s="59"/>
      <c r="D979" s="59"/>
      <c r="F979" s="59"/>
      <c r="H979" s="59"/>
      <c r="J979" s="59"/>
      <c r="L979" s="59"/>
      <c r="N979" s="59"/>
      <c r="P979" s="59"/>
      <c r="Q979" s="61"/>
    </row>
    <row r="980">
      <c r="B980" s="59"/>
      <c r="D980" s="59"/>
      <c r="F980" s="59"/>
      <c r="H980" s="59"/>
      <c r="J980" s="59"/>
      <c r="L980" s="59"/>
      <c r="N980" s="59"/>
      <c r="P980" s="59"/>
      <c r="Q980" s="61"/>
    </row>
    <row r="981">
      <c r="B981" s="59"/>
      <c r="D981" s="59"/>
      <c r="F981" s="59"/>
      <c r="H981" s="59"/>
      <c r="J981" s="59"/>
      <c r="L981" s="59"/>
      <c r="N981" s="59"/>
      <c r="P981" s="59"/>
      <c r="Q981" s="61"/>
    </row>
    <row r="982">
      <c r="B982" s="59"/>
      <c r="D982" s="59"/>
      <c r="F982" s="59"/>
      <c r="H982" s="59"/>
      <c r="J982" s="59"/>
      <c r="L982" s="59"/>
      <c r="N982" s="59"/>
      <c r="P982" s="59"/>
      <c r="Q982" s="61"/>
    </row>
    <row r="983">
      <c r="B983" s="59"/>
      <c r="D983" s="59"/>
      <c r="F983" s="59"/>
      <c r="H983" s="59"/>
      <c r="J983" s="59"/>
      <c r="L983" s="59"/>
      <c r="N983" s="59"/>
      <c r="P983" s="59"/>
      <c r="Q983" s="61"/>
    </row>
    <row r="984">
      <c r="B984" s="59"/>
      <c r="D984" s="59"/>
      <c r="F984" s="59"/>
      <c r="H984" s="59"/>
      <c r="J984" s="59"/>
      <c r="L984" s="59"/>
      <c r="N984" s="59"/>
      <c r="P984" s="59"/>
      <c r="Q984" s="61"/>
    </row>
    <row r="985">
      <c r="B985" s="59"/>
      <c r="D985" s="59"/>
      <c r="F985" s="59"/>
      <c r="H985" s="59"/>
      <c r="J985" s="59"/>
      <c r="L985" s="59"/>
      <c r="N985" s="59"/>
      <c r="P985" s="59"/>
      <c r="Q985" s="61"/>
    </row>
    <row r="986">
      <c r="B986" s="59"/>
      <c r="D986" s="59"/>
      <c r="F986" s="59"/>
      <c r="H986" s="59"/>
      <c r="J986" s="59"/>
      <c r="L986" s="59"/>
      <c r="N986" s="59"/>
      <c r="P986" s="59"/>
      <c r="Q986" s="61"/>
    </row>
    <row r="987">
      <c r="B987" s="59"/>
      <c r="D987" s="59"/>
      <c r="F987" s="59"/>
      <c r="H987" s="59"/>
      <c r="J987" s="59"/>
      <c r="L987" s="59"/>
      <c r="N987" s="59"/>
      <c r="P987" s="59"/>
      <c r="Q987" s="61"/>
    </row>
    <row r="988">
      <c r="B988" s="59"/>
      <c r="D988" s="59"/>
      <c r="F988" s="59"/>
      <c r="H988" s="59"/>
      <c r="J988" s="59"/>
      <c r="L988" s="59"/>
      <c r="N988" s="59"/>
      <c r="P988" s="59"/>
      <c r="Q988" s="61"/>
    </row>
    <row r="989">
      <c r="B989" s="59"/>
      <c r="D989" s="59"/>
      <c r="F989" s="59"/>
      <c r="H989" s="59"/>
      <c r="J989" s="59"/>
      <c r="L989" s="59"/>
      <c r="N989" s="59"/>
      <c r="P989" s="59"/>
      <c r="Q989" s="61"/>
    </row>
    <row r="990">
      <c r="B990" s="59"/>
      <c r="D990" s="59"/>
      <c r="F990" s="59"/>
      <c r="H990" s="59"/>
      <c r="J990" s="59"/>
      <c r="L990" s="59"/>
      <c r="N990" s="59"/>
      <c r="P990" s="59"/>
      <c r="Q990" s="61"/>
    </row>
    <row r="991">
      <c r="B991" s="59"/>
      <c r="D991" s="59"/>
      <c r="F991" s="59"/>
      <c r="H991" s="59"/>
      <c r="J991" s="59"/>
      <c r="L991" s="59"/>
      <c r="N991" s="59"/>
      <c r="P991" s="59"/>
      <c r="Q991" s="61"/>
    </row>
    <row r="992">
      <c r="B992" s="59"/>
      <c r="D992" s="59"/>
      <c r="F992" s="59"/>
      <c r="H992" s="59"/>
      <c r="J992" s="59"/>
      <c r="L992" s="59"/>
      <c r="N992" s="59"/>
      <c r="P992" s="59"/>
      <c r="Q992" s="61"/>
    </row>
    <row r="993">
      <c r="B993" s="59"/>
      <c r="D993" s="59"/>
      <c r="F993" s="59"/>
      <c r="H993" s="59"/>
      <c r="J993" s="59"/>
      <c r="L993" s="59"/>
      <c r="N993" s="59"/>
      <c r="P993" s="59"/>
      <c r="Q993" s="61"/>
    </row>
    <row r="994">
      <c r="B994" s="59"/>
      <c r="D994" s="59"/>
      <c r="F994" s="59"/>
      <c r="H994" s="59"/>
      <c r="J994" s="59"/>
      <c r="L994" s="59"/>
      <c r="N994" s="59"/>
      <c r="P994" s="59"/>
      <c r="Q994" s="61"/>
    </row>
    <row r="995">
      <c r="B995" s="59"/>
      <c r="D995" s="59"/>
      <c r="F995" s="59"/>
      <c r="H995" s="59"/>
      <c r="J995" s="59"/>
      <c r="L995" s="59"/>
      <c r="N995" s="59"/>
      <c r="P995" s="59"/>
      <c r="Q995" s="61"/>
    </row>
    <row r="996">
      <c r="B996" s="59"/>
      <c r="D996" s="59"/>
      <c r="F996" s="59"/>
      <c r="H996" s="59"/>
      <c r="J996" s="59"/>
      <c r="L996" s="59"/>
      <c r="N996" s="59"/>
      <c r="P996" s="59"/>
      <c r="Q996" s="61"/>
    </row>
    <row r="997">
      <c r="B997" s="59"/>
      <c r="D997" s="59"/>
      <c r="F997" s="59"/>
      <c r="H997" s="59"/>
      <c r="J997" s="59"/>
      <c r="L997" s="59"/>
      <c r="N997" s="59"/>
      <c r="P997" s="59"/>
      <c r="Q997" s="61"/>
    </row>
    <row r="998">
      <c r="B998" s="59"/>
      <c r="D998" s="59"/>
      <c r="F998" s="59"/>
      <c r="H998" s="59"/>
      <c r="J998" s="59"/>
      <c r="L998" s="59"/>
      <c r="N998" s="59"/>
      <c r="P998" s="59"/>
      <c r="Q998" s="61"/>
    </row>
    <row r="999">
      <c r="B999" s="59"/>
      <c r="D999" s="59"/>
      <c r="F999" s="59"/>
      <c r="H999" s="59"/>
      <c r="J999" s="59"/>
      <c r="L999" s="59"/>
      <c r="N999" s="59"/>
      <c r="P999" s="59"/>
      <c r="Q999" s="61"/>
    </row>
    <row r="1000">
      <c r="B1000" s="59"/>
      <c r="D1000" s="59"/>
      <c r="F1000" s="59"/>
      <c r="H1000" s="59"/>
      <c r="J1000" s="59"/>
      <c r="L1000" s="59"/>
      <c r="N1000" s="59"/>
      <c r="P1000" s="59"/>
      <c r="Q1000" s="61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75"/>
    <col customWidth="1" min="5" max="5" width="20.75"/>
    <col customWidth="1" min="6" max="6" width="41.0"/>
    <col customWidth="1" min="8" max="8" width="15.63"/>
    <col customWidth="1" min="11" max="11" width="16.25"/>
    <col customWidth="1" min="13" max="13" width="33.5"/>
    <col customWidth="1" min="14" max="14" width="14.38"/>
    <col customWidth="1" min="15" max="15" width="35.75"/>
  </cols>
  <sheetData>
    <row r="1">
      <c r="A1" s="29" t="s">
        <v>29</v>
      </c>
      <c r="B1" s="30" t="s">
        <v>30</v>
      </c>
      <c r="C1" s="31" t="s">
        <v>31</v>
      </c>
      <c r="D1" s="30" t="s">
        <v>32</v>
      </c>
      <c r="E1" s="31" t="s">
        <v>33</v>
      </c>
      <c r="F1" s="30" t="s">
        <v>34</v>
      </c>
      <c r="G1" s="31" t="s">
        <v>35</v>
      </c>
      <c r="H1" s="32" t="s">
        <v>36</v>
      </c>
      <c r="I1" s="33" t="s">
        <v>37</v>
      </c>
      <c r="J1" s="30" t="s">
        <v>38</v>
      </c>
      <c r="K1" s="33" t="s">
        <v>39</v>
      </c>
      <c r="L1" s="30" t="s">
        <v>38</v>
      </c>
      <c r="M1" s="98" t="s">
        <v>40</v>
      </c>
      <c r="N1" s="30" t="s">
        <v>41</v>
      </c>
      <c r="O1" s="31" t="s">
        <v>42</v>
      </c>
      <c r="P1" s="34" t="s">
        <v>43</v>
      </c>
      <c r="Q1" s="35">
        <f>SUM(H2:H28)</f>
        <v>5395.55</v>
      </c>
    </row>
    <row r="2">
      <c r="A2" s="17" t="s">
        <v>163</v>
      </c>
      <c r="B2" s="99">
        <v>5.011300795E9</v>
      </c>
      <c r="C2" s="100">
        <v>1.0</v>
      </c>
      <c r="D2" s="84">
        <v>1.0</v>
      </c>
      <c r="E2" s="17" t="s">
        <v>145</v>
      </c>
      <c r="F2" s="40" t="s">
        <v>146</v>
      </c>
      <c r="G2" s="19">
        <v>1554.0</v>
      </c>
      <c r="H2" s="18">
        <v>1554.0</v>
      </c>
      <c r="I2" s="17" t="s">
        <v>164</v>
      </c>
      <c r="J2" s="81" t="s">
        <v>83</v>
      </c>
      <c r="K2" s="17" t="s">
        <v>158</v>
      </c>
      <c r="L2" s="101" t="s">
        <v>83</v>
      </c>
      <c r="M2" s="102" t="s">
        <v>165</v>
      </c>
      <c r="N2" s="59"/>
      <c r="P2" s="59"/>
      <c r="Q2" s="61"/>
    </row>
    <row r="3">
      <c r="A3" s="17" t="s">
        <v>166</v>
      </c>
      <c r="B3" s="84">
        <v>4488.0</v>
      </c>
      <c r="C3" s="100">
        <v>200.0</v>
      </c>
      <c r="D3" s="84">
        <v>4.0</v>
      </c>
      <c r="E3" s="17" t="s">
        <v>167</v>
      </c>
      <c r="F3" s="81" t="s">
        <v>168</v>
      </c>
      <c r="G3" s="22">
        <v>23.5</v>
      </c>
      <c r="H3" s="60">
        <f>G3*4</f>
        <v>94</v>
      </c>
      <c r="I3" s="17" t="s">
        <v>169</v>
      </c>
      <c r="J3" s="81" t="s">
        <v>83</v>
      </c>
      <c r="K3" s="17" t="s">
        <v>170</v>
      </c>
      <c r="L3" s="101" t="s">
        <v>83</v>
      </c>
      <c r="M3" s="103" t="s">
        <v>171</v>
      </c>
      <c r="N3" s="81" t="s">
        <v>172</v>
      </c>
      <c r="P3" s="59"/>
      <c r="Q3" s="61"/>
    </row>
    <row r="4">
      <c r="A4" s="17" t="s">
        <v>173</v>
      </c>
      <c r="B4" s="84" t="s">
        <v>174</v>
      </c>
      <c r="C4" s="100" t="s">
        <v>175</v>
      </c>
      <c r="D4" s="84">
        <v>3.0</v>
      </c>
      <c r="E4" s="17" t="s">
        <v>176</v>
      </c>
      <c r="F4" s="81" t="s">
        <v>168</v>
      </c>
      <c r="G4" s="22">
        <v>113.0</v>
      </c>
      <c r="H4" s="60">
        <f>G4*D4</f>
        <v>339</v>
      </c>
      <c r="I4" s="17" t="s">
        <v>169</v>
      </c>
      <c r="J4" s="81" t="s">
        <v>83</v>
      </c>
      <c r="K4" s="17" t="s">
        <v>177</v>
      </c>
      <c r="L4" s="101" t="s">
        <v>83</v>
      </c>
      <c r="M4" s="103" t="s">
        <v>171</v>
      </c>
      <c r="N4" s="81" t="s">
        <v>178</v>
      </c>
      <c r="O4" s="17" t="s">
        <v>179</v>
      </c>
      <c r="P4" s="59"/>
      <c r="Q4" s="61"/>
    </row>
    <row r="5">
      <c r="A5" s="17" t="s">
        <v>180</v>
      </c>
      <c r="B5" s="57"/>
      <c r="C5" s="100">
        <v>1.0</v>
      </c>
      <c r="D5" s="84">
        <v>1.0</v>
      </c>
      <c r="F5" s="59"/>
      <c r="G5" s="22">
        <f t="shared" ref="G5:H5" si="1">116.56+24.8</f>
        <v>141.36</v>
      </c>
      <c r="H5" s="18">
        <f t="shared" si="1"/>
        <v>141.36</v>
      </c>
      <c r="I5" s="17" t="s">
        <v>181</v>
      </c>
      <c r="J5" s="81" t="s">
        <v>182</v>
      </c>
      <c r="K5" s="17" t="s">
        <v>181</v>
      </c>
      <c r="L5" s="101" t="s">
        <v>182</v>
      </c>
      <c r="M5" s="104" t="s">
        <v>4</v>
      </c>
      <c r="N5" s="59"/>
      <c r="O5" s="17" t="s">
        <v>183</v>
      </c>
      <c r="P5" s="59"/>
      <c r="Q5" s="61"/>
    </row>
    <row r="6">
      <c r="A6" s="17" t="s">
        <v>184</v>
      </c>
      <c r="B6" s="57"/>
      <c r="C6" s="100">
        <v>1.0</v>
      </c>
      <c r="D6" s="84">
        <v>1.0</v>
      </c>
      <c r="F6" s="59"/>
      <c r="G6" s="22">
        <v>141.36</v>
      </c>
      <c r="H6" s="18">
        <v>141.36</v>
      </c>
      <c r="I6" s="17" t="s">
        <v>181</v>
      </c>
      <c r="J6" s="81" t="s">
        <v>185</v>
      </c>
      <c r="K6" s="17" t="s">
        <v>181</v>
      </c>
      <c r="L6" s="101" t="s">
        <v>185</v>
      </c>
      <c r="M6" s="104" t="s">
        <v>4</v>
      </c>
      <c r="N6" s="59"/>
      <c r="O6" s="17" t="s">
        <v>183</v>
      </c>
      <c r="P6" s="59"/>
      <c r="Q6" s="61"/>
    </row>
    <row r="7">
      <c r="A7" s="17" t="s">
        <v>186</v>
      </c>
      <c r="B7" s="84">
        <v>552843.0</v>
      </c>
      <c r="C7" s="105" t="s">
        <v>187</v>
      </c>
      <c r="D7" s="84">
        <v>1.0</v>
      </c>
      <c r="E7" s="17" t="s">
        <v>188</v>
      </c>
      <c r="F7" s="81" t="s">
        <v>91</v>
      </c>
      <c r="G7" s="22">
        <v>177.12</v>
      </c>
      <c r="H7" s="22">
        <v>177.12</v>
      </c>
      <c r="I7" s="17" t="s">
        <v>159</v>
      </c>
      <c r="J7" s="81" t="s">
        <v>83</v>
      </c>
      <c r="K7" s="17" t="s">
        <v>189</v>
      </c>
      <c r="L7" s="81" t="s">
        <v>83</v>
      </c>
      <c r="M7" s="103" t="s">
        <v>171</v>
      </c>
      <c r="N7" s="59"/>
      <c r="P7" s="59"/>
      <c r="Q7" s="61"/>
    </row>
    <row r="8">
      <c r="A8" s="106" t="s">
        <v>190</v>
      </c>
      <c r="B8" s="57"/>
      <c r="C8" s="107"/>
      <c r="D8" s="57"/>
      <c r="F8" s="59"/>
      <c r="G8" s="22"/>
      <c r="H8" s="22"/>
      <c r="I8" s="17"/>
      <c r="J8" s="81"/>
      <c r="L8" s="59"/>
      <c r="N8" s="59"/>
      <c r="P8" s="59"/>
      <c r="Q8" s="61"/>
    </row>
    <row r="9">
      <c r="A9" s="17" t="s">
        <v>191</v>
      </c>
      <c r="B9" s="84" t="s">
        <v>192</v>
      </c>
      <c r="C9" s="84" t="s">
        <v>192</v>
      </c>
      <c r="D9" s="84">
        <v>1.0</v>
      </c>
      <c r="E9" s="81" t="s">
        <v>192</v>
      </c>
      <c r="F9" s="81" t="s">
        <v>192</v>
      </c>
      <c r="G9" s="22">
        <v>33.8</v>
      </c>
      <c r="H9" s="22">
        <v>33.8</v>
      </c>
      <c r="I9" s="17" t="s">
        <v>193</v>
      </c>
      <c r="J9" s="81" t="s">
        <v>83</v>
      </c>
      <c r="K9" s="81" t="s">
        <v>192</v>
      </c>
      <c r="L9" s="81" t="s">
        <v>192</v>
      </c>
      <c r="M9" s="108" t="s">
        <v>194</v>
      </c>
      <c r="N9" s="59"/>
      <c r="P9" s="59"/>
      <c r="Q9" s="61"/>
    </row>
    <row r="10">
      <c r="A10" s="17" t="s">
        <v>195</v>
      </c>
      <c r="B10" s="84" t="s">
        <v>192</v>
      </c>
      <c r="C10" s="84" t="s">
        <v>192</v>
      </c>
      <c r="D10" s="84">
        <v>1.0</v>
      </c>
      <c r="E10" s="81" t="s">
        <v>192</v>
      </c>
      <c r="F10" s="81" t="s">
        <v>192</v>
      </c>
      <c r="G10" s="22">
        <v>545.0</v>
      </c>
      <c r="H10" s="22">
        <v>545.0</v>
      </c>
      <c r="I10" s="17" t="s">
        <v>196</v>
      </c>
      <c r="J10" s="81" t="s">
        <v>83</v>
      </c>
      <c r="K10" s="81" t="s">
        <v>192</v>
      </c>
      <c r="L10" s="81" t="s">
        <v>192</v>
      </c>
      <c r="M10" s="104" t="s">
        <v>4</v>
      </c>
      <c r="N10" s="59"/>
      <c r="P10" s="59"/>
      <c r="Q10" s="61"/>
    </row>
    <row r="11">
      <c r="A11" s="17" t="s">
        <v>197</v>
      </c>
      <c r="B11" s="84" t="s">
        <v>192</v>
      </c>
      <c r="C11" s="84" t="s">
        <v>192</v>
      </c>
      <c r="D11" s="84">
        <v>1.0</v>
      </c>
      <c r="E11" s="81" t="s">
        <v>192</v>
      </c>
      <c r="F11" s="81" t="s">
        <v>192</v>
      </c>
      <c r="G11" s="22">
        <v>2.85</v>
      </c>
      <c r="H11" s="22">
        <v>2.85</v>
      </c>
      <c r="I11" s="17" t="s">
        <v>198</v>
      </c>
      <c r="J11" s="81" t="s">
        <v>83</v>
      </c>
      <c r="K11" s="81" t="s">
        <v>192</v>
      </c>
      <c r="L11" s="81" t="s">
        <v>192</v>
      </c>
      <c r="M11" s="108" t="s">
        <v>194</v>
      </c>
      <c r="N11" s="59"/>
      <c r="P11" s="59"/>
      <c r="Q11" s="61"/>
    </row>
    <row r="12">
      <c r="A12" s="17" t="s">
        <v>199</v>
      </c>
      <c r="B12" s="84" t="s">
        <v>192</v>
      </c>
      <c r="C12" s="84" t="s">
        <v>192</v>
      </c>
      <c r="D12" s="84">
        <v>1.0</v>
      </c>
      <c r="E12" s="81" t="s">
        <v>192</v>
      </c>
      <c r="F12" s="81" t="s">
        <v>192</v>
      </c>
      <c r="G12" s="22">
        <v>1.24</v>
      </c>
      <c r="H12" s="22">
        <v>1.24</v>
      </c>
      <c r="I12" s="17" t="s">
        <v>198</v>
      </c>
      <c r="J12" s="81" t="s">
        <v>83</v>
      </c>
      <c r="K12" s="81" t="s">
        <v>192</v>
      </c>
      <c r="L12" s="81" t="s">
        <v>192</v>
      </c>
      <c r="M12" s="108" t="s">
        <v>194</v>
      </c>
      <c r="N12" s="59"/>
      <c r="P12" s="59"/>
      <c r="Q12" s="61"/>
    </row>
    <row r="13">
      <c r="A13" s="17" t="s">
        <v>200</v>
      </c>
      <c r="B13" s="84" t="s">
        <v>192</v>
      </c>
      <c r="C13" s="84" t="s">
        <v>192</v>
      </c>
      <c r="D13" s="84">
        <v>1.0</v>
      </c>
      <c r="E13" s="81" t="s">
        <v>192</v>
      </c>
      <c r="F13" s="81" t="s">
        <v>192</v>
      </c>
      <c r="G13" s="22">
        <v>1910.82</v>
      </c>
      <c r="H13" s="22">
        <v>1910.82</v>
      </c>
      <c r="I13" s="17" t="s">
        <v>198</v>
      </c>
      <c r="J13" s="81" t="s">
        <v>83</v>
      </c>
      <c r="K13" s="81" t="s">
        <v>192</v>
      </c>
      <c r="L13" s="81" t="s">
        <v>192</v>
      </c>
      <c r="M13" s="108" t="s">
        <v>201</v>
      </c>
      <c r="N13" s="59"/>
      <c r="P13" s="59"/>
      <c r="Q13" s="61"/>
    </row>
    <row r="14">
      <c r="A14" s="17" t="s">
        <v>202</v>
      </c>
      <c r="B14" s="84" t="s">
        <v>192</v>
      </c>
      <c r="C14" s="84" t="s">
        <v>192</v>
      </c>
      <c r="D14" s="84">
        <v>1.0</v>
      </c>
      <c r="E14" s="81" t="s">
        <v>192</v>
      </c>
      <c r="F14" s="81" t="s">
        <v>192</v>
      </c>
      <c r="G14" s="22">
        <v>455.0</v>
      </c>
      <c r="H14" s="22">
        <v>455.0</v>
      </c>
      <c r="I14" s="17" t="s">
        <v>203</v>
      </c>
      <c r="J14" s="81" t="s">
        <v>83</v>
      </c>
      <c r="K14" s="81" t="s">
        <v>192</v>
      </c>
      <c r="L14" s="81" t="s">
        <v>192</v>
      </c>
      <c r="M14" s="104" t="s">
        <v>4</v>
      </c>
      <c r="N14" s="59"/>
      <c r="P14" s="59"/>
      <c r="Q14" s="61"/>
    </row>
    <row r="15">
      <c r="B15" s="57"/>
      <c r="C15" s="107"/>
      <c r="D15" s="57"/>
      <c r="F15" s="59"/>
      <c r="G15" s="22"/>
      <c r="H15" s="22"/>
      <c r="J15" s="59"/>
      <c r="L15" s="59"/>
      <c r="N15" s="59"/>
      <c r="P15" s="59"/>
      <c r="Q15" s="61"/>
    </row>
    <row r="16">
      <c r="B16" s="57"/>
      <c r="C16" s="107"/>
      <c r="D16" s="57"/>
      <c r="F16" s="59"/>
      <c r="G16" s="22"/>
      <c r="H16" s="22"/>
      <c r="J16" s="59"/>
      <c r="L16" s="59"/>
      <c r="N16" s="59"/>
      <c r="P16" s="59"/>
      <c r="Q16" s="61"/>
    </row>
    <row r="17">
      <c r="B17" s="57"/>
      <c r="C17" s="107"/>
      <c r="D17" s="57"/>
      <c r="F17" s="59"/>
      <c r="G17" s="22"/>
      <c r="H17" s="22"/>
      <c r="J17" s="59"/>
      <c r="L17" s="59"/>
      <c r="N17" s="59"/>
      <c r="P17" s="59"/>
      <c r="Q17" s="61"/>
    </row>
    <row r="18">
      <c r="B18" s="57"/>
      <c r="C18" s="107"/>
      <c r="D18" s="57"/>
      <c r="F18" s="59"/>
      <c r="G18" s="22"/>
      <c r="H18" s="22"/>
      <c r="J18" s="59"/>
      <c r="L18" s="59"/>
      <c r="N18" s="59"/>
      <c r="P18" s="59"/>
      <c r="Q18" s="61"/>
    </row>
    <row r="19">
      <c r="B19" s="57"/>
      <c r="C19" s="107"/>
      <c r="D19" s="57"/>
      <c r="F19" s="59"/>
      <c r="G19" s="22"/>
      <c r="H19" s="22"/>
      <c r="J19" s="59"/>
      <c r="L19" s="59"/>
      <c r="N19" s="59"/>
      <c r="P19" s="59"/>
      <c r="Q19" s="61"/>
    </row>
    <row r="20">
      <c r="B20" s="57"/>
      <c r="C20" s="107"/>
      <c r="D20" s="57"/>
      <c r="F20" s="59"/>
      <c r="G20" s="22"/>
      <c r="H20" s="22"/>
      <c r="J20" s="59"/>
      <c r="L20" s="59"/>
      <c r="N20" s="59"/>
      <c r="P20" s="59"/>
      <c r="Q20" s="61"/>
    </row>
    <row r="21">
      <c r="B21" s="57"/>
      <c r="C21" s="107"/>
      <c r="D21" s="57"/>
      <c r="F21" s="59"/>
      <c r="G21" s="22"/>
      <c r="H21" s="22"/>
      <c r="J21" s="59"/>
      <c r="L21" s="59"/>
      <c r="N21" s="59"/>
      <c r="P21" s="59"/>
      <c r="Q21" s="61"/>
    </row>
    <row r="22">
      <c r="B22" s="57"/>
      <c r="C22" s="107"/>
      <c r="D22" s="57"/>
      <c r="F22" s="59"/>
      <c r="G22" s="22"/>
      <c r="H22" s="22"/>
      <c r="J22" s="59"/>
      <c r="L22" s="59"/>
      <c r="N22" s="59"/>
      <c r="P22" s="59"/>
      <c r="Q22" s="61"/>
    </row>
    <row r="23">
      <c r="B23" s="57"/>
      <c r="C23" s="107"/>
      <c r="D23" s="57"/>
      <c r="F23" s="59"/>
      <c r="G23" s="22"/>
      <c r="H23" s="22"/>
      <c r="J23" s="59"/>
      <c r="L23" s="59"/>
      <c r="N23" s="59"/>
      <c r="P23" s="59"/>
      <c r="Q23" s="61"/>
    </row>
    <row r="24">
      <c r="B24" s="57"/>
      <c r="C24" s="107"/>
      <c r="D24" s="57"/>
      <c r="F24" s="59"/>
      <c r="G24" s="22"/>
      <c r="H24" s="22"/>
      <c r="J24" s="59"/>
      <c r="L24" s="59"/>
      <c r="N24" s="59"/>
      <c r="P24" s="59"/>
      <c r="Q24" s="61"/>
    </row>
    <row r="25">
      <c r="B25" s="57"/>
      <c r="C25" s="107"/>
      <c r="D25" s="57"/>
      <c r="F25" s="59"/>
      <c r="G25" s="22"/>
      <c r="H25" s="22"/>
      <c r="J25" s="59"/>
      <c r="L25" s="59"/>
      <c r="N25" s="59"/>
      <c r="P25" s="59"/>
      <c r="Q25" s="61"/>
    </row>
    <row r="26">
      <c r="B26" s="57"/>
      <c r="C26" s="107"/>
      <c r="D26" s="57"/>
      <c r="F26" s="59"/>
      <c r="G26" s="22"/>
      <c r="H26" s="22"/>
      <c r="J26" s="59"/>
      <c r="L26" s="59"/>
      <c r="N26" s="59"/>
      <c r="P26" s="59"/>
      <c r="Q26" s="61"/>
    </row>
    <row r="27">
      <c r="B27" s="57"/>
      <c r="C27" s="107"/>
      <c r="D27" s="57"/>
      <c r="F27" s="59"/>
      <c r="G27" s="22"/>
      <c r="H27" s="22"/>
      <c r="J27" s="59"/>
      <c r="L27" s="59"/>
      <c r="N27" s="59"/>
      <c r="P27" s="59"/>
      <c r="Q27" s="61"/>
    </row>
    <row r="28">
      <c r="B28" s="57"/>
      <c r="C28" s="107"/>
      <c r="D28" s="57"/>
      <c r="F28" s="59"/>
      <c r="G28" s="22"/>
      <c r="H28" s="22"/>
      <c r="J28" s="59"/>
      <c r="L28" s="59"/>
      <c r="N28" s="59"/>
      <c r="P28" s="59"/>
      <c r="Q28" s="61"/>
    </row>
    <row r="29">
      <c r="B29" s="57"/>
      <c r="C29" s="107"/>
      <c r="D29" s="57"/>
      <c r="F29" s="59"/>
      <c r="G29" s="22"/>
      <c r="H29" s="22"/>
      <c r="J29" s="59"/>
      <c r="L29" s="59"/>
      <c r="N29" s="59"/>
      <c r="P29" s="59"/>
      <c r="Q29" s="61"/>
    </row>
    <row r="30">
      <c r="B30" s="57"/>
      <c r="C30" s="107"/>
      <c r="D30" s="57"/>
      <c r="F30" s="59"/>
      <c r="G30" s="22"/>
      <c r="H30" s="22"/>
      <c r="J30" s="59"/>
      <c r="L30" s="59"/>
      <c r="N30" s="59"/>
      <c r="P30" s="59"/>
      <c r="Q30" s="61"/>
    </row>
    <row r="31">
      <c r="B31" s="57"/>
      <c r="C31" s="107"/>
      <c r="D31" s="57"/>
      <c r="F31" s="59"/>
      <c r="G31" s="22"/>
      <c r="H31" s="22"/>
      <c r="J31" s="59"/>
      <c r="L31" s="59"/>
      <c r="N31" s="59"/>
      <c r="P31" s="59"/>
      <c r="Q31" s="61"/>
    </row>
    <row r="32">
      <c r="B32" s="57"/>
      <c r="C32" s="107"/>
      <c r="D32" s="57"/>
      <c r="F32" s="59"/>
      <c r="G32" s="22"/>
      <c r="H32" s="22"/>
      <c r="J32" s="59"/>
      <c r="L32" s="59"/>
      <c r="N32" s="59"/>
      <c r="P32" s="59"/>
      <c r="Q32" s="61"/>
    </row>
    <row r="33">
      <c r="B33" s="57"/>
      <c r="C33" s="107"/>
      <c r="D33" s="57"/>
      <c r="F33" s="59"/>
      <c r="G33" s="22"/>
      <c r="H33" s="22"/>
      <c r="J33" s="59"/>
      <c r="L33" s="59"/>
      <c r="N33" s="59"/>
      <c r="P33" s="59"/>
      <c r="Q33" s="61"/>
    </row>
    <row r="34">
      <c r="B34" s="57"/>
      <c r="C34" s="107"/>
      <c r="D34" s="57"/>
      <c r="F34" s="59"/>
      <c r="G34" s="22"/>
      <c r="H34" s="22"/>
      <c r="J34" s="59"/>
      <c r="L34" s="59"/>
      <c r="N34" s="59"/>
      <c r="P34" s="59"/>
      <c r="Q34" s="61"/>
    </row>
    <row r="35">
      <c r="B35" s="57"/>
      <c r="C35" s="107"/>
      <c r="D35" s="57"/>
      <c r="F35" s="59"/>
      <c r="G35" s="22"/>
      <c r="H35" s="22"/>
      <c r="J35" s="59"/>
      <c r="L35" s="59"/>
      <c r="N35" s="59"/>
      <c r="P35" s="59"/>
      <c r="Q35" s="61"/>
    </row>
    <row r="36">
      <c r="B36" s="57"/>
      <c r="C36" s="107"/>
      <c r="D36" s="57"/>
      <c r="F36" s="59"/>
      <c r="G36" s="22"/>
      <c r="H36" s="22"/>
      <c r="J36" s="59"/>
      <c r="L36" s="59"/>
      <c r="N36" s="59"/>
      <c r="P36" s="59"/>
      <c r="Q36" s="61"/>
    </row>
    <row r="37">
      <c r="B37" s="57"/>
      <c r="C37" s="107"/>
      <c r="D37" s="57"/>
      <c r="F37" s="59"/>
      <c r="G37" s="22"/>
      <c r="H37" s="22"/>
      <c r="J37" s="59"/>
      <c r="L37" s="59"/>
      <c r="N37" s="59"/>
      <c r="P37" s="59"/>
      <c r="Q37" s="61"/>
    </row>
    <row r="38">
      <c r="B38" s="57"/>
      <c r="C38" s="107"/>
      <c r="D38" s="57"/>
      <c r="F38" s="59"/>
      <c r="G38" s="22"/>
      <c r="H38" s="22"/>
      <c r="J38" s="59"/>
      <c r="L38" s="59"/>
      <c r="N38" s="59"/>
      <c r="P38" s="59"/>
      <c r="Q38" s="61"/>
    </row>
    <row r="39">
      <c r="B39" s="57"/>
      <c r="C39" s="107"/>
      <c r="D39" s="57"/>
      <c r="F39" s="59"/>
      <c r="G39" s="22"/>
      <c r="H39" s="22"/>
      <c r="J39" s="59"/>
      <c r="L39" s="59"/>
      <c r="N39" s="59"/>
      <c r="P39" s="59"/>
      <c r="Q39" s="61"/>
    </row>
    <row r="40">
      <c r="B40" s="57"/>
      <c r="C40" s="107"/>
      <c r="D40" s="57"/>
      <c r="F40" s="59"/>
      <c r="G40" s="22"/>
      <c r="H40" s="22"/>
      <c r="J40" s="59"/>
      <c r="L40" s="59"/>
      <c r="N40" s="59"/>
      <c r="P40" s="59"/>
      <c r="Q40" s="61"/>
    </row>
    <row r="41">
      <c r="B41" s="57"/>
      <c r="C41" s="107"/>
      <c r="D41" s="57"/>
      <c r="F41" s="59"/>
      <c r="G41" s="22"/>
      <c r="H41" s="22"/>
      <c r="J41" s="59"/>
      <c r="L41" s="59"/>
      <c r="N41" s="59"/>
      <c r="P41" s="59"/>
      <c r="Q41" s="61"/>
    </row>
    <row r="42">
      <c r="B42" s="57"/>
      <c r="C42" s="107"/>
      <c r="D42" s="57"/>
      <c r="F42" s="59"/>
      <c r="G42" s="22"/>
      <c r="H42" s="22"/>
      <c r="J42" s="59"/>
      <c r="L42" s="59"/>
      <c r="N42" s="59"/>
      <c r="P42" s="59"/>
      <c r="Q42" s="61"/>
    </row>
    <row r="43">
      <c r="B43" s="57"/>
      <c r="C43" s="107"/>
      <c r="D43" s="57"/>
      <c r="F43" s="59"/>
      <c r="G43" s="22"/>
      <c r="H43" s="22"/>
      <c r="J43" s="59"/>
      <c r="L43" s="59"/>
      <c r="N43" s="59"/>
      <c r="P43" s="59"/>
      <c r="Q43" s="61"/>
    </row>
    <row r="44">
      <c r="B44" s="57"/>
      <c r="C44" s="107"/>
      <c r="D44" s="57"/>
      <c r="F44" s="59"/>
      <c r="H44" s="59"/>
      <c r="J44" s="59"/>
      <c r="L44" s="59"/>
      <c r="N44" s="59"/>
      <c r="P44" s="59"/>
      <c r="Q44" s="61"/>
    </row>
    <row r="45">
      <c r="B45" s="57"/>
      <c r="C45" s="107"/>
      <c r="D45" s="57"/>
      <c r="F45" s="59"/>
      <c r="H45" s="59"/>
      <c r="J45" s="59"/>
      <c r="L45" s="59"/>
      <c r="N45" s="59"/>
      <c r="P45" s="59"/>
      <c r="Q45" s="61"/>
    </row>
    <row r="46">
      <c r="B46" s="57"/>
      <c r="C46" s="107"/>
      <c r="D46" s="57"/>
      <c r="F46" s="59"/>
      <c r="H46" s="59"/>
      <c r="J46" s="59"/>
      <c r="L46" s="59"/>
      <c r="N46" s="59"/>
      <c r="P46" s="59"/>
      <c r="Q46" s="61"/>
    </row>
    <row r="47">
      <c r="B47" s="57"/>
      <c r="C47" s="107"/>
      <c r="D47" s="57"/>
      <c r="F47" s="59"/>
      <c r="H47" s="59"/>
      <c r="J47" s="59"/>
      <c r="L47" s="59"/>
      <c r="N47" s="59"/>
      <c r="P47" s="59"/>
      <c r="Q47" s="61"/>
    </row>
    <row r="48">
      <c r="B48" s="57"/>
      <c r="C48" s="107"/>
      <c r="D48" s="57"/>
      <c r="F48" s="59"/>
      <c r="H48" s="59"/>
      <c r="J48" s="59"/>
      <c r="L48" s="59"/>
      <c r="N48" s="59"/>
      <c r="P48" s="59"/>
      <c r="Q48" s="61"/>
    </row>
    <row r="49">
      <c r="B49" s="57"/>
      <c r="C49" s="107"/>
      <c r="D49" s="57"/>
      <c r="F49" s="59"/>
      <c r="H49" s="59"/>
      <c r="J49" s="59"/>
      <c r="L49" s="59"/>
      <c r="N49" s="59"/>
      <c r="P49" s="59"/>
      <c r="Q49" s="61"/>
    </row>
    <row r="50">
      <c r="B50" s="57"/>
      <c r="C50" s="107"/>
      <c r="D50" s="57"/>
      <c r="F50" s="59"/>
      <c r="H50" s="59"/>
      <c r="J50" s="59"/>
      <c r="L50" s="59"/>
      <c r="N50" s="59"/>
      <c r="P50" s="59"/>
      <c r="Q50" s="61"/>
    </row>
    <row r="51">
      <c r="B51" s="57"/>
      <c r="C51" s="107"/>
      <c r="D51" s="57"/>
      <c r="F51" s="59"/>
      <c r="H51" s="59"/>
      <c r="J51" s="59"/>
      <c r="L51" s="59"/>
      <c r="N51" s="59"/>
      <c r="P51" s="59"/>
      <c r="Q51" s="61"/>
    </row>
    <row r="52">
      <c r="B52" s="57"/>
      <c r="C52" s="107"/>
      <c r="D52" s="57"/>
      <c r="F52" s="59"/>
      <c r="H52" s="59"/>
      <c r="J52" s="59"/>
      <c r="L52" s="59"/>
      <c r="N52" s="59"/>
      <c r="P52" s="59"/>
      <c r="Q52" s="61"/>
    </row>
    <row r="53">
      <c r="B53" s="57"/>
      <c r="C53" s="107"/>
      <c r="D53" s="57"/>
      <c r="F53" s="59"/>
      <c r="H53" s="59"/>
      <c r="J53" s="59"/>
      <c r="L53" s="59"/>
      <c r="N53" s="59"/>
      <c r="P53" s="59"/>
      <c r="Q53" s="61"/>
    </row>
    <row r="54">
      <c r="B54" s="57"/>
      <c r="C54" s="107"/>
      <c r="D54" s="57"/>
      <c r="F54" s="59"/>
      <c r="H54" s="59"/>
      <c r="J54" s="59"/>
      <c r="L54" s="59"/>
      <c r="N54" s="59"/>
      <c r="P54" s="59"/>
      <c r="Q54" s="61"/>
    </row>
    <row r="55">
      <c r="B55" s="57"/>
      <c r="C55" s="107"/>
      <c r="D55" s="57"/>
      <c r="F55" s="59"/>
      <c r="H55" s="59"/>
      <c r="J55" s="59"/>
      <c r="L55" s="59"/>
      <c r="N55" s="59"/>
      <c r="P55" s="59"/>
      <c r="Q55" s="61"/>
    </row>
    <row r="56">
      <c r="B56" s="57"/>
      <c r="C56" s="107"/>
      <c r="D56" s="57"/>
      <c r="F56" s="59"/>
      <c r="H56" s="59"/>
      <c r="J56" s="59"/>
      <c r="L56" s="59"/>
      <c r="N56" s="59"/>
      <c r="P56" s="59"/>
      <c r="Q56" s="61"/>
    </row>
    <row r="57">
      <c r="B57" s="57"/>
      <c r="C57" s="107"/>
      <c r="D57" s="57"/>
      <c r="F57" s="59"/>
      <c r="H57" s="59"/>
      <c r="J57" s="59"/>
      <c r="L57" s="59"/>
      <c r="N57" s="59"/>
      <c r="P57" s="59"/>
      <c r="Q57" s="61"/>
    </row>
    <row r="58">
      <c r="B58" s="57"/>
      <c r="C58" s="107"/>
      <c r="D58" s="57"/>
      <c r="F58" s="59"/>
      <c r="H58" s="59"/>
      <c r="J58" s="59"/>
      <c r="L58" s="59"/>
      <c r="N58" s="59"/>
      <c r="P58" s="59"/>
      <c r="Q58" s="61"/>
    </row>
    <row r="59">
      <c r="B59" s="57"/>
      <c r="C59" s="107"/>
      <c r="D59" s="57"/>
      <c r="F59" s="59"/>
      <c r="H59" s="59"/>
      <c r="J59" s="59"/>
      <c r="L59" s="59"/>
      <c r="N59" s="59"/>
      <c r="P59" s="59"/>
      <c r="Q59" s="61"/>
    </row>
    <row r="60">
      <c r="B60" s="57"/>
      <c r="C60" s="107"/>
      <c r="D60" s="57"/>
      <c r="F60" s="59"/>
      <c r="H60" s="59"/>
      <c r="J60" s="59"/>
      <c r="L60" s="59"/>
      <c r="N60" s="59"/>
      <c r="P60" s="59"/>
      <c r="Q60" s="61"/>
    </row>
    <row r="61">
      <c r="B61" s="57"/>
      <c r="C61" s="107"/>
      <c r="D61" s="57"/>
      <c r="F61" s="59"/>
      <c r="H61" s="59"/>
      <c r="J61" s="59"/>
      <c r="L61" s="59"/>
      <c r="N61" s="59"/>
      <c r="P61" s="59"/>
      <c r="Q61" s="61"/>
    </row>
    <row r="62">
      <c r="B62" s="57"/>
      <c r="C62" s="107"/>
      <c r="D62" s="57"/>
      <c r="F62" s="59"/>
      <c r="H62" s="59"/>
      <c r="J62" s="59"/>
      <c r="L62" s="59"/>
      <c r="N62" s="59"/>
      <c r="P62" s="59"/>
      <c r="Q62" s="61"/>
    </row>
    <row r="63">
      <c r="B63" s="57"/>
      <c r="C63" s="107"/>
      <c r="D63" s="57"/>
      <c r="F63" s="59"/>
      <c r="H63" s="59"/>
      <c r="J63" s="59"/>
      <c r="L63" s="59"/>
      <c r="N63" s="59"/>
      <c r="P63" s="59"/>
      <c r="Q63" s="61"/>
    </row>
    <row r="64">
      <c r="B64" s="57"/>
      <c r="C64" s="107"/>
      <c r="D64" s="57"/>
      <c r="F64" s="59"/>
      <c r="H64" s="59"/>
      <c r="J64" s="59"/>
      <c r="L64" s="59"/>
      <c r="N64" s="59"/>
      <c r="P64" s="59"/>
      <c r="Q64" s="61"/>
    </row>
    <row r="65">
      <c r="B65" s="57"/>
      <c r="C65" s="107"/>
      <c r="D65" s="57"/>
      <c r="F65" s="59"/>
      <c r="H65" s="59"/>
      <c r="J65" s="59"/>
      <c r="L65" s="59"/>
      <c r="N65" s="59"/>
      <c r="P65" s="59"/>
      <c r="Q65" s="61"/>
    </row>
    <row r="66">
      <c r="B66" s="57"/>
      <c r="C66" s="107"/>
      <c r="D66" s="57"/>
      <c r="F66" s="59"/>
      <c r="H66" s="59"/>
      <c r="J66" s="59"/>
      <c r="L66" s="59"/>
      <c r="N66" s="59"/>
      <c r="P66" s="59"/>
      <c r="Q66" s="61"/>
    </row>
    <row r="67">
      <c r="B67" s="57"/>
      <c r="C67" s="107"/>
      <c r="D67" s="57"/>
      <c r="F67" s="59"/>
      <c r="H67" s="59"/>
      <c r="J67" s="59"/>
      <c r="L67" s="59"/>
      <c r="N67" s="59"/>
      <c r="P67" s="59"/>
      <c r="Q67" s="61"/>
    </row>
    <row r="68">
      <c r="B68" s="57"/>
      <c r="C68" s="107"/>
      <c r="D68" s="57"/>
      <c r="F68" s="59"/>
      <c r="H68" s="59"/>
      <c r="J68" s="59"/>
      <c r="L68" s="59"/>
      <c r="N68" s="59"/>
      <c r="P68" s="59"/>
      <c r="Q68" s="61"/>
    </row>
    <row r="69">
      <c r="B69" s="57"/>
      <c r="C69" s="107"/>
      <c r="D69" s="57"/>
      <c r="F69" s="59"/>
      <c r="H69" s="59"/>
      <c r="J69" s="59"/>
      <c r="L69" s="59"/>
      <c r="N69" s="59"/>
      <c r="P69" s="59"/>
      <c r="Q69" s="61"/>
    </row>
    <row r="70">
      <c r="B70" s="57"/>
      <c r="C70" s="107"/>
      <c r="D70" s="57"/>
      <c r="F70" s="59"/>
      <c r="H70" s="59"/>
      <c r="J70" s="59"/>
      <c r="L70" s="59"/>
      <c r="N70" s="59"/>
      <c r="P70" s="59"/>
      <c r="Q70" s="61"/>
    </row>
    <row r="71">
      <c r="B71" s="57"/>
      <c r="C71" s="107"/>
      <c r="D71" s="57"/>
      <c r="F71" s="59"/>
      <c r="H71" s="59"/>
      <c r="J71" s="59"/>
      <c r="L71" s="59"/>
      <c r="N71" s="59"/>
      <c r="P71" s="59"/>
      <c r="Q71" s="61"/>
    </row>
    <row r="72">
      <c r="B72" s="57"/>
      <c r="C72" s="107"/>
      <c r="D72" s="57"/>
      <c r="F72" s="59"/>
      <c r="H72" s="59"/>
      <c r="J72" s="59"/>
      <c r="L72" s="59"/>
      <c r="N72" s="59"/>
      <c r="P72" s="59"/>
      <c r="Q72" s="61"/>
    </row>
    <row r="73">
      <c r="B73" s="57"/>
      <c r="C73" s="107"/>
      <c r="D73" s="57"/>
      <c r="F73" s="59"/>
      <c r="H73" s="59"/>
      <c r="J73" s="59"/>
      <c r="L73" s="59"/>
      <c r="N73" s="59"/>
      <c r="P73" s="59"/>
      <c r="Q73" s="61"/>
    </row>
    <row r="74">
      <c r="B74" s="57"/>
      <c r="C74" s="107"/>
      <c r="D74" s="57"/>
      <c r="F74" s="59"/>
      <c r="H74" s="59"/>
      <c r="J74" s="59"/>
      <c r="L74" s="59"/>
      <c r="N74" s="59"/>
      <c r="P74" s="59"/>
      <c r="Q74" s="61"/>
    </row>
    <row r="75">
      <c r="B75" s="57"/>
      <c r="C75" s="107"/>
      <c r="D75" s="57"/>
      <c r="F75" s="59"/>
      <c r="H75" s="59"/>
      <c r="J75" s="59"/>
      <c r="L75" s="59"/>
      <c r="N75" s="59"/>
      <c r="P75" s="59"/>
      <c r="Q75" s="61"/>
    </row>
    <row r="76">
      <c r="B76" s="57"/>
      <c r="C76" s="107"/>
      <c r="D76" s="57"/>
      <c r="F76" s="59"/>
      <c r="H76" s="59"/>
      <c r="J76" s="59"/>
      <c r="L76" s="59"/>
      <c r="N76" s="59"/>
      <c r="P76" s="59"/>
      <c r="Q76" s="61"/>
    </row>
    <row r="77">
      <c r="B77" s="57"/>
      <c r="C77" s="107"/>
      <c r="D77" s="57"/>
      <c r="F77" s="59"/>
      <c r="H77" s="59"/>
      <c r="J77" s="59"/>
      <c r="L77" s="59"/>
      <c r="N77" s="59"/>
      <c r="P77" s="59"/>
      <c r="Q77" s="61"/>
    </row>
    <row r="78">
      <c r="B78" s="57"/>
      <c r="C78" s="107"/>
      <c r="D78" s="57"/>
      <c r="F78" s="59"/>
      <c r="H78" s="59"/>
      <c r="J78" s="59"/>
      <c r="L78" s="59"/>
      <c r="N78" s="59"/>
      <c r="P78" s="59"/>
      <c r="Q78" s="61"/>
    </row>
    <row r="79">
      <c r="B79" s="57"/>
      <c r="C79" s="107"/>
      <c r="D79" s="57"/>
      <c r="F79" s="59"/>
      <c r="H79" s="59"/>
      <c r="J79" s="59"/>
      <c r="L79" s="59"/>
      <c r="N79" s="59"/>
      <c r="P79" s="59"/>
      <c r="Q79" s="61"/>
    </row>
    <row r="80">
      <c r="B80" s="57"/>
      <c r="C80" s="107"/>
      <c r="D80" s="57"/>
      <c r="F80" s="59"/>
      <c r="H80" s="59"/>
      <c r="J80" s="59"/>
      <c r="L80" s="59"/>
      <c r="N80" s="59"/>
      <c r="P80" s="59"/>
      <c r="Q80" s="61"/>
    </row>
    <row r="81">
      <c r="B81" s="57"/>
      <c r="C81" s="107"/>
      <c r="D81" s="57"/>
      <c r="F81" s="59"/>
      <c r="H81" s="59"/>
      <c r="J81" s="59"/>
      <c r="L81" s="59"/>
      <c r="N81" s="59"/>
      <c r="P81" s="59"/>
      <c r="Q81" s="61"/>
    </row>
    <row r="82">
      <c r="B82" s="57"/>
      <c r="C82" s="107"/>
      <c r="D82" s="57"/>
      <c r="F82" s="59"/>
      <c r="H82" s="59"/>
      <c r="J82" s="59"/>
      <c r="L82" s="59"/>
      <c r="N82" s="59"/>
      <c r="P82" s="59"/>
      <c r="Q82" s="61"/>
    </row>
    <row r="83">
      <c r="B83" s="57"/>
      <c r="C83" s="107"/>
      <c r="D83" s="57"/>
      <c r="F83" s="59"/>
      <c r="H83" s="59"/>
      <c r="J83" s="59"/>
      <c r="L83" s="59"/>
      <c r="N83" s="59"/>
      <c r="P83" s="59"/>
      <c r="Q83" s="61"/>
    </row>
    <row r="84">
      <c r="B84" s="57"/>
      <c r="C84" s="107"/>
      <c r="D84" s="57"/>
      <c r="F84" s="59"/>
      <c r="H84" s="59"/>
      <c r="J84" s="59"/>
      <c r="L84" s="59"/>
      <c r="N84" s="59"/>
      <c r="P84" s="59"/>
      <c r="Q84" s="61"/>
    </row>
    <row r="85">
      <c r="B85" s="57"/>
      <c r="C85" s="107"/>
      <c r="D85" s="57"/>
      <c r="F85" s="59"/>
      <c r="H85" s="59"/>
      <c r="J85" s="59"/>
      <c r="L85" s="59"/>
      <c r="N85" s="59"/>
      <c r="P85" s="59"/>
      <c r="Q85" s="61"/>
    </row>
    <row r="86">
      <c r="B86" s="57"/>
      <c r="C86" s="107"/>
      <c r="D86" s="57"/>
      <c r="F86" s="59"/>
      <c r="H86" s="59"/>
      <c r="J86" s="59"/>
      <c r="L86" s="59"/>
      <c r="N86" s="59"/>
      <c r="P86" s="59"/>
      <c r="Q86" s="61"/>
    </row>
    <row r="87">
      <c r="B87" s="57"/>
      <c r="C87" s="107"/>
      <c r="D87" s="57"/>
      <c r="F87" s="59"/>
      <c r="H87" s="59"/>
      <c r="J87" s="59"/>
      <c r="L87" s="59"/>
      <c r="N87" s="59"/>
      <c r="P87" s="59"/>
      <c r="Q87" s="61"/>
    </row>
    <row r="88">
      <c r="B88" s="57"/>
      <c r="C88" s="107"/>
      <c r="D88" s="57"/>
      <c r="F88" s="59"/>
      <c r="H88" s="59"/>
      <c r="J88" s="59"/>
      <c r="L88" s="59"/>
      <c r="N88" s="59"/>
      <c r="P88" s="59"/>
      <c r="Q88" s="61"/>
    </row>
    <row r="89">
      <c r="B89" s="57"/>
      <c r="C89" s="107"/>
      <c r="D89" s="57"/>
      <c r="F89" s="59"/>
      <c r="H89" s="59"/>
      <c r="J89" s="59"/>
      <c r="L89" s="59"/>
      <c r="N89" s="59"/>
      <c r="P89" s="59"/>
      <c r="Q89" s="61"/>
    </row>
    <row r="90">
      <c r="B90" s="57"/>
      <c r="C90" s="107"/>
      <c r="D90" s="57"/>
      <c r="F90" s="59"/>
      <c r="H90" s="59"/>
      <c r="J90" s="59"/>
      <c r="L90" s="59"/>
      <c r="N90" s="59"/>
      <c r="P90" s="59"/>
      <c r="Q90" s="61"/>
    </row>
    <row r="91">
      <c r="B91" s="57"/>
      <c r="C91" s="107"/>
      <c r="D91" s="57"/>
      <c r="F91" s="59"/>
      <c r="H91" s="59"/>
      <c r="J91" s="59"/>
      <c r="L91" s="59"/>
      <c r="N91" s="59"/>
      <c r="P91" s="59"/>
      <c r="Q91" s="61"/>
    </row>
    <row r="92">
      <c r="B92" s="57"/>
      <c r="C92" s="107"/>
      <c r="D92" s="57"/>
      <c r="F92" s="59"/>
      <c r="H92" s="59"/>
      <c r="J92" s="59"/>
      <c r="L92" s="59"/>
      <c r="N92" s="59"/>
      <c r="P92" s="59"/>
      <c r="Q92" s="61"/>
    </row>
    <row r="93">
      <c r="B93" s="57"/>
      <c r="C93" s="107"/>
      <c r="D93" s="57"/>
      <c r="F93" s="59"/>
      <c r="H93" s="59"/>
      <c r="J93" s="59"/>
      <c r="L93" s="59"/>
      <c r="N93" s="59"/>
      <c r="P93" s="59"/>
      <c r="Q93" s="61"/>
    </row>
    <row r="94">
      <c r="B94" s="57"/>
      <c r="C94" s="107"/>
      <c r="D94" s="57"/>
      <c r="F94" s="59"/>
      <c r="H94" s="59"/>
      <c r="J94" s="59"/>
      <c r="L94" s="59"/>
      <c r="N94" s="59"/>
      <c r="P94" s="59"/>
      <c r="Q94" s="61"/>
    </row>
    <row r="95">
      <c r="B95" s="57"/>
      <c r="C95" s="107"/>
      <c r="D95" s="57"/>
      <c r="F95" s="59"/>
      <c r="H95" s="59"/>
      <c r="J95" s="59"/>
      <c r="L95" s="59"/>
      <c r="N95" s="59"/>
      <c r="P95" s="59"/>
      <c r="Q95" s="61"/>
    </row>
    <row r="96">
      <c r="B96" s="57"/>
      <c r="C96" s="107"/>
      <c r="D96" s="57"/>
      <c r="F96" s="59"/>
      <c r="H96" s="59"/>
      <c r="J96" s="59"/>
      <c r="L96" s="59"/>
      <c r="N96" s="59"/>
      <c r="P96" s="59"/>
      <c r="Q96" s="61"/>
    </row>
    <row r="97">
      <c r="B97" s="57"/>
      <c r="C97" s="107"/>
      <c r="D97" s="57"/>
      <c r="F97" s="59"/>
      <c r="H97" s="59"/>
      <c r="J97" s="59"/>
      <c r="L97" s="59"/>
      <c r="N97" s="59"/>
      <c r="P97" s="59"/>
      <c r="Q97" s="61"/>
    </row>
    <row r="98">
      <c r="B98" s="57"/>
      <c r="C98" s="107"/>
      <c r="D98" s="57"/>
      <c r="F98" s="59"/>
      <c r="H98" s="59"/>
      <c r="J98" s="59"/>
      <c r="L98" s="59"/>
      <c r="N98" s="59"/>
      <c r="P98" s="59"/>
      <c r="Q98" s="61"/>
    </row>
    <row r="99">
      <c r="B99" s="57"/>
      <c r="C99" s="107"/>
      <c r="D99" s="57"/>
      <c r="F99" s="59"/>
      <c r="H99" s="59"/>
      <c r="J99" s="59"/>
      <c r="L99" s="59"/>
      <c r="N99" s="59"/>
      <c r="P99" s="59"/>
      <c r="Q99" s="61"/>
    </row>
    <row r="100">
      <c r="B100" s="57"/>
      <c r="C100" s="107"/>
      <c r="D100" s="57"/>
      <c r="F100" s="59"/>
      <c r="H100" s="59"/>
      <c r="J100" s="59"/>
      <c r="L100" s="59"/>
      <c r="N100" s="59"/>
      <c r="P100" s="59"/>
      <c r="Q100" s="61"/>
    </row>
    <row r="101">
      <c r="B101" s="57"/>
      <c r="C101" s="107"/>
      <c r="D101" s="57"/>
      <c r="F101" s="59"/>
      <c r="H101" s="59"/>
      <c r="J101" s="59"/>
      <c r="L101" s="59"/>
      <c r="N101" s="59"/>
      <c r="P101" s="59"/>
      <c r="Q101" s="61"/>
    </row>
    <row r="102">
      <c r="B102" s="57"/>
      <c r="C102" s="107"/>
      <c r="D102" s="57"/>
      <c r="F102" s="59"/>
      <c r="H102" s="59"/>
      <c r="J102" s="59"/>
      <c r="L102" s="59"/>
      <c r="N102" s="59"/>
      <c r="P102" s="59"/>
      <c r="Q102" s="61"/>
    </row>
    <row r="103">
      <c r="B103" s="57"/>
      <c r="C103" s="107"/>
      <c r="D103" s="57"/>
      <c r="F103" s="59"/>
      <c r="H103" s="59"/>
      <c r="J103" s="59"/>
      <c r="L103" s="59"/>
      <c r="N103" s="59"/>
      <c r="P103" s="59"/>
      <c r="Q103" s="61"/>
    </row>
    <row r="104">
      <c r="B104" s="57"/>
      <c r="C104" s="107"/>
      <c r="D104" s="57"/>
      <c r="F104" s="59"/>
      <c r="H104" s="59"/>
      <c r="J104" s="59"/>
      <c r="L104" s="59"/>
      <c r="N104" s="59"/>
      <c r="P104" s="59"/>
      <c r="Q104" s="61"/>
    </row>
    <row r="105">
      <c r="B105" s="57"/>
      <c r="C105" s="107"/>
      <c r="D105" s="57"/>
      <c r="F105" s="59"/>
      <c r="H105" s="59"/>
      <c r="J105" s="59"/>
      <c r="L105" s="59"/>
      <c r="N105" s="59"/>
      <c r="P105" s="59"/>
      <c r="Q105" s="61"/>
    </row>
    <row r="106">
      <c r="B106" s="57"/>
      <c r="C106" s="107"/>
      <c r="D106" s="57"/>
      <c r="F106" s="59"/>
      <c r="H106" s="59"/>
      <c r="J106" s="59"/>
      <c r="L106" s="59"/>
      <c r="N106" s="59"/>
      <c r="P106" s="59"/>
      <c r="Q106" s="61"/>
    </row>
    <row r="107">
      <c r="B107" s="57"/>
      <c r="C107" s="107"/>
      <c r="D107" s="57"/>
      <c r="F107" s="59"/>
      <c r="H107" s="59"/>
      <c r="J107" s="59"/>
      <c r="L107" s="59"/>
      <c r="N107" s="59"/>
      <c r="P107" s="59"/>
      <c r="Q107" s="61"/>
    </row>
    <row r="108">
      <c r="B108" s="57"/>
      <c r="C108" s="107"/>
      <c r="D108" s="57"/>
      <c r="F108" s="59"/>
      <c r="H108" s="59"/>
      <c r="J108" s="59"/>
      <c r="L108" s="59"/>
      <c r="N108" s="59"/>
      <c r="P108" s="59"/>
      <c r="Q108" s="61"/>
    </row>
    <row r="109">
      <c r="B109" s="57"/>
      <c r="C109" s="107"/>
      <c r="D109" s="57"/>
      <c r="F109" s="59"/>
      <c r="H109" s="59"/>
      <c r="J109" s="59"/>
      <c r="L109" s="59"/>
      <c r="N109" s="59"/>
      <c r="P109" s="59"/>
      <c r="Q109" s="61"/>
    </row>
    <row r="110">
      <c r="B110" s="57"/>
      <c r="C110" s="107"/>
      <c r="D110" s="57"/>
      <c r="F110" s="59"/>
      <c r="H110" s="59"/>
      <c r="J110" s="59"/>
      <c r="L110" s="59"/>
      <c r="N110" s="59"/>
      <c r="P110" s="59"/>
      <c r="Q110" s="61"/>
    </row>
    <row r="111">
      <c r="B111" s="57"/>
      <c r="C111" s="107"/>
      <c r="D111" s="57"/>
      <c r="F111" s="59"/>
      <c r="H111" s="59"/>
      <c r="J111" s="59"/>
      <c r="L111" s="59"/>
      <c r="N111" s="59"/>
      <c r="P111" s="59"/>
      <c r="Q111" s="61"/>
    </row>
    <row r="112">
      <c r="B112" s="57"/>
      <c r="C112" s="107"/>
      <c r="D112" s="57"/>
      <c r="F112" s="59"/>
      <c r="H112" s="59"/>
      <c r="J112" s="59"/>
      <c r="L112" s="59"/>
      <c r="N112" s="59"/>
      <c r="P112" s="59"/>
      <c r="Q112" s="61"/>
    </row>
    <row r="113">
      <c r="B113" s="57"/>
      <c r="C113" s="107"/>
      <c r="D113" s="57"/>
      <c r="F113" s="59"/>
      <c r="H113" s="59"/>
      <c r="J113" s="59"/>
      <c r="L113" s="59"/>
      <c r="N113" s="59"/>
      <c r="P113" s="59"/>
      <c r="Q113" s="61"/>
    </row>
    <row r="114">
      <c r="B114" s="57"/>
      <c r="C114" s="107"/>
      <c r="D114" s="57"/>
      <c r="F114" s="59"/>
      <c r="H114" s="59"/>
      <c r="J114" s="59"/>
      <c r="L114" s="59"/>
      <c r="N114" s="59"/>
      <c r="P114" s="59"/>
      <c r="Q114" s="61"/>
    </row>
    <row r="115">
      <c r="B115" s="57"/>
      <c r="C115" s="107"/>
      <c r="D115" s="57"/>
      <c r="F115" s="59"/>
      <c r="H115" s="59"/>
      <c r="J115" s="59"/>
      <c r="L115" s="59"/>
      <c r="N115" s="59"/>
      <c r="P115" s="59"/>
      <c r="Q115" s="61"/>
    </row>
    <row r="116">
      <c r="B116" s="57"/>
      <c r="C116" s="107"/>
      <c r="D116" s="57"/>
      <c r="F116" s="59"/>
      <c r="H116" s="59"/>
      <c r="J116" s="59"/>
      <c r="L116" s="59"/>
      <c r="N116" s="59"/>
      <c r="P116" s="59"/>
      <c r="Q116" s="61"/>
    </row>
    <row r="117">
      <c r="B117" s="57"/>
      <c r="C117" s="107"/>
      <c r="D117" s="57"/>
      <c r="F117" s="59"/>
      <c r="H117" s="59"/>
      <c r="J117" s="59"/>
      <c r="L117" s="59"/>
      <c r="N117" s="59"/>
      <c r="P117" s="59"/>
      <c r="Q117" s="61"/>
    </row>
    <row r="118">
      <c r="B118" s="57"/>
      <c r="C118" s="107"/>
      <c r="D118" s="57"/>
      <c r="F118" s="59"/>
      <c r="H118" s="59"/>
      <c r="J118" s="59"/>
      <c r="L118" s="59"/>
      <c r="N118" s="59"/>
      <c r="P118" s="59"/>
      <c r="Q118" s="61"/>
    </row>
    <row r="119">
      <c r="B119" s="57"/>
      <c r="C119" s="107"/>
      <c r="D119" s="57"/>
      <c r="F119" s="59"/>
      <c r="H119" s="59"/>
      <c r="J119" s="59"/>
      <c r="L119" s="59"/>
      <c r="N119" s="59"/>
      <c r="P119" s="59"/>
      <c r="Q119" s="61"/>
    </row>
    <row r="120">
      <c r="B120" s="57"/>
      <c r="C120" s="107"/>
      <c r="D120" s="57"/>
      <c r="F120" s="59"/>
      <c r="H120" s="59"/>
      <c r="J120" s="59"/>
      <c r="L120" s="59"/>
      <c r="N120" s="59"/>
      <c r="P120" s="59"/>
      <c r="Q120" s="61"/>
    </row>
    <row r="121">
      <c r="B121" s="57"/>
      <c r="C121" s="107"/>
      <c r="D121" s="57"/>
      <c r="F121" s="59"/>
      <c r="H121" s="59"/>
      <c r="J121" s="59"/>
      <c r="L121" s="59"/>
      <c r="N121" s="59"/>
      <c r="P121" s="59"/>
      <c r="Q121" s="61"/>
    </row>
    <row r="122">
      <c r="B122" s="57"/>
      <c r="C122" s="107"/>
      <c r="D122" s="57"/>
      <c r="F122" s="59"/>
      <c r="H122" s="59"/>
      <c r="J122" s="59"/>
      <c r="L122" s="59"/>
      <c r="N122" s="59"/>
      <c r="P122" s="59"/>
      <c r="Q122" s="61"/>
    </row>
    <row r="123">
      <c r="B123" s="57"/>
      <c r="C123" s="107"/>
      <c r="D123" s="57"/>
      <c r="F123" s="59"/>
      <c r="H123" s="59"/>
      <c r="J123" s="59"/>
      <c r="L123" s="59"/>
      <c r="N123" s="59"/>
      <c r="P123" s="59"/>
      <c r="Q123" s="61"/>
    </row>
    <row r="124">
      <c r="B124" s="57"/>
      <c r="C124" s="107"/>
      <c r="D124" s="57"/>
      <c r="F124" s="59"/>
      <c r="H124" s="59"/>
      <c r="J124" s="59"/>
      <c r="L124" s="59"/>
      <c r="N124" s="59"/>
      <c r="P124" s="59"/>
      <c r="Q124" s="61"/>
    </row>
    <row r="125">
      <c r="B125" s="57"/>
      <c r="C125" s="107"/>
      <c r="D125" s="57"/>
      <c r="F125" s="59"/>
      <c r="H125" s="59"/>
      <c r="J125" s="59"/>
      <c r="L125" s="59"/>
      <c r="N125" s="59"/>
      <c r="P125" s="59"/>
      <c r="Q125" s="61"/>
    </row>
    <row r="126">
      <c r="B126" s="57"/>
      <c r="C126" s="107"/>
      <c r="D126" s="57"/>
      <c r="F126" s="59"/>
      <c r="H126" s="59"/>
      <c r="J126" s="59"/>
      <c r="L126" s="59"/>
      <c r="N126" s="59"/>
      <c r="P126" s="59"/>
      <c r="Q126" s="61"/>
    </row>
    <row r="127">
      <c r="B127" s="57"/>
      <c r="C127" s="107"/>
      <c r="D127" s="57"/>
      <c r="F127" s="59"/>
      <c r="H127" s="59"/>
      <c r="J127" s="59"/>
      <c r="L127" s="59"/>
      <c r="N127" s="59"/>
      <c r="P127" s="59"/>
      <c r="Q127" s="61"/>
    </row>
    <row r="128">
      <c r="B128" s="57"/>
      <c r="C128" s="107"/>
      <c r="D128" s="57"/>
      <c r="F128" s="59"/>
      <c r="H128" s="59"/>
      <c r="J128" s="59"/>
      <c r="L128" s="59"/>
      <c r="N128" s="59"/>
      <c r="P128" s="59"/>
      <c r="Q128" s="61"/>
    </row>
    <row r="129">
      <c r="B129" s="57"/>
      <c r="C129" s="107"/>
      <c r="D129" s="57"/>
      <c r="F129" s="59"/>
      <c r="H129" s="59"/>
      <c r="J129" s="59"/>
      <c r="L129" s="59"/>
      <c r="N129" s="59"/>
      <c r="P129" s="59"/>
      <c r="Q129" s="61"/>
    </row>
    <row r="130">
      <c r="B130" s="57"/>
      <c r="C130" s="107"/>
      <c r="D130" s="57"/>
      <c r="F130" s="59"/>
      <c r="H130" s="59"/>
      <c r="J130" s="59"/>
      <c r="L130" s="59"/>
      <c r="N130" s="59"/>
      <c r="P130" s="59"/>
      <c r="Q130" s="61"/>
    </row>
    <row r="131">
      <c r="B131" s="57"/>
      <c r="C131" s="107"/>
      <c r="D131" s="57"/>
      <c r="F131" s="59"/>
      <c r="H131" s="59"/>
      <c r="J131" s="59"/>
      <c r="L131" s="59"/>
      <c r="N131" s="59"/>
      <c r="P131" s="59"/>
      <c r="Q131" s="61"/>
    </row>
    <row r="132">
      <c r="B132" s="57"/>
      <c r="C132" s="107"/>
      <c r="D132" s="57"/>
      <c r="F132" s="59"/>
      <c r="H132" s="59"/>
      <c r="J132" s="59"/>
      <c r="L132" s="59"/>
      <c r="N132" s="59"/>
      <c r="P132" s="59"/>
      <c r="Q132" s="61"/>
    </row>
    <row r="133">
      <c r="B133" s="57"/>
      <c r="C133" s="107"/>
      <c r="D133" s="57"/>
      <c r="F133" s="59"/>
      <c r="H133" s="59"/>
      <c r="J133" s="59"/>
      <c r="L133" s="59"/>
      <c r="N133" s="59"/>
      <c r="P133" s="59"/>
      <c r="Q133" s="61"/>
    </row>
    <row r="134">
      <c r="B134" s="57"/>
      <c r="C134" s="107"/>
      <c r="D134" s="57"/>
      <c r="F134" s="59"/>
      <c r="H134" s="59"/>
      <c r="J134" s="59"/>
      <c r="L134" s="59"/>
      <c r="N134" s="59"/>
      <c r="P134" s="59"/>
      <c r="Q134" s="61"/>
    </row>
    <row r="135">
      <c r="B135" s="57"/>
      <c r="C135" s="107"/>
      <c r="D135" s="57"/>
      <c r="F135" s="59"/>
      <c r="H135" s="59"/>
      <c r="J135" s="59"/>
      <c r="L135" s="59"/>
      <c r="N135" s="59"/>
      <c r="P135" s="59"/>
      <c r="Q135" s="61"/>
    </row>
    <row r="136">
      <c r="B136" s="57"/>
      <c r="C136" s="107"/>
      <c r="D136" s="57"/>
      <c r="F136" s="59"/>
      <c r="H136" s="59"/>
      <c r="J136" s="59"/>
      <c r="L136" s="59"/>
      <c r="N136" s="59"/>
      <c r="P136" s="59"/>
      <c r="Q136" s="61"/>
    </row>
    <row r="137">
      <c r="B137" s="57"/>
      <c r="C137" s="107"/>
      <c r="D137" s="57"/>
      <c r="F137" s="59"/>
      <c r="H137" s="59"/>
      <c r="J137" s="59"/>
      <c r="L137" s="59"/>
      <c r="N137" s="59"/>
      <c r="P137" s="59"/>
      <c r="Q137" s="61"/>
    </row>
    <row r="138">
      <c r="B138" s="57"/>
      <c r="C138" s="107"/>
      <c r="D138" s="57"/>
      <c r="F138" s="59"/>
      <c r="H138" s="59"/>
      <c r="J138" s="59"/>
      <c r="L138" s="59"/>
      <c r="N138" s="59"/>
      <c r="P138" s="59"/>
      <c r="Q138" s="61"/>
    </row>
    <row r="139">
      <c r="B139" s="57"/>
      <c r="C139" s="107"/>
      <c r="D139" s="57"/>
      <c r="F139" s="59"/>
      <c r="H139" s="59"/>
      <c r="J139" s="59"/>
      <c r="L139" s="59"/>
      <c r="N139" s="59"/>
      <c r="P139" s="59"/>
      <c r="Q139" s="61"/>
    </row>
    <row r="140">
      <c r="B140" s="57"/>
      <c r="C140" s="107"/>
      <c r="D140" s="57"/>
      <c r="F140" s="59"/>
      <c r="H140" s="59"/>
      <c r="J140" s="59"/>
      <c r="L140" s="59"/>
      <c r="N140" s="59"/>
      <c r="P140" s="59"/>
      <c r="Q140" s="61"/>
    </row>
    <row r="141">
      <c r="B141" s="57"/>
      <c r="C141" s="107"/>
      <c r="D141" s="57"/>
      <c r="F141" s="59"/>
      <c r="H141" s="59"/>
      <c r="J141" s="59"/>
      <c r="L141" s="59"/>
      <c r="N141" s="59"/>
      <c r="P141" s="59"/>
      <c r="Q141" s="61"/>
    </row>
    <row r="142">
      <c r="B142" s="57"/>
      <c r="C142" s="107"/>
      <c r="D142" s="57"/>
      <c r="F142" s="59"/>
      <c r="H142" s="59"/>
      <c r="J142" s="59"/>
      <c r="L142" s="59"/>
      <c r="N142" s="59"/>
      <c r="P142" s="59"/>
      <c r="Q142" s="61"/>
    </row>
    <row r="143">
      <c r="B143" s="57"/>
      <c r="C143" s="107"/>
      <c r="D143" s="57"/>
      <c r="F143" s="59"/>
      <c r="H143" s="59"/>
      <c r="J143" s="59"/>
      <c r="L143" s="59"/>
      <c r="N143" s="59"/>
      <c r="P143" s="59"/>
      <c r="Q143" s="61"/>
    </row>
    <row r="144">
      <c r="B144" s="57"/>
      <c r="C144" s="107"/>
      <c r="D144" s="57"/>
      <c r="F144" s="59"/>
      <c r="H144" s="59"/>
      <c r="J144" s="59"/>
      <c r="L144" s="59"/>
      <c r="N144" s="59"/>
      <c r="P144" s="59"/>
      <c r="Q144" s="61"/>
    </row>
    <row r="145">
      <c r="B145" s="57"/>
      <c r="C145" s="107"/>
      <c r="D145" s="57"/>
      <c r="F145" s="59"/>
      <c r="H145" s="59"/>
      <c r="J145" s="59"/>
      <c r="L145" s="59"/>
      <c r="N145" s="59"/>
      <c r="P145" s="59"/>
      <c r="Q145" s="61"/>
    </row>
    <row r="146">
      <c r="B146" s="57"/>
      <c r="C146" s="107"/>
      <c r="D146" s="57"/>
      <c r="F146" s="59"/>
      <c r="H146" s="59"/>
      <c r="J146" s="59"/>
      <c r="L146" s="59"/>
      <c r="N146" s="59"/>
      <c r="P146" s="59"/>
      <c r="Q146" s="61"/>
    </row>
    <row r="147">
      <c r="B147" s="57"/>
      <c r="C147" s="107"/>
      <c r="D147" s="57"/>
      <c r="F147" s="59"/>
      <c r="H147" s="59"/>
      <c r="J147" s="59"/>
      <c r="L147" s="59"/>
      <c r="N147" s="59"/>
      <c r="P147" s="59"/>
      <c r="Q147" s="61"/>
    </row>
    <row r="148">
      <c r="B148" s="57"/>
      <c r="C148" s="107"/>
      <c r="D148" s="57"/>
      <c r="F148" s="59"/>
      <c r="H148" s="59"/>
      <c r="J148" s="59"/>
      <c r="L148" s="59"/>
      <c r="N148" s="59"/>
      <c r="P148" s="59"/>
      <c r="Q148" s="61"/>
    </row>
    <row r="149">
      <c r="B149" s="57"/>
      <c r="C149" s="107"/>
      <c r="D149" s="57"/>
      <c r="F149" s="59"/>
      <c r="H149" s="59"/>
      <c r="J149" s="59"/>
      <c r="L149" s="59"/>
      <c r="N149" s="59"/>
      <c r="P149" s="59"/>
      <c r="Q149" s="61"/>
    </row>
    <row r="150">
      <c r="B150" s="57"/>
      <c r="C150" s="107"/>
      <c r="D150" s="57"/>
      <c r="F150" s="59"/>
      <c r="H150" s="59"/>
      <c r="J150" s="59"/>
      <c r="L150" s="59"/>
      <c r="N150" s="59"/>
      <c r="P150" s="59"/>
      <c r="Q150" s="61"/>
    </row>
    <row r="151">
      <c r="B151" s="57"/>
      <c r="C151" s="107"/>
      <c r="D151" s="57"/>
      <c r="F151" s="59"/>
      <c r="H151" s="59"/>
      <c r="J151" s="59"/>
      <c r="L151" s="59"/>
      <c r="N151" s="59"/>
      <c r="P151" s="59"/>
      <c r="Q151" s="61"/>
    </row>
    <row r="152">
      <c r="B152" s="57"/>
      <c r="C152" s="107"/>
      <c r="D152" s="57"/>
      <c r="F152" s="59"/>
      <c r="H152" s="59"/>
      <c r="J152" s="59"/>
      <c r="L152" s="59"/>
      <c r="N152" s="59"/>
      <c r="P152" s="59"/>
      <c r="Q152" s="61"/>
    </row>
    <row r="153">
      <c r="B153" s="57"/>
      <c r="C153" s="107"/>
      <c r="D153" s="57"/>
      <c r="F153" s="59"/>
      <c r="H153" s="59"/>
      <c r="J153" s="59"/>
      <c r="L153" s="59"/>
      <c r="N153" s="59"/>
      <c r="P153" s="59"/>
      <c r="Q153" s="61"/>
    </row>
    <row r="154">
      <c r="B154" s="57"/>
      <c r="C154" s="107"/>
      <c r="D154" s="57"/>
      <c r="F154" s="59"/>
      <c r="H154" s="59"/>
      <c r="J154" s="59"/>
      <c r="L154" s="59"/>
      <c r="N154" s="59"/>
      <c r="P154" s="59"/>
      <c r="Q154" s="61"/>
    </row>
    <row r="155">
      <c r="B155" s="57"/>
      <c r="C155" s="107"/>
      <c r="D155" s="57"/>
      <c r="F155" s="59"/>
      <c r="H155" s="59"/>
      <c r="J155" s="59"/>
      <c r="L155" s="59"/>
      <c r="N155" s="59"/>
      <c r="P155" s="59"/>
      <c r="Q155" s="61"/>
    </row>
    <row r="156">
      <c r="B156" s="57"/>
      <c r="C156" s="107"/>
      <c r="D156" s="57"/>
      <c r="F156" s="59"/>
      <c r="H156" s="59"/>
      <c r="J156" s="59"/>
      <c r="L156" s="59"/>
      <c r="N156" s="59"/>
      <c r="P156" s="59"/>
      <c r="Q156" s="61"/>
    </row>
    <row r="157">
      <c r="B157" s="57"/>
      <c r="C157" s="107"/>
      <c r="D157" s="57"/>
      <c r="F157" s="59"/>
      <c r="H157" s="59"/>
      <c r="J157" s="59"/>
      <c r="L157" s="59"/>
      <c r="N157" s="59"/>
      <c r="P157" s="59"/>
      <c r="Q157" s="61"/>
    </row>
    <row r="158">
      <c r="B158" s="57"/>
      <c r="C158" s="107"/>
      <c r="D158" s="57"/>
      <c r="F158" s="59"/>
      <c r="H158" s="59"/>
      <c r="J158" s="59"/>
      <c r="L158" s="59"/>
      <c r="N158" s="59"/>
      <c r="P158" s="59"/>
      <c r="Q158" s="61"/>
    </row>
    <row r="159">
      <c r="B159" s="57"/>
      <c r="C159" s="107"/>
      <c r="D159" s="57"/>
      <c r="F159" s="59"/>
      <c r="H159" s="59"/>
      <c r="J159" s="59"/>
      <c r="L159" s="59"/>
      <c r="N159" s="59"/>
      <c r="P159" s="59"/>
      <c r="Q159" s="61"/>
    </row>
    <row r="160">
      <c r="B160" s="57"/>
      <c r="C160" s="107"/>
      <c r="D160" s="57"/>
      <c r="F160" s="59"/>
      <c r="H160" s="59"/>
      <c r="J160" s="59"/>
      <c r="L160" s="59"/>
      <c r="N160" s="59"/>
      <c r="P160" s="59"/>
      <c r="Q160" s="61"/>
    </row>
    <row r="161">
      <c r="B161" s="57"/>
      <c r="C161" s="107"/>
      <c r="D161" s="57"/>
      <c r="F161" s="59"/>
      <c r="H161" s="59"/>
      <c r="J161" s="59"/>
      <c r="L161" s="59"/>
      <c r="N161" s="59"/>
      <c r="P161" s="59"/>
      <c r="Q161" s="61"/>
    </row>
    <row r="162">
      <c r="B162" s="57"/>
      <c r="C162" s="107"/>
      <c r="D162" s="57"/>
      <c r="F162" s="59"/>
      <c r="H162" s="59"/>
      <c r="J162" s="59"/>
      <c r="L162" s="59"/>
      <c r="N162" s="59"/>
      <c r="P162" s="59"/>
      <c r="Q162" s="61"/>
    </row>
    <row r="163">
      <c r="B163" s="57"/>
      <c r="C163" s="107"/>
      <c r="D163" s="57"/>
      <c r="F163" s="59"/>
      <c r="H163" s="59"/>
      <c r="J163" s="59"/>
      <c r="L163" s="59"/>
      <c r="N163" s="59"/>
      <c r="P163" s="59"/>
      <c r="Q163" s="61"/>
    </row>
    <row r="164">
      <c r="B164" s="57"/>
      <c r="C164" s="107"/>
      <c r="D164" s="57"/>
      <c r="F164" s="59"/>
      <c r="H164" s="59"/>
      <c r="J164" s="59"/>
      <c r="L164" s="59"/>
      <c r="N164" s="59"/>
      <c r="P164" s="59"/>
      <c r="Q164" s="61"/>
    </row>
    <row r="165">
      <c r="B165" s="57"/>
      <c r="C165" s="107"/>
      <c r="D165" s="57"/>
      <c r="F165" s="59"/>
      <c r="H165" s="59"/>
      <c r="J165" s="59"/>
      <c r="L165" s="59"/>
      <c r="N165" s="59"/>
      <c r="P165" s="59"/>
      <c r="Q165" s="61"/>
    </row>
    <row r="166">
      <c r="B166" s="57"/>
      <c r="C166" s="107"/>
      <c r="D166" s="57"/>
      <c r="F166" s="59"/>
      <c r="H166" s="59"/>
      <c r="J166" s="59"/>
      <c r="L166" s="59"/>
      <c r="N166" s="59"/>
      <c r="P166" s="59"/>
      <c r="Q166" s="61"/>
    </row>
    <row r="167">
      <c r="B167" s="57"/>
      <c r="C167" s="107"/>
      <c r="D167" s="57"/>
      <c r="F167" s="59"/>
      <c r="H167" s="59"/>
      <c r="J167" s="59"/>
      <c r="L167" s="59"/>
      <c r="N167" s="59"/>
      <c r="P167" s="59"/>
      <c r="Q167" s="61"/>
    </row>
    <row r="168">
      <c r="B168" s="57"/>
      <c r="C168" s="107"/>
      <c r="D168" s="57"/>
      <c r="F168" s="59"/>
      <c r="H168" s="59"/>
      <c r="J168" s="59"/>
      <c r="L168" s="59"/>
      <c r="N168" s="59"/>
      <c r="P168" s="59"/>
      <c r="Q168" s="61"/>
    </row>
    <row r="169">
      <c r="B169" s="57"/>
      <c r="C169" s="107"/>
      <c r="D169" s="57"/>
      <c r="F169" s="59"/>
      <c r="H169" s="59"/>
      <c r="J169" s="59"/>
      <c r="L169" s="59"/>
      <c r="N169" s="59"/>
      <c r="P169" s="59"/>
      <c r="Q169" s="61"/>
    </row>
    <row r="170">
      <c r="B170" s="57"/>
      <c r="C170" s="107"/>
      <c r="D170" s="57"/>
      <c r="F170" s="59"/>
      <c r="H170" s="59"/>
      <c r="J170" s="59"/>
      <c r="L170" s="59"/>
      <c r="N170" s="59"/>
      <c r="P170" s="59"/>
      <c r="Q170" s="61"/>
    </row>
    <row r="171">
      <c r="B171" s="57"/>
      <c r="C171" s="107"/>
      <c r="D171" s="57"/>
      <c r="F171" s="59"/>
      <c r="H171" s="59"/>
      <c r="J171" s="59"/>
      <c r="L171" s="59"/>
      <c r="N171" s="59"/>
      <c r="P171" s="59"/>
      <c r="Q171" s="61"/>
    </row>
    <row r="172">
      <c r="B172" s="57"/>
      <c r="C172" s="107"/>
      <c r="D172" s="57"/>
      <c r="F172" s="59"/>
      <c r="H172" s="59"/>
      <c r="J172" s="59"/>
      <c r="L172" s="59"/>
      <c r="N172" s="59"/>
      <c r="P172" s="59"/>
      <c r="Q172" s="61"/>
    </row>
    <row r="173">
      <c r="B173" s="57"/>
      <c r="C173" s="107"/>
      <c r="D173" s="57"/>
      <c r="F173" s="59"/>
      <c r="H173" s="59"/>
      <c r="J173" s="59"/>
      <c r="L173" s="59"/>
      <c r="N173" s="59"/>
      <c r="P173" s="59"/>
      <c r="Q173" s="61"/>
    </row>
    <row r="174">
      <c r="B174" s="57"/>
      <c r="C174" s="107"/>
      <c r="D174" s="57"/>
      <c r="F174" s="59"/>
      <c r="H174" s="59"/>
      <c r="J174" s="59"/>
      <c r="L174" s="59"/>
      <c r="N174" s="59"/>
      <c r="P174" s="59"/>
      <c r="Q174" s="61"/>
    </row>
    <row r="175">
      <c r="B175" s="57"/>
      <c r="C175" s="107"/>
      <c r="D175" s="57"/>
      <c r="F175" s="59"/>
      <c r="H175" s="59"/>
      <c r="J175" s="59"/>
      <c r="L175" s="59"/>
      <c r="N175" s="59"/>
      <c r="P175" s="59"/>
      <c r="Q175" s="61"/>
    </row>
    <row r="176">
      <c r="B176" s="57"/>
      <c r="C176" s="107"/>
      <c r="D176" s="57"/>
      <c r="F176" s="59"/>
      <c r="H176" s="59"/>
      <c r="J176" s="59"/>
      <c r="L176" s="59"/>
      <c r="N176" s="59"/>
      <c r="P176" s="59"/>
      <c r="Q176" s="61"/>
    </row>
    <row r="177">
      <c r="B177" s="57"/>
      <c r="C177" s="107"/>
      <c r="D177" s="57"/>
      <c r="F177" s="59"/>
      <c r="H177" s="59"/>
      <c r="J177" s="59"/>
      <c r="L177" s="59"/>
      <c r="N177" s="59"/>
      <c r="P177" s="59"/>
      <c r="Q177" s="61"/>
    </row>
    <row r="178">
      <c r="B178" s="57"/>
      <c r="C178" s="107"/>
      <c r="D178" s="57"/>
      <c r="F178" s="59"/>
      <c r="H178" s="59"/>
      <c r="J178" s="59"/>
      <c r="L178" s="59"/>
      <c r="N178" s="59"/>
      <c r="P178" s="59"/>
      <c r="Q178" s="61"/>
    </row>
    <row r="179">
      <c r="B179" s="57"/>
      <c r="C179" s="107"/>
      <c r="D179" s="57"/>
      <c r="F179" s="59"/>
      <c r="H179" s="59"/>
      <c r="J179" s="59"/>
      <c r="L179" s="59"/>
      <c r="N179" s="59"/>
      <c r="P179" s="59"/>
      <c r="Q179" s="61"/>
    </row>
    <row r="180">
      <c r="B180" s="57"/>
      <c r="C180" s="107"/>
      <c r="D180" s="57"/>
      <c r="F180" s="59"/>
      <c r="H180" s="59"/>
      <c r="J180" s="59"/>
      <c r="L180" s="59"/>
      <c r="N180" s="59"/>
      <c r="P180" s="59"/>
      <c r="Q180" s="61"/>
    </row>
    <row r="181">
      <c r="B181" s="57"/>
      <c r="C181" s="107"/>
      <c r="D181" s="57"/>
      <c r="F181" s="59"/>
      <c r="H181" s="59"/>
      <c r="J181" s="59"/>
      <c r="L181" s="59"/>
      <c r="N181" s="59"/>
      <c r="P181" s="59"/>
      <c r="Q181" s="61"/>
    </row>
    <row r="182">
      <c r="B182" s="57"/>
      <c r="C182" s="107"/>
      <c r="D182" s="57"/>
      <c r="F182" s="59"/>
      <c r="H182" s="59"/>
      <c r="J182" s="59"/>
      <c r="L182" s="59"/>
      <c r="N182" s="59"/>
      <c r="P182" s="59"/>
      <c r="Q182" s="61"/>
    </row>
    <row r="183">
      <c r="B183" s="57"/>
      <c r="C183" s="107"/>
      <c r="D183" s="57"/>
      <c r="F183" s="59"/>
      <c r="H183" s="59"/>
      <c r="J183" s="59"/>
      <c r="L183" s="59"/>
      <c r="N183" s="59"/>
      <c r="P183" s="59"/>
      <c r="Q183" s="61"/>
    </row>
    <row r="184">
      <c r="B184" s="57"/>
      <c r="C184" s="107"/>
      <c r="D184" s="57"/>
      <c r="F184" s="59"/>
      <c r="H184" s="59"/>
      <c r="J184" s="59"/>
      <c r="L184" s="59"/>
      <c r="N184" s="59"/>
      <c r="P184" s="59"/>
      <c r="Q184" s="61"/>
    </row>
    <row r="185">
      <c r="B185" s="57"/>
      <c r="C185" s="107"/>
      <c r="D185" s="57"/>
      <c r="F185" s="59"/>
      <c r="H185" s="59"/>
      <c r="J185" s="59"/>
      <c r="L185" s="59"/>
      <c r="N185" s="59"/>
      <c r="P185" s="59"/>
      <c r="Q185" s="61"/>
    </row>
    <row r="186">
      <c r="B186" s="57"/>
      <c r="C186" s="107"/>
      <c r="D186" s="57"/>
      <c r="F186" s="59"/>
      <c r="H186" s="59"/>
      <c r="J186" s="59"/>
      <c r="L186" s="59"/>
      <c r="N186" s="59"/>
      <c r="P186" s="59"/>
      <c r="Q186" s="61"/>
    </row>
    <row r="187">
      <c r="B187" s="57"/>
      <c r="C187" s="107"/>
      <c r="D187" s="57"/>
      <c r="F187" s="59"/>
      <c r="H187" s="59"/>
      <c r="J187" s="59"/>
      <c r="L187" s="59"/>
      <c r="N187" s="59"/>
      <c r="P187" s="59"/>
      <c r="Q187" s="61"/>
    </row>
    <row r="188">
      <c r="B188" s="57"/>
      <c r="C188" s="107"/>
      <c r="D188" s="57"/>
      <c r="F188" s="59"/>
      <c r="H188" s="59"/>
      <c r="J188" s="59"/>
      <c r="L188" s="59"/>
      <c r="N188" s="59"/>
      <c r="P188" s="59"/>
      <c r="Q188" s="61"/>
    </row>
    <row r="189">
      <c r="B189" s="57"/>
      <c r="C189" s="107"/>
      <c r="D189" s="57"/>
      <c r="F189" s="59"/>
      <c r="H189" s="59"/>
      <c r="J189" s="59"/>
      <c r="L189" s="59"/>
      <c r="N189" s="59"/>
      <c r="P189" s="59"/>
      <c r="Q189" s="61"/>
    </row>
    <row r="190">
      <c r="B190" s="57"/>
      <c r="C190" s="107"/>
      <c r="D190" s="57"/>
      <c r="F190" s="59"/>
      <c r="H190" s="59"/>
      <c r="J190" s="59"/>
      <c r="L190" s="59"/>
      <c r="N190" s="59"/>
      <c r="P190" s="59"/>
      <c r="Q190" s="61"/>
    </row>
    <row r="191">
      <c r="B191" s="57"/>
      <c r="C191" s="107"/>
      <c r="D191" s="57"/>
      <c r="F191" s="59"/>
      <c r="H191" s="59"/>
      <c r="J191" s="59"/>
      <c r="L191" s="59"/>
      <c r="N191" s="59"/>
      <c r="P191" s="59"/>
      <c r="Q191" s="61"/>
    </row>
    <row r="192">
      <c r="B192" s="57"/>
      <c r="C192" s="107"/>
      <c r="D192" s="57"/>
      <c r="F192" s="59"/>
      <c r="H192" s="59"/>
      <c r="J192" s="59"/>
      <c r="L192" s="59"/>
      <c r="N192" s="59"/>
      <c r="P192" s="59"/>
      <c r="Q192" s="61"/>
    </row>
    <row r="193">
      <c r="B193" s="57"/>
      <c r="C193" s="107"/>
      <c r="D193" s="57"/>
      <c r="F193" s="59"/>
      <c r="H193" s="59"/>
      <c r="J193" s="59"/>
      <c r="L193" s="59"/>
      <c r="N193" s="59"/>
      <c r="P193" s="59"/>
      <c r="Q193" s="61"/>
    </row>
    <row r="194">
      <c r="B194" s="57"/>
      <c r="C194" s="107"/>
      <c r="D194" s="57"/>
      <c r="F194" s="59"/>
      <c r="H194" s="59"/>
      <c r="J194" s="59"/>
      <c r="L194" s="59"/>
      <c r="N194" s="59"/>
      <c r="P194" s="59"/>
      <c r="Q194" s="61"/>
    </row>
    <row r="195">
      <c r="B195" s="57"/>
      <c r="C195" s="107"/>
      <c r="D195" s="57"/>
      <c r="F195" s="59"/>
      <c r="H195" s="59"/>
      <c r="J195" s="59"/>
      <c r="L195" s="59"/>
      <c r="N195" s="59"/>
      <c r="P195" s="59"/>
      <c r="Q195" s="61"/>
    </row>
    <row r="196">
      <c r="B196" s="57"/>
      <c r="C196" s="107"/>
      <c r="D196" s="57"/>
      <c r="F196" s="59"/>
      <c r="H196" s="59"/>
      <c r="J196" s="59"/>
      <c r="L196" s="59"/>
      <c r="N196" s="59"/>
      <c r="P196" s="59"/>
      <c r="Q196" s="61"/>
    </row>
    <row r="197">
      <c r="B197" s="57"/>
      <c r="C197" s="107"/>
      <c r="D197" s="57"/>
      <c r="F197" s="59"/>
      <c r="H197" s="59"/>
      <c r="J197" s="59"/>
      <c r="L197" s="59"/>
      <c r="N197" s="59"/>
      <c r="P197" s="59"/>
      <c r="Q197" s="61"/>
    </row>
    <row r="198">
      <c r="B198" s="57"/>
      <c r="C198" s="107"/>
      <c r="D198" s="57"/>
      <c r="F198" s="59"/>
      <c r="H198" s="59"/>
      <c r="J198" s="59"/>
      <c r="L198" s="59"/>
      <c r="N198" s="59"/>
      <c r="P198" s="59"/>
      <c r="Q198" s="61"/>
    </row>
    <row r="199">
      <c r="B199" s="57"/>
      <c r="C199" s="107"/>
      <c r="D199" s="57"/>
      <c r="F199" s="59"/>
      <c r="H199" s="59"/>
      <c r="J199" s="59"/>
      <c r="L199" s="59"/>
      <c r="N199" s="59"/>
      <c r="P199" s="59"/>
      <c r="Q199" s="61"/>
    </row>
    <row r="200">
      <c r="B200" s="57"/>
      <c r="C200" s="107"/>
      <c r="D200" s="57"/>
      <c r="F200" s="59"/>
      <c r="H200" s="59"/>
      <c r="J200" s="59"/>
      <c r="L200" s="59"/>
      <c r="N200" s="59"/>
      <c r="P200" s="59"/>
      <c r="Q200" s="61"/>
    </row>
    <row r="201">
      <c r="B201" s="57"/>
      <c r="C201" s="107"/>
      <c r="D201" s="57"/>
      <c r="F201" s="59"/>
      <c r="H201" s="59"/>
      <c r="J201" s="59"/>
      <c r="L201" s="59"/>
      <c r="N201" s="59"/>
      <c r="P201" s="59"/>
      <c r="Q201" s="61"/>
    </row>
    <row r="202">
      <c r="B202" s="57"/>
      <c r="C202" s="107"/>
      <c r="D202" s="57"/>
      <c r="F202" s="59"/>
      <c r="H202" s="59"/>
      <c r="J202" s="59"/>
      <c r="L202" s="59"/>
      <c r="N202" s="59"/>
      <c r="P202" s="59"/>
      <c r="Q202" s="61"/>
    </row>
    <row r="203">
      <c r="B203" s="57"/>
      <c r="C203" s="107"/>
      <c r="D203" s="57"/>
      <c r="F203" s="59"/>
      <c r="H203" s="59"/>
      <c r="J203" s="59"/>
      <c r="L203" s="59"/>
      <c r="N203" s="59"/>
      <c r="P203" s="59"/>
      <c r="Q203" s="61"/>
    </row>
    <row r="204">
      <c r="B204" s="57"/>
      <c r="C204" s="107"/>
      <c r="D204" s="57"/>
      <c r="F204" s="59"/>
      <c r="H204" s="59"/>
      <c r="J204" s="59"/>
      <c r="L204" s="59"/>
      <c r="N204" s="59"/>
      <c r="P204" s="59"/>
      <c r="Q204" s="61"/>
    </row>
    <row r="205">
      <c r="B205" s="57"/>
      <c r="C205" s="107"/>
      <c r="D205" s="57"/>
      <c r="F205" s="59"/>
      <c r="H205" s="59"/>
      <c r="J205" s="59"/>
      <c r="L205" s="59"/>
      <c r="N205" s="59"/>
      <c r="P205" s="59"/>
      <c r="Q205" s="61"/>
    </row>
    <row r="206">
      <c r="B206" s="57"/>
      <c r="C206" s="107"/>
      <c r="D206" s="57"/>
      <c r="F206" s="59"/>
      <c r="H206" s="59"/>
      <c r="J206" s="59"/>
      <c r="L206" s="59"/>
      <c r="N206" s="59"/>
      <c r="P206" s="59"/>
      <c r="Q206" s="61"/>
    </row>
    <row r="207">
      <c r="B207" s="57"/>
      <c r="C207" s="107"/>
      <c r="D207" s="57"/>
      <c r="F207" s="59"/>
      <c r="H207" s="59"/>
      <c r="J207" s="59"/>
      <c r="L207" s="59"/>
      <c r="N207" s="59"/>
      <c r="P207" s="59"/>
      <c r="Q207" s="61"/>
    </row>
    <row r="208">
      <c r="B208" s="57"/>
      <c r="C208" s="107"/>
      <c r="D208" s="57"/>
      <c r="F208" s="59"/>
      <c r="H208" s="59"/>
      <c r="J208" s="59"/>
      <c r="L208" s="59"/>
      <c r="N208" s="59"/>
      <c r="P208" s="59"/>
      <c r="Q208" s="61"/>
    </row>
    <row r="209">
      <c r="B209" s="57"/>
      <c r="C209" s="107"/>
      <c r="D209" s="57"/>
      <c r="F209" s="59"/>
      <c r="H209" s="59"/>
      <c r="J209" s="59"/>
      <c r="L209" s="59"/>
      <c r="N209" s="59"/>
      <c r="P209" s="59"/>
      <c r="Q209" s="61"/>
    </row>
    <row r="210">
      <c r="B210" s="57"/>
      <c r="C210" s="107"/>
      <c r="D210" s="57"/>
      <c r="F210" s="59"/>
      <c r="H210" s="59"/>
      <c r="J210" s="59"/>
      <c r="L210" s="59"/>
      <c r="N210" s="59"/>
      <c r="P210" s="59"/>
      <c r="Q210" s="61"/>
    </row>
    <row r="211">
      <c r="B211" s="57"/>
      <c r="C211" s="107"/>
      <c r="D211" s="57"/>
      <c r="F211" s="59"/>
      <c r="H211" s="59"/>
      <c r="J211" s="59"/>
      <c r="L211" s="59"/>
      <c r="N211" s="59"/>
      <c r="P211" s="59"/>
      <c r="Q211" s="61"/>
    </row>
    <row r="212">
      <c r="B212" s="57"/>
      <c r="C212" s="107"/>
      <c r="D212" s="57"/>
      <c r="F212" s="59"/>
      <c r="H212" s="59"/>
      <c r="J212" s="59"/>
      <c r="L212" s="59"/>
      <c r="N212" s="59"/>
      <c r="P212" s="59"/>
      <c r="Q212" s="61"/>
    </row>
    <row r="213">
      <c r="B213" s="57"/>
      <c r="C213" s="107"/>
      <c r="D213" s="57"/>
      <c r="F213" s="59"/>
      <c r="H213" s="59"/>
      <c r="J213" s="59"/>
      <c r="L213" s="59"/>
      <c r="N213" s="59"/>
      <c r="P213" s="59"/>
      <c r="Q213" s="61"/>
    </row>
    <row r="214">
      <c r="B214" s="57"/>
      <c r="C214" s="107"/>
      <c r="D214" s="57"/>
      <c r="F214" s="59"/>
      <c r="H214" s="59"/>
      <c r="J214" s="59"/>
      <c r="L214" s="59"/>
      <c r="N214" s="59"/>
      <c r="P214" s="59"/>
      <c r="Q214" s="61"/>
    </row>
    <row r="215">
      <c r="B215" s="57"/>
      <c r="C215" s="107"/>
      <c r="D215" s="57"/>
      <c r="F215" s="59"/>
      <c r="H215" s="59"/>
      <c r="J215" s="59"/>
      <c r="L215" s="59"/>
      <c r="N215" s="59"/>
      <c r="P215" s="59"/>
      <c r="Q215" s="61"/>
    </row>
    <row r="216">
      <c r="B216" s="57"/>
      <c r="C216" s="107"/>
      <c r="D216" s="57"/>
      <c r="F216" s="59"/>
      <c r="H216" s="59"/>
      <c r="J216" s="59"/>
      <c r="L216" s="59"/>
      <c r="N216" s="59"/>
      <c r="P216" s="59"/>
      <c r="Q216" s="61"/>
    </row>
    <row r="217">
      <c r="B217" s="57"/>
      <c r="C217" s="107"/>
      <c r="D217" s="57"/>
      <c r="F217" s="59"/>
      <c r="H217" s="59"/>
      <c r="J217" s="59"/>
      <c r="L217" s="59"/>
      <c r="N217" s="59"/>
      <c r="P217" s="59"/>
      <c r="Q217" s="61"/>
    </row>
    <row r="218">
      <c r="B218" s="57"/>
      <c r="C218" s="107"/>
      <c r="D218" s="57"/>
      <c r="F218" s="59"/>
      <c r="H218" s="59"/>
      <c r="J218" s="59"/>
      <c r="L218" s="59"/>
      <c r="N218" s="59"/>
      <c r="P218" s="59"/>
      <c r="Q218" s="61"/>
    </row>
    <row r="219">
      <c r="B219" s="57"/>
      <c r="C219" s="107"/>
      <c r="D219" s="57"/>
      <c r="F219" s="59"/>
      <c r="H219" s="59"/>
      <c r="J219" s="59"/>
      <c r="L219" s="59"/>
      <c r="N219" s="59"/>
      <c r="P219" s="59"/>
      <c r="Q219" s="61"/>
    </row>
    <row r="220">
      <c r="B220" s="57"/>
      <c r="C220" s="107"/>
      <c r="D220" s="57"/>
      <c r="F220" s="59"/>
      <c r="H220" s="59"/>
      <c r="J220" s="59"/>
      <c r="L220" s="59"/>
      <c r="N220" s="59"/>
      <c r="P220" s="59"/>
      <c r="Q220" s="61"/>
    </row>
    <row r="221">
      <c r="B221" s="57"/>
      <c r="C221" s="107"/>
      <c r="D221" s="57"/>
      <c r="F221" s="59"/>
      <c r="H221" s="59"/>
      <c r="J221" s="59"/>
      <c r="L221" s="59"/>
      <c r="N221" s="59"/>
      <c r="P221" s="59"/>
      <c r="Q221" s="61"/>
    </row>
    <row r="222">
      <c r="B222" s="57"/>
      <c r="C222" s="107"/>
      <c r="D222" s="57"/>
      <c r="F222" s="59"/>
      <c r="H222" s="59"/>
      <c r="J222" s="59"/>
      <c r="L222" s="59"/>
      <c r="N222" s="59"/>
      <c r="P222" s="59"/>
      <c r="Q222" s="61"/>
    </row>
    <row r="223">
      <c r="B223" s="57"/>
      <c r="C223" s="107"/>
      <c r="D223" s="57"/>
      <c r="F223" s="59"/>
      <c r="H223" s="59"/>
      <c r="J223" s="59"/>
      <c r="L223" s="59"/>
      <c r="N223" s="59"/>
      <c r="P223" s="59"/>
      <c r="Q223" s="61"/>
    </row>
    <row r="224">
      <c r="B224" s="57"/>
      <c r="C224" s="107"/>
      <c r="D224" s="57"/>
      <c r="F224" s="59"/>
      <c r="H224" s="59"/>
      <c r="J224" s="59"/>
      <c r="L224" s="59"/>
      <c r="N224" s="59"/>
      <c r="P224" s="59"/>
      <c r="Q224" s="61"/>
    </row>
    <row r="225">
      <c r="B225" s="57"/>
      <c r="C225" s="107"/>
      <c r="D225" s="57"/>
      <c r="F225" s="59"/>
      <c r="H225" s="59"/>
      <c r="J225" s="59"/>
      <c r="L225" s="59"/>
      <c r="N225" s="59"/>
      <c r="P225" s="59"/>
      <c r="Q225" s="61"/>
    </row>
    <row r="226">
      <c r="B226" s="57"/>
      <c r="C226" s="107"/>
      <c r="D226" s="57"/>
      <c r="F226" s="59"/>
      <c r="H226" s="59"/>
      <c r="J226" s="59"/>
      <c r="L226" s="59"/>
      <c r="N226" s="59"/>
      <c r="P226" s="59"/>
      <c r="Q226" s="61"/>
    </row>
    <row r="227">
      <c r="B227" s="57"/>
      <c r="C227" s="107"/>
      <c r="D227" s="57"/>
      <c r="F227" s="59"/>
      <c r="H227" s="59"/>
      <c r="J227" s="59"/>
      <c r="L227" s="59"/>
      <c r="N227" s="59"/>
      <c r="P227" s="59"/>
      <c r="Q227" s="61"/>
    </row>
    <row r="228">
      <c r="B228" s="57"/>
      <c r="C228" s="107"/>
      <c r="D228" s="57"/>
      <c r="F228" s="59"/>
      <c r="H228" s="59"/>
      <c r="J228" s="59"/>
      <c r="L228" s="59"/>
      <c r="N228" s="59"/>
      <c r="P228" s="59"/>
      <c r="Q228" s="61"/>
    </row>
    <row r="229">
      <c r="B229" s="57"/>
      <c r="C229" s="107"/>
      <c r="D229" s="57"/>
      <c r="F229" s="59"/>
      <c r="H229" s="59"/>
      <c r="J229" s="59"/>
      <c r="L229" s="59"/>
      <c r="N229" s="59"/>
      <c r="P229" s="59"/>
      <c r="Q229" s="61"/>
    </row>
    <row r="230">
      <c r="B230" s="57"/>
      <c r="C230" s="107"/>
      <c r="D230" s="57"/>
      <c r="F230" s="59"/>
      <c r="H230" s="59"/>
      <c r="J230" s="59"/>
      <c r="L230" s="59"/>
      <c r="N230" s="59"/>
      <c r="P230" s="59"/>
      <c r="Q230" s="61"/>
    </row>
    <row r="231">
      <c r="B231" s="57"/>
      <c r="C231" s="107"/>
      <c r="D231" s="57"/>
      <c r="F231" s="59"/>
      <c r="H231" s="59"/>
      <c r="J231" s="59"/>
      <c r="L231" s="59"/>
      <c r="N231" s="59"/>
      <c r="P231" s="59"/>
      <c r="Q231" s="61"/>
    </row>
    <row r="232">
      <c r="B232" s="57"/>
      <c r="C232" s="107"/>
      <c r="D232" s="57"/>
      <c r="F232" s="59"/>
      <c r="H232" s="59"/>
      <c r="J232" s="59"/>
      <c r="L232" s="59"/>
      <c r="N232" s="59"/>
      <c r="P232" s="59"/>
      <c r="Q232" s="61"/>
    </row>
    <row r="233">
      <c r="B233" s="57"/>
      <c r="C233" s="107"/>
      <c r="D233" s="57"/>
      <c r="F233" s="59"/>
      <c r="H233" s="59"/>
      <c r="J233" s="59"/>
      <c r="L233" s="59"/>
      <c r="N233" s="59"/>
      <c r="P233" s="59"/>
      <c r="Q233" s="61"/>
    </row>
    <row r="234">
      <c r="B234" s="57"/>
      <c r="C234" s="107"/>
      <c r="D234" s="57"/>
      <c r="F234" s="59"/>
      <c r="H234" s="59"/>
      <c r="J234" s="59"/>
      <c r="L234" s="59"/>
      <c r="N234" s="59"/>
      <c r="P234" s="59"/>
      <c r="Q234" s="61"/>
    </row>
    <row r="235">
      <c r="B235" s="57"/>
      <c r="C235" s="107"/>
      <c r="D235" s="57"/>
      <c r="F235" s="59"/>
      <c r="H235" s="59"/>
      <c r="J235" s="59"/>
      <c r="L235" s="59"/>
      <c r="N235" s="59"/>
      <c r="P235" s="59"/>
      <c r="Q235" s="61"/>
    </row>
    <row r="236">
      <c r="B236" s="57"/>
      <c r="C236" s="107"/>
      <c r="D236" s="57"/>
      <c r="F236" s="59"/>
      <c r="H236" s="59"/>
      <c r="J236" s="59"/>
      <c r="L236" s="59"/>
      <c r="N236" s="59"/>
      <c r="P236" s="59"/>
      <c r="Q236" s="61"/>
    </row>
    <row r="237">
      <c r="B237" s="57"/>
      <c r="C237" s="107"/>
      <c r="D237" s="57"/>
      <c r="F237" s="59"/>
      <c r="H237" s="59"/>
      <c r="J237" s="59"/>
      <c r="L237" s="59"/>
      <c r="N237" s="59"/>
      <c r="P237" s="59"/>
      <c r="Q237" s="61"/>
    </row>
    <row r="238">
      <c r="B238" s="57"/>
      <c r="C238" s="107"/>
      <c r="D238" s="57"/>
      <c r="F238" s="59"/>
      <c r="H238" s="59"/>
      <c r="J238" s="59"/>
      <c r="L238" s="59"/>
      <c r="N238" s="59"/>
      <c r="P238" s="59"/>
      <c r="Q238" s="61"/>
    </row>
    <row r="239">
      <c r="B239" s="57"/>
      <c r="C239" s="107"/>
      <c r="D239" s="57"/>
      <c r="F239" s="59"/>
      <c r="H239" s="59"/>
      <c r="J239" s="59"/>
      <c r="L239" s="59"/>
      <c r="N239" s="59"/>
      <c r="P239" s="59"/>
      <c r="Q239" s="61"/>
    </row>
    <row r="240">
      <c r="B240" s="57"/>
      <c r="C240" s="107"/>
      <c r="D240" s="57"/>
      <c r="F240" s="59"/>
      <c r="H240" s="59"/>
      <c r="J240" s="59"/>
      <c r="L240" s="59"/>
      <c r="N240" s="59"/>
      <c r="P240" s="59"/>
      <c r="Q240" s="61"/>
    </row>
    <row r="241">
      <c r="B241" s="57"/>
      <c r="C241" s="107"/>
      <c r="D241" s="57"/>
      <c r="F241" s="59"/>
      <c r="H241" s="59"/>
      <c r="J241" s="59"/>
      <c r="L241" s="59"/>
      <c r="N241" s="59"/>
      <c r="P241" s="59"/>
      <c r="Q241" s="61"/>
    </row>
    <row r="242">
      <c r="B242" s="57"/>
      <c r="C242" s="107"/>
      <c r="D242" s="57"/>
      <c r="F242" s="59"/>
      <c r="H242" s="59"/>
      <c r="J242" s="59"/>
      <c r="L242" s="59"/>
      <c r="N242" s="59"/>
      <c r="P242" s="59"/>
      <c r="Q242" s="61"/>
    </row>
    <row r="243">
      <c r="B243" s="57"/>
      <c r="C243" s="107"/>
      <c r="D243" s="57"/>
      <c r="F243" s="59"/>
      <c r="H243" s="59"/>
      <c r="J243" s="59"/>
      <c r="L243" s="59"/>
      <c r="N243" s="59"/>
      <c r="P243" s="59"/>
      <c r="Q243" s="61"/>
    </row>
    <row r="244">
      <c r="B244" s="57"/>
      <c r="C244" s="107"/>
      <c r="D244" s="57"/>
      <c r="F244" s="59"/>
      <c r="H244" s="59"/>
      <c r="J244" s="59"/>
      <c r="L244" s="59"/>
      <c r="N244" s="59"/>
      <c r="P244" s="59"/>
      <c r="Q244" s="61"/>
    </row>
    <row r="245">
      <c r="B245" s="57"/>
      <c r="C245" s="107"/>
      <c r="D245" s="57"/>
      <c r="F245" s="59"/>
      <c r="H245" s="59"/>
      <c r="J245" s="59"/>
      <c r="L245" s="59"/>
      <c r="N245" s="59"/>
      <c r="P245" s="59"/>
      <c r="Q245" s="61"/>
    </row>
    <row r="246">
      <c r="B246" s="57"/>
      <c r="C246" s="107"/>
      <c r="D246" s="57"/>
      <c r="F246" s="59"/>
      <c r="H246" s="59"/>
      <c r="J246" s="59"/>
      <c r="L246" s="59"/>
      <c r="N246" s="59"/>
      <c r="P246" s="59"/>
      <c r="Q246" s="61"/>
    </row>
    <row r="247">
      <c r="B247" s="57"/>
      <c r="C247" s="107"/>
      <c r="D247" s="57"/>
      <c r="F247" s="59"/>
      <c r="H247" s="59"/>
      <c r="J247" s="59"/>
      <c r="L247" s="59"/>
      <c r="N247" s="59"/>
      <c r="P247" s="59"/>
      <c r="Q247" s="61"/>
    </row>
    <row r="248">
      <c r="B248" s="57"/>
      <c r="C248" s="107"/>
      <c r="D248" s="57"/>
      <c r="F248" s="59"/>
      <c r="H248" s="59"/>
      <c r="J248" s="59"/>
      <c r="L248" s="59"/>
      <c r="N248" s="59"/>
      <c r="P248" s="59"/>
      <c r="Q248" s="61"/>
    </row>
    <row r="249">
      <c r="B249" s="57"/>
      <c r="C249" s="107"/>
      <c r="D249" s="57"/>
      <c r="F249" s="59"/>
      <c r="H249" s="59"/>
      <c r="J249" s="59"/>
      <c r="L249" s="59"/>
      <c r="N249" s="59"/>
      <c r="P249" s="59"/>
      <c r="Q249" s="61"/>
    </row>
    <row r="250">
      <c r="B250" s="57"/>
      <c r="C250" s="107"/>
      <c r="D250" s="57"/>
      <c r="F250" s="59"/>
      <c r="H250" s="59"/>
      <c r="J250" s="59"/>
      <c r="L250" s="59"/>
      <c r="N250" s="59"/>
      <c r="P250" s="59"/>
      <c r="Q250" s="61"/>
    </row>
    <row r="251">
      <c r="B251" s="57"/>
      <c r="C251" s="107"/>
      <c r="D251" s="57"/>
      <c r="F251" s="59"/>
      <c r="H251" s="59"/>
      <c r="J251" s="59"/>
      <c r="L251" s="59"/>
      <c r="N251" s="59"/>
      <c r="P251" s="59"/>
      <c r="Q251" s="61"/>
    </row>
    <row r="252">
      <c r="B252" s="57"/>
      <c r="C252" s="107"/>
      <c r="D252" s="57"/>
      <c r="F252" s="59"/>
      <c r="H252" s="59"/>
      <c r="J252" s="59"/>
      <c r="L252" s="59"/>
      <c r="N252" s="59"/>
      <c r="P252" s="59"/>
      <c r="Q252" s="61"/>
    </row>
    <row r="253">
      <c r="B253" s="57"/>
      <c r="C253" s="107"/>
      <c r="D253" s="57"/>
      <c r="F253" s="59"/>
      <c r="H253" s="59"/>
      <c r="J253" s="59"/>
      <c r="L253" s="59"/>
      <c r="N253" s="59"/>
      <c r="P253" s="59"/>
      <c r="Q253" s="61"/>
    </row>
    <row r="254">
      <c r="B254" s="57"/>
      <c r="C254" s="107"/>
      <c r="D254" s="57"/>
      <c r="F254" s="59"/>
      <c r="H254" s="59"/>
      <c r="J254" s="59"/>
      <c r="L254" s="59"/>
      <c r="N254" s="59"/>
      <c r="P254" s="59"/>
      <c r="Q254" s="61"/>
    </row>
    <row r="255">
      <c r="B255" s="57"/>
      <c r="C255" s="107"/>
      <c r="D255" s="57"/>
      <c r="F255" s="59"/>
      <c r="H255" s="59"/>
      <c r="J255" s="59"/>
      <c r="L255" s="59"/>
      <c r="N255" s="59"/>
      <c r="P255" s="59"/>
      <c r="Q255" s="61"/>
    </row>
    <row r="256">
      <c r="B256" s="57"/>
      <c r="C256" s="107"/>
      <c r="D256" s="57"/>
      <c r="F256" s="59"/>
      <c r="H256" s="59"/>
      <c r="J256" s="59"/>
      <c r="L256" s="59"/>
      <c r="N256" s="59"/>
      <c r="P256" s="59"/>
      <c r="Q256" s="61"/>
    </row>
    <row r="257">
      <c r="B257" s="57"/>
      <c r="C257" s="107"/>
      <c r="D257" s="57"/>
      <c r="F257" s="59"/>
      <c r="H257" s="59"/>
      <c r="J257" s="59"/>
      <c r="L257" s="59"/>
      <c r="N257" s="59"/>
      <c r="P257" s="59"/>
      <c r="Q257" s="61"/>
    </row>
    <row r="258">
      <c r="B258" s="57"/>
      <c r="C258" s="107"/>
      <c r="D258" s="57"/>
      <c r="F258" s="59"/>
      <c r="H258" s="59"/>
      <c r="J258" s="59"/>
      <c r="L258" s="59"/>
      <c r="N258" s="59"/>
      <c r="P258" s="59"/>
      <c r="Q258" s="61"/>
    </row>
    <row r="259">
      <c r="B259" s="57"/>
      <c r="C259" s="107"/>
      <c r="D259" s="57"/>
      <c r="F259" s="59"/>
      <c r="H259" s="59"/>
      <c r="J259" s="59"/>
      <c r="L259" s="59"/>
      <c r="N259" s="59"/>
      <c r="P259" s="59"/>
      <c r="Q259" s="61"/>
    </row>
    <row r="260">
      <c r="B260" s="57"/>
      <c r="C260" s="107"/>
      <c r="D260" s="57"/>
      <c r="F260" s="59"/>
      <c r="H260" s="59"/>
      <c r="J260" s="59"/>
      <c r="L260" s="59"/>
      <c r="N260" s="59"/>
      <c r="P260" s="59"/>
      <c r="Q260" s="61"/>
    </row>
    <row r="261">
      <c r="B261" s="57"/>
      <c r="C261" s="107"/>
      <c r="D261" s="57"/>
      <c r="F261" s="59"/>
      <c r="H261" s="59"/>
      <c r="J261" s="59"/>
      <c r="L261" s="59"/>
      <c r="N261" s="59"/>
      <c r="P261" s="59"/>
      <c r="Q261" s="61"/>
    </row>
    <row r="262">
      <c r="B262" s="57"/>
      <c r="C262" s="107"/>
      <c r="D262" s="57"/>
      <c r="F262" s="59"/>
      <c r="H262" s="59"/>
      <c r="J262" s="59"/>
      <c r="L262" s="59"/>
      <c r="N262" s="59"/>
      <c r="P262" s="59"/>
      <c r="Q262" s="61"/>
    </row>
    <row r="263">
      <c r="B263" s="57"/>
      <c r="C263" s="107"/>
      <c r="D263" s="57"/>
      <c r="F263" s="59"/>
      <c r="H263" s="59"/>
      <c r="J263" s="59"/>
      <c r="L263" s="59"/>
      <c r="N263" s="59"/>
      <c r="P263" s="59"/>
      <c r="Q263" s="61"/>
    </row>
    <row r="264">
      <c r="B264" s="57"/>
      <c r="C264" s="107"/>
      <c r="D264" s="57"/>
      <c r="F264" s="59"/>
      <c r="H264" s="59"/>
      <c r="J264" s="59"/>
      <c r="L264" s="59"/>
      <c r="N264" s="59"/>
      <c r="P264" s="59"/>
      <c r="Q264" s="61"/>
    </row>
    <row r="265">
      <c r="B265" s="57"/>
      <c r="C265" s="107"/>
      <c r="D265" s="57"/>
      <c r="F265" s="59"/>
      <c r="H265" s="59"/>
      <c r="J265" s="59"/>
      <c r="L265" s="59"/>
      <c r="N265" s="59"/>
      <c r="P265" s="59"/>
      <c r="Q265" s="61"/>
    </row>
    <row r="266">
      <c r="B266" s="57"/>
      <c r="C266" s="107"/>
      <c r="D266" s="57"/>
      <c r="F266" s="59"/>
      <c r="H266" s="59"/>
      <c r="J266" s="59"/>
      <c r="L266" s="59"/>
      <c r="N266" s="59"/>
      <c r="P266" s="59"/>
      <c r="Q266" s="61"/>
    </row>
    <row r="267">
      <c r="B267" s="57"/>
      <c r="C267" s="107"/>
      <c r="D267" s="57"/>
      <c r="F267" s="59"/>
      <c r="H267" s="59"/>
      <c r="J267" s="59"/>
      <c r="L267" s="59"/>
      <c r="N267" s="59"/>
      <c r="P267" s="59"/>
      <c r="Q267" s="61"/>
    </row>
    <row r="268">
      <c r="B268" s="57"/>
      <c r="C268" s="107"/>
      <c r="D268" s="57"/>
      <c r="F268" s="59"/>
      <c r="H268" s="59"/>
      <c r="J268" s="59"/>
      <c r="L268" s="59"/>
      <c r="N268" s="59"/>
      <c r="P268" s="59"/>
      <c r="Q268" s="61"/>
    </row>
    <row r="269">
      <c r="B269" s="57"/>
      <c r="C269" s="107"/>
      <c r="D269" s="57"/>
      <c r="F269" s="59"/>
      <c r="H269" s="59"/>
      <c r="J269" s="59"/>
      <c r="L269" s="59"/>
      <c r="N269" s="59"/>
      <c r="P269" s="59"/>
      <c r="Q269" s="61"/>
    </row>
    <row r="270">
      <c r="B270" s="57"/>
      <c r="C270" s="107"/>
      <c r="D270" s="57"/>
      <c r="F270" s="59"/>
      <c r="H270" s="59"/>
      <c r="J270" s="59"/>
      <c r="L270" s="59"/>
      <c r="N270" s="59"/>
      <c r="P270" s="59"/>
      <c r="Q270" s="61"/>
    </row>
    <row r="271">
      <c r="B271" s="57"/>
      <c r="C271" s="107"/>
      <c r="D271" s="57"/>
      <c r="F271" s="59"/>
      <c r="H271" s="59"/>
      <c r="J271" s="59"/>
      <c r="L271" s="59"/>
      <c r="N271" s="59"/>
      <c r="P271" s="59"/>
      <c r="Q271" s="61"/>
    </row>
    <row r="272">
      <c r="B272" s="57"/>
      <c r="C272" s="107"/>
      <c r="D272" s="57"/>
      <c r="F272" s="59"/>
      <c r="H272" s="59"/>
      <c r="J272" s="59"/>
      <c r="L272" s="59"/>
      <c r="N272" s="59"/>
      <c r="P272" s="59"/>
      <c r="Q272" s="61"/>
    </row>
    <row r="273">
      <c r="B273" s="57"/>
      <c r="C273" s="107"/>
      <c r="D273" s="57"/>
      <c r="F273" s="59"/>
      <c r="H273" s="59"/>
      <c r="J273" s="59"/>
      <c r="L273" s="59"/>
      <c r="N273" s="59"/>
      <c r="P273" s="59"/>
      <c r="Q273" s="61"/>
    </row>
    <row r="274">
      <c r="B274" s="57"/>
      <c r="C274" s="107"/>
      <c r="D274" s="57"/>
      <c r="F274" s="59"/>
      <c r="H274" s="59"/>
      <c r="J274" s="59"/>
      <c r="L274" s="59"/>
      <c r="N274" s="59"/>
      <c r="P274" s="59"/>
      <c r="Q274" s="61"/>
    </row>
    <row r="275">
      <c r="B275" s="57"/>
      <c r="C275" s="107"/>
      <c r="D275" s="57"/>
      <c r="F275" s="59"/>
      <c r="H275" s="59"/>
      <c r="J275" s="59"/>
      <c r="L275" s="59"/>
      <c r="N275" s="59"/>
      <c r="P275" s="59"/>
      <c r="Q275" s="61"/>
    </row>
    <row r="276">
      <c r="B276" s="57"/>
      <c r="C276" s="107"/>
      <c r="D276" s="57"/>
      <c r="F276" s="59"/>
      <c r="H276" s="59"/>
      <c r="J276" s="59"/>
      <c r="L276" s="59"/>
      <c r="N276" s="59"/>
      <c r="P276" s="59"/>
      <c r="Q276" s="61"/>
    </row>
    <row r="277">
      <c r="B277" s="57"/>
      <c r="C277" s="107"/>
      <c r="D277" s="57"/>
      <c r="F277" s="59"/>
      <c r="H277" s="59"/>
      <c r="J277" s="59"/>
      <c r="L277" s="59"/>
      <c r="N277" s="59"/>
      <c r="P277" s="59"/>
      <c r="Q277" s="61"/>
    </row>
    <row r="278">
      <c r="B278" s="57"/>
      <c r="C278" s="107"/>
      <c r="D278" s="57"/>
      <c r="F278" s="59"/>
      <c r="H278" s="59"/>
      <c r="J278" s="59"/>
      <c r="L278" s="59"/>
      <c r="N278" s="59"/>
      <c r="P278" s="59"/>
      <c r="Q278" s="61"/>
    </row>
    <row r="279">
      <c r="B279" s="57"/>
      <c r="C279" s="107"/>
      <c r="D279" s="57"/>
      <c r="F279" s="59"/>
      <c r="H279" s="59"/>
      <c r="J279" s="59"/>
      <c r="L279" s="59"/>
      <c r="N279" s="59"/>
      <c r="P279" s="59"/>
      <c r="Q279" s="61"/>
    </row>
    <row r="280">
      <c r="B280" s="57"/>
      <c r="C280" s="107"/>
      <c r="D280" s="57"/>
      <c r="F280" s="59"/>
      <c r="H280" s="59"/>
      <c r="J280" s="59"/>
      <c r="L280" s="59"/>
      <c r="N280" s="59"/>
      <c r="P280" s="59"/>
      <c r="Q280" s="61"/>
    </row>
    <row r="281">
      <c r="B281" s="57"/>
      <c r="C281" s="107"/>
      <c r="D281" s="57"/>
      <c r="F281" s="59"/>
      <c r="H281" s="59"/>
      <c r="J281" s="59"/>
      <c r="L281" s="59"/>
      <c r="N281" s="59"/>
      <c r="P281" s="59"/>
      <c r="Q281" s="61"/>
    </row>
    <row r="282">
      <c r="B282" s="57"/>
      <c r="C282" s="107"/>
      <c r="D282" s="57"/>
      <c r="F282" s="59"/>
      <c r="H282" s="59"/>
      <c r="J282" s="59"/>
      <c r="L282" s="59"/>
      <c r="N282" s="59"/>
      <c r="P282" s="59"/>
      <c r="Q282" s="61"/>
    </row>
    <row r="283">
      <c r="B283" s="57"/>
      <c r="C283" s="107"/>
      <c r="D283" s="57"/>
      <c r="F283" s="59"/>
      <c r="H283" s="59"/>
      <c r="J283" s="59"/>
      <c r="L283" s="59"/>
      <c r="N283" s="59"/>
      <c r="P283" s="59"/>
      <c r="Q283" s="61"/>
    </row>
    <row r="284">
      <c r="B284" s="57"/>
      <c r="C284" s="107"/>
      <c r="D284" s="57"/>
      <c r="F284" s="59"/>
      <c r="H284" s="59"/>
      <c r="J284" s="59"/>
      <c r="L284" s="59"/>
      <c r="N284" s="59"/>
      <c r="P284" s="59"/>
      <c r="Q284" s="61"/>
    </row>
    <row r="285">
      <c r="B285" s="57"/>
      <c r="C285" s="107"/>
      <c r="D285" s="57"/>
      <c r="F285" s="59"/>
      <c r="H285" s="59"/>
      <c r="J285" s="59"/>
      <c r="L285" s="59"/>
      <c r="N285" s="59"/>
      <c r="P285" s="59"/>
      <c r="Q285" s="61"/>
    </row>
    <row r="286">
      <c r="B286" s="57"/>
      <c r="C286" s="107"/>
      <c r="D286" s="57"/>
      <c r="F286" s="59"/>
      <c r="H286" s="59"/>
      <c r="J286" s="59"/>
      <c r="L286" s="59"/>
      <c r="N286" s="59"/>
      <c r="P286" s="59"/>
      <c r="Q286" s="61"/>
    </row>
    <row r="287">
      <c r="B287" s="57"/>
      <c r="C287" s="107"/>
      <c r="D287" s="57"/>
      <c r="F287" s="59"/>
      <c r="H287" s="59"/>
      <c r="J287" s="59"/>
      <c r="L287" s="59"/>
      <c r="N287" s="59"/>
      <c r="P287" s="59"/>
      <c r="Q287" s="61"/>
    </row>
    <row r="288">
      <c r="B288" s="57"/>
      <c r="C288" s="107"/>
      <c r="D288" s="57"/>
      <c r="F288" s="59"/>
      <c r="H288" s="59"/>
      <c r="J288" s="59"/>
      <c r="L288" s="59"/>
      <c r="N288" s="59"/>
      <c r="P288" s="59"/>
      <c r="Q288" s="61"/>
    </row>
    <row r="289">
      <c r="B289" s="57"/>
      <c r="C289" s="107"/>
      <c r="D289" s="57"/>
      <c r="F289" s="59"/>
      <c r="H289" s="59"/>
      <c r="J289" s="59"/>
      <c r="L289" s="59"/>
      <c r="N289" s="59"/>
      <c r="P289" s="59"/>
      <c r="Q289" s="61"/>
    </row>
    <row r="290">
      <c r="B290" s="57"/>
      <c r="C290" s="107"/>
      <c r="D290" s="57"/>
      <c r="F290" s="59"/>
      <c r="H290" s="59"/>
      <c r="J290" s="59"/>
      <c r="L290" s="59"/>
      <c r="N290" s="59"/>
      <c r="P290" s="59"/>
      <c r="Q290" s="61"/>
    </row>
    <row r="291">
      <c r="B291" s="57"/>
      <c r="C291" s="107"/>
      <c r="D291" s="57"/>
      <c r="F291" s="59"/>
      <c r="H291" s="59"/>
      <c r="J291" s="59"/>
      <c r="L291" s="59"/>
      <c r="N291" s="59"/>
      <c r="P291" s="59"/>
      <c r="Q291" s="61"/>
    </row>
    <row r="292">
      <c r="B292" s="57"/>
      <c r="C292" s="107"/>
      <c r="D292" s="57"/>
      <c r="F292" s="59"/>
      <c r="H292" s="59"/>
      <c r="J292" s="59"/>
      <c r="L292" s="59"/>
      <c r="N292" s="59"/>
      <c r="P292" s="59"/>
      <c r="Q292" s="61"/>
    </row>
    <row r="293">
      <c r="B293" s="57"/>
      <c r="C293" s="107"/>
      <c r="D293" s="57"/>
      <c r="F293" s="59"/>
      <c r="H293" s="59"/>
      <c r="J293" s="59"/>
      <c r="L293" s="59"/>
      <c r="N293" s="59"/>
      <c r="P293" s="59"/>
      <c r="Q293" s="61"/>
    </row>
    <row r="294">
      <c r="B294" s="57"/>
      <c r="C294" s="107"/>
      <c r="D294" s="57"/>
      <c r="F294" s="59"/>
      <c r="H294" s="59"/>
      <c r="J294" s="59"/>
      <c r="L294" s="59"/>
      <c r="N294" s="59"/>
      <c r="P294" s="59"/>
      <c r="Q294" s="61"/>
    </row>
    <row r="295">
      <c r="B295" s="57"/>
      <c r="C295" s="107"/>
      <c r="D295" s="57"/>
      <c r="F295" s="59"/>
      <c r="H295" s="59"/>
      <c r="J295" s="59"/>
      <c r="L295" s="59"/>
      <c r="N295" s="59"/>
      <c r="P295" s="59"/>
      <c r="Q295" s="61"/>
    </row>
    <row r="296">
      <c r="B296" s="57"/>
      <c r="C296" s="107"/>
      <c r="D296" s="57"/>
      <c r="F296" s="59"/>
      <c r="H296" s="59"/>
      <c r="J296" s="59"/>
      <c r="L296" s="59"/>
      <c r="N296" s="59"/>
      <c r="P296" s="59"/>
      <c r="Q296" s="61"/>
    </row>
    <row r="297">
      <c r="B297" s="57"/>
      <c r="C297" s="107"/>
      <c r="D297" s="57"/>
      <c r="F297" s="59"/>
      <c r="H297" s="59"/>
      <c r="J297" s="59"/>
      <c r="L297" s="59"/>
      <c r="N297" s="59"/>
      <c r="P297" s="59"/>
      <c r="Q297" s="61"/>
    </row>
    <row r="298">
      <c r="B298" s="57"/>
      <c r="C298" s="107"/>
      <c r="D298" s="57"/>
      <c r="F298" s="59"/>
      <c r="H298" s="59"/>
      <c r="J298" s="59"/>
      <c r="L298" s="59"/>
      <c r="N298" s="59"/>
      <c r="P298" s="59"/>
      <c r="Q298" s="61"/>
    </row>
    <row r="299">
      <c r="B299" s="57"/>
      <c r="C299" s="107"/>
      <c r="D299" s="57"/>
      <c r="F299" s="59"/>
      <c r="H299" s="59"/>
      <c r="J299" s="59"/>
      <c r="L299" s="59"/>
      <c r="N299" s="59"/>
      <c r="P299" s="59"/>
      <c r="Q299" s="61"/>
    </row>
    <row r="300">
      <c r="B300" s="57"/>
      <c r="C300" s="107"/>
      <c r="D300" s="57"/>
      <c r="F300" s="59"/>
      <c r="H300" s="59"/>
      <c r="J300" s="59"/>
      <c r="L300" s="59"/>
      <c r="N300" s="59"/>
      <c r="P300" s="59"/>
      <c r="Q300" s="61"/>
    </row>
    <row r="301">
      <c r="B301" s="57"/>
      <c r="C301" s="107"/>
      <c r="D301" s="57"/>
      <c r="F301" s="59"/>
      <c r="H301" s="59"/>
      <c r="J301" s="59"/>
      <c r="L301" s="59"/>
      <c r="N301" s="59"/>
      <c r="P301" s="59"/>
      <c r="Q301" s="61"/>
    </row>
    <row r="302">
      <c r="B302" s="57"/>
      <c r="C302" s="107"/>
      <c r="D302" s="57"/>
      <c r="F302" s="59"/>
      <c r="H302" s="59"/>
      <c r="J302" s="59"/>
      <c r="L302" s="59"/>
      <c r="N302" s="59"/>
      <c r="P302" s="59"/>
      <c r="Q302" s="61"/>
    </row>
    <row r="303">
      <c r="B303" s="57"/>
      <c r="C303" s="107"/>
      <c r="D303" s="57"/>
      <c r="F303" s="59"/>
      <c r="H303" s="59"/>
      <c r="J303" s="59"/>
      <c r="L303" s="59"/>
      <c r="N303" s="59"/>
      <c r="P303" s="59"/>
      <c r="Q303" s="61"/>
    </row>
    <row r="304">
      <c r="B304" s="57"/>
      <c r="C304" s="107"/>
      <c r="D304" s="57"/>
      <c r="F304" s="59"/>
      <c r="H304" s="59"/>
      <c r="J304" s="59"/>
      <c r="L304" s="59"/>
      <c r="N304" s="59"/>
      <c r="P304" s="59"/>
      <c r="Q304" s="61"/>
    </row>
    <row r="305">
      <c r="B305" s="57"/>
      <c r="C305" s="107"/>
      <c r="D305" s="57"/>
      <c r="F305" s="59"/>
      <c r="H305" s="59"/>
      <c r="J305" s="59"/>
      <c r="L305" s="59"/>
      <c r="N305" s="59"/>
      <c r="P305" s="59"/>
      <c r="Q305" s="61"/>
    </row>
    <row r="306">
      <c r="B306" s="57"/>
      <c r="C306" s="107"/>
      <c r="D306" s="57"/>
      <c r="F306" s="59"/>
      <c r="H306" s="59"/>
      <c r="J306" s="59"/>
      <c r="L306" s="59"/>
      <c r="N306" s="59"/>
      <c r="P306" s="59"/>
      <c r="Q306" s="61"/>
    </row>
    <row r="307">
      <c r="B307" s="57"/>
      <c r="C307" s="107"/>
      <c r="D307" s="57"/>
      <c r="F307" s="59"/>
      <c r="H307" s="59"/>
      <c r="J307" s="59"/>
      <c r="L307" s="59"/>
      <c r="N307" s="59"/>
      <c r="P307" s="59"/>
      <c r="Q307" s="61"/>
    </row>
    <row r="308">
      <c r="B308" s="57"/>
      <c r="C308" s="107"/>
      <c r="D308" s="57"/>
      <c r="F308" s="59"/>
      <c r="H308" s="59"/>
      <c r="J308" s="59"/>
      <c r="L308" s="59"/>
      <c r="N308" s="59"/>
      <c r="P308" s="59"/>
      <c r="Q308" s="61"/>
    </row>
    <row r="309">
      <c r="B309" s="57"/>
      <c r="C309" s="107"/>
      <c r="D309" s="57"/>
      <c r="F309" s="59"/>
      <c r="H309" s="59"/>
      <c r="J309" s="59"/>
      <c r="L309" s="59"/>
      <c r="N309" s="59"/>
      <c r="P309" s="59"/>
      <c r="Q309" s="61"/>
    </row>
    <row r="310">
      <c r="B310" s="57"/>
      <c r="C310" s="107"/>
      <c r="D310" s="57"/>
      <c r="F310" s="59"/>
      <c r="H310" s="59"/>
      <c r="J310" s="59"/>
      <c r="L310" s="59"/>
      <c r="N310" s="59"/>
      <c r="P310" s="59"/>
      <c r="Q310" s="61"/>
    </row>
    <row r="311">
      <c r="B311" s="57"/>
      <c r="C311" s="107"/>
      <c r="D311" s="57"/>
      <c r="F311" s="59"/>
      <c r="H311" s="59"/>
      <c r="J311" s="59"/>
      <c r="L311" s="59"/>
      <c r="N311" s="59"/>
      <c r="P311" s="59"/>
      <c r="Q311" s="61"/>
    </row>
    <row r="312">
      <c r="B312" s="57"/>
      <c r="C312" s="107"/>
      <c r="D312" s="57"/>
      <c r="F312" s="59"/>
      <c r="H312" s="59"/>
      <c r="J312" s="59"/>
      <c r="L312" s="59"/>
      <c r="N312" s="59"/>
      <c r="P312" s="59"/>
      <c r="Q312" s="61"/>
    </row>
    <row r="313">
      <c r="B313" s="57"/>
      <c r="C313" s="107"/>
      <c r="D313" s="57"/>
      <c r="F313" s="59"/>
      <c r="H313" s="59"/>
      <c r="J313" s="59"/>
      <c r="L313" s="59"/>
      <c r="N313" s="59"/>
      <c r="P313" s="59"/>
      <c r="Q313" s="61"/>
    </row>
    <row r="314">
      <c r="B314" s="57"/>
      <c r="C314" s="107"/>
      <c r="D314" s="57"/>
      <c r="F314" s="59"/>
      <c r="H314" s="59"/>
      <c r="J314" s="59"/>
      <c r="L314" s="59"/>
      <c r="N314" s="59"/>
      <c r="P314" s="59"/>
      <c r="Q314" s="61"/>
    </row>
    <row r="315">
      <c r="B315" s="57"/>
      <c r="C315" s="107"/>
      <c r="D315" s="57"/>
      <c r="F315" s="59"/>
      <c r="H315" s="59"/>
      <c r="J315" s="59"/>
      <c r="L315" s="59"/>
      <c r="N315" s="59"/>
      <c r="P315" s="59"/>
      <c r="Q315" s="61"/>
    </row>
    <row r="316">
      <c r="B316" s="57"/>
      <c r="C316" s="107"/>
      <c r="D316" s="57"/>
      <c r="F316" s="59"/>
      <c r="H316" s="59"/>
      <c r="J316" s="59"/>
      <c r="L316" s="59"/>
      <c r="N316" s="59"/>
      <c r="P316" s="59"/>
      <c r="Q316" s="61"/>
    </row>
    <row r="317">
      <c r="B317" s="57"/>
      <c r="C317" s="107"/>
      <c r="D317" s="57"/>
      <c r="F317" s="59"/>
      <c r="H317" s="59"/>
      <c r="J317" s="59"/>
      <c r="L317" s="59"/>
      <c r="N317" s="59"/>
      <c r="P317" s="59"/>
      <c r="Q317" s="61"/>
    </row>
    <row r="318">
      <c r="B318" s="57"/>
      <c r="C318" s="107"/>
      <c r="D318" s="57"/>
      <c r="F318" s="59"/>
      <c r="H318" s="59"/>
      <c r="J318" s="59"/>
      <c r="L318" s="59"/>
      <c r="N318" s="59"/>
      <c r="P318" s="59"/>
      <c r="Q318" s="61"/>
    </row>
    <row r="319">
      <c r="B319" s="57"/>
      <c r="C319" s="107"/>
      <c r="D319" s="57"/>
      <c r="F319" s="59"/>
      <c r="H319" s="59"/>
      <c r="J319" s="59"/>
      <c r="L319" s="59"/>
      <c r="N319" s="59"/>
      <c r="P319" s="59"/>
      <c r="Q319" s="61"/>
    </row>
    <row r="320">
      <c r="B320" s="57"/>
      <c r="C320" s="107"/>
      <c r="D320" s="57"/>
      <c r="F320" s="59"/>
      <c r="H320" s="59"/>
      <c r="J320" s="59"/>
      <c r="L320" s="59"/>
      <c r="N320" s="59"/>
      <c r="P320" s="59"/>
      <c r="Q320" s="61"/>
    </row>
    <row r="321">
      <c r="B321" s="57"/>
      <c r="C321" s="107"/>
      <c r="D321" s="57"/>
      <c r="F321" s="59"/>
      <c r="H321" s="59"/>
      <c r="J321" s="59"/>
      <c r="L321" s="59"/>
      <c r="N321" s="59"/>
      <c r="P321" s="59"/>
      <c r="Q321" s="61"/>
    </row>
    <row r="322">
      <c r="B322" s="57"/>
      <c r="C322" s="107"/>
      <c r="D322" s="57"/>
      <c r="F322" s="59"/>
      <c r="H322" s="59"/>
      <c r="J322" s="59"/>
      <c r="L322" s="59"/>
      <c r="N322" s="59"/>
      <c r="P322" s="59"/>
      <c r="Q322" s="61"/>
    </row>
    <row r="323">
      <c r="B323" s="57"/>
      <c r="C323" s="107"/>
      <c r="D323" s="57"/>
      <c r="F323" s="59"/>
      <c r="H323" s="59"/>
      <c r="J323" s="59"/>
      <c r="L323" s="59"/>
      <c r="N323" s="59"/>
      <c r="P323" s="59"/>
      <c r="Q323" s="61"/>
    </row>
    <row r="324">
      <c r="B324" s="57"/>
      <c r="C324" s="107"/>
      <c r="D324" s="57"/>
      <c r="F324" s="59"/>
      <c r="H324" s="59"/>
      <c r="J324" s="59"/>
      <c r="L324" s="59"/>
      <c r="N324" s="59"/>
      <c r="P324" s="59"/>
      <c r="Q324" s="61"/>
    </row>
    <row r="325">
      <c r="B325" s="57"/>
      <c r="C325" s="107"/>
      <c r="D325" s="57"/>
      <c r="F325" s="59"/>
      <c r="H325" s="59"/>
      <c r="J325" s="59"/>
      <c r="L325" s="59"/>
      <c r="N325" s="59"/>
      <c r="P325" s="59"/>
      <c r="Q325" s="61"/>
    </row>
    <row r="326">
      <c r="B326" s="57"/>
      <c r="C326" s="107"/>
      <c r="D326" s="57"/>
      <c r="F326" s="59"/>
      <c r="H326" s="59"/>
      <c r="J326" s="59"/>
      <c r="L326" s="59"/>
      <c r="N326" s="59"/>
      <c r="P326" s="59"/>
      <c r="Q326" s="61"/>
    </row>
    <row r="327">
      <c r="B327" s="57"/>
      <c r="C327" s="107"/>
      <c r="D327" s="57"/>
      <c r="F327" s="59"/>
      <c r="H327" s="59"/>
      <c r="J327" s="59"/>
      <c r="L327" s="59"/>
      <c r="N327" s="59"/>
      <c r="P327" s="59"/>
      <c r="Q327" s="61"/>
    </row>
    <row r="328">
      <c r="B328" s="57"/>
      <c r="C328" s="107"/>
      <c r="D328" s="57"/>
      <c r="F328" s="59"/>
      <c r="H328" s="59"/>
      <c r="J328" s="59"/>
      <c r="L328" s="59"/>
      <c r="N328" s="59"/>
      <c r="P328" s="59"/>
      <c r="Q328" s="61"/>
    </row>
    <row r="329">
      <c r="B329" s="57"/>
      <c r="C329" s="107"/>
      <c r="D329" s="57"/>
      <c r="F329" s="59"/>
      <c r="H329" s="59"/>
      <c r="J329" s="59"/>
      <c r="L329" s="59"/>
      <c r="N329" s="59"/>
      <c r="P329" s="59"/>
      <c r="Q329" s="61"/>
    </row>
    <row r="330">
      <c r="B330" s="57"/>
      <c r="C330" s="107"/>
      <c r="D330" s="57"/>
      <c r="F330" s="59"/>
      <c r="H330" s="59"/>
      <c r="J330" s="59"/>
      <c r="L330" s="59"/>
      <c r="N330" s="59"/>
      <c r="P330" s="59"/>
      <c r="Q330" s="61"/>
    </row>
    <row r="331">
      <c r="B331" s="57"/>
      <c r="C331" s="107"/>
      <c r="D331" s="57"/>
      <c r="F331" s="59"/>
      <c r="H331" s="59"/>
      <c r="J331" s="59"/>
      <c r="L331" s="59"/>
      <c r="N331" s="59"/>
      <c r="P331" s="59"/>
      <c r="Q331" s="61"/>
    </row>
    <row r="332">
      <c r="B332" s="57"/>
      <c r="C332" s="107"/>
      <c r="D332" s="57"/>
      <c r="F332" s="59"/>
      <c r="H332" s="59"/>
      <c r="J332" s="59"/>
      <c r="L332" s="59"/>
      <c r="N332" s="59"/>
      <c r="P332" s="59"/>
      <c r="Q332" s="61"/>
    </row>
    <row r="333">
      <c r="B333" s="57"/>
      <c r="C333" s="107"/>
      <c r="D333" s="57"/>
      <c r="F333" s="59"/>
      <c r="H333" s="59"/>
      <c r="J333" s="59"/>
      <c r="L333" s="59"/>
      <c r="N333" s="59"/>
      <c r="P333" s="59"/>
      <c r="Q333" s="61"/>
    </row>
    <row r="334">
      <c r="B334" s="57"/>
      <c r="C334" s="107"/>
      <c r="D334" s="57"/>
      <c r="F334" s="59"/>
      <c r="H334" s="59"/>
      <c r="J334" s="59"/>
      <c r="L334" s="59"/>
      <c r="N334" s="59"/>
      <c r="P334" s="59"/>
      <c r="Q334" s="61"/>
    </row>
    <row r="335">
      <c r="B335" s="57"/>
      <c r="C335" s="107"/>
      <c r="D335" s="57"/>
      <c r="F335" s="59"/>
      <c r="H335" s="59"/>
      <c r="J335" s="59"/>
      <c r="L335" s="59"/>
      <c r="N335" s="59"/>
      <c r="P335" s="59"/>
      <c r="Q335" s="61"/>
    </row>
    <row r="336">
      <c r="B336" s="57"/>
      <c r="C336" s="107"/>
      <c r="D336" s="57"/>
      <c r="F336" s="59"/>
      <c r="H336" s="59"/>
      <c r="J336" s="59"/>
      <c r="L336" s="59"/>
      <c r="N336" s="59"/>
      <c r="P336" s="59"/>
      <c r="Q336" s="61"/>
    </row>
    <row r="337">
      <c r="B337" s="57"/>
      <c r="C337" s="107"/>
      <c r="D337" s="57"/>
      <c r="F337" s="59"/>
      <c r="H337" s="59"/>
      <c r="J337" s="59"/>
      <c r="L337" s="59"/>
      <c r="N337" s="59"/>
      <c r="P337" s="59"/>
      <c r="Q337" s="61"/>
    </row>
    <row r="338">
      <c r="B338" s="57"/>
      <c r="C338" s="107"/>
      <c r="D338" s="57"/>
      <c r="F338" s="59"/>
      <c r="H338" s="59"/>
      <c r="J338" s="59"/>
      <c r="L338" s="59"/>
      <c r="N338" s="59"/>
      <c r="P338" s="59"/>
      <c r="Q338" s="61"/>
    </row>
    <row r="339">
      <c r="B339" s="57"/>
      <c r="C339" s="107"/>
      <c r="D339" s="57"/>
      <c r="F339" s="59"/>
      <c r="H339" s="59"/>
      <c r="J339" s="59"/>
      <c r="L339" s="59"/>
      <c r="N339" s="59"/>
      <c r="P339" s="59"/>
      <c r="Q339" s="61"/>
    </row>
    <row r="340">
      <c r="B340" s="57"/>
      <c r="C340" s="107"/>
      <c r="D340" s="57"/>
      <c r="F340" s="59"/>
      <c r="H340" s="59"/>
      <c r="J340" s="59"/>
      <c r="L340" s="59"/>
      <c r="N340" s="59"/>
      <c r="P340" s="59"/>
      <c r="Q340" s="61"/>
    </row>
    <row r="341">
      <c r="B341" s="57"/>
      <c r="C341" s="107"/>
      <c r="D341" s="57"/>
      <c r="F341" s="59"/>
      <c r="H341" s="59"/>
      <c r="J341" s="59"/>
      <c r="L341" s="59"/>
      <c r="N341" s="59"/>
      <c r="P341" s="59"/>
      <c r="Q341" s="61"/>
    </row>
    <row r="342">
      <c r="B342" s="57"/>
      <c r="C342" s="107"/>
      <c r="D342" s="57"/>
      <c r="F342" s="59"/>
      <c r="H342" s="59"/>
      <c r="J342" s="59"/>
      <c r="L342" s="59"/>
      <c r="N342" s="59"/>
      <c r="P342" s="59"/>
      <c r="Q342" s="61"/>
    </row>
    <row r="343">
      <c r="B343" s="57"/>
      <c r="C343" s="107"/>
      <c r="D343" s="57"/>
      <c r="F343" s="59"/>
      <c r="H343" s="59"/>
      <c r="J343" s="59"/>
      <c r="L343" s="59"/>
      <c r="N343" s="59"/>
      <c r="P343" s="59"/>
      <c r="Q343" s="61"/>
    </row>
    <row r="344">
      <c r="B344" s="57"/>
      <c r="C344" s="107"/>
      <c r="D344" s="57"/>
      <c r="F344" s="59"/>
      <c r="H344" s="59"/>
      <c r="J344" s="59"/>
      <c r="L344" s="59"/>
      <c r="N344" s="59"/>
      <c r="P344" s="59"/>
      <c r="Q344" s="61"/>
    </row>
    <row r="345">
      <c r="B345" s="57"/>
      <c r="C345" s="107"/>
      <c r="D345" s="57"/>
      <c r="F345" s="59"/>
      <c r="H345" s="59"/>
      <c r="J345" s="59"/>
      <c r="L345" s="59"/>
      <c r="N345" s="59"/>
      <c r="P345" s="59"/>
      <c r="Q345" s="61"/>
    </row>
    <row r="346">
      <c r="B346" s="57"/>
      <c r="C346" s="107"/>
      <c r="D346" s="57"/>
      <c r="F346" s="59"/>
      <c r="H346" s="59"/>
      <c r="J346" s="59"/>
      <c r="L346" s="59"/>
      <c r="N346" s="59"/>
      <c r="P346" s="59"/>
      <c r="Q346" s="61"/>
    </row>
    <row r="347">
      <c r="B347" s="57"/>
      <c r="C347" s="107"/>
      <c r="D347" s="57"/>
      <c r="F347" s="59"/>
      <c r="H347" s="59"/>
      <c r="J347" s="59"/>
      <c r="L347" s="59"/>
      <c r="N347" s="59"/>
      <c r="P347" s="59"/>
      <c r="Q347" s="61"/>
    </row>
    <row r="348">
      <c r="B348" s="57"/>
      <c r="C348" s="107"/>
      <c r="D348" s="57"/>
      <c r="F348" s="59"/>
      <c r="H348" s="59"/>
      <c r="J348" s="59"/>
      <c r="L348" s="59"/>
      <c r="N348" s="59"/>
      <c r="P348" s="59"/>
      <c r="Q348" s="61"/>
    </row>
    <row r="349">
      <c r="B349" s="57"/>
      <c r="C349" s="107"/>
      <c r="D349" s="57"/>
      <c r="F349" s="59"/>
      <c r="H349" s="59"/>
      <c r="J349" s="59"/>
      <c r="L349" s="59"/>
      <c r="N349" s="59"/>
      <c r="P349" s="59"/>
      <c r="Q349" s="61"/>
    </row>
    <row r="350">
      <c r="B350" s="57"/>
      <c r="C350" s="107"/>
      <c r="D350" s="57"/>
      <c r="F350" s="59"/>
      <c r="H350" s="59"/>
      <c r="J350" s="59"/>
      <c r="L350" s="59"/>
      <c r="N350" s="59"/>
      <c r="P350" s="59"/>
      <c r="Q350" s="61"/>
    </row>
    <row r="351">
      <c r="B351" s="57"/>
      <c r="C351" s="107"/>
      <c r="D351" s="57"/>
      <c r="F351" s="59"/>
      <c r="H351" s="59"/>
      <c r="J351" s="59"/>
      <c r="L351" s="59"/>
      <c r="N351" s="59"/>
      <c r="P351" s="59"/>
      <c r="Q351" s="61"/>
    </row>
    <row r="352">
      <c r="B352" s="57"/>
      <c r="C352" s="107"/>
      <c r="D352" s="57"/>
      <c r="F352" s="59"/>
      <c r="H352" s="59"/>
      <c r="J352" s="59"/>
      <c r="L352" s="59"/>
      <c r="N352" s="59"/>
      <c r="P352" s="59"/>
      <c r="Q352" s="61"/>
    </row>
    <row r="353">
      <c r="B353" s="57"/>
      <c r="C353" s="107"/>
      <c r="D353" s="57"/>
      <c r="F353" s="59"/>
      <c r="H353" s="59"/>
      <c r="J353" s="59"/>
      <c r="L353" s="59"/>
      <c r="N353" s="59"/>
      <c r="P353" s="59"/>
      <c r="Q353" s="61"/>
    </row>
    <row r="354">
      <c r="B354" s="57"/>
      <c r="C354" s="107"/>
      <c r="D354" s="57"/>
      <c r="F354" s="59"/>
      <c r="H354" s="59"/>
      <c r="J354" s="59"/>
      <c r="L354" s="59"/>
      <c r="N354" s="59"/>
      <c r="P354" s="59"/>
      <c r="Q354" s="61"/>
    </row>
    <row r="355">
      <c r="B355" s="57"/>
      <c r="C355" s="107"/>
      <c r="D355" s="57"/>
      <c r="F355" s="59"/>
      <c r="H355" s="59"/>
      <c r="J355" s="59"/>
      <c r="L355" s="59"/>
      <c r="N355" s="59"/>
      <c r="P355" s="59"/>
      <c r="Q355" s="61"/>
    </row>
    <row r="356">
      <c r="B356" s="57"/>
      <c r="C356" s="107"/>
      <c r="D356" s="57"/>
      <c r="F356" s="59"/>
      <c r="H356" s="59"/>
      <c r="J356" s="59"/>
      <c r="L356" s="59"/>
      <c r="N356" s="59"/>
      <c r="P356" s="59"/>
      <c r="Q356" s="61"/>
    </row>
    <row r="357">
      <c r="B357" s="57"/>
      <c r="C357" s="107"/>
      <c r="D357" s="57"/>
      <c r="F357" s="59"/>
      <c r="H357" s="59"/>
      <c r="J357" s="59"/>
      <c r="L357" s="59"/>
      <c r="N357" s="59"/>
      <c r="P357" s="59"/>
      <c r="Q357" s="61"/>
    </row>
    <row r="358">
      <c r="B358" s="57"/>
      <c r="C358" s="107"/>
      <c r="D358" s="57"/>
      <c r="F358" s="59"/>
      <c r="H358" s="59"/>
      <c r="J358" s="59"/>
      <c r="L358" s="59"/>
      <c r="N358" s="59"/>
      <c r="P358" s="59"/>
      <c r="Q358" s="61"/>
    </row>
    <row r="359">
      <c r="B359" s="57"/>
      <c r="C359" s="107"/>
      <c r="D359" s="57"/>
      <c r="F359" s="59"/>
      <c r="H359" s="59"/>
      <c r="J359" s="59"/>
      <c r="L359" s="59"/>
      <c r="N359" s="59"/>
      <c r="P359" s="59"/>
      <c r="Q359" s="61"/>
    </row>
    <row r="360">
      <c r="B360" s="57"/>
      <c r="C360" s="107"/>
      <c r="D360" s="57"/>
      <c r="F360" s="59"/>
      <c r="H360" s="59"/>
      <c r="J360" s="59"/>
      <c r="L360" s="59"/>
      <c r="N360" s="59"/>
      <c r="P360" s="59"/>
      <c r="Q360" s="61"/>
    </row>
    <row r="361">
      <c r="B361" s="57"/>
      <c r="C361" s="107"/>
      <c r="D361" s="57"/>
      <c r="F361" s="59"/>
      <c r="H361" s="59"/>
      <c r="J361" s="59"/>
      <c r="L361" s="59"/>
      <c r="N361" s="59"/>
      <c r="P361" s="59"/>
      <c r="Q361" s="61"/>
    </row>
    <row r="362">
      <c r="B362" s="57"/>
      <c r="C362" s="107"/>
      <c r="D362" s="57"/>
      <c r="F362" s="59"/>
      <c r="H362" s="59"/>
      <c r="J362" s="59"/>
      <c r="L362" s="59"/>
      <c r="N362" s="59"/>
      <c r="P362" s="59"/>
      <c r="Q362" s="61"/>
    </row>
    <row r="363">
      <c r="B363" s="57"/>
      <c r="C363" s="107"/>
      <c r="D363" s="57"/>
      <c r="F363" s="59"/>
      <c r="H363" s="59"/>
      <c r="J363" s="59"/>
      <c r="L363" s="59"/>
      <c r="N363" s="59"/>
      <c r="P363" s="59"/>
      <c r="Q363" s="61"/>
    </row>
    <row r="364">
      <c r="B364" s="57"/>
      <c r="C364" s="107"/>
      <c r="D364" s="57"/>
      <c r="F364" s="59"/>
      <c r="H364" s="59"/>
      <c r="J364" s="59"/>
      <c r="L364" s="59"/>
      <c r="N364" s="59"/>
      <c r="P364" s="59"/>
      <c r="Q364" s="61"/>
    </row>
    <row r="365">
      <c r="B365" s="57"/>
      <c r="C365" s="107"/>
      <c r="D365" s="57"/>
      <c r="F365" s="59"/>
      <c r="H365" s="59"/>
      <c r="J365" s="59"/>
      <c r="L365" s="59"/>
      <c r="N365" s="59"/>
      <c r="P365" s="59"/>
      <c r="Q365" s="61"/>
    </row>
    <row r="366">
      <c r="B366" s="57"/>
      <c r="C366" s="107"/>
      <c r="D366" s="57"/>
      <c r="F366" s="59"/>
      <c r="H366" s="59"/>
      <c r="J366" s="59"/>
      <c r="L366" s="59"/>
      <c r="N366" s="59"/>
      <c r="P366" s="59"/>
      <c r="Q366" s="61"/>
    </row>
    <row r="367">
      <c r="B367" s="57"/>
      <c r="C367" s="107"/>
      <c r="D367" s="57"/>
      <c r="F367" s="59"/>
      <c r="H367" s="59"/>
      <c r="J367" s="59"/>
      <c r="L367" s="59"/>
      <c r="N367" s="59"/>
      <c r="P367" s="59"/>
      <c r="Q367" s="61"/>
    </row>
    <row r="368">
      <c r="B368" s="57"/>
      <c r="C368" s="107"/>
      <c r="D368" s="57"/>
      <c r="F368" s="59"/>
      <c r="H368" s="59"/>
      <c r="J368" s="59"/>
      <c r="L368" s="59"/>
      <c r="N368" s="59"/>
      <c r="P368" s="59"/>
      <c r="Q368" s="61"/>
    </row>
    <row r="369">
      <c r="B369" s="57"/>
      <c r="C369" s="107"/>
      <c r="D369" s="57"/>
      <c r="F369" s="59"/>
      <c r="H369" s="59"/>
      <c r="J369" s="59"/>
      <c r="L369" s="59"/>
      <c r="N369" s="59"/>
      <c r="P369" s="59"/>
      <c r="Q369" s="61"/>
    </row>
    <row r="370">
      <c r="B370" s="57"/>
      <c r="C370" s="107"/>
      <c r="D370" s="57"/>
      <c r="F370" s="59"/>
      <c r="H370" s="59"/>
      <c r="J370" s="59"/>
      <c r="L370" s="59"/>
      <c r="N370" s="59"/>
      <c r="P370" s="59"/>
      <c r="Q370" s="61"/>
    </row>
    <row r="371">
      <c r="B371" s="57"/>
      <c r="C371" s="107"/>
      <c r="D371" s="57"/>
      <c r="F371" s="59"/>
      <c r="H371" s="59"/>
      <c r="J371" s="59"/>
      <c r="L371" s="59"/>
      <c r="N371" s="59"/>
      <c r="P371" s="59"/>
      <c r="Q371" s="61"/>
    </row>
    <row r="372">
      <c r="B372" s="57"/>
      <c r="C372" s="107"/>
      <c r="D372" s="57"/>
      <c r="F372" s="59"/>
      <c r="H372" s="59"/>
      <c r="J372" s="59"/>
      <c r="L372" s="59"/>
      <c r="N372" s="59"/>
      <c r="P372" s="59"/>
      <c r="Q372" s="61"/>
    </row>
    <row r="373">
      <c r="B373" s="57"/>
      <c r="C373" s="107"/>
      <c r="D373" s="57"/>
      <c r="F373" s="59"/>
      <c r="H373" s="59"/>
      <c r="J373" s="59"/>
      <c r="L373" s="59"/>
      <c r="N373" s="59"/>
      <c r="P373" s="59"/>
      <c r="Q373" s="61"/>
    </row>
    <row r="374">
      <c r="B374" s="57"/>
      <c r="C374" s="107"/>
      <c r="D374" s="57"/>
      <c r="F374" s="59"/>
      <c r="H374" s="59"/>
      <c r="J374" s="59"/>
      <c r="L374" s="59"/>
      <c r="N374" s="59"/>
      <c r="P374" s="59"/>
      <c r="Q374" s="61"/>
    </row>
    <row r="375">
      <c r="B375" s="57"/>
      <c r="C375" s="107"/>
      <c r="D375" s="57"/>
      <c r="F375" s="59"/>
      <c r="H375" s="59"/>
      <c r="J375" s="59"/>
      <c r="L375" s="59"/>
      <c r="N375" s="59"/>
      <c r="P375" s="59"/>
      <c r="Q375" s="61"/>
    </row>
    <row r="376">
      <c r="B376" s="57"/>
      <c r="C376" s="107"/>
      <c r="D376" s="57"/>
      <c r="F376" s="59"/>
      <c r="H376" s="59"/>
      <c r="J376" s="59"/>
      <c r="L376" s="59"/>
      <c r="N376" s="59"/>
      <c r="P376" s="59"/>
      <c r="Q376" s="61"/>
    </row>
    <row r="377">
      <c r="B377" s="57"/>
      <c r="C377" s="107"/>
      <c r="D377" s="57"/>
      <c r="F377" s="59"/>
      <c r="H377" s="59"/>
      <c r="J377" s="59"/>
      <c r="L377" s="59"/>
      <c r="N377" s="59"/>
      <c r="P377" s="59"/>
      <c r="Q377" s="61"/>
    </row>
    <row r="378">
      <c r="B378" s="57"/>
      <c r="C378" s="107"/>
      <c r="D378" s="57"/>
      <c r="F378" s="59"/>
      <c r="H378" s="59"/>
      <c r="J378" s="59"/>
      <c r="L378" s="59"/>
      <c r="N378" s="59"/>
      <c r="P378" s="59"/>
      <c r="Q378" s="61"/>
    </row>
    <row r="379">
      <c r="B379" s="57"/>
      <c r="C379" s="107"/>
      <c r="D379" s="57"/>
      <c r="F379" s="59"/>
      <c r="H379" s="59"/>
      <c r="J379" s="59"/>
      <c r="L379" s="59"/>
      <c r="N379" s="59"/>
      <c r="P379" s="59"/>
      <c r="Q379" s="61"/>
    </row>
    <row r="380">
      <c r="B380" s="57"/>
      <c r="C380" s="107"/>
      <c r="D380" s="57"/>
      <c r="F380" s="59"/>
      <c r="H380" s="59"/>
      <c r="J380" s="59"/>
      <c r="L380" s="59"/>
      <c r="N380" s="59"/>
      <c r="P380" s="59"/>
      <c r="Q380" s="61"/>
    </row>
    <row r="381">
      <c r="B381" s="57"/>
      <c r="C381" s="107"/>
      <c r="D381" s="57"/>
      <c r="F381" s="59"/>
      <c r="H381" s="59"/>
      <c r="J381" s="59"/>
      <c r="L381" s="59"/>
      <c r="N381" s="59"/>
      <c r="P381" s="59"/>
      <c r="Q381" s="61"/>
    </row>
    <row r="382">
      <c r="B382" s="57"/>
      <c r="C382" s="107"/>
      <c r="D382" s="57"/>
      <c r="F382" s="59"/>
      <c r="H382" s="59"/>
      <c r="J382" s="59"/>
      <c r="L382" s="59"/>
      <c r="N382" s="59"/>
      <c r="P382" s="59"/>
      <c r="Q382" s="61"/>
    </row>
    <row r="383">
      <c r="B383" s="57"/>
      <c r="C383" s="107"/>
      <c r="D383" s="57"/>
      <c r="F383" s="59"/>
      <c r="H383" s="59"/>
      <c r="J383" s="59"/>
      <c r="L383" s="59"/>
      <c r="N383" s="59"/>
      <c r="P383" s="59"/>
      <c r="Q383" s="61"/>
    </row>
    <row r="384">
      <c r="B384" s="57"/>
      <c r="C384" s="107"/>
      <c r="D384" s="57"/>
      <c r="F384" s="59"/>
      <c r="H384" s="59"/>
      <c r="J384" s="59"/>
      <c r="L384" s="59"/>
      <c r="N384" s="59"/>
      <c r="P384" s="59"/>
      <c r="Q384" s="61"/>
    </row>
    <row r="385">
      <c r="B385" s="57"/>
      <c r="C385" s="107"/>
      <c r="D385" s="57"/>
      <c r="F385" s="59"/>
      <c r="H385" s="59"/>
      <c r="J385" s="59"/>
      <c r="L385" s="59"/>
      <c r="N385" s="59"/>
      <c r="P385" s="59"/>
      <c r="Q385" s="61"/>
    </row>
    <row r="386">
      <c r="B386" s="57"/>
      <c r="C386" s="107"/>
      <c r="D386" s="57"/>
      <c r="F386" s="59"/>
      <c r="H386" s="59"/>
      <c r="J386" s="59"/>
      <c r="L386" s="59"/>
      <c r="N386" s="59"/>
      <c r="P386" s="59"/>
      <c r="Q386" s="61"/>
    </row>
    <row r="387">
      <c r="B387" s="57"/>
      <c r="C387" s="107"/>
      <c r="D387" s="57"/>
      <c r="F387" s="59"/>
      <c r="H387" s="59"/>
      <c r="J387" s="59"/>
      <c r="L387" s="59"/>
      <c r="N387" s="59"/>
      <c r="P387" s="59"/>
      <c r="Q387" s="61"/>
    </row>
    <row r="388">
      <c r="B388" s="57"/>
      <c r="C388" s="107"/>
      <c r="D388" s="57"/>
      <c r="F388" s="59"/>
      <c r="H388" s="59"/>
      <c r="J388" s="59"/>
      <c r="L388" s="59"/>
      <c r="N388" s="59"/>
      <c r="P388" s="59"/>
      <c r="Q388" s="61"/>
    </row>
    <row r="389">
      <c r="B389" s="57"/>
      <c r="C389" s="107"/>
      <c r="D389" s="57"/>
      <c r="F389" s="59"/>
      <c r="H389" s="59"/>
      <c r="J389" s="59"/>
      <c r="L389" s="59"/>
      <c r="N389" s="59"/>
      <c r="P389" s="59"/>
      <c r="Q389" s="61"/>
    </row>
    <row r="390">
      <c r="B390" s="57"/>
      <c r="C390" s="107"/>
      <c r="D390" s="57"/>
      <c r="F390" s="59"/>
      <c r="H390" s="59"/>
      <c r="J390" s="59"/>
      <c r="L390" s="59"/>
      <c r="N390" s="59"/>
      <c r="P390" s="59"/>
      <c r="Q390" s="61"/>
    </row>
    <row r="391">
      <c r="B391" s="57"/>
      <c r="C391" s="107"/>
      <c r="D391" s="57"/>
      <c r="F391" s="59"/>
      <c r="H391" s="59"/>
      <c r="J391" s="59"/>
      <c r="L391" s="59"/>
      <c r="N391" s="59"/>
      <c r="P391" s="59"/>
      <c r="Q391" s="61"/>
    </row>
    <row r="392">
      <c r="B392" s="57"/>
      <c r="C392" s="107"/>
      <c r="D392" s="57"/>
      <c r="F392" s="59"/>
      <c r="H392" s="59"/>
      <c r="J392" s="59"/>
      <c r="L392" s="59"/>
      <c r="N392" s="59"/>
      <c r="P392" s="59"/>
      <c r="Q392" s="61"/>
    </row>
    <row r="393">
      <c r="B393" s="57"/>
      <c r="C393" s="107"/>
      <c r="D393" s="57"/>
      <c r="F393" s="59"/>
      <c r="H393" s="59"/>
      <c r="J393" s="59"/>
      <c r="L393" s="59"/>
      <c r="N393" s="59"/>
      <c r="P393" s="59"/>
      <c r="Q393" s="61"/>
    </row>
    <row r="394">
      <c r="B394" s="57"/>
      <c r="C394" s="107"/>
      <c r="D394" s="57"/>
      <c r="F394" s="59"/>
      <c r="H394" s="59"/>
      <c r="J394" s="59"/>
      <c r="L394" s="59"/>
      <c r="N394" s="59"/>
      <c r="P394" s="59"/>
      <c r="Q394" s="61"/>
    </row>
    <row r="395">
      <c r="B395" s="57"/>
      <c r="C395" s="107"/>
      <c r="D395" s="57"/>
      <c r="F395" s="59"/>
      <c r="H395" s="59"/>
      <c r="J395" s="59"/>
      <c r="L395" s="59"/>
      <c r="N395" s="59"/>
      <c r="P395" s="59"/>
      <c r="Q395" s="61"/>
    </row>
    <row r="396">
      <c r="B396" s="57"/>
      <c r="C396" s="107"/>
      <c r="D396" s="57"/>
      <c r="F396" s="59"/>
      <c r="H396" s="59"/>
      <c r="J396" s="59"/>
      <c r="L396" s="59"/>
      <c r="N396" s="59"/>
      <c r="P396" s="59"/>
      <c r="Q396" s="61"/>
    </row>
    <row r="397">
      <c r="B397" s="57"/>
      <c r="C397" s="107"/>
      <c r="D397" s="57"/>
      <c r="F397" s="59"/>
      <c r="H397" s="59"/>
      <c r="J397" s="59"/>
      <c r="L397" s="59"/>
      <c r="N397" s="59"/>
      <c r="P397" s="59"/>
      <c r="Q397" s="61"/>
    </row>
    <row r="398">
      <c r="B398" s="57"/>
      <c r="C398" s="107"/>
      <c r="D398" s="57"/>
      <c r="F398" s="59"/>
      <c r="H398" s="59"/>
      <c r="J398" s="59"/>
      <c r="L398" s="59"/>
      <c r="N398" s="59"/>
      <c r="P398" s="59"/>
      <c r="Q398" s="61"/>
    </row>
    <row r="399">
      <c r="B399" s="57"/>
      <c r="C399" s="107"/>
      <c r="D399" s="57"/>
      <c r="F399" s="59"/>
      <c r="H399" s="59"/>
      <c r="J399" s="59"/>
      <c r="L399" s="59"/>
      <c r="N399" s="59"/>
      <c r="P399" s="59"/>
      <c r="Q399" s="61"/>
    </row>
    <row r="400">
      <c r="B400" s="57"/>
      <c r="C400" s="107"/>
      <c r="D400" s="57"/>
      <c r="F400" s="59"/>
      <c r="H400" s="59"/>
      <c r="J400" s="59"/>
      <c r="L400" s="59"/>
      <c r="N400" s="59"/>
      <c r="P400" s="59"/>
      <c r="Q400" s="61"/>
    </row>
    <row r="401">
      <c r="B401" s="57"/>
      <c r="C401" s="107"/>
      <c r="D401" s="57"/>
      <c r="F401" s="59"/>
      <c r="H401" s="59"/>
      <c r="J401" s="59"/>
      <c r="L401" s="59"/>
      <c r="N401" s="59"/>
      <c r="P401" s="59"/>
      <c r="Q401" s="61"/>
    </row>
    <row r="402">
      <c r="B402" s="57"/>
      <c r="C402" s="107"/>
      <c r="D402" s="57"/>
      <c r="F402" s="59"/>
      <c r="H402" s="59"/>
      <c r="J402" s="59"/>
      <c r="L402" s="59"/>
      <c r="N402" s="59"/>
      <c r="P402" s="59"/>
      <c r="Q402" s="61"/>
    </row>
    <row r="403">
      <c r="B403" s="57"/>
      <c r="C403" s="107"/>
      <c r="D403" s="57"/>
      <c r="F403" s="59"/>
      <c r="H403" s="59"/>
      <c r="J403" s="59"/>
      <c r="L403" s="59"/>
      <c r="N403" s="59"/>
      <c r="P403" s="59"/>
      <c r="Q403" s="61"/>
    </row>
    <row r="404">
      <c r="B404" s="57"/>
      <c r="C404" s="107"/>
      <c r="D404" s="57"/>
      <c r="F404" s="59"/>
      <c r="H404" s="59"/>
      <c r="J404" s="59"/>
      <c r="L404" s="59"/>
      <c r="N404" s="59"/>
      <c r="P404" s="59"/>
      <c r="Q404" s="61"/>
    </row>
    <row r="405">
      <c r="B405" s="57"/>
      <c r="C405" s="107"/>
      <c r="D405" s="57"/>
      <c r="F405" s="59"/>
      <c r="H405" s="59"/>
      <c r="J405" s="59"/>
      <c r="L405" s="59"/>
      <c r="N405" s="59"/>
      <c r="P405" s="59"/>
      <c r="Q405" s="61"/>
    </row>
    <row r="406">
      <c r="B406" s="57"/>
      <c r="C406" s="107"/>
      <c r="D406" s="57"/>
      <c r="F406" s="59"/>
      <c r="H406" s="59"/>
      <c r="J406" s="59"/>
      <c r="L406" s="59"/>
      <c r="N406" s="59"/>
      <c r="P406" s="59"/>
      <c r="Q406" s="61"/>
    </row>
    <row r="407">
      <c r="B407" s="57"/>
      <c r="C407" s="107"/>
      <c r="D407" s="57"/>
      <c r="F407" s="59"/>
      <c r="H407" s="59"/>
      <c r="J407" s="59"/>
      <c r="L407" s="59"/>
      <c r="N407" s="59"/>
      <c r="P407" s="59"/>
      <c r="Q407" s="61"/>
    </row>
    <row r="408">
      <c r="B408" s="57"/>
      <c r="C408" s="107"/>
      <c r="D408" s="57"/>
      <c r="F408" s="59"/>
      <c r="H408" s="59"/>
      <c r="J408" s="59"/>
      <c r="L408" s="59"/>
      <c r="N408" s="59"/>
      <c r="P408" s="59"/>
      <c r="Q408" s="61"/>
    </row>
    <row r="409">
      <c r="B409" s="57"/>
      <c r="C409" s="107"/>
      <c r="D409" s="57"/>
      <c r="F409" s="59"/>
      <c r="H409" s="59"/>
      <c r="J409" s="59"/>
      <c r="L409" s="59"/>
      <c r="N409" s="59"/>
      <c r="P409" s="59"/>
      <c r="Q409" s="61"/>
    </row>
    <row r="410">
      <c r="B410" s="57"/>
      <c r="C410" s="107"/>
      <c r="D410" s="57"/>
      <c r="F410" s="59"/>
      <c r="H410" s="59"/>
      <c r="J410" s="59"/>
      <c r="L410" s="59"/>
      <c r="N410" s="59"/>
      <c r="P410" s="59"/>
      <c r="Q410" s="61"/>
    </row>
    <row r="411">
      <c r="B411" s="57"/>
      <c r="C411" s="107"/>
      <c r="D411" s="57"/>
      <c r="F411" s="59"/>
      <c r="H411" s="59"/>
      <c r="J411" s="59"/>
      <c r="L411" s="59"/>
      <c r="N411" s="59"/>
      <c r="P411" s="59"/>
      <c r="Q411" s="61"/>
    </row>
    <row r="412">
      <c r="B412" s="57"/>
      <c r="C412" s="107"/>
      <c r="D412" s="57"/>
      <c r="F412" s="59"/>
      <c r="H412" s="59"/>
      <c r="J412" s="59"/>
      <c r="L412" s="59"/>
      <c r="N412" s="59"/>
      <c r="P412" s="59"/>
      <c r="Q412" s="61"/>
    </row>
    <row r="413">
      <c r="B413" s="57"/>
      <c r="C413" s="107"/>
      <c r="D413" s="57"/>
      <c r="F413" s="59"/>
      <c r="H413" s="59"/>
      <c r="J413" s="59"/>
      <c r="L413" s="59"/>
      <c r="N413" s="59"/>
      <c r="P413" s="59"/>
      <c r="Q413" s="61"/>
    </row>
    <row r="414">
      <c r="B414" s="57"/>
      <c r="C414" s="107"/>
      <c r="D414" s="57"/>
      <c r="F414" s="59"/>
      <c r="H414" s="59"/>
      <c r="J414" s="59"/>
      <c r="L414" s="59"/>
      <c r="N414" s="59"/>
      <c r="P414" s="59"/>
      <c r="Q414" s="61"/>
    </row>
    <row r="415">
      <c r="B415" s="57"/>
      <c r="C415" s="107"/>
      <c r="D415" s="57"/>
      <c r="F415" s="59"/>
      <c r="H415" s="59"/>
      <c r="J415" s="59"/>
      <c r="L415" s="59"/>
      <c r="N415" s="59"/>
      <c r="P415" s="59"/>
      <c r="Q415" s="61"/>
    </row>
    <row r="416">
      <c r="B416" s="57"/>
      <c r="C416" s="107"/>
      <c r="D416" s="57"/>
      <c r="F416" s="59"/>
      <c r="H416" s="59"/>
      <c r="J416" s="59"/>
      <c r="L416" s="59"/>
      <c r="N416" s="59"/>
      <c r="P416" s="59"/>
      <c r="Q416" s="61"/>
    </row>
    <row r="417">
      <c r="B417" s="57"/>
      <c r="C417" s="107"/>
      <c r="D417" s="57"/>
      <c r="F417" s="59"/>
      <c r="H417" s="59"/>
      <c r="J417" s="59"/>
      <c r="L417" s="59"/>
      <c r="N417" s="59"/>
      <c r="P417" s="59"/>
      <c r="Q417" s="61"/>
    </row>
    <row r="418">
      <c r="B418" s="57"/>
      <c r="C418" s="107"/>
      <c r="D418" s="57"/>
      <c r="F418" s="59"/>
      <c r="H418" s="59"/>
      <c r="J418" s="59"/>
      <c r="L418" s="59"/>
      <c r="N418" s="59"/>
      <c r="P418" s="59"/>
      <c r="Q418" s="61"/>
    </row>
    <row r="419">
      <c r="B419" s="57"/>
      <c r="C419" s="107"/>
      <c r="D419" s="57"/>
      <c r="F419" s="59"/>
      <c r="H419" s="59"/>
      <c r="J419" s="59"/>
      <c r="L419" s="59"/>
      <c r="N419" s="59"/>
      <c r="P419" s="59"/>
      <c r="Q419" s="61"/>
    </row>
    <row r="420">
      <c r="B420" s="57"/>
      <c r="C420" s="107"/>
      <c r="D420" s="57"/>
      <c r="F420" s="59"/>
      <c r="H420" s="59"/>
      <c r="J420" s="59"/>
      <c r="L420" s="59"/>
      <c r="N420" s="59"/>
      <c r="P420" s="59"/>
      <c r="Q420" s="61"/>
    </row>
    <row r="421">
      <c r="B421" s="57"/>
      <c r="C421" s="107"/>
      <c r="D421" s="57"/>
      <c r="F421" s="59"/>
      <c r="H421" s="59"/>
      <c r="J421" s="59"/>
      <c r="L421" s="59"/>
      <c r="N421" s="59"/>
      <c r="P421" s="59"/>
      <c r="Q421" s="61"/>
    </row>
    <row r="422">
      <c r="B422" s="57"/>
      <c r="C422" s="107"/>
      <c r="D422" s="57"/>
      <c r="F422" s="59"/>
      <c r="H422" s="59"/>
      <c r="J422" s="59"/>
      <c r="L422" s="59"/>
      <c r="N422" s="59"/>
      <c r="P422" s="59"/>
      <c r="Q422" s="61"/>
    </row>
    <row r="423">
      <c r="B423" s="57"/>
      <c r="C423" s="107"/>
      <c r="D423" s="57"/>
      <c r="F423" s="59"/>
      <c r="H423" s="59"/>
      <c r="J423" s="59"/>
      <c r="L423" s="59"/>
      <c r="N423" s="59"/>
      <c r="P423" s="59"/>
      <c r="Q423" s="61"/>
    </row>
    <row r="424">
      <c r="B424" s="57"/>
      <c r="C424" s="107"/>
      <c r="D424" s="57"/>
      <c r="F424" s="59"/>
      <c r="H424" s="59"/>
      <c r="J424" s="59"/>
      <c r="L424" s="59"/>
      <c r="N424" s="59"/>
      <c r="P424" s="59"/>
      <c r="Q424" s="61"/>
    </row>
    <row r="425">
      <c r="B425" s="57"/>
      <c r="C425" s="107"/>
      <c r="D425" s="57"/>
      <c r="F425" s="59"/>
      <c r="H425" s="59"/>
      <c r="J425" s="59"/>
      <c r="L425" s="59"/>
      <c r="N425" s="59"/>
      <c r="P425" s="59"/>
      <c r="Q425" s="61"/>
    </row>
    <row r="426">
      <c r="B426" s="57"/>
      <c r="C426" s="107"/>
      <c r="D426" s="57"/>
      <c r="F426" s="59"/>
      <c r="H426" s="59"/>
      <c r="J426" s="59"/>
      <c r="L426" s="59"/>
      <c r="N426" s="59"/>
      <c r="P426" s="59"/>
      <c r="Q426" s="61"/>
    </row>
    <row r="427">
      <c r="B427" s="57"/>
      <c r="C427" s="107"/>
      <c r="D427" s="57"/>
      <c r="F427" s="59"/>
      <c r="H427" s="59"/>
      <c r="J427" s="59"/>
      <c r="L427" s="59"/>
      <c r="N427" s="59"/>
      <c r="P427" s="59"/>
      <c r="Q427" s="61"/>
    </row>
    <row r="428">
      <c r="B428" s="57"/>
      <c r="C428" s="107"/>
      <c r="D428" s="57"/>
      <c r="F428" s="59"/>
      <c r="H428" s="59"/>
      <c r="J428" s="59"/>
      <c r="L428" s="59"/>
      <c r="N428" s="59"/>
      <c r="P428" s="59"/>
      <c r="Q428" s="61"/>
    </row>
    <row r="429">
      <c r="B429" s="57"/>
      <c r="C429" s="107"/>
      <c r="D429" s="57"/>
      <c r="F429" s="59"/>
      <c r="H429" s="59"/>
      <c r="J429" s="59"/>
      <c r="L429" s="59"/>
      <c r="N429" s="59"/>
      <c r="P429" s="59"/>
      <c r="Q429" s="61"/>
    </row>
    <row r="430">
      <c r="B430" s="57"/>
      <c r="C430" s="107"/>
      <c r="D430" s="57"/>
      <c r="F430" s="59"/>
      <c r="H430" s="59"/>
      <c r="J430" s="59"/>
      <c r="L430" s="59"/>
      <c r="N430" s="59"/>
      <c r="P430" s="59"/>
      <c r="Q430" s="61"/>
    </row>
    <row r="431">
      <c r="B431" s="57"/>
      <c r="C431" s="107"/>
      <c r="D431" s="57"/>
      <c r="F431" s="59"/>
      <c r="H431" s="59"/>
      <c r="J431" s="59"/>
      <c r="L431" s="59"/>
      <c r="N431" s="59"/>
      <c r="P431" s="59"/>
      <c r="Q431" s="61"/>
    </row>
    <row r="432">
      <c r="B432" s="57"/>
      <c r="C432" s="107"/>
      <c r="D432" s="57"/>
      <c r="F432" s="59"/>
      <c r="H432" s="59"/>
      <c r="J432" s="59"/>
      <c r="L432" s="59"/>
      <c r="N432" s="59"/>
      <c r="P432" s="59"/>
      <c r="Q432" s="61"/>
    </row>
    <row r="433">
      <c r="B433" s="57"/>
      <c r="C433" s="107"/>
      <c r="D433" s="57"/>
      <c r="F433" s="59"/>
      <c r="H433" s="59"/>
      <c r="J433" s="59"/>
      <c r="L433" s="59"/>
      <c r="N433" s="59"/>
      <c r="P433" s="59"/>
      <c r="Q433" s="61"/>
    </row>
    <row r="434">
      <c r="B434" s="57"/>
      <c r="C434" s="107"/>
      <c r="D434" s="57"/>
      <c r="F434" s="59"/>
      <c r="H434" s="59"/>
      <c r="J434" s="59"/>
      <c r="L434" s="59"/>
      <c r="N434" s="59"/>
      <c r="P434" s="59"/>
      <c r="Q434" s="61"/>
    </row>
    <row r="435">
      <c r="B435" s="57"/>
      <c r="C435" s="107"/>
      <c r="D435" s="57"/>
      <c r="F435" s="59"/>
      <c r="H435" s="59"/>
      <c r="J435" s="59"/>
      <c r="L435" s="59"/>
      <c r="N435" s="59"/>
      <c r="P435" s="59"/>
      <c r="Q435" s="61"/>
    </row>
    <row r="436">
      <c r="B436" s="57"/>
      <c r="C436" s="107"/>
      <c r="D436" s="57"/>
      <c r="F436" s="59"/>
      <c r="H436" s="59"/>
      <c r="J436" s="59"/>
      <c r="L436" s="59"/>
      <c r="N436" s="59"/>
      <c r="P436" s="59"/>
      <c r="Q436" s="61"/>
    </row>
    <row r="437">
      <c r="B437" s="57"/>
      <c r="C437" s="107"/>
      <c r="D437" s="57"/>
      <c r="F437" s="59"/>
      <c r="H437" s="59"/>
      <c r="J437" s="59"/>
      <c r="L437" s="59"/>
      <c r="N437" s="59"/>
      <c r="P437" s="59"/>
      <c r="Q437" s="61"/>
    </row>
    <row r="438">
      <c r="B438" s="57"/>
      <c r="C438" s="107"/>
      <c r="D438" s="57"/>
      <c r="F438" s="59"/>
      <c r="H438" s="59"/>
      <c r="J438" s="59"/>
      <c r="L438" s="59"/>
      <c r="N438" s="59"/>
      <c r="P438" s="59"/>
      <c r="Q438" s="61"/>
    </row>
    <row r="439">
      <c r="B439" s="57"/>
      <c r="C439" s="107"/>
      <c r="D439" s="57"/>
      <c r="F439" s="59"/>
      <c r="H439" s="59"/>
      <c r="J439" s="59"/>
      <c r="L439" s="59"/>
      <c r="N439" s="59"/>
      <c r="P439" s="59"/>
      <c r="Q439" s="61"/>
    </row>
    <row r="440">
      <c r="B440" s="57"/>
      <c r="C440" s="107"/>
      <c r="D440" s="57"/>
      <c r="F440" s="59"/>
      <c r="H440" s="59"/>
      <c r="J440" s="59"/>
      <c r="L440" s="59"/>
      <c r="N440" s="59"/>
      <c r="P440" s="59"/>
      <c r="Q440" s="61"/>
    </row>
    <row r="441">
      <c r="B441" s="57"/>
      <c r="C441" s="107"/>
      <c r="D441" s="57"/>
      <c r="F441" s="59"/>
      <c r="H441" s="59"/>
      <c r="J441" s="59"/>
      <c r="L441" s="59"/>
      <c r="N441" s="59"/>
      <c r="P441" s="59"/>
      <c r="Q441" s="61"/>
    </row>
    <row r="442">
      <c r="B442" s="57"/>
      <c r="C442" s="107"/>
      <c r="D442" s="57"/>
      <c r="F442" s="59"/>
      <c r="H442" s="59"/>
      <c r="J442" s="59"/>
      <c r="L442" s="59"/>
      <c r="N442" s="59"/>
      <c r="P442" s="59"/>
      <c r="Q442" s="61"/>
    </row>
    <row r="443">
      <c r="B443" s="57"/>
      <c r="C443" s="107"/>
      <c r="D443" s="57"/>
      <c r="F443" s="59"/>
      <c r="H443" s="59"/>
      <c r="J443" s="59"/>
      <c r="L443" s="59"/>
      <c r="N443" s="59"/>
      <c r="P443" s="59"/>
      <c r="Q443" s="61"/>
    </row>
    <row r="444">
      <c r="B444" s="57"/>
      <c r="C444" s="107"/>
      <c r="D444" s="57"/>
      <c r="F444" s="59"/>
      <c r="H444" s="59"/>
      <c r="J444" s="59"/>
      <c r="L444" s="59"/>
      <c r="N444" s="59"/>
      <c r="P444" s="59"/>
      <c r="Q444" s="61"/>
    </row>
    <row r="445">
      <c r="B445" s="57"/>
      <c r="C445" s="107"/>
      <c r="D445" s="57"/>
      <c r="F445" s="59"/>
      <c r="H445" s="59"/>
      <c r="J445" s="59"/>
      <c r="L445" s="59"/>
      <c r="N445" s="59"/>
      <c r="P445" s="59"/>
      <c r="Q445" s="61"/>
    </row>
    <row r="446">
      <c r="B446" s="57"/>
      <c r="C446" s="107"/>
      <c r="D446" s="57"/>
      <c r="F446" s="59"/>
      <c r="H446" s="59"/>
      <c r="J446" s="59"/>
      <c r="L446" s="59"/>
      <c r="N446" s="59"/>
      <c r="P446" s="59"/>
      <c r="Q446" s="61"/>
    </row>
    <row r="447">
      <c r="B447" s="57"/>
      <c r="C447" s="107"/>
      <c r="D447" s="57"/>
      <c r="F447" s="59"/>
      <c r="H447" s="59"/>
      <c r="J447" s="59"/>
      <c r="L447" s="59"/>
      <c r="N447" s="59"/>
      <c r="P447" s="59"/>
      <c r="Q447" s="61"/>
    </row>
    <row r="448">
      <c r="B448" s="57"/>
      <c r="C448" s="107"/>
      <c r="D448" s="57"/>
      <c r="F448" s="59"/>
      <c r="H448" s="59"/>
      <c r="J448" s="59"/>
      <c r="L448" s="59"/>
      <c r="N448" s="59"/>
      <c r="P448" s="59"/>
      <c r="Q448" s="61"/>
    </row>
    <row r="449">
      <c r="B449" s="57"/>
      <c r="C449" s="107"/>
      <c r="D449" s="57"/>
      <c r="F449" s="59"/>
      <c r="H449" s="59"/>
      <c r="J449" s="59"/>
      <c r="L449" s="59"/>
      <c r="N449" s="59"/>
      <c r="P449" s="59"/>
      <c r="Q449" s="61"/>
    </row>
    <row r="450">
      <c r="B450" s="57"/>
      <c r="C450" s="107"/>
      <c r="D450" s="57"/>
      <c r="F450" s="59"/>
      <c r="H450" s="59"/>
      <c r="J450" s="59"/>
      <c r="L450" s="59"/>
      <c r="N450" s="59"/>
      <c r="P450" s="59"/>
      <c r="Q450" s="61"/>
    </row>
    <row r="451">
      <c r="B451" s="57"/>
      <c r="C451" s="107"/>
      <c r="D451" s="57"/>
      <c r="F451" s="59"/>
      <c r="H451" s="59"/>
      <c r="J451" s="59"/>
      <c r="L451" s="59"/>
      <c r="N451" s="59"/>
      <c r="P451" s="59"/>
      <c r="Q451" s="61"/>
    </row>
    <row r="452">
      <c r="B452" s="57"/>
      <c r="C452" s="107"/>
      <c r="D452" s="57"/>
      <c r="F452" s="59"/>
      <c r="H452" s="59"/>
      <c r="J452" s="59"/>
      <c r="L452" s="59"/>
      <c r="N452" s="59"/>
      <c r="P452" s="59"/>
      <c r="Q452" s="61"/>
    </row>
    <row r="453">
      <c r="B453" s="57"/>
      <c r="C453" s="107"/>
      <c r="D453" s="57"/>
      <c r="F453" s="59"/>
      <c r="H453" s="59"/>
      <c r="J453" s="59"/>
      <c r="L453" s="59"/>
      <c r="N453" s="59"/>
      <c r="P453" s="59"/>
      <c r="Q453" s="61"/>
    </row>
    <row r="454">
      <c r="B454" s="57"/>
      <c r="C454" s="107"/>
      <c r="D454" s="57"/>
      <c r="F454" s="59"/>
      <c r="H454" s="59"/>
      <c r="J454" s="59"/>
      <c r="L454" s="59"/>
      <c r="N454" s="59"/>
      <c r="P454" s="59"/>
      <c r="Q454" s="61"/>
    </row>
    <row r="455">
      <c r="B455" s="57"/>
      <c r="C455" s="107"/>
      <c r="D455" s="57"/>
      <c r="F455" s="59"/>
      <c r="H455" s="59"/>
      <c r="J455" s="59"/>
      <c r="L455" s="59"/>
      <c r="N455" s="59"/>
      <c r="P455" s="59"/>
      <c r="Q455" s="61"/>
    </row>
    <row r="456">
      <c r="B456" s="57"/>
      <c r="C456" s="107"/>
      <c r="D456" s="57"/>
      <c r="F456" s="59"/>
      <c r="H456" s="59"/>
      <c r="J456" s="59"/>
      <c r="L456" s="59"/>
      <c r="N456" s="59"/>
      <c r="P456" s="59"/>
      <c r="Q456" s="61"/>
    </row>
    <row r="457">
      <c r="B457" s="57"/>
      <c r="C457" s="107"/>
      <c r="D457" s="57"/>
      <c r="F457" s="59"/>
      <c r="H457" s="59"/>
      <c r="J457" s="59"/>
      <c r="L457" s="59"/>
      <c r="N457" s="59"/>
      <c r="P457" s="59"/>
      <c r="Q457" s="61"/>
    </row>
    <row r="458">
      <c r="B458" s="57"/>
      <c r="C458" s="107"/>
      <c r="D458" s="57"/>
      <c r="F458" s="59"/>
      <c r="H458" s="59"/>
      <c r="J458" s="59"/>
      <c r="L458" s="59"/>
      <c r="N458" s="59"/>
      <c r="P458" s="59"/>
      <c r="Q458" s="61"/>
    </row>
    <row r="459">
      <c r="B459" s="57"/>
      <c r="C459" s="107"/>
      <c r="D459" s="57"/>
      <c r="F459" s="59"/>
      <c r="H459" s="59"/>
      <c r="J459" s="59"/>
      <c r="L459" s="59"/>
      <c r="N459" s="59"/>
      <c r="P459" s="59"/>
      <c r="Q459" s="61"/>
    </row>
    <row r="460">
      <c r="B460" s="57"/>
      <c r="C460" s="107"/>
      <c r="D460" s="57"/>
      <c r="F460" s="59"/>
      <c r="H460" s="59"/>
      <c r="J460" s="59"/>
      <c r="L460" s="59"/>
      <c r="N460" s="59"/>
      <c r="P460" s="59"/>
      <c r="Q460" s="61"/>
    </row>
    <row r="461">
      <c r="B461" s="57"/>
      <c r="C461" s="107"/>
      <c r="D461" s="57"/>
      <c r="F461" s="59"/>
      <c r="H461" s="59"/>
      <c r="J461" s="59"/>
      <c r="L461" s="59"/>
      <c r="N461" s="59"/>
      <c r="P461" s="59"/>
      <c r="Q461" s="61"/>
    </row>
    <row r="462">
      <c r="B462" s="57"/>
      <c r="C462" s="107"/>
      <c r="D462" s="57"/>
      <c r="F462" s="59"/>
      <c r="H462" s="59"/>
      <c r="J462" s="59"/>
      <c r="L462" s="59"/>
      <c r="N462" s="59"/>
      <c r="P462" s="59"/>
      <c r="Q462" s="61"/>
    </row>
    <row r="463">
      <c r="B463" s="57"/>
      <c r="C463" s="107"/>
      <c r="D463" s="57"/>
      <c r="F463" s="59"/>
      <c r="H463" s="59"/>
      <c r="J463" s="59"/>
      <c r="L463" s="59"/>
      <c r="N463" s="59"/>
      <c r="P463" s="59"/>
      <c r="Q463" s="61"/>
    </row>
    <row r="464">
      <c r="B464" s="57"/>
      <c r="C464" s="107"/>
      <c r="D464" s="57"/>
      <c r="F464" s="59"/>
      <c r="H464" s="59"/>
      <c r="J464" s="59"/>
      <c r="L464" s="59"/>
      <c r="N464" s="59"/>
      <c r="P464" s="59"/>
      <c r="Q464" s="61"/>
    </row>
    <row r="465">
      <c r="B465" s="57"/>
      <c r="C465" s="107"/>
      <c r="D465" s="57"/>
      <c r="F465" s="59"/>
      <c r="H465" s="59"/>
      <c r="J465" s="59"/>
      <c r="L465" s="59"/>
      <c r="N465" s="59"/>
      <c r="P465" s="59"/>
      <c r="Q465" s="61"/>
    </row>
    <row r="466">
      <c r="B466" s="57"/>
      <c r="C466" s="107"/>
      <c r="D466" s="57"/>
      <c r="F466" s="59"/>
      <c r="H466" s="59"/>
      <c r="J466" s="59"/>
      <c r="L466" s="59"/>
      <c r="N466" s="59"/>
      <c r="P466" s="59"/>
      <c r="Q466" s="61"/>
    </row>
    <row r="467">
      <c r="B467" s="57"/>
      <c r="C467" s="107"/>
      <c r="D467" s="57"/>
      <c r="F467" s="59"/>
      <c r="H467" s="59"/>
      <c r="J467" s="59"/>
      <c r="L467" s="59"/>
      <c r="N467" s="59"/>
      <c r="P467" s="59"/>
      <c r="Q467" s="61"/>
    </row>
    <row r="468">
      <c r="B468" s="57"/>
      <c r="C468" s="107"/>
      <c r="D468" s="57"/>
      <c r="F468" s="59"/>
      <c r="H468" s="59"/>
      <c r="J468" s="59"/>
      <c r="L468" s="59"/>
      <c r="N468" s="59"/>
      <c r="P468" s="59"/>
      <c r="Q468" s="61"/>
    </row>
    <row r="469">
      <c r="B469" s="57"/>
      <c r="C469" s="107"/>
      <c r="D469" s="57"/>
      <c r="F469" s="59"/>
      <c r="H469" s="59"/>
      <c r="J469" s="59"/>
      <c r="L469" s="59"/>
      <c r="N469" s="59"/>
      <c r="P469" s="59"/>
      <c r="Q469" s="61"/>
    </row>
    <row r="470">
      <c r="B470" s="57"/>
      <c r="C470" s="107"/>
      <c r="D470" s="57"/>
      <c r="F470" s="59"/>
      <c r="H470" s="59"/>
      <c r="J470" s="59"/>
      <c r="L470" s="59"/>
      <c r="N470" s="59"/>
      <c r="P470" s="59"/>
      <c r="Q470" s="61"/>
    </row>
    <row r="471">
      <c r="B471" s="57"/>
      <c r="C471" s="107"/>
      <c r="D471" s="57"/>
      <c r="F471" s="59"/>
      <c r="H471" s="59"/>
      <c r="J471" s="59"/>
      <c r="L471" s="59"/>
      <c r="N471" s="59"/>
      <c r="P471" s="59"/>
      <c r="Q471" s="61"/>
    </row>
    <row r="472">
      <c r="B472" s="57"/>
      <c r="C472" s="107"/>
      <c r="D472" s="57"/>
      <c r="F472" s="59"/>
      <c r="H472" s="59"/>
      <c r="J472" s="59"/>
      <c r="L472" s="59"/>
      <c r="N472" s="59"/>
      <c r="P472" s="59"/>
      <c r="Q472" s="61"/>
    </row>
    <row r="473">
      <c r="B473" s="57"/>
      <c r="C473" s="107"/>
      <c r="D473" s="57"/>
      <c r="F473" s="59"/>
      <c r="H473" s="59"/>
      <c r="J473" s="59"/>
      <c r="L473" s="59"/>
      <c r="N473" s="59"/>
      <c r="P473" s="59"/>
      <c r="Q473" s="61"/>
    </row>
    <row r="474">
      <c r="B474" s="57"/>
      <c r="C474" s="107"/>
      <c r="D474" s="57"/>
      <c r="F474" s="59"/>
      <c r="H474" s="59"/>
      <c r="J474" s="59"/>
      <c r="L474" s="59"/>
      <c r="N474" s="59"/>
      <c r="P474" s="59"/>
      <c r="Q474" s="61"/>
    </row>
    <row r="475">
      <c r="B475" s="57"/>
      <c r="C475" s="107"/>
      <c r="D475" s="57"/>
      <c r="F475" s="59"/>
      <c r="H475" s="59"/>
      <c r="J475" s="59"/>
      <c r="L475" s="59"/>
      <c r="N475" s="59"/>
      <c r="P475" s="59"/>
      <c r="Q475" s="61"/>
    </row>
    <row r="476">
      <c r="B476" s="57"/>
      <c r="C476" s="107"/>
      <c r="D476" s="57"/>
      <c r="F476" s="59"/>
      <c r="H476" s="59"/>
      <c r="J476" s="59"/>
      <c r="L476" s="59"/>
      <c r="N476" s="59"/>
      <c r="P476" s="59"/>
      <c r="Q476" s="61"/>
    </row>
    <row r="477">
      <c r="B477" s="57"/>
      <c r="C477" s="107"/>
      <c r="D477" s="57"/>
      <c r="F477" s="59"/>
      <c r="H477" s="59"/>
      <c r="J477" s="59"/>
      <c r="L477" s="59"/>
      <c r="N477" s="59"/>
      <c r="P477" s="59"/>
      <c r="Q477" s="61"/>
    </row>
    <row r="478">
      <c r="B478" s="57"/>
      <c r="C478" s="107"/>
      <c r="D478" s="57"/>
      <c r="F478" s="59"/>
      <c r="H478" s="59"/>
      <c r="J478" s="59"/>
      <c r="L478" s="59"/>
      <c r="N478" s="59"/>
      <c r="P478" s="59"/>
      <c r="Q478" s="61"/>
    </row>
    <row r="479">
      <c r="B479" s="57"/>
      <c r="C479" s="107"/>
      <c r="D479" s="57"/>
      <c r="F479" s="59"/>
      <c r="H479" s="59"/>
      <c r="J479" s="59"/>
      <c r="L479" s="59"/>
      <c r="N479" s="59"/>
      <c r="P479" s="59"/>
      <c r="Q479" s="61"/>
    </row>
    <row r="480">
      <c r="B480" s="57"/>
      <c r="C480" s="107"/>
      <c r="D480" s="57"/>
      <c r="F480" s="59"/>
      <c r="H480" s="59"/>
      <c r="J480" s="59"/>
      <c r="L480" s="59"/>
      <c r="N480" s="59"/>
      <c r="P480" s="59"/>
      <c r="Q480" s="61"/>
    </row>
    <row r="481">
      <c r="B481" s="57"/>
      <c r="C481" s="107"/>
      <c r="D481" s="57"/>
      <c r="F481" s="59"/>
      <c r="H481" s="59"/>
      <c r="J481" s="59"/>
      <c r="L481" s="59"/>
      <c r="N481" s="59"/>
      <c r="P481" s="59"/>
      <c r="Q481" s="61"/>
    </row>
    <row r="482">
      <c r="B482" s="57"/>
      <c r="C482" s="107"/>
      <c r="D482" s="57"/>
      <c r="F482" s="59"/>
      <c r="H482" s="59"/>
      <c r="J482" s="59"/>
      <c r="L482" s="59"/>
      <c r="N482" s="59"/>
      <c r="P482" s="59"/>
      <c r="Q482" s="61"/>
    </row>
    <row r="483">
      <c r="B483" s="57"/>
      <c r="C483" s="107"/>
      <c r="D483" s="57"/>
      <c r="F483" s="59"/>
      <c r="H483" s="59"/>
      <c r="J483" s="59"/>
      <c r="L483" s="59"/>
      <c r="N483" s="59"/>
      <c r="P483" s="59"/>
      <c r="Q483" s="61"/>
    </row>
    <row r="484">
      <c r="B484" s="57"/>
      <c r="C484" s="107"/>
      <c r="D484" s="57"/>
      <c r="F484" s="59"/>
      <c r="H484" s="59"/>
      <c r="J484" s="59"/>
      <c r="L484" s="59"/>
      <c r="N484" s="59"/>
      <c r="P484" s="59"/>
      <c r="Q484" s="61"/>
    </row>
    <row r="485">
      <c r="B485" s="57"/>
      <c r="C485" s="107"/>
      <c r="D485" s="57"/>
      <c r="F485" s="59"/>
      <c r="H485" s="59"/>
      <c r="J485" s="59"/>
      <c r="L485" s="59"/>
      <c r="N485" s="59"/>
      <c r="P485" s="59"/>
      <c r="Q485" s="61"/>
    </row>
    <row r="486">
      <c r="B486" s="57"/>
      <c r="C486" s="107"/>
      <c r="D486" s="57"/>
      <c r="F486" s="59"/>
      <c r="H486" s="59"/>
      <c r="J486" s="59"/>
      <c r="L486" s="59"/>
      <c r="N486" s="59"/>
      <c r="P486" s="59"/>
      <c r="Q486" s="61"/>
    </row>
    <row r="487">
      <c r="B487" s="57"/>
      <c r="C487" s="107"/>
      <c r="D487" s="57"/>
      <c r="F487" s="59"/>
      <c r="H487" s="59"/>
      <c r="J487" s="59"/>
      <c r="L487" s="59"/>
      <c r="N487" s="59"/>
      <c r="P487" s="59"/>
      <c r="Q487" s="61"/>
    </row>
    <row r="488">
      <c r="B488" s="57"/>
      <c r="C488" s="107"/>
      <c r="D488" s="57"/>
      <c r="F488" s="59"/>
      <c r="H488" s="59"/>
      <c r="J488" s="59"/>
      <c r="L488" s="59"/>
      <c r="N488" s="59"/>
      <c r="P488" s="59"/>
      <c r="Q488" s="61"/>
    </row>
    <row r="489">
      <c r="B489" s="57"/>
      <c r="C489" s="107"/>
      <c r="D489" s="57"/>
      <c r="F489" s="59"/>
      <c r="H489" s="59"/>
      <c r="J489" s="59"/>
      <c r="L489" s="59"/>
      <c r="N489" s="59"/>
      <c r="P489" s="59"/>
      <c r="Q489" s="61"/>
    </row>
    <row r="490">
      <c r="B490" s="57"/>
      <c r="C490" s="107"/>
      <c r="D490" s="57"/>
      <c r="F490" s="59"/>
      <c r="H490" s="59"/>
      <c r="J490" s="59"/>
      <c r="L490" s="59"/>
      <c r="N490" s="59"/>
      <c r="P490" s="59"/>
      <c r="Q490" s="61"/>
    </row>
    <row r="491">
      <c r="B491" s="57"/>
      <c r="C491" s="107"/>
      <c r="D491" s="57"/>
      <c r="F491" s="59"/>
      <c r="H491" s="59"/>
      <c r="J491" s="59"/>
      <c r="L491" s="59"/>
      <c r="N491" s="59"/>
      <c r="P491" s="59"/>
      <c r="Q491" s="61"/>
    </row>
    <row r="492">
      <c r="B492" s="57"/>
      <c r="C492" s="107"/>
      <c r="D492" s="57"/>
      <c r="F492" s="59"/>
      <c r="H492" s="59"/>
      <c r="J492" s="59"/>
      <c r="L492" s="59"/>
      <c r="N492" s="59"/>
      <c r="P492" s="59"/>
      <c r="Q492" s="61"/>
    </row>
    <row r="493">
      <c r="B493" s="57"/>
      <c r="C493" s="107"/>
      <c r="D493" s="57"/>
      <c r="F493" s="59"/>
      <c r="H493" s="59"/>
      <c r="J493" s="59"/>
      <c r="L493" s="59"/>
      <c r="N493" s="59"/>
      <c r="P493" s="59"/>
      <c r="Q493" s="61"/>
    </row>
    <row r="494">
      <c r="B494" s="57"/>
      <c r="C494" s="107"/>
      <c r="D494" s="57"/>
      <c r="F494" s="59"/>
      <c r="H494" s="59"/>
      <c r="J494" s="59"/>
      <c r="L494" s="59"/>
      <c r="N494" s="59"/>
      <c r="P494" s="59"/>
      <c r="Q494" s="61"/>
    </row>
    <row r="495">
      <c r="B495" s="57"/>
      <c r="C495" s="107"/>
      <c r="D495" s="57"/>
      <c r="F495" s="59"/>
      <c r="H495" s="59"/>
      <c r="J495" s="59"/>
      <c r="L495" s="59"/>
      <c r="N495" s="59"/>
      <c r="P495" s="59"/>
      <c r="Q495" s="61"/>
    </row>
    <row r="496">
      <c r="B496" s="57"/>
      <c r="C496" s="107"/>
      <c r="D496" s="57"/>
      <c r="F496" s="59"/>
      <c r="H496" s="59"/>
      <c r="J496" s="59"/>
      <c r="L496" s="59"/>
      <c r="N496" s="59"/>
      <c r="P496" s="59"/>
      <c r="Q496" s="61"/>
    </row>
    <row r="497">
      <c r="B497" s="57"/>
      <c r="C497" s="107"/>
      <c r="D497" s="57"/>
      <c r="F497" s="59"/>
      <c r="H497" s="59"/>
      <c r="J497" s="59"/>
      <c r="L497" s="59"/>
      <c r="N497" s="59"/>
      <c r="P497" s="59"/>
      <c r="Q497" s="61"/>
    </row>
    <row r="498">
      <c r="B498" s="57"/>
      <c r="C498" s="107"/>
      <c r="D498" s="57"/>
      <c r="F498" s="59"/>
      <c r="H498" s="59"/>
      <c r="J498" s="59"/>
      <c r="L498" s="59"/>
      <c r="N498" s="59"/>
      <c r="P498" s="59"/>
      <c r="Q498" s="61"/>
    </row>
    <row r="499">
      <c r="B499" s="57"/>
      <c r="C499" s="107"/>
      <c r="D499" s="57"/>
      <c r="F499" s="59"/>
      <c r="H499" s="59"/>
      <c r="J499" s="59"/>
      <c r="L499" s="59"/>
      <c r="N499" s="59"/>
      <c r="P499" s="59"/>
      <c r="Q499" s="61"/>
    </row>
    <row r="500">
      <c r="B500" s="57"/>
      <c r="C500" s="107"/>
      <c r="D500" s="57"/>
      <c r="F500" s="59"/>
      <c r="H500" s="59"/>
      <c r="J500" s="59"/>
      <c r="L500" s="59"/>
      <c r="N500" s="59"/>
      <c r="P500" s="59"/>
      <c r="Q500" s="61"/>
    </row>
    <row r="501">
      <c r="B501" s="57"/>
      <c r="C501" s="107"/>
      <c r="D501" s="57"/>
      <c r="F501" s="59"/>
      <c r="H501" s="59"/>
      <c r="J501" s="59"/>
      <c r="L501" s="59"/>
      <c r="N501" s="59"/>
      <c r="P501" s="59"/>
      <c r="Q501" s="61"/>
    </row>
    <row r="502">
      <c r="B502" s="57"/>
      <c r="C502" s="107"/>
      <c r="D502" s="57"/>
      <c r="F502" s="59"/>
      <c r="H502" s="59"/>
      <c r="J502" s="59"/>
      <c r="L502" s="59"/>
      <c r="N502" s="59"/>
      <c r="P502" s="59"/>
      <c r="Q502" s="61"/>
    </row>
    <row r="503">
      <c r="B503" s="57"/>
      <c r="C503" s="107"/>
      <c r="D503" s="57"/>
      <c r="F503" s="59"/>
      <c r="H503" s="59"/>
      <c r="J503" s="59"/>
      <c r="L503" s="59"/>
      <c r="N503" s="59"/>
      <c r="P503" s="59"/>
      <c r="Q503" s="61"/>
    </row>
    <row r="504">
      <c r="B504" s="57"/>
      <c r="C504" s="107"/>
      <c r="D504" s="57"/>
      <c r="F504" s="59"/>
      <c r="H504" s="59"/>
      <c r="J504" s="59"/>
      <c r="L504" s="59"/>
      <c r="N504" s="59"/>
      <c r="P504" s="59"/>
      <c r="Q504" s="61"/>
    </row>
    <row r="505">
      <c r="B505" s="57"/>
      <c r="C505" s="107"/>
      <c r="D505" s="57"/>
      <c r="F505" s="59"/>
      <c r="H505" s="59"/>
      <c r="J505" s="59"/>
      <c r="L505" s="59"/>
      <c r="N505" s="59"/>
      <c r="P505" s="59"/>
      <c r="Q505" s="61"/>
    </row>
    <row r="506">
      <c r="B506" s="57"/>
      <c r="C506" s="107"/>
      <c r="D506" s="57"/>
      <c r="F506" s="59"/>
      <c r="H506" s="59"/>
      <c r="J506" s="59"/>
      <c r="L506" s="59"/>
      <c r="N506" s="59"/>
      <c r="P506" s="59"/>
      <c r="Q506" s="61"/>
    </row>
    <row r="507">
      <c r="B507" s="57"/>
      <c r="C507" s="107"/>
      <c r="D507" s="57"/>
      <c r="F507" s="59"/>
      <c r="H507" s="59"/>
      <c r="J507" s="59"/>
      <c r="L507" s="59"/>
      <c r="N507" s="59"/>
      <c r="P507" s="59"/>
      <c r="Q507" s="61"/>
    </row>
    <row r="508">
      <c r="B508" s="57"/>
      <c r="C508" s="107"/>
      <c r="D508" s="57"/>
      <c r="F508" s="59"/>
      <c r="H508" s="59"/>
      <c r="J508" s="59"/>
      <c r="L508" s="59"/>
      <c r="N508" s="59"/>
      <c r="P508" s="59"/>
      <c r="Q508" s="61"/>
    </row>
    <row r="509">
      <c r="B509" s="57"/>
      <c r="C509" s="107"/>
      <c r="D509" s="57"/>
      <c r="F509" s="59"/>
      <c r="H509" s="59"/>
      <c r="J509" s="59"/>
      <c r="L509" s="59"/>
      <c r="N509" s="59"/>
      <c r="P509" s="59"/>
      <c r="Q509" s="61"/>
    </row>
    <row r="510">
      <c r="B510" s="57"/>
      <c r="C510" s="107"/>
      <c r="D510" s="57"/>
      <c r="F510" s="59"/>
      <c r="H510" s="59"/>
      <c r="J510" s="59"/>
      <c r="L510" s="59"/>
      <c r="N510" s="59"/>
      <c r="P510" s="59"/>
      <c r="Q510" s="61"/>
    </row>
    <row r="511">
      <c r="B511" s="57"/>
      <c r="C511" s="107"/>
      <c r="D511" s="57"/>
      <c r="F511" s="59"/>
      <c r="H511" s="59"/>
      <c r="J511" s="59"/>
      <c r="L511" s="59"/>
      <c r="N511" s="59"/>
      <c r="P511" s="59"/>
      <c r="Q511" s="61"/>
    </row>
    <row r="512">
      <c r="B512" s="57"/>
      <c r="C512" s="107"/>
      <c r="D512" s="57"/>
      <c r="F512" s="59"/>
      <c r="H512" s="59"/>
      <c r="J512" s="59"/>
      <c r="L512" s="59"/>
      <c r="N512" s="59"/>
      <c r="P512" s="59"/>
      <c r="Q512" s="61"/>
    </row>
    <row r="513">
      <c r="B513" s="57"/>
      <c r="C513" s="107"/>
      <c r="D513" s="57"/>
      <c r="F513" s="59"/>
      <c r="H513" s="59"/>
      <c r="J513" s="59"/>
      <c r="L513" s="59"/>
      <c r="N513" s="59"/>
      <c r="P513" s="59"/>
      <c r="Q513" s="61"/>
    </row>
    <row r="514">
      <c r="B514" s="57"/>
      <c r="C514" s="107"/>
      <c r="D514" s="57"/>
      <c r="F514" s="59"/>
      <c r="H514" s="59"/>
      <c r="J514" s="59"/>
      <c r="L514" s="59"/>
      <c r="N514" s="59"/>
      <c r="P514" s="59"/>
      <c r="Q514" s="61"/>
    </row>
    <row r="515">
      <c r="B515" s="57"/>
      <c r="C515" s="107"/>
      <c r="D515" s="57"/>
      <c r="F515" s="59"/>
      <c r="H515" s="59"/>
      <c r="J515" s="59"/>
      <c r="L515" s="59"/>
      <c r="N515" s="59"/>
      <c r="P515" s="59"/>
      <c r="Q515" s="61"/>
    </row>
    <row r="516">
      <c r="B516" s="57"/>
      <c r="C516" s="107"/>
      <c r="D516" s="57"/>
      <c r="F516" s="59"/>
      <c r="H516" s="59"/>
      <c r="J516" s="59"/>
      <c r="L516" s="59"/>
      <c r="N516" s="59"/>
      <c r="P516" s="59"/>
      <c r="Q516" s="61"/>
    </row>
    <row r="517">
      <c r="B517" s="57"/>
      <c r="C517" s="107"/>
      <c r="D517" s="57"/>
      <c r="F517" s="59"/>
      <c r="H517" s="59"/>
      <c r="J517" s="59"/>
      <c r="L517" s="59"/>
      <c r="N517" s="59"/>
      <c r="P517" s="59"/>
      <c r="Q517" s="61"/>
    </row>
    <row r="518">
      <c r="B518" s="57"/>
      <c r="C518" s="107"/>
      <c r="D518" s="57"/>
      <c r="F518" s="59"/>
      <c r="H518" s="59"/>
      <c r="J518" s="59"/>
      <c r="L518" s="59"/>
      <c r="N518" s="59"/>
      <c r="P518" s="59"/>
      <c r="Q518" s="61"/>
    </row>
    <row r="519">
      <c r="B519" s="57"/>
      <c r="C519" s="107"/>
      <c r="D519" s="57"/>
      <c r="F519" s="59"/>
      <c r="H519" s="59"/>
      <c r="J519" s="59"/>
      <c r="L519" s="59"/>
      <c r="N519" s="59"/>
      <c r="P519" s="59"/>
      <c r="Q519" s="61"/>
    </row>
    <row r="520">
      <c r="B520" s="57"/>
      <c r="C520" s="107"/>
      <c r="D520" s="57"/>
      <c r="F520" s="59"/>
      <c r="H520" s="59"/>
      <c r="J520" s="59"/>
      <c r="L520" s="59"/>
      <c r="N520" s="59"/>
      <c r="P520" s="59"/>
      <c r="Q520" s="61"/>
    </row>
    <row r="521">
      <c r="B521" s="57"/>
      <c r="C521" s="107"/>
      <c r="D521" s="57"/>
      <c r="F521" s="59"/>
      <c r="H521" s="59"/>
      <c r="J521" s="59"/>
      <c r="L521" s="59"/>
      <c r="N521" s="59"/>
      <c r="P521" s="59"/>
      <c r="Q521" s="61"/>
    </row>
    <row r="522">
      <c r="B522" s="57"/>
      <c r="C522" s="107"/>
      <c r="D522" s="57"/>
      <c r="F522" s="59"/>
      <c r="H522" s="59"/>
      <c r="J522" s="59"/>
      <c r="L522" s="59"/>
      <c r="N522" s="59"/>
      <c r="P522" s="59"/>
      <c r="Q522" s="61"/>
    </row>
    <row r="523">
      <c r="B523" s="57"/>
      <c r="C523" s="107"/>
      <c r="D523" s="57"/>
      <c r="F523" s="59"/>
      <c r="H523" s="59"/>
      <c r="J523" s="59"/>
      <c r="L523" s="59"/>
      <c r="N523" s="59"/>
      <c r="P523" s="59"/>
      <c r="Q523" s="61"/>
    </row>
    <row r="524">
      <c r="B524" s="57"/>
      <c r="C524" s="107"/>
      <c r="D524" s="57"/>
      <c r="F524" s="59"/>
      <c r="H524" s="59"/>
      <c r="J524" s="59"/>
      <c r="L524" s="59"/>
      <c r="N524" s="59"/>
      <c r="P524" s="59"/>
      <c r="Q524" s="61"/>
    </row>
    <row r="525">
      <c r="B525" s="57"/>
      <c r="C525" s="107"/>
      <c r="D525" s="57"/>
      <c r="F525" s="59"/>
      <c r="H525" s="59"/>
      <c r="J525" s="59"/>
      <c r="L525" s="59"/>
      <c r="N525" s="59"/>
      <c r="P525" s="59"/>
      <c r="Q525" s="61"/>
    </row>
    <row r="526">
      <c r="B526" s="57"/>
      <c r="C526" s="107"/>
      <c r="D526" s="57"/>
      <c r="F526" s="59"/>
      <c r="H526" s="59"/>
      <c r="J526" s="59"/>
      <c r="L526" s="59"/>
      <c r="N526" s="59"/>
      <c r="P526" s="59"/>
      <c r="Q526" s="61"/>
    </row>
    <row r="527">
      <c r="B527" s="57"/>
      <c r="C527" s="107"/>
      <c r="D527" s="57"/>
      <c r="F527" s="59"/>
      <c r="H527" s="59"/>
      <c r="J527" s="59"/>
      <c r="L527" s="59"/>
      <c r="N527" s="59"/>
      <c r="P527" s="59"/>
      <c r="Q527" s="61"/>
    </row>
    <row r="528">
      <c r="B528" s="57"/>
      <c r="C528" s="107"/>
      <c r="D528" s="57"/>
      <c r="F528" s="59"/>
      <c r="H528" s="59"/>
      <c r="J528" s="59"/>
      <c r="L528" s="59"/>
      <c r="N528" s="59"/>
      <c r="P528" s="59"/>
      <c r="Q528" s="61"/>
    </row>
    <row r="529">
      <c r="B529" s="57"/>
      <c r="C529" s="107"/>
      <c r="D529" s="57"/>
      <c r="F529" s="59"/>
      <c r="H529" s="59"/>
      <c r="J529" s="59"/>
      <c r="L529" s="59"/>
      <c r="N529" s="59"/>
      <c r="P529" s="59"/>
      <c r="Q529" s="61"/>
    </row>
    <row r="530">
      <c r="B530" s="57"/>
      <c r="C530" s="107"/>
      <c r="D530" s="57"/>
      <c r="F530" s="59"/>
      <c r="H530" s="59"/>
      <c r="J530" s="59"/>
      <c r="L530" s="59"/>
      <c r="N530" s="59"/>
      <c r="P530" s="59"/>
      <c r="Q530" s="61"/>
    </row>
    <row r="531">
      <c r="B531" s="57"/>
      <c r="C531" s="107"/>
      <c r="D531" s="57"/>
      <c r="F531" s="59"/>
      <c r="H531" s="59"/>
      <c r="J531" s="59"/>
      <c r="L531" s="59"/>
      <c r="N531" s="59"/>
      <c r="P531" s="59"/>
      <c r="Q531" s="61"/>
    </row>
    <row r="532">
      <c r="B532" s="57"/>
      <c r="C532" s="107"/>
      <c r="D532" s="57"/>
      <c r="F532" s="59"/>
      <c r="H532" s="59"/>
      <c r="J532" s="59"/>
      <c r="L532" s="59"/>
      <c r="N532" s="59"/>
      <c r="P532" s="59"/>
      <c r="Q532" s="61"/>
    </row>
    <row r="533">
      <c r="B533" s="57"/>
      <c r="C533" s="107"/>
      <c r="D533" s="57"/>
      <c r="F533" s="59"/>
      <c r="H533" s="59"/>
      <c r="J533" s="59"/>
      <c r="L533" s="59"/>
      <c r="N533" s="59"/>
      <c r="P533" s="59"/>
      <c r="Q533" s="61"/>
    </row>
    <row r="534">
      <c r="B534" s="57"/>
      <c r="C534" s="107"/>
      <c r="D534" s="57"/>
      <c r="F534" s="59"/>
      <c r="H534" s="59"/>
      <c r="J534" s="59"/>
      <c r="L534" s="59"/>
      <c r="N534" s="59"/>
      <c r="P534" s="59"/>
      <c r="Q534" s="61"/>
    </row>
    <row r="535">
      <c r="B535" s="57"/>
      <c r="C535" s="107"/>
      <c r="D535" s="57"/>
      <c r="F535" s="59"/>
      <c r="H535" s="59"/>
      <c r="J535" s="59"/>
      <c r="L535" s="59"/>
      <c r="N535" s="59"/>
      <c r="P535" s="59"/>
      <c r="Q535" s="61"/>
    </row>
    <row r="536">
      <c r="B536" s="57"/>
      <c r="C536" s="107"/>
      <c r="D536" s="57"/>
      <c r="F536" s="59"/>
      <c r="H536" s="59"/>
      <c r="J536" s="59"/>
      <c r="L536" s="59"/>
      <c r="N536" s="59"/>
      <c r="P536" s="59"/>
      <c r="Q536" s="61"/>
    </row>
    <row r="537">
      <c r="B537" s="57"/>
      <c r="C537" s="107"/>
      <c r="D537" s="57"/>
      <c r="F537" s="59"/>
      <c r="H537" s="59"/>
      <c r="J537" s="59"/>
      <c r="L537" s="59"/>
      <c r="N537" s="59"/>
      <c r="P537" s="59"/>
      <c r="Q537" s="61"/>
    </row>
    <row r="538">
      <c r="B538" s="57"/>
      <c r="C538" s="107"/>
      <c r="D538" s="57"/>
      <c r="F538" s="59"/>
      <c r="H538" s="59"/>
      <c r="J538" s="59"/>
      <c r="L538" s="59"/>
      <c r="N538" s="59"/>
      <c r="P538" s="59"/>
      <c r="Q538" s="61"/>
    </row>
    <row r="539">
      <c r="B539" s="57"/>
      <c r="C539" s="107"/>
      <c r="D539" s="57"/>
      <c r="F539" s="59"/>
      <c r="H539" s="59"/>
      <c r="J539" s="59"/>
      <c r="L539" s="59"/>
      <c r="N539" s="59"/>
      <c r="P539" s="59"/>
      <c r="Q539" s="61"/>
    </row>
    <row r="540">
      <c r="B540" s="57"/>
      <c r="C540" s="107"/>
      <c r="D540" s="57"/>
      <c r="F540" s="59"/>
      <c r="H540" s="59"/>
      <c r="J540" s="59"/>
      <c r="L540" s="59"/>
      <c r="N540" s="59"/>
      <c r="P540" s="59"/>
      <c r="Q540" s="61"/>
    </row>
    <row r="541">
      <c r="B541" s="57"/>
      <c r="C541" s="107"/>
      <c r="D541" s="57"/>
      <c r="F541" s="59"/>
      <c r="H541" s="59"/>
      <c r="J541" s="59"/>
      <c r="L541" s="59"/>
      <c r="N541" s="59"/>
      <c r="P541" s="59"/>
      <c r="Q541" s="61"/>
    </row>
    <row r="542">
      <c r="B542" s="57"/>
      <c r="C542" s="107"/>
      <c r="D542" s="57"/>
      <c r="F542" s="59"/>
      <c r="H542" s="59"/>
      <c r="J542" s="59"/>
      <c r="L542" s="59"/>
      <c r="N542" s="59"/>
      <c r="P542" s="59"/>
      <c r="Q542" s="61"/>
    </row>
    <row r="543">
      <c r="B543" s="57"/>
      <c r="C543" s="107"/>
      <c r="D543" s="57"/>
      <c r="F543" s="59"/>
      <c r="H543" s="59"/>
      <c r="J543" s="59"/>
      <c r="L543" s="59"/>
      <c r="N543" s="59"/>
      <c r="P543" s="59"/>
      <c r="Q543" s="61"/>
    </row>
    <row r="544">
      <c r="B544" s="57"/>
      <c r="C544" s="107"/>
      <c r="D544" s="57"/>
      <c r="F544" s="59"/>
      <c r="H544" s="59"/>
      <c r="J544" s="59"/>
      <c r="L544" s="59"/>
      <c r="N544" s="59"/>
      <c r="P544" s="59"/>
      <c r="Q544" s="61"/>
    </row>
    <row r="545">
      <c r="B545" s="57"/>
      <c r="C545" s="107"/>
      <c r="D545" s="57"/>
      <c r="F545" s="59"/>
      <c r="H545" s="59"/>
      <c r="J545" s="59"/>
      <c r="L545" s="59"/>
      <c r="N545" s="59"/>
      <c r="P545" s="59"/>
      <c r="Q545" s="61"/>
    </row>
    <row r="546">
      <c r="B546" s="57"/>
      <c r="C546" s="107"/>
      <c r="D546" s="57"/>
      <c r="F546" s="59"/>
      <c r="H546" s="59"/>
      <c r="J546" s="59"/>
      <c r="L546" s="59"/>
      <c r="N546" s="59"/>
      <c r="P546" s="59"/>
      <c r="Q546" s="61"/>
    </row>
    <row r="547">
      <c r="B547" s="57"/>
      <c r="C547" s="107"/>
      <c r="D547" s="57"/>
      <c r="F547" s="59"/>
      <c r="H547" s="59"/>
      <c r="J547" s="59"/>
      <c r="L547" s="59"/>
      <c r="N547" s="59"/>
      <c r="P547" s="59"/>
      <c r="Q547" s="61"/>
    </row>
    <row r="548">
      <c r="B548" s="57"/>
      <c r="C548" s="107"/>
      <c r="D548" s="57"/>
      <c r="F548" s="59"/>
      <c r="H548" s="59"/>
      <c r="J548" s="59"/>
      <c r="L548" s="59"/>
      <c r="N548" s="59"/>
      <c r="P548" s="59"/>
      <c r="Q548" s="61"/>
    </row>
    <row r="549">
      <c r="B549" s="57"/>
      <c r="C549" s="107"/>
      <c r="D549" s="57"/>
      <c r="F549" s="59"/>
      <c r="H549" s="59"/>
      <c r="J549" s="59"/>
      <c r="L549" s="59"/>
      <c r="N549" s="59"/>
      <c r="P549" s="59"/>
      <c r="Q549" s="61"/>
    </row>
    <row r="550">
      <c r="B550" s="57"/>
      <c r="C550" s="107"/>
      <c r="D550" s="57"/>
      <c r="F550" s="59"/>
      <c r="H550" s="59"/>
      <c r="J550" s="59"/>
      <c r="L550" s="59"/>
      <c r="N550" s="59"/>
      <c r="P550" s="59"/>
      <c r="Q550" s="61"/>
    </row>
    <row r="551">
      <c r="B551" s="57"/>
      <c r="C551" s="107"/>
      <c r="D551" s="57"/>
      <c r="F551" s="59"/>
      <c r="H551" s="59"/>
      <c r="J551" s="59"/>
      <c r="L551" s="59"/>
      <c r="N551" s="59"/>
      <c r="P551" s="59"/>
      <c r="Q551" s="61"/>
    </row>
    <row r="552">
      <c r="B552" s="57"/>
      <c r="C552" s="107"/>
      <c r="D552" s="57"/>
      <c r="F552" s="59"/>
      <c r="H552" s="59"/>
      <c r="J552" s="59"/>
      <c r="L552" s="59"/>
      <c r="N552" s="59"/>
      <c r="P552" s="59"/>
      <c r="Q552" s="61"/>
    </row>
    <row r="553">
      <c r="B553" s="57"/>
      <c r="C553" s="107"/>
      <c r="D553" s="57"/>
      <c r="F553" s="59"/>
      <c r="H553" s="59"/>
      <c r="J553" s="59"/>
      <c r="L553" s="59"/>
      <c r="N553" s="59"/>
      <c r="P553" s="59"/>
      <c r="Q553" s="61"/>
    </row>
    <row r="554">
      <c r="B554" s="57"/>
      <c r="C554" s="107"/>
      <c r="D554" s="57"/>
      <c r="F554" s="59"/>
      <c r="H554" s="59"/>
      <c r="J554" s="59"/>
      <c r="L554" s="59"/>
      <c r="N554" s="59"/>
      <c r="P554" s="59"/>
      <c r="Q554" s="61"/>
    </row>
    <row r="555">
      <c r="B555" s="57"/>
      <c r="C555" s="107"/>
      <c r="D555" s="57"/>
      <c r="F555" s="59"/>
      <c r="H555" s="59"/>
      <c r="J555" s="59"/>
      <c r="L555" s="59"/>
      <c r="N555" s="59"/>
      <c r="P555" s="59"/>
      <c r="Q555" s="61"/>
    </row>
    <row r="556">
      <c r="B556" s="57"/>
      <c r="C556" s="107"/>
      <c r="D556" s="57"/>
      <c r="F556" s="59"/>
      <c r="H556" s="59"/>
      <c r="J556" s="59"/>
      <c r="L556" s="59"/>
      <c r="N556" s="59"/>
      <c r="P556" s="59"/>
      <c r="Q556" s="61"/>
    </row>
    <row r="557">
      <c r="B557" s="57"/>
      <c r="C557" s="107"/>
      <c r="D557" s="57"/>
      <c r="F557" s="59"/>
      <c r="H557" s="59"/>
      <c r="J557" s="59"/>
      <c r="L557" s="59"/>
      <c r="N557" s="59"/>
      <c r="P557" s="59"/>
      <c r="Q557" s="61"/>
    </row>
    <row r="558">
      <c r="B558" s="57"/>
      <c r="C558" s="107"/>
      <c r="D558" s="57"/>
      <c r="F558" s="59"/>
      <c r="H558" s="59"/>
      <c r="J558" s="59"/>
      <c r="L558" s="59"/>
      <c r="N558" s="59"/>
      <c r="P558" s="59"/>
      <c r="Q558" s="61"/>
    </row>
    <row r="559">
      <c r="B559" s="57"/>
      <c r="C559" s="107"/>
      <c r="D559" s="57"/>
      <c r="F559" s="59"/>
      <c r="H559" s="59"/>
      <c r="J559" s="59"/>
      <c r="L559" s="59"/>
      <c r="N559" s="59"/>
      <c r="P559" s="59"/>
      <c r="Q559" s="61"/>
    </row>
    <row r="560">
      <c r="B560" s="57"/>
      <c r="C560" s="107"/>
      <c r="D560" s="57"/>
      <c r="F560" s="59"/>
      <c r="H560" s="59"/>
      <c r="J560" s="59"/>
      <c r="L560" s="59"/>
      <c r="N560" s="59"/>
      <c r="P560" s="59"/>
      <c r="Q560" s="61"/>
    </row>
    <row r="561">
      <c r="B561" s="57"/>
      <c r="C561" s="107"/>
      <c r="D561" s="57"/>
      <c r="F561" s="59"/>
      <c r="H561" s="59"/>
      <c r="J561" s="59"/>
      <c r="L561" s="59"/>
      <c r="N561" s="59"/>
      <c r="P561" s="59"/>
      <c r="Q561" s="61"/>
    </row>
    <row r="562">
      <c r="B562" s="57"/>
      <c r="C562" s="107"/>
      <c r="D562" s="57"/>
      <c r="F562" s="59"/>
      <c r="H562" s="59"/>
      <c r="J562" s="59"/>
      <c r="L562" s="59"/>
      <c r="N562" s="59"/>
      <c r="P562" s="59"/>
      <c r="Q562" s="61"/>
    </row>
    <row r="563">
      <c r="B563" s="57"/>
      <c r="C563" s="107"/>
      <c r="D563" s="57"/>
      <c r="F563" s="59"/>
      <c r="H563" s="59"/>
      <c r="J563" s="59"/>
      <c r="L563" s="59"/>
      <c r="N563" s="59"/>
      <c r="P563" s="59"/>
      <c r="Q563" s="61"/>
    </row>
    <row r="564">
      <c r="B564" s="57"/>
      <c r="C564" s="107"/>
      <c r="D564" s="57"/>
      <c r="F564" s="59"/>
      <c r="H564" s="59"/>
      <c r="J564" s="59"/>
      <c r="L564" s="59"/>
      <c r="N564" s="59"/>
      <c r="P564" s="59"/>
      <c r="Q564" s="61"/>
    </row>
    <row r="565">
      <c r="B565" s="57"/>
      <c r="C565" s="107"/>
      <c r="D565" s="57"/>
      <c r="F565" s="59"/>
      <c r="H565" s="59"/>
      <c r="J565" s="59"/>
      <c r="L565" s="59"/>
      <c r="N565" s="59"/>
      <c r="P565" s="59"/>
      <c r="Q565" s="61"/>
    </row>
    <row r="566">
      <c r="B566" s="57"/>
      <c r="C566" s="107"/>
      <c r="D566" s="57"/>
      <c r="F566" s="59"/>
      <c r="H566" s="59"/>
      <c r="J566" s="59"/>
      <c r="L566" s="59"/>
      <c r="N566" s="59"/>
      <c r="P566" s="59"/>
      <c r="Q566" s="61"/>
    </row>
    <row r="567">
      <c r="B567" s="57"/>
      <c r="C567" s="107"/>
      <c r="D567" s="57"/>
      <c r="F567" s="59"/>
      <c r="H567" s="59"/>
      <c r="J567" s="59"/>
      <c r="L567" s="59"/>
      <c r="N567" s="59"/>
      <c r="P567" s="59"/>
      <c r="Q567" s="61"/>
    </row>
    <row r="568">
      <c r="B568" s="57"/>
      <c r="C568" s="107"/>
      <c r="D568" s="57"/>
      <c r="F568" s="59"/>
      <c r="H568" s="59"/>
      <c r="J568" s="59"/>
      <c r="L568" s="59"/>
      <c r="N568" s="59"/>
      <c r="P568" s="59"/>
      <c r="Q568" s="61"/>
    </row>
    <row r="569">
      <c r="B569" s="57"/>
      <c r="C569" s="107"/>
      <c r="D569" s="57"/>
      <c r="F569" s="59"/>
      <c r="H569" s="59"/>
      <c r="J569" s="59"/>
      <c r="L569" s="59"/>
      <c r="N569" s="59"/>
      <c r="P569" s="59"/>
      <c r="Q569" s="61"/>
    </row>
    <row r="570">
      <c r="B570" s="57"/>
      <c r="C570" s="107"/>
      <c r="D570" s="57"/>
      <c r="F570" s="59"/>
      <c r="H570" s="59"/>
      <c r="J570" s="59"/>
      <c r="L570" s="59"/>
      <c r="N570" s="59"/>
      <c r="P570" s="59"/>
      <c r="Q570" s="61"/>
    </row>
    <row r="571">
      <c r="B571" s="57"/>
      <c r="C571" s="107"/>
      <c r="D571" s="57"/>
      <c r="F571" s="59"/>
      <c r="H571" s="59"/>
      <c r="J571" s="59"/>
      <c r="L571" s="59"/>
      <c r="N571" s="59"/>
      <c r="P571" s="59"/>
      <c r="Q571" s="61"/>
    </row>
    <row r="572">
      <c r="B572" s="57"/>
      <c r="C572" s="107"/>
      <c r="D572" s="57"/>
      <c r="F572" s="59"/>
      <c r="H572" s="59"/>
      <c r="J572" s="59"/>
      <c r="L572" s="59"/>
      <c r="N572" s="59"/>
      <c r="P572" s="59"/>
      <c r="Q572" s="61"/>
    </row>
    <row r="573">
      <c r="B573" s="57"/>
      <c r="C573" s="107"/>
      <c r="D573" s="57"/>
      <c r="F573" s="59"/>
      <c r="H573" s="59"/>
      <c r="J573" s="59"/>
      <c r="L573" s="59"/>
      <c r="N573" s="59"/>
      <c r="P573" s="59"/>
      <c r="Q573" s="61"/>
    </row>
    <row r="574">
      <c r="B574" s="57"/>
      <c r="C574" s="107"/>
      <c r="D574" s="57"/>
      <c r="F574" s="59"/>
      <c r="H574" s="59"/>
      <c r="J574" s="59"/>
      <c r="L574" s="59"/>
      <c r="N574" s="59"/>
      <c r="P574" s="59"/>
      <c r="Q574" s="61"/>
    </row>
    <row r="575">
      <c r="B575" s="57"/>
      <c r="C575" s="107"/>
      <c r="D575" s="57"/>
      <c r="F575" s="59"/>
      <c r="H575" s="59"/>
      <c r="J575" s="59"/>
      <c r="L575" s="59"/>
      <c r="N575" s="59"/>
      <c r="P575" s="59"/>
      <c r="Q575" s="61"/>
    </row>
    <row r="576">
      <c r="B576" s="57"/>
      <c r="C576" s="107"/>
      <c r="D576" s="57"/>
      <c r="F576" s="59"/>
      <c r="H576" s="59"/>
      <c r="J576" s="59"/>
      <c r="L576" s="59"/>
      <c r="N576" s="59"/>
      <c r="P576" s="59"/>
      <c r="Q576" s="61"/>
    </row>
    <row r="577">
      <c r="B577" s="57"/>
      <c r="C577" s="107"/>
      <c r="D577" s="57"/>
      <c r="F577" s="59"/>
      <c r="H577" s="59"/>
      <c r="J577" s="59"/>
      <c r="L577" s="59"/>
      <c r="N577" s="59"/>
      <c r="P577" s="59"/>
      <c r="Q577" s="61"/>
    </row>
    <row r="578">
      <c r="B578" s="57"/>
      <c r="C578" s="107"/>
      <c r="D578" s="57"/>
      <c r="F578" s="59"/>
      <c r="H578" s="59"/>
      <c r="J578" s="59"/>
      <c r="L578" s="59"/>
      <c r="N578" s="59"/>
      <c r="P578" s="59"/>
      <c r="Q578" s="61"/>
    </row>
    <row r="579">
      <c r="B579" s="57"/>
      <c r="C579" s="107"/>
      <c r="D579" s="57"/>
      <c r="F579" s="59"/>
      <c r="H579" s="59"/>
      <c r="J579" s="59"/>
      <c r="L579" s="59"/>
      <c r="N579" s="59"/>
      <c r="P579" s="59"/>
      <c r="Q579" s="61"/>
    </row>
    <row r="580">
      <c r="B580" s="57"/>
      <c r="C580" s="107"/>
      <c r="D580" s="57"/>
      <c r="F580" s="59"/>
      <c r="H580" s="59"/>
      <c r="J580" s="59"/>
      <c r="L580" s="59"/>
      <c r="N580" s="59"/>
      <c r="P580" s="59"/>
      <c r="Q580" s="61"/>
    </row>
    <row r="581">
      <c r="B581" s="57"/>
      <c r="C581" s="107"/>
      <c r="D581" s="57"/>
      <c r="F581" s="59"/>
      <c r="H581" s="59"/>
      <c r="J581" s="59"/>
      <c r="L581" s="59"/>
      <c r="N581" s="59"/>
      <c r="P581" s="59"/>
      <c r="Q581" s="61"/>
    </row>
    <row r="582">
      <c r="B582" s="57"/>
      <c r="C582" s="107"/>
      <c r="D582" s="57"/>
      <c r="F582" s="59"/>
      <c r="H582" s="59"/>
      <c r="J582" s="59"/>
      <c r="L582" s="59"/>
      <c r="N582" s="59"/>
      <c r="P582" s="59"/>
      <c r="Q582" s="61"/>
    </row>
    <row r="583">
      <c r="B583" s="57"/>
      <c r="C583" s="107"/>
      <c r="D583" s="57"/>
      <c r="F583" s="59"/>
      <c r="H583" s="59"/>
      <c r="J583" s="59"/>
      <c r="L583" s="59"/>
      <c r="N583" s="59"/>
      <c r="P583" s="59"/>
      <c r="Q583" s="61"/>
    </row>
    <row r="584">
      <c r="B584" s="57"/>
      <c r="C584" s="107"/>
      <c r="D584" s="57"/>
      <c r="F584" s="59"/>
      <c r="H584" s="59"/>
      <c r="J584" s="59"/>
      <c r="L584" s="59"/>
      <c r="N584" s="59"/>
      <c r="P584" s="59"/>
      <c r="Q584" s="61"/>
    </row>
    <row r="585">
      <c r="B585" s="57"/>
      <c r="C585" s="107"/>
      <c r="D585" s="57"/>
      <c r="F585" s="59"/>
      <c r="H585" s="59"/>
      <c r="J585" s="59"/>
      <c r="L585" s="59"/>
      <c r="N585" s="59"/>
      <c r="P585" s="59"/>
      <c r="Q585" s="61"/>
    </row>
    <row r="586">
      <c r="B586" s="57"/>
      <c r="C586" s="107"/>
      <c r="D586" s="57"/>
      <c r="F586" s="59"/>
      <c r="H586" s="59"/>
      <c r="J586" s="59"/>
      <c r="L586" s="59"/>
      <c r="N586" s="59"/>
      <c r="P586" s="59"/>
      <c r="Q586" s="61"/>
    </row>
    <row r="587">
      <c r="B587" s="57"/>
      <c r="C587" s="107"/>
      <c r="D587" s="57"/>
      <c r="F587" s="59"/>
      <c r="H587" s="59"/>
      <c r="J587" s="59"/>
      <c r="L587" s="59"/>
      <c r="N587" s="59"/>
      <c r="P587" s="59"/>
      <c r="Q587" s="61"/>
    </row>
    <row r="588">
      <c r="B588" s="57"/>
      <c r="C588" s="107"/>
      <c r="D588" s="57"/>
      <c r="F588" s="59"/>
      <c r="H588" s="59"/>
      <c r="J588" s="59"/>
      <c r="L588" s="59"/>
      <c r="N588" s="59"/>
      <c r="P588" s="59"/>
      <c r="Q588" s="61"/>
    </row>
    <row r="589">
      <c r="B589" s="57"/>
      <c r="C589" s="107"/>
      <c r="D589" s="57"/>
      <c r="F589" s="59"/>
      <c r="H589" s="59"/>
      <c r="J589" s="59"/>
      <c r="L589" s="59"/>
      <c r="N589" s="59"/>
      <c r="P589" s="59"/>
      <c r="Q589" s="61"/>
    </row>
    <row r="590">
      <c r="B590" s="57"/>
      <c r="C590" s="107"/>
      <c r="D590" s="57"/>
      <c r="F590" s="59"/>
      <c r="H590" s="59"/>
      <c r="J590" s="59"/>
      <c r="L590" s="59"/>
      <c r="N590" s="59"/>
      <c r="P590" s="59"/>
      <c r="Q590" s="61"/>
    </row>
    <row r="591">
      <c r="B591" s="57"/>
      <c r="C591" s="107"/>
      <c r="D591" s="57"/>
      <c r="F591" s="59"/>
      <c r="H591" s="59"/>
      <c r="J591" s="59"/>
      <c r="L591" s="59"/>
      <c r="N591" s="59"/>
      <c r="P591" s="59"/>
      <c r="Q591" s="61"/>
    </row>
    <row r="592">
      <c r="B592" s="57"/>
      <c r="C592" s="107"/>
      <c r="D592" s="57"/>
      <c r="F592" s="59"/>
      <c r="H592" s="59"/>
      <c r="J592" s="59"/>
      <c r="L592" s="59"/>
      <c r="N592" s="59"/>
      <c r="P592" s="59"/>
      <c r="Q592" s="61"/>
    </row>
    <row r="593">
      <c r="B593" s="57"/>
      <c r="C593" s="107"/>
      <c r="D593" s="57"/>
      <c r="F593" s="59"/>
      <c r="H593" s="59"/>
      <c r="J593" s="59"/>
      <c r="L593" s="59"/>
      <c r="N593" s="59"/>
      <c r="P593" s="59"/>
      <c r="Q593" s="61"/>
    </row>
    <row r="594">
      <c r="B594" s="57"/>
      <c r="C594" s="107"/>
      <c r="D594" s="57"/>
      <c r="F594" s="59"/>
      <c r="H594" s="59"/>
      <c r="J594" s="59"/>
      <c r="L594" s="59"/>
      <c r="N594" s="59"/>
      <c r="P594" s="59"/>
      <c r="Q594" s="61"/>
    </row>
    <row r="595">
      <c r="B595" s="57"/>
      <c r="C595" s="107"/>
      <c r="D595" s="57"/>
      <c r="F595" s="59"/>
      <c r="H595" s="59"/>
      <c r="J595" s="59"/>
      <c r="L595" s="59"/>
      <c r="N595" s="59"/>
      <c r="P595" s="59"/>
      <c r="Q595" s="61"/>
    </row>
    <row r="596">
      <c r="B596" s="57"/>
      <c r="C596" s="107"/>
      <c r="D596" s="57"/>
      <c r="F596" s="59"/>
      <c r="H596" s="59"/>
      <c r="J596" s="59"/>
      <c r="L596" s="59"/>
      <c r="N596" s="59"/>
      <c r="P596" s="59"/>
      <c r="Q596" s="61"/>
    </row>
    <row r="597">
      <c r="B597" s="57"/>
      <c r="C597" s="107"/>
      <c r="D597" s="57"/>
      <c r="F597" s="59"/>
      <c r="H597" s="59"/>
      <c r="J597" s="59"/>
      <c r="L597" s="59"/>
      <c r="N597" s="59"/>
      <c r="P597" s="59"/>
      <c r="Q597" s="61"/>
    </row>
    <row r="598">
      <c r="B598" s="57"/>
      <c r="C598" s="107"/>
      <c r="D598" s="57"/>
      <c r="F598" s="59"/>
      <c r="H598" s="59"/>
      <c r="J598" s="59"/>
      <c r="L598" s="59"/>
      <c r="N598" s="59"/>
      <c r="P598" s="59"/>
      <c r="Q598" s="61"/>
    </row>
    <row r="599">
      <c r="B599" s="57"/>
      <c r="C599" s="107"/>
      <c r="D599" s="57"/>
      <c r="F599" s="59"/>
      <c r="H599" s="59"/>
      <c r="J599" s="59"/>
      <c r="L599" s="59"/>
      <c r="N599" s="59"/>
      <c r="P599" s="59"/>
      <c r="Q599" s="61"/>
    </row>
    <row r="600">
      <c r="B600" s="57"/>
      <c r="C600" s="107"/>
      <c r="D600" s="57"/>
      <c r="F600" s="59"/>
      <c r="H600" s="59"/>
      <c r="J600" s="59"/>
      <c r="L600" s="59"/>
      <c r="N600" s="59"/>
      <c r="P600" s="59"/>
      <c r="Q600" s="61"/>
    </row>
    <row r="601">
      <c r="B601" s="57"/>
      <c r="C601" s="107"/>
      <c r="D601" s="57"/>
      <c r="F601" s="59"/>
      <c r="H601" s="59"/>
      <c r="J601" s="59"/>
      <c r="L601" s="59"/>
      <c r="N601" s="59"/>
      <c r="P601" s="59"/>
      <c r="Q601" s="61"/>
    </row>
    <row r="602">
      <c r="B602" s="57"/>
      <c r="C602" s="107"/>
      <c r="D602" s="57"/>
      <c r="F602" s="59"/>
      <c r="H602" s="59"/>
      <c r="J602" s="59"/>
      <c r="L602" s="59"/>
      <c r="N602" s="59"/>
      <c r="P602" s="59"/>
      <c r="Q602" s="61"/>
    </row>
    <row r="603">
      <c r="B603" s="57"/>
      <c r="C603" s="107"/>
      <c r="D603" s="57"/>
      <c r="F603" s="59"/>
      <c r="H603" s="59"/>
      <c r="J603" s="59"/>
      <c r="L603" s="59"/>
      <c r="N603" s="59"/>
      <c r="P603" s="59"/>
      <c r="Q603" s="61"/>
    </row>
    <row r="604">
      <c r="B604" s="57"/>
      <c r="C604" s="107"/>
      <c r="D604" s="57"/>
      <c r="F604" s="59"/>
      <c r="H604" s="59"/>
      <c r="J604" s="59"/>
      <c r="L604" s="59"/>
      <c r="N604" s="59"/>
      <c r="P604" s="59"/>
      <c r="Q604" s="61"/>
    </row>
    <row r="605">
      <c r="B605" s="57"/>
      <c r="C605" s="107"/>
      <c r="D605" s="57"/>
      <c r="F605" s="59"/>
      <c r="H605" s="59"/>
      <c r="J605" s="59"/>
      <c r="L605" s="59"/>
      <c r="N605" s="59"/>
      <c r="P605" s="59"/>
      <c r="Q605" s="61"/>
    </row>
    <row r="606">
      <c r="B606" s="57"/>
      <c r="C606" s="107"/>
      <c r="D606" s="57"/>
      <c r="F606" s="59"/>
      <c r="H606" s="59"/>
      <c r="J606" s="59"/>
      <c r="L606" s="59"/>
      <c r="N606" s="59"/>
      <c r="P606" s="59"/>
      <c r="Q606" s="61"/>
    </row>
    <row r="607">
      <c r="B607" s="57"/>
      <c r="C607" s="107"/>
      <c r="D607" s="57"/>
      <c r="F607" s="59"/>
      <c r="H607" s="59"/>
      <c r="J607" s="59"/>
      <c r="L607" s="59"/>
      <c r="N607" s="59"/>
      <c r="P607" s="59"/>
      <c r="Q607" s="61"/>
    </row>
    <row r="608">
      <c r="B608" s="57"/>
      <c r="C608" s="107"/>
      <c r="D608" s="57"/>
      <c r="F608" s="59"/>
      <c r="H608" s="59"/>
      <c r="J608" s="59"/>
      <c r="L608" s="59"/>
      <c r="N608" s="59"/>
      <c r="P608" s="59"/>
      <c r="Q608" s="61"/>
    </row>
    <row r="609">
      <c r="B609" s="57"/>
      <c r="C609" s="107"/>
      <c r="D609" s="57"/>
      <c r="F609" s="59"/>
      <c r="H609" s="59"/>
      <c r="J609" s="59"/>
      <c r="L609" s="59"/>
      <c r="N609" s="59"/>
      <c r="P609" s="59"/>
      <c r="Q609" s="61"/>
    </row>
    <row r="610">
      <c r="B610" s="57"/>
      <c r="C610" s="107"/>
      <c r="D610" s="57"/>
      <c r="F610" s="59"/>
      <c r="H610" s="59"/>
      <c r="J610" s="59"/>
      <c r="L610" s="59"/>
      <c r="N610" s="59"/>
      <c r="P610" s="59"/>
      <c r="Q610" s="61"/>
    </row>
    <row r="611">
      <c r="B611" s="57"/>
      <c r="C611" s="107"/>
      <c r="D611" s="57"/>
      <c r="F611" s="59"/>
      <c r="H611" s="59"/>
      <c r="J611" s="59"/>
      <c r="L611" s="59"/>
      <c r="N611" s="59"/>
      <c r="P611" s="59"/>
      <c r="Q611" s="61"/>
    </row>
    <row r="612">
      <c r="B612" s="57"/>
      <c r="C612" s="107"/>
      <c r="D612" s="57"/>
      <c r="F612" s="59"/>
      <c r="H612" s="59"/>
      <c r="J612" s="59"/>
      <c r="L612" s="59"/>
      <c r="N612" s="59"/>
      <c r="P612" s="59"/>
      <c r="Q612" s="61"/>
    </row>
    <row r="613">
      <c r="B613" s="57"/>
      <c r="C613" s="107"/>
      <c r="D613" s="57"/>
      <c r="F613" s="59"/>
      <c r="H613" s="59"/>
      <c r="J613" s="59"/>
      <c r="L613" s="59"/>
      <c r="N613" s="59"/>
      <c r="P613" s="59"/>
      <c r="Q613" s="61"/>
    </row>
    <row r="614">
      <c r="B614" s="57"/>
      <c r="C614" s="107"/>
      <c r="D614" s="57"/>
      <c r="F614" s="59"/>
      <c r="H614" s="59"/>
      <c r="J614" s="59"/>
      <c r="L614" s="59"/>
      <c r="N614" s="59"/>
      <c r="P614" s="59"/>
      <c r="Q614" s="61"/>
    </row>
    <row r="615">
      <c r="B615" s="57"/>
      <c r="C615" s="107"/>
      <c r="D615" s="57"/>
      <c r="F615" s="59"/>
      <c r="H615" s="59"/>
      <c r="J615" s="59"/>
      <c r="L615" s="59"/>
      <c r="N615" s="59"/>
      <c r="P615" s="59"/>
      <c r="Q615" s="61"/>
    </row>
    <row r="616">
      <c r="B616" s="57"/>
      <c r="C616" s="107"/>
      <c r="D616" s="57"/>
      <c r="F616" s="59"/>
      <c r="H616" s="59"/>
      <c r="J616" s="59"/>
      <c r="L616" s="59"/>
      <c r="N616" s="59"/>
      <c r="P616" s="59"/>
      <c r="Q616" s="61"/>
    </row>
    <row r="617">
      <c r="B617" s="57"/>
      <c r="C617" s="107"/>
      <c r="D617" s="57"/>
      <c r="F617" s="59"/>
      <c r="H617" s="59"/>
      <c r="J617" s="59"/>
      <c r="L617" s="59"/>
      <c r="N617" s="59"/>
      <c r="P617" s="59"/>
      <c r="Q617" s="61"/>
    </row>
    <row r="618">
      <c r="B618" s="57"/>
      <c r="C618" s="107"/>
      <c r="D618" s="57"/>
      <c r="F618" s="59"/>
      <c r="H618" s="59"/>
      <c r="J618" s="59"/>
      <c r="L618" s="59"/>
      <c r="N618" s="59"/>
      <c r="P618" s="59"/>
      <c r="Q618" s="61"/>
    </row>
    <row r="619">
      <c r="B619" s="57"/>
      <c r="C619" s="107"/>
      <c r="D619" s="57"/>
      <c r="F619" s="59"/>
      <c r="H619" s="59"/>
      <c r="J619" s="59"/>
      <c r="L619" s="59"/>
      <c r="N619" s="59"/>
      <c r="P619" s="59"/>
      <c r="Q619" s="61"/>
    </row>
    <row r="620">
      <c r="B620" s="57"/>
      <c r="C620" s="107"/>
      <c r="D620" s="57"/>
      <c r="F620" s="59"/>
      <c r="H620" s="59"/>
      <c r="J620" s="59"/>
      <c r="L620" s="59"/>
      <c r="N620" s="59"/>
      <c r="P620" s="59"/>
      <c r="Q620" s="61"/>
    </row>
    <row r="621">
      <c r="B621" s="57"/>
      <c r="C621" s="107"/>
      <c r="D621" s="57"/>
      <c r="F621" s="59"/>
      <c r="H621" s="59"/>
      <c r="J621" s="59"/>
      <c r="L621" s="59"/>
      <c r="N621" s="59"/>
      <c r="P621" s="59"/>
      <c r="Q621" s="61"/>
    </row>
    <row r="622">
      <c r="B622" s="57"/>
      <c r="C622" s="107"/>
      <c r="D622" s="57"/>
      <c r="F622" s="59"/>
      <c r="H622" s="59"/>
      <c r="J622" s="59"/>
      <c r="L622" s="59"/>
      <c r="N622" s="59"/>
      <c r="P622" s="59"/>
      <c r="Q622" s="61"/>
    </row>
    <row r="623">
      <c r="B623" s="57"/>
      <c r="C623" s="107"/>
      <c r="D623" s="57"/>
      <c r="F623" s="59"/>
      <c r="H623" s="59"/>
      <c r="J623" s="59"/>
      <c r="L623" s="59"/>
      <c r="N623" s="59"/>
      <c r="P623" s="59"/>
      <c r="Q623" s="61"/>
    </row>
    <row r="624">
      <c r="B624" s="57"/>
      <c r="C624" s="107"/>
      <c r="D624" s="57"/>
      <c r="F624" s="59"/>
      <c r="H624" s="59"/>
      <c r="J624" s="59"/>
      <c r="L624" s="59"/>
      <c r="N624" s="59"/>
      <c r="P624" s="59"/>
      <c r="Q624" s="61"/>
    </row>
    <row r="625">
      <c r="B625" s="57"/>
      <c r="C625" s="107"/>
      <c r="D625" s="57"/>
      <c r="F625" s="59"/>
      <c r="H625" s="59"/>
      <c r="J625" s="59"/>
      <c r="L625" s="59"/>
      <c r="N625" s="59"/>
      <c r="P625" s="59"/>
      <c r="Q625" s="61"/>
    </row>
    <row r="626">
      <c r="B626" s="57"/>
      <c r="C626" s="107"/>
      <c r="D626" s="57"/>
      <c r="F626" s="59"/>
      <c r="H626" s="59"/>
      <c r="J626" s="59"/>
      <c r="L626" s="59"/>
      <c r="N626" s="59"/>
      <c r="P626" s="59"/>
      <c r="Q626" s="61"/>
    </row>
    <row r="627">
      <c r="B627" s="57"/>
      <c r="C627" s="107"/>
      <c r="D627" s="57"/>
      <c r="F627" s="59"/>
      <c r="H627" s="59"/>
      <c r="J627" s="59"/>
      <c r="L627" s="59"/>
      <c r="N627" s="59"/>
      <c r="P627" s="59"/>
      <c r="Q627" s="61"/>
    </row>
    <row r="628">
      <c r="B628" s="57"/>
      <c r="C628" s="107"/>
      <c r="D628" s="57"/>
      <c r="F628" s="59"/>
      <c r="H628" s="59"/>
      <c r="J628" s="59"/>
      <c r="L628" s="59"/>
      <c r="N628" s="59"/>
      <c r="P628" s="59"/>
      <c r="Q628" s="61"/>
    </row>
    <row r="629">
      <c r="B629" s="57"/>
      <c r="C629" s="107"/>
      <c r="D629" s="57"/>
      <c r="F629" s="59"/>
      <c r="H629" s="59"/>
      <c r="J629" s="59"/>
      <c r="L629" s="59"/>
      <c r="N629" s="59"/>
      <c r="P629" s="59"/>
      <c r="Q629" s="61"/>
    </row>
    <row r="630">
      <c r="B630" s="57"/>
      <c r="C630" s="107"/>
      <c r="D630" s="57"/>
      <c r="F630" s="59"/>
      <c r="H630" s="59"/>
      <c r="J630" s="59"/>
      <c r="L630" s="59"/>
      <c r="N630" s="59"/>
      <c r="P630" s="59"/>
      <c r="Q630" s="61"/>
    </row>
    <row r="631">
      <c r="B631" s="57"/>
      <c r="C631" s="107"/>
      <c r="D631" s="57"/>
      <c r="F631" s="59"/>
      <c r="H631" s="59"/>
      <c r="J631" s="59"/>
      <c r="L631" s="59"/>
      <c r="N631" s="59"/>
      <c r="P631" s="59"/>
      <c r="Q631" s="61"/>
    </row>
    <row r="632">
      <c r="B632" s="57"/>
      <c r="C632" s="107"/>
      <c r="D632" s="57"/>
      <c r="F632" s="59"/>
      <c r="H632" s="59"/>
      <c r="J632" s="59"/>
      <c r="L632" s="59"/>
      <c r="N632" s="59"/>
      <c r="P632" s="59"/>
      <c r="Q632" s="61"/>
    </row>
    <row r="633">
      <c r="B633" s="57"/>
      <c r="C633" s="107"/>
      <c r="D633" s="57"/>
      <c r="F633" s="59"/>
      <c r="H633" s="59"/>
      <c r="J633" s="59"/>
      <c r="L633" s="59"/>
      <c r="N633" s="59"/>
      <c r="P633" s="59"/>
      <c r="Q633" s="61"/>
    </row>
    <row r="634">
      <c r="B634" s="57"/>
      <c r="C634" s="107"/>
      <c r="D634" s="57"/>
      <c r="F634" s="59"/>
      <c r="H634" s="59"/>
      <c r="J634" s="59"/>
      <c r="L634" s="59"/>
      <c r="N634" s="59"/>
      <c r="P634" s="59"/>
      <c r="Q634" s="61"/>
    </row>
    <row r="635">
      <c r="B635" s="57"/>
      <c r="C635" s="107"/>
      <c r="D635" s="57"/>
      <c r="F635" s="59"/>
      <c r="H635" s="59"/>
      <c r="J635" s="59"/>
      <c r="L635" s="59"/>
      <c r="N635" s="59"/>
      <c r="P635" s="59"/>
      <c r="Q635" s="61"/>
    </row>
    <row r="636">
      <c r="B636" s="57"/>
      <c r="C636" s="107"/>
      <c r="D636" s="57"/>
      <c r="F636" s="59"/>
      <c r="H636" s="59"/>
      <c r="J636" s="59"/>
      <c r="L636" s="59"/>
      <c r="N636" s="59"/>
      <c r="P636" s="59"/>
      <c r="Q636" s="61"/>
    </row>
    <row r="637">
      <c r="B637" s="57"/>
      <c r="C637" s="107"/>
      <c r="D637" s="57"/>
      <c r="F637" s="59"/>
      <c r="H637" s="59"/>
      <c r="J637" s="59"/>
      <c r="L637" s="59"/>
      <c r="N637" s="59"/>
      <c r="P637" s="59"/>
      <c r="Q637" s="61"/>
    </row>
    <row r="638">
      <c r="B638" s="57"/>
      <c r="C638" s="107"/>
      <c r="D638" s="57"/>
      <c r="F638" s="59"/>
      <c r="H638" s="59"/>
      <c r="J638" s="59"/>
      <c r="L638" s="59"/>
      <c r="N638" s="59"/>
      <c r="P638" s="59"/>
      <c r="Q638" s="61"/>
    </row>
    <row r="639">
      <c r="B639" s="57"/>
      <c r="C639" s="107"/>
      <c r="D639" s="57"/>
      <c r="F639" s="59"/>
      <c r="H639" s="59"/>
      <c r="J639" s="59"/>
      <c r="L639" s="59"/>
      <c r="N639" s="59"/>
      <c r="P639" s="59"/>
      <c r="Q639" s="61"/>
    </row>
    <row r="640">
      <c r="B640" s="57"/>
      <c r="C640" s="107"/>
      <c r="D640" s="57"/>
      <c r="F640" s="59"/>
      <c r="H640" s="59"/>
      <c r="J640" s="59"/>
      <c r="L640" s="59"/>
      <c r="N640" s="59"/>
      <c r="P640" s="59"/>
      <c r="Q640" s="61"/>
    </row>
    <row r="641">
      <c r="B641" s="57"/>
      <c r="C641" s="107"/>
      <c r="D641" s="57"/>
      <c r="F641" s="59"/>
      <c r="H641" s="59"/>
      <c r="J641" s="59"/>
      <c r="L641" s="59"/>
      <c r="N641" s="59"/>
      <c r="P641" s="59"/>
      <c r="Q641" s="61"/>
    </row>
    <row r="642">
      <c r="B642" s="57"/>
      <c r="C642" s="107"/>
      <c r="D642" s="57"/>
      <c r="F642" s="59"/>
      <c r="H642" s="59"/>
      <c r="J642" s="59"/>
      <c r="L642" s="59"/>
      <c r="N642" s="59"/>
      <c r="P642" s="59"/>
      <c r="Q642" s="61"/>
    </row>
    <row r="643">
      <c r="B643" s="57"/>
      <c r="C643" s="107"/>
      <c r="D643" s="57"/>
      <c r="F643" s="59"/>
      <c r="H643" s="59"/>
      <c r="J643" s="59"/>
      <c r="L643" s="59"/>
      <c r="N643" s="59"/>
      <c r="P643" s="59"/>
      <c r="Q643" s="61"/>
    </row>
    <row r="644">
      <c r="B644" s="57"/>
      <c r="C644" s="107"/>
      <c r="D644" s="57"/>
      <c r="F644" s="59"/>
      <c r="H644" s="59"/>
      <c r="J644" s="59"/>
      <c r="L644" s="59"/>
      <c r="N644" s="59"/>
      <c r="P644" s="59"/>
      <c r="Q644" s="61"/>
    </row>
    <row r="645">
      <c r="B645" s="57"/>
      <c r="C645" s="107"/>
      <c r="D645" s="57"/>
      <c r="F645" s="59"/>
      <c r="H645" s="59"/>
      <c r="J645" s="59"/>
      <c r="L645" s="59"/>
      <c r="N645" s="59"/>
      <c r="P645" s="59"/>
      <c r="Q645" s="61"/>
    </row>
    <row r="646">
      <c r="B646" s="57"/>
      <c r="C646" s="107"/>
      <c r="D646" s="57"/>
      <c r="F646" s="59"/>
      <c r="H646" s="59"/>
      <c r="J646" s="59"/>
      <c r="L646" s="59"/>
      <c r="N646" s="59"/>
      <c r="P646" s="59"/>
      <c r="Q646" s="61"/>
    </row>
    <row r="647">
      <c r="B647" s="57"/>
      <c r="C647" s="107"/>
      <c r="D647" s="57"/>
      <c r="F647" s="59"/>
      <c r="H647" s="59"/>
      <c r="J647" s="59"/>
      <c r="L647" s="59"/>
      <c r="N647" s="59"/>
      <c r="P647" s="59"/>
      <c r="Q647" s="61"/>
    </row>
    <row r="648">
      <c r="B648" s="57"/>
      <c r="C648" s="107"/>
      <c r="D648" s="57"/>
      <c r="F648" s="59"/>
      <c r="H648" s="59"/>
      <c r="J648" s="59"/>
      <c r="L648" s="59"/>
      <c r="N648" s="59"/>
      <c r="P648" s="59"/>
      <c r="Q648" s="61"/>
    </row>
    <row r="649">
      <c r="B649" s="57"/>
      <c r="C649" s="107"/>
      <c r="D649" s="57"/>
      <c r="F649" s="59"/>
      <c r="H649" s="59"/>
      <c r="J649" s="59"/>
      <c r="L649" s="59"/>
      <c r="N649" s="59"/>
      <c r="P649" s="59"/>
      <c r="Q649" s="61"/>
    </row>
    <row r="650">
      <c r="B650" s="57"/>
      <c r="C650" s="107"/>
      <c r="D650" s="57"/>
      <c r="F650" s="59"/>
      <c r="H650" s="59"/>
      <c r="J650" s="59"/>
      <c r="L650" s="59"/>
      <c r="N650" s="59"/>
      <c r="P650" s="59"/>
      <c r="Q650" s="61"/>
    </row>
    <row r="651">
      <c r="B651" s="57"/>
      <c r="C651" s="107"/>
      <c r="D651" s="57"/>
      <c r="F651" s="59"/>
      <c r="H651" s="59"/>
      <c r="J651" s="59"/>
      <c r="L651" s="59"/>
      <c r="N651" s="59"/>
      <c r="P651" s="59"/>
      <c r="Q651" s="61"/>
    </row>
    <row r="652">
      <c r="B652" s="57"/>
      <c r="C652" s="107"/>
      <c r="D652" s="57"/>
      <c r="F652" s="59"/>
      <c r="H652" s="59"/>
      <c r="J652" s="59"/>
      <c r="L652" s="59"/>
      <c r="N652" s="59"/>
      <c r="P652" s="59"/>
      <c r="Q652" s="61"/>
    </row>
    <row r="653">
      <c r="B653" s="57"/>
      <c r="C653" s="107"/>
      <c r="D653" s="57"/>
      <c r="F653" s="59"/>
      <c r="H653" s="59"/>
      <c r="J653" s="59"/>
      <c r="L653" s="59"/>
      <c r="N653" s="59"/>
      <c r="P653" s="59"/>
      <c r="Q653" s="61"/>
    </row>
    <row r="654">
      <c r="B654" s="57"/>
      <c r="C654" s="107"/>
      <c r="D654" s="57"/>
      <c r="F654" s="59"/>
      <c r="H654" s="59"/>
      <c r="J654" s="59"/>
      <c r="L654" s="59"/>
      <c r="N654" s="59"/>
      <c r="P654" s="59"/>
      <c r="Q654" s="61"/>
    </row>
    <row r="655">
      <c r="B655" s="57"/>
      <c r="C655" s="107"/>
      <c r="D655" s="57"/>
      <c r="F655" s="59"/>
      <c r="H655" s="59"/>
      <c r="J655" s="59"/>
      <c r="L655" s="59"/>
      <c r="N655" s="59"/>
      <c r="P655" s="59"/>
      <c r="Q655" s="61"/>
    </row>
    <row r="656">
      <c r="B656" s="57"/>
      <c r="C656" s="107"/>
      <c r="D656" s="57"/>
      <c r="F656" s="59"/>
      <c r="H656" s="59"/>
      <c r="J656" s="59"/>
      <c r="L656" s="59"/>
      <c r="N656" s="59"/>
      <c r="P656" s="59"/>
      <c r="Q656" s="61"/>
    </row>
    <row r="657">
      <c r="B657" s="57"/>
      <c r="C657" s="107"/>
      <c r="D657" s="57"/>
      <c r="F657" s="59"/>
      <c r="H657" s="59"/>
      <c r="J657" s="59"/>
      <c r="L657" s="59"/>
      <c r="N657" s="59"/>
      <c r="P657" s="59"/>
      <c r="Q657" s="61"/>
    </row>
    <row r="658">
      <c r="B658" s="57"/>
      <c r="C658" s="107"/>
      <c r="D658" s="57"/>
      <c r="F658" s="59"/>
      <c r="H658" s="59"/>
      <c r="J658" s="59"/>
      <c r="L658" s="59"/>
      <c r="N658" s="59"/>
      <c r="P658" s="59"/>
      <c r="Q658" s="61"/>
    </row>
    <row r="659">
      <c r="B659" s="57"/>
      <c r="C659" s="107"/>
      <c r="D659" s="57"/>
      <c r="F659" s="59"/>
      <c r="H659" s="59"/>
      <c r="J659" s="59"/>
      <c r="L659" s="59"/>
      <c r="N659" s="59"/>
      <c r="P659" s="59"/>
      <c r="Q659" s="61"/>
    </row>
    <row r="660">
      <c r="B660" s="57"/>
      <c r="C660" s="107"/>
      <c r="D660" s="57"/>
      <c r="F660" s="59"/>
      <c r="H660" s="59"/>
      <c r="J660" s="59"/>
      <c r="L660" s="59"/>
      <c r="N660" s="59"/>
      <c r="P660" s="59"/>
      <c r="Q660" s="61"/>
    </row>
    <row r="661">
      <c r="B661" s="57"/>
      <c r="C661" s="107"/>
      <c r="D661" s="57"/>
      <c r="F661" s="59"/>
      <c r="H661" s="59"/>
      <c r="J661" s="59"/>
      <c r="L661" s="59"/>
      <c r="N661" s="59"/>
      <c r="P661" s="59"/>
      <c r="Q661" s="61"/>
    </row>
    <row r="662">
      <c r="B662" s="57"/>
      <c r="C662" s="107"/>
      <c r="D662" s="57"/>
      <c r="F662" s="59"/>
      <c r="H662" s="59"/>
      <c r="J662" s="59"/>
      <c r="L662" s="59"/>
      <c r="N662" s="59"/>
      <c r="P662" s="59"/>
      <c r="Q662" s="61"/>
    </row>
    <row r="663">
      <c r="B663" s="57"/>
      <c r="C663" s="107"/>
      <c r="D663" s="57"/>
      <c r="F663" s="59"/>
      <c r="H663" s="59"/>
      <c r="J663" s="59"/>
      <c r="L663" s="59"/>
      <c r="N663" s="59"/>
      <c r="P663" s="59"/>
      <c r="Q663" s="61"/>
    </row>
    <row r="664">
      <c r="B664" s="57"/>
      <c r="C664" s="107"/>
      <c r="D664" s="57"/>
      <c r="F664" s="59"/>
      <c r="H664" s="59"/>
      <c r="J664" s="59"/>
      <c r="L664" s="59"/>
      <c r="N664" s="59"/>
      <c r="P664" s="59"/>
      <c r="Q664" s="61"/>
    </row>
    <row r="665">
      <c r="B665" s="57"/>
      <c r="C665" s="107"/>
      <c r="D665" s="57"/>
      <c r="F665" s="59"/>
      <c r="H665" s="59"/>
      <c r="J665" s="59"/>
      <c r="L665" s="59"/>
      <c r="N665" s="59"/>
      <c r="P665" s="59"/>
      <c r="Q665" s="61"/>
    </row>
    <row r="666">
      <c r="B666" s="57"/>
      <c r="C666" s="107"/>
      <c r="D666" s="57"/>
      <c r="F666" s="59"/>
      <c r="H666" s="59"/>
      <c r="J666" s="59"/>
      <c r="L666" s="59"/>
      <c r="N666" s="59"/>
      <c r="P666" s="59"/>
      <c r="Q666" s="61"/>
    </row>
    <row r="667">
      <c r="B667" s="57"/>
      <c r="C667" s="107"/>
      <c r="D667" s="57"/>
      <c r="F667" s="59"/>
      <c r="H667" s="59"/>
      <c r="J667" s="59"/>
      <c r="L667" s="59"/>
      <c r="N667" s="59"/>
      <c r="P667" s="59"/>
      <c r="Q667" s="61"/>
    </row>
    <row r="668">
      <c r="B668" s="57"/>
      <c r="C668" s="107"/>
      <c r="D668" s="57"/>
      <c r="F668" s="59"/>
      <c r="H668" s="59"/>
      <c r="J668" s="59"/>
      <c r="L668" s="59"/>
      <c r="N668" s="59"/>
      <c r="P668" s="59"/>
      <c r="Q668" s="61"/>
    </row>
    <row r="669">
      <c r="B669" s="57"/>
      <c r="C669" s="107"/>
      <c r="D669" s="57"/>
      <c r="F669" s="59"/>
      <c r="H669" s="59"/>
      <c r="J669" s="59"/>
      <c r="L669" s="59"/>
      <c r="N669" s="59"/>
      <c r="P669" s="59"/>
      <c r="Q669" s="61"/>
    </row>
    <row r="670">
      <c r="B670" s="57"/>
      <c r="C670" s="107"/>
      <c r="D670" s="57"/>
      <c r="F670" s="59"/>
      <c r="H670" s="59"/>
      <c r="J670" s="59"/>
      <c r="L670" s="59"/>
      <c r="N670" s="59"/>
      <c r="P670" s="59"/>
      <c r="Q670" s="61"/>
    </row>
    <row r="671">
      <c r="B671" s="57"/>
      <c r="C671" s="107"/>
      <c r="D671" s="57"/>
      <c r="F671" s="59"/>
      <c r="H671" s="59"/>
      <c r="J671" s="59"/>
      <c r="L671" s="59"/>
      <c r="N671" s="59"/>
      <c r="P671" s="59"/>
      <c r="Q671" s="61"/>
    </row>
    <row r="672">
      <c r="B672" s="57"/>
      <c r="C672" s="107"/>
      <c r="D672" s="57"/>
      <c r="F672" s="59"/>
      <c r="H672" s="59"/>
      <c r="J672" s="59"/>
      <c r="L672" s="59"/>
      <c r="N672" s="59"/>
      <c r="P672" s="59"/>
      <c r="Q672" s="61"/>
    </row>
    <row r="673">
      <c r="B673" s="57"/>
      <c r="C673" s="107"/>
      <c r="D673" s="57"/>
      <c r="F673" s="59"/>
      <c r="H673" s="59"/>
      <c r="J673" s="59"/>
      <c r="L673" s="59"/>
      <c r="N673" s="59"/>
      <c r="P673" s="59"/>
      <c r="Q673" s="61"/>
    </row>
    <row r="674">
      <c r="B674" s="57"/>
      <c r="C674" s="107"/>
      <c r="D674" s="57"/>
      <c r="F674" s="59"/>
      <c r="H674" s="59"/>
      <c r="J674" s="59"/>
      <c r="L674" s="59"/>
      <c r="N674" s="59"/>
      <c r="P674" s="59"/>
      <c r="Q674" s="61"/>
    </row>
    <row r="675">
      <c r="B675" s="57"/>
      <c r="C675" s="107"/>
      <c r="D675" s="57"/>
      <c r="F675" s="59"/>
      <c r="H675" s="59"/>
      <c r="J675" s="59"/>
      <c r="L675" s="59"/>
      <c r="N675" s="59"/>
      <c r="P675" s="59"/>
      <c r="Q675" s="61"/>
    </row>
    <row r="676">
      <c r="B676" s="57"/>
      <c r="C676" s="107"/>
      <c r="D676" s="57"/>
      <c r="F676" s="59"/>
      <c r="H676" s="59"/>
      <c r="J676" s="59"/>
      <c r="L676" s="59"/>
      <c r="N676" s="59"/>
      <c r="P676" s="59"/>
      <c r="Q676" s="61"/>
    </row>
    <row r="677">
      <c r="B677" s="57"/>
      <c r="C677" s="107"/>
      <c r="D677" s="57"/>
      <c r="F677" s="59"/>
      <c r="H677" s="59"/>
      <c r="J677" s="59"/>
      <c r="L677" s="59"/>
      <c r="N677" s="59"/>
      <c r="P677" s="59"/>
      <c r="Q677" s="61"/>
    </row>
    <row r="678">
      <c r="B678" s="57"/>
      <c r="C678" s="107"/>
      <c r="D678" s="57"/>
      <c r="F678" s="59"/>
      <c r="H678" s="59"/>
      <c r="J678" s="59"/>
      <c r="L678" s="59"/>
      <c r="N678" s="59"/>
      <c r="P678" s="59"/>
      <c r="Q678" s="61"/>
    </row>
    <row r="679">
      <c r="B679" s="57"/>
      <c r="C679" s="107"/>
      <c r="D679" s="57"/>
      <c r="F679" s="59"/>
      <c r="H679" s="59"/>
      <c r="J679" s="59"/>
      <c r="L679" s="59"/>
      <c r="N679" s="59"/>
      <c r="P679" s="59"/>
      <c r="Q679" s="61"/>
    </row>
    <row r="680">
      <c r="B680" s="57"/>
      <c r="C680" s="107"/>
      <c r="D680" s="57"/>
      <c r="F680" s="59"/>
      <c r="H680" s="59"/>
      <c r="J680" s="59"/>
      <c r="L680" s="59"/>
      <c r="N680" s="59"/>
      <c r="P680" s="59"/>
      <c r="Q680" s="61"/>
    </row>
    <row r="681">
      <c r="B681" s="57"/>
      <c r="C681" s="107"/>
      <c r="D681" s="57"/>
      <c r="F681" s="59"/>
      <c r="H681" s="59"/>
      <c r="J681" s="59"/>
      <c r="L681" s="59"/>
      <c r="N681" s="59"/>
      <c r="P681" s="59"/>
      <c r="Q681" s="61"/>
    </row>
    <row r="682">
      <c r="B682" s="57"/>
      <c r="C682" s="107"/>
      <c r="D682" s="57"/>
      <c r="F682" s="59"/>
      <c r="H682" s="59"/>
      <c r="J682" s="59"/>
      <c r="L682" s="59"/>
      <c r="N682" s="59"/>
      <c r="P682" s="59"/>
      <c r="Q682" s="61"/>
    </row>
    <row r="683">
      <c r="B683" s="57"/>
      <c r="C683" s="107"/>
      <c r="D683" s="57"/>
      <c r="F683" s="59"/>
      <c r="H683" s="59"/>
      <c r="J683" s="59"/>
      <c r="L683" s="59"/>
      <c r="N683" s="59"/>
      <c r="P683" s="59"/>
      <c r="Q683" s="61"/>
    </row>
    <row r="684">
      <c r="B684" s="57"/>
      <c r="C684" s="107"/>
      <c r="D684" s="57"/>
      <c r="F684" s="59"/>
      <c r="H684" s="59"/>
      <c r="J684" s="59"/>
      <c r="L684" s="59"/>
      <c r="N684" s="59"/>
      <c r="P684" s="59"/>
      <c r="Q684" s="61"/>
    </row>
    <row r="685">
      <c r="B685" s="57"/>
      <c r="C685" s="107"/>
      <c r="D685" s="57"/>
      <c r="F685" s="59"/>
      <c r="H685" s="59"/>
      <c r="J685" s="59"/>
      <c r="L685" s="59"/>
      <c r="N685" s="59"/>
      <c r="P685" s="59"/>
      <c r="Q685" s="61"/>
    </row>
    <row r="686">
      <c r="B686" s="57"/>
      <c r="C686" s="107"/>
      <c r="D686" s="57"/>
      <c r="F686" s="59"/>
      <c r="H686" s="59"/>
      <c r="J686" s="59"/>
      <c r="L686" s="59"/>
      <c r="N686" s="59"/>
      <c r="P686" s="59"/>
      <c r="Q686" s="61"/>
    </row>
    <row r="687">
      <c r="B687" s="57"/>
      <c r="C687" s="107"/>
      <c r="D687" s="57"/>
      <c r="F687" s="59"/>
      <c r="H687" s="59"/>
      <c r="J687" s="59"/>
      <c r="L687" s="59"/>
      <c r="N687" s="59"/>
      <c r="P687" s="59"/>
      <c r="Q687" s="61"/>
    </row>
    <row r="688">
      <c r="B688" s="57"/>
      <c r="C688" s="107"/>
      <c r="D688" s="57"/>
      <c r="F688" s="59"/>
      <c r="H688" s="59"/>
      <c r="J688" s="59"/>
      <c r="L688" s="59"/>
      <c r="N688" s="59"/>
      <c r="P688" s="59"/>
      <c r="Q688" s="61"/>
    </row>
    <row r="689">
      <c r="B689" s="57"/>
      <c r="C689" s="107"/>
      <c r="D689" s="57"/>
      <c r="F689" s="59"/>
      <c r="H689" s="59"/>
      <c r="J689" s="59"/>
      <c r="L689" s="59"/>
      <c r="N689" s="59"/>
      <c r="P689" s="59"/>
      <c r="Q689" s="61"/>
    </row>
    <row r="690">
      <c r="B690" s="57"/>
      <c r="C690" s="107"/>
      <c r="D690" s="57"/>
      <c r="F690" s="59"/>
      <c r="H690" s="59"/>
      <c r="J690" s="59"/>
      <c r="L690" s="59"/>
      <c r="N690" s="59"/>
      <c r="P690" s="59"/>
      <c r="Q690" s="61"/>
    </row>
    <row r="691">
      <c r="B691" s="57"/>
      <c r="C691" s="107"/>
      <c r="D691" s="57"/>
      <c r="F691" s="59"/>
      <c r="H691" s="59"/>
      <c r="J691" s="59"/>
      <c r="L691" s="59"/>
      <c r="N691" s="59"/>
      <c r="P691" s="59"/>
      <c r="Q691" s="61"/>
    </row>
    <row r="692">
      <c r="B692" s="57"/>
      <c r="C692" s="107"/>
      <c r="D692" s="57"/>
      <c r="F692" s="59"/>
      <c r="H692" s="59"/>
      <c r="J692" s="59"/>
      <c r="L692" s="59"/>
      <c r="N692" s="59"/>
      <c r="P692" s="59"/>
      <c r="Q692" s="61"/>
    </row>
    <row r="693">
      <c r="B693" s="57"/>
      <c r="C693" s="107"/>
      <c r="D693" s="57"/>
      <c r="F693" s="59"/>
      <c r="H693" s="59"/>
      <c r="J693" s="59"/>
      <c r="L693" s="59"/>
      <c r="N693" s="59"/>
      <c r="P693" s="59"/>
      <c r="Q693" s="61"/>
    </row>
    <row r="694">
      <c r="B694" s="57"/>
      <c r="C694" s="107"/>
      <c r="D694" s="57"/>
      <c r="F694" s="59"/>
      <c r="H694" s="59"/>
      <c r="J694" s="59"/>
      <c r="L694" s="59"/>
      <c r="N694" s="59"/>
      <c r="P694" s="59"/>
      <c r="Q694" s="61"/>
    </row>
    <row r="695">
      <c r="B695" s="57"/>
      <c r="C695" s="107"/>
      <c r="D695" s="57"/>
      <c r="F695" s="59"/>
      <c r="H695" s="59"/>
      <c r="J695" s="59"/>
      <c r="L695" s="59"/>
      <c r="N695" s="59"/>
      <c r="P695" s="59"/>
      <c r="Q695" s="61"/>
    </row>
    <row r="696">
      <c r="B696" s="57"/>
      <c r="C696" s="107"/>
      <c r="D696" s="57"/>
      <c r="F696" s="59"/>
      <c r="H696" s="59"/>
      <c r="J696" s="59"/>
      <c r="L696" s="59"/>
      <c r="N696" s="59"/>
      <c r="P696" s="59"/>
      <c r="Q696" s="61"/>
    </row>
    <row r="697">
      <c r="B697" s="57"/>
      <c r="C697" s="107"/>
      <c r="D697" s="57"/>
      <c r="F697" s="59"/>
      <c r="H697" s="59"/>
      <c r="J697" s="59"/>
      <c r="L697" s="59"/>
      <c r="N697" s="59"/>
      <c r="P697" s="59"/>
      <c r="Q697" s="61"/>
    </row>
    <row r="698">
      <c r="B698" s="57"/>
      <c r="C698" s="107"/>
      <c r="D698" s="57"/>
      <c r="F698" s="59"/>
      <c r="H698" s="59"/>
      <c r="J698" s="59"/>
      <c r="L698" s="59"/>
      <c r="N698" s="59"/>
      <c r="P698" s="59"/>
      <c r="Q698" s="61"/>
    </row>
    <row r="699">
      <c r="B699" s="57"/>
      <c r="C699" s="107"/>
      <c r="D699" s="57"/>
      <c r="F699" s="59"/>
      <c r="H699" s="59"/>
      <c r="J699" s="59"/>
      <c r="L699" s="59"/>
      <c r="N699" s="59"/>
      <c r="P699" s="59"/>
      <c r="Q699" s="61"/>
    </row>
    <row r="700">
      <c r="B700" s="57"/>
      <c r="C700" s="107"/>
      <c r="D700" s="57"/>
      <c r="F700" s="59"/>
      <c r="H700" s="59"/>
      <c r="J700" s="59"/>
      <c r="L700" s="59"/>
      <c r="N700" s="59"/>
      <c r="P700" s="59"/>
      <c r="Q700" s="61"/>
    </row>
    <row r="701">
      <c r="B701" s="57"/>
      <c r="C701" s="107"/>
      <c r="D701" s="57"/>
      <c r="F701" s="59"/>
      <c r="H701" s="59"/>
      <c r="J701" s="59"/>
      <c r="L701" s="59"/>
      <c r="N701" s="59"/>
      <c r="P701" s="59"/>
      <c r="Q701" s="61"/>
    </row>
    <row r="702">
      <c r="B702" s="57"/>
      <c r="C702" s="107"/>
      <c r="D702" s="57"/>
      <c r="F702" s="59"/>
      <c r="H702" s="59"/>
      <c r="J702" s="59"/>
      <c r="L702" s="59"/>
      <c r="N702" s="59"/>
      <c r="P702" s="59"/>
      <c r="Q702" s="61"/>
    </row>
    <row r="703">
      <c r="B703" s="57"/>
      <c r="C703" s="107"/>
      <c r="D703" s="57"/>
      <c r="F703" s="59"/>
      <c r="H703" s="59"/>
      <c r="J703" s="59"/>
      <c r="L703" s="59"/>
      <c r="N703" s="59"/>
      <c r="P703" s="59"/>
      <c r="Q703" s="61"/>
    </row>
    <row r="704">
      <c r="B704" s="57"/>
      <c r="C704" s="107"/>
      <c r="D704" s="57"/>
      <c r="F704" s="59"/>
      <c r="H704" s="59"/>
      <c r="J704" s="59"/>
      <c r="L704" s="59"/>
      <c r="N704" s="59"/>
      <c r="P704" s="59"/>
      <c r="Q704" s="61"/>
    </row>
    <row r="705">
      <c r="B705" s="57"/>
      <c r="C705" s="107"/>
      <c r="D705" s="57"/>
      <c r="F705" s="59"/>
      <c r="H705" s="59"/>
      <c r="J705" s="59"/>
      <c r="L705" s="59"/>
      <c r="N705" s="59"/>
      <c r="P705" s="59"/>
      <c r="Q705" s="61"/>
    </row>
    <row r="706">
      <c r="B706" s="57"/>
      <c r="C706" s="107"/>
      <c r="D706" s="57"/>
      <c r="F706" s="59"/>
      <c r="H706" s="59"/>
      <c r="J706" s="59"/>
      <c r="L706" s="59"/>
      <c r="N706" s="59"/>
      <c r="P706" s="59"/>
      <c r="Q706" s="61"/>
    </row>
    <row r="707">
      <c r="B707" s="57"/>
      <c r="C707" s="107"/>
      <c r="D707" s="57"/>
      <c r="F707" s="59"/>
      <c r="H707" s="59"/>
      <c r="J707" s="59"/>
      <c r="L707" s="59"/>
      <c r="N707" s="59"/>
      <c r="P707" s="59"/>
      <c r="Q707" s="61"/>
    </row>
    <row r="708">
      <c r="B708" s="57"/>
      <c r="C708" s="107"/>
      <c r="D708" s="57"/>
      <c r="F708" s="59"/>
      <c r="H708" s="59"/>
      <c r="J708" s="59"/>
      <c r="L708" s="59"/>
      <c r="N708" s="59"/>
      <c r="P708" s="59"/>
      <c r="Q708" s="61"/>
    </row>
    <row r="709">
      <c r="B709" s="57"/>
      <c r="C709" s="107"/>
      <c r="D709" s="57"/>
      <c r="F709" s="59"/>
      <c r="H709" s="59"/>
      <c r="J709" s="59"/>
      <c r="L709" s="59"/>
      <c r="N709" s="59"/>
      <c r="P709" s="59"/>
      <c r="Q709" s="61"/>
    </row>
    <row r="710">
      <c r="B710" s="57"/>
      <c r="C710" s="107"/>
      <c r="D710" s="57"/>
      <c r="F710" s="59"/>
      <c r="H710" s="59"/>
      <c r="J710" s="59"/>
      <c r="L710" s="59"/>
      <c r="N710" s="59"/>
      <c r="P710" s="59"/>
      <c r="Q710" s="61"/>
    </row>
    <row r="711">
      <c r="B711" s="57"/>
      <c r="C711" s="107"/>
      <c r="D711" s="57"/>
      <c r="F711" s="59"/>
      <c r="H711" s="59"/>
      <c r="J711" s="59"/>
      <c r="L711" s="59"/>
      <c r="N711" s="59"/>
      <c r="P711" s="59"/>
      <c r="Q711" s="61"/>
    </row>
    <row r="712">
      <c r="B712" s="57"/>
      <c r="C712" s="107"/>
      <c r="D712" s="57"/>
      <c r="F712" s="59"/>
      <c r="H712" s="59"/>
      <c r="J712" s="59"/>
      <c r="L712" s="59"/>
      <c r="N712" s="59"/>
      <c r="P712" s="59"/>
      <c r="Q712" s="61"/>
    </row>
    <row r="713">
      <c r="B713" s="57"/>
      <c r="C713" s="107"/>
      <c r="D713" s="57"/>
      <c r="F713" s="59"/>
      <c r="H713" s="59"/>
      <c r="J713" s="59"/>
      <c r="L713" s="59"/>
      <c r="N713" s="59"/>
      <c r="P713" s="59"/>
      <c r="Q713" s="61"/>
    </row>
    <row r="714">
      <c r="B714" s="57"/>
      <c r="C714" s="107"/>
      <c r="D714" s="57"/>
      <c r="F714" s="59"/>
      <c r="H714" s="59"/>
      <c r="J714" s="59"/>
      <c r="L714" s="59"/>
      <c r="N714" s="59"/>
      <c r="P714" s="59"/>
      <c r="Q714" s="61"/>
    </row>
    <row r="715">
      <c r="B715" s="57"/>
      <c r="C715" s="107"/>
      <c r="D715" s="57"/>
      <c r="F715" s="59"/>
      <c r="H715" s="59"/>
      <c r="J715" s="59"/>
      <c r="L715" s="59"/>
      <c r="N715" s="59"/>
      <c r="P715" s="59"/>
      <c r="Q715" s="61"/>
    </row>
    <row r="716">
      <c r="B716" s="57"/>
      <c r="C716" s="107"/>
      <c r="D716" s="57"/>
      <c r="F716" s="59"/>
      <c r="H716" s="59"/>
      <c r="J716" s="59"/>
      <c r="L716" s="59"/>
      <c r="N716" s="59"/>
      <c r="P716" s="59"/>
      <c r="Q716" s="61"/>
    </row>
    <row r="717">
      <c r="B717" s="57"/>
      <c r="C717" s="107"/>
      <c r="D717" s="57"/>
      <c r="F717" s="59"/>
      <c r="H717" s="59"/>
      <c r="J717" s="59"/>
      <c r="L717" s="59"/>
      <c r="N717" s="59"/>
      <c r="P717" s="59"/>
      <c r="Q717" s="61"/>
    </row>
    <row r="718">
      <c r="B718" s="57"/>
      <c r="C718" s="107"/>
      <c r="D718" s="57"/>
      <c r="F718" s="59"/>
      <c r="H718" s="59"/>
      <c r="J718" s="59"/>
      <c r="L718" s="59"/>
      <c r="N718" s="59"/>
      <c r="P718" s="59"/>
      <c r="Q718" s="61"/>
    </row>
    <row r="719">
      <c r="B719" s="57"/>
      <c r="C719" s="107"/>
      <c r="D719" s="57"/>
      <c r="F719" s="59"/>
      <c r="H719" s="59"/>
      <c r="J719" s="59"/>
      <c r="L719" s="59"/>
      <c r="N719" s="59"/>
      <c r="P719" s="59"/>
      <c r="Q719" s="61"/>
    </row>
    <row r="720">
      <c r="B720" s="57"/>
      <c r="C720" s="107"/>
      <c r="D720" s="57"/>
      <c r="F720" s="59"/>
      <c r="H720" s="59"/>
      <c r="J720" s="59"/>
      <c r="L720" s="59"/>
      <c r="N720" s="59"/>
      <c r="P720" s="59"/>
      <c r="Q720" s="61"/>
    </row>
    <row r="721">
      <c r="B721" s="57"/>
      <c r="C721" s="107"/>
      <c r="D721" s="57"/>
      <c r="F721" s="59"/>
      <c r="H721" s="59"/>
      <c r="J721" s="59"/>
      <c r="L721" s="59"/>
      <c r="N721" s="59"/>
      <c r="P721" s="59"/>
      <c r="Q721" s="61"/>
    </row>
    <row r="722">
      <c r="B722" s="57"/>
      <c r="C722" s="107"/>
      <c r="D722" s="57"/>
      <c r="F722" s="59"/>
      <c r="H722" s="59"/>
      <c r="J722" s="59"/>
      <c r="L722" s="59"/>
      <c r="N722" s="59"/>
      <c r="P722" s="59"/>
      <c r="Q722" s="61"/>
    </row>
    <row r="723">
      <c r="B723" s="57"/>
      <c r="C723" s="107"/>
      <c r="D723" s="57"/>
      <c r="F723" s="59"/>
      <c r="H723" s="59"/>
      <c r="J723" s="59"/>
      <c r="L723" s="59"/>
      <c r="N723" s="59"/>
      <c r="P723" s="59"/>
      <c r="Q723" s="61"/>
    </row>
    <row r="724">
      <c r="B724" s="57"/>
      <c r="C724" s="107"/>
      <c r="D724" s="57"/>
      <c r="F724" s="59"/>
      <c r="H724" s="59"/>
      <c r="J724" s="59"/>
      <c r="L724" s="59"/>
      <c r="N724" s="59"/>
      <c r="P724" s="59"/>
      <c r="Q724" s="61"/>
    </row>
    <row r="725">
      <c r="B725" s="57"/>
      <c r="C725" s="107"/>
      <c r="D725" s="57"/>
      <c r="F725" s="59"/>
      <c r="H725" s="59"/>
      <c r="J725" s="59"/>
      <c r="L725" s="59"/>
      <c r="N725" s="59"/>
      <c r="P725" s="59"/>
      <c r="Q725" s="61"/>
    </row>
    <row r="726">
      <c r="B726" s="57"/>
      <c r="C726" s="107"/>
      <c r="D726" s="57"/>
      <c r="F726" s="59"/>
      <c r="H726" s="59"/>
      <c r="J726" s="59"/>
      <c r="L726" s="59"/>
      <c r="N726" s="59"/>
      <c r="P726" s="59"/>
      <c r="Q726" s="61"/>
    </row>
    <row r="727">
      <c r="B727" s="57"/>
      <c r="C727" s="107"/>
      <c r="D727" s="57"/>
      <c r="F727" s="59"/>
      <c r="H727" s="59"/>
      <c r="J727" s="59"/>
      <c r="L727" s="59"/>
      <c r="N727" s="59"/>
      <c r="P727" s="59"/>
      <c r="Q727" s="61"/>
    </row>
    <row r="728">
      <c r="B728" s="57"/>
      <c r="C728" s="107"/>
      <c r="D728" s="57"/>
      <c r="F728" s="59"/>
      <c r="H728" s="59"/>
      <c r="J728" s="59"/>
      <c r="L728" s="59"/>
      <c r="N728" s="59"/>
      <c r="P728" s="59"/>
      <c r="Q728" s="61"/>
    </row>
    <row r="729">
      <c r="B729" s="57"/>
      <c r="C729" s="107"/>
      <c r="D729" s="57"/>
      <c r="F729" s="59"/>
      <c r="H729" s="59"/>
      <c r="J729" s="59"/>
      <c r="L729" s="59"/>
      <c r="N729" s="59"/>
      <c r="P729" s="59"/>
      <c r="Q729" s="61"/>
    </row>
    <row r="730">
      <c r="B730" s="57"/>
      <c r="C730" s="107"/>
      <c r="D730" s="57"/>
      <c r="F730" s="59"/>
      <c r="H730" s="59"/>
      <c r="J730" s="59"/>
      <c r="L730" s="59"/>
      <c r="N730" s="59"/>
      <c r="P730" s="59"/>
      <c r="Q730" s="61"/>
    </row>
    <row r="731">
      <c r="B731" s="57"/>
      <c r="C731" s="107"/>
      <c r="D731" s="57"/>
      <c r="F731" s="59"/>
      <c r="H731" s="59"/>
      <c r="J731" s="59"/>
      <c r="L731" s="59"/>
      <c r="N731" s="59"/>
      <c r="P731" s="59"/>
      <c r="Q731" s="61"/>
    </row>
    <row r="732">
      <c r="B732" s="57"/>
      <c r="C732" s="107"/>
      <c r="D732" s="57"/>
      <c r="F732" s="59"/>
      <c r="H732" s="59"/>
      <c r="J732" s="59"/>
      <c r="L732" s="59"/>
      <c r="N732" s="59"/>
      <c r="P732" s="59"/>
      <c r="Q732" s="61"/>
    </row>
    <row r="733">
      <c r="B733" s="57"/>
      <c r="C733" s="107"/>
      <c r="D733" s="57"/>
      <c r="F733" s="59"/>
      <c r="H733" s="59"/>
      <c r="J733" s="59"/>
      <c r="L733" s="59"/>
      <c r="N733" s="59"/>
      <c r="P733" s="59"/>
      <c r="Q733" s="61"/>
    </row>
    <row r="734">
      <c r="B734" s="57"/>
      <c r="C734" s="107"/>
      <c r="D734" s="57"/>
      <c r="F734" s="59"/>
      <c r="H734" s="59"/>
      <c r="J734" s="59"/>
      <c r="L734" s="59"/>
      <c r="N734" s="59"/>
      <c r="P734" s="59"/>
      <c r="Q734" s="61"/>
    </row>
    <row r="735">
      <c r="B735" s="57"/>
      <c r="C735" s="107"/>
      <c r="D735" s="57"/>
      <c r="F735" s="59"/>
      <c r="H735" s="59"/>
      <c r="J735" s="59"/>
      <c r="L735" s="59"/>
      <c r="N735" s="59"/>
      <c r="P735" s="59"/>
      <c r="Q735" s="61"/>
    </row>
    <row r="736">
      <c r="B736" s="57"/>
      <c r="C736" s="107"/>
      <c r="D736" s="57"/>
      <c r="F736" s="59"/>
      <c r="H736" s="59"/>
      <c r="J736" s="59"/>
      <c r="L736" s="59"/>
      <c r="N736" s="59"/>
      <c r="P736" s="59"/>
      <c r="Q736" s="61"/>
    </row>
    <row r="737">
      <c r="B737" s="57"/>
      <c r="C737" s="107"/>
      <c r="D737" s="57"/>
      <c r="F737" s="59"/>
      <c r="H737" s="59"/>
      <c r="J737" s="59"/>
      <c r="L737" s="59"/>
      <c r="N737" s="59"/>
      <c r="P737" s="59"/>
      <c r="Q737" s="61"/>
    </row>
    <row r="738">
      <c r="B738" s="57"/>
      <c r="C738" s="107"/>
      <c r="D738" s="57"/>
      <c r="F738" s="59"/>
      <c r="H738" s="59"/>
      <c r="J738" s="59"/>
      <c r="L738" s="59"/>
      <c r="N738" s="59"/>
      <c r="P738" s="59"/>
      <c r="Q738" s="61"/>
    </row>
    <row r="739">
      <c r="B739" s="57"/>
      <c r="C739" s="107"/>
      <c r="D739" s="57"/>
      <c r="F739" s="59"/>
      <c r="H739" s="59"/>
      <c r="J739" s="59"/>
      <c r="L739" s="59"/>
      <c r="N739" s="59"/>
      <c r="P739" s="59"/>
      <c r="Q739" s="61"/>
    </row>
    <row r="740">
      <c r="B740" s="57"/>
      <c r="C740" s="107"/>
      <c r="D740" s="57"/>
      <c r="F740" s="59"/>
      <c r="H740" s="59"/>
      <c r="J740" s="59"/>
      <c r="L740" s="59"/>
      <c r="N740" s="59"/>
      <c r="P740" s="59"/>
      <c r="Q740" s="61"/>
    </row>
    <row r="741">
      <c r="B741" s="57"/>
      <c r="C741" s="107"/>
      <c r="D741" s="57"/>
      <c r="F741" s="59"/>
      <c r="H741" s="59"/>
      <c r="J741" s="59"/>
      <c r="L741" s="59"/>
      <c r="N741" s="59"/>
      <c r="P741" s="59"/>
      <c r="Q741" s="61"/>
    </row>
    <row r="742">
      <c r="B742" s="57"/>
      <c r="C742" s="107"/>
      <c r="D742" s="57"/>
      <c r="F742" s="59"/>
      <c r="H742" s="59"/>
      <c r="J742" s="59"/>
      <c r="L742" s="59"/>
      <c r="N742" s="59"/>
      <c r="P742" s="59"/>
      <c r="Q742" s="61"/>
    </row>
    <row r="743">
      <c r="B743" s="57"/>
      <c r="C743" s="107"/>
      <c r="D743" s="57"/>
      <c r="F743" s="59"/>
      <c r="H743" s="59"/>
      <c r="J743" s="59"/>
      <c r="L743" s="59"/>
      <c r="N743" s="59"/>
      <c r="P743" s="59"/>
      <c r="Q743" s="61"/>
    </row>
    <row r="744">
      <c r="B744" s="57"/>
      <c r="C744" s="107"/>
      <c r="D744" s="57"/>
      <c r="F744" s="59"/>
      <c r="H744" s="59"/>
      <c r="J744" s="59"/>
      <c r="L744" s="59"/>
      <c r="N744" s="59"/>
      <c r="P744" s="59"/>
      <c r="Q744" s="61"/>
    </row>
    <row r="745">
      <c r="B745" s="57"/>
      <c r="C745" s="107"/>
      <c r="D745" s="57"/>
      <c r="F745" s="59"/>
      <c r="H745" s="59"/>
      <c r="J745" s="59"/>
      <c r="L745" s="59"/>
      <c r="N745" s="59"/>
      <c r="P745" s="59"/>
      <c r="Q745" s="61"/>
    </row>
    <row r="746">
      <c r="B746" s="57"/>
      <c r="C746" s="107"/>
      <c r="D746" s="57"/>
      <c r="F746" s="59"/>
      <c r="H746" s="59"/>
      <c r="J746" s="59"/>
      <c r="L746" s="59"/>
      <c r="N746" s="59"/>
      <c r="P746" s="59"/>
      <c r="Q746" s="61"/>
    </row>
    <row r="747">
      <c r="B747" s="57"/>
      <c r="C747" s="107"/>
      <c r="D747" s="57"/>
      <c r="F747" s="59"/>
      <c r="H747" s="59"/>
      <c r="J747" s="59"/>
      <c r="L747" s="59"/>
      <c r="N747" s="59"/>
      <c r="P747" s="59"/>
      <c r="Q747" s="61"/>
    </row>
    <row r="748">
      <c r="B748" s="57"/>
      <c r="C748" s="107"/>
      <c r="D748" s="57"/>
      <c r="F748" s="59"/>
      <c r="H748" s="59"/>
      <c r="J748" s="59"/>
      <c r="L748" s="59"/>
      <c r="N748" s="59"/>
      <c r="P748" s="59"/>
      <c r="Q748" s="61"/>
    </row>
    <row r="749">
      <c r="B749" s="57"/>
      <c r="C749" s="107"/>
      <c r="D749" s="57"/>
      <c r="F749" s="59"/>
      <c r="H749" s="59"/>
      <c r="J749" s="59"/>
      <c r="L749" s="59"/>
      <c r="N749" s="59"/>
      <c r="P749" s="59"/>
      <c r="Q749" s="61"/>
    </row>
    <row r="750">
      <c r="B750" s="57"/>
      <c r="C750" s="107"/>
      <c r="D750" s="57"/>
      <c r="F750" s="59"/>
      <c r="H750" s="59"/>
      <c r="J750" s="59"/>
      <c r="L750" s="59"/>
      <c r="N750" s="59"/>
      <c r="P750" s="59"/>
      <c r="Q750" s="61"/>
    </row>
    <row r="751">
      <c r="B751" s="57"/>
      <c r="C751" s="107"/>
      <c r="D751" s="57"/>
      <c r="F751" s="59"/>
      <c r="H751" s="59"/>
      <c r="J751" s="59"/>
      <c r="L751" s="59"/>
      <c r="N751" s="59"/>
      <c r="P751" s="59"/>
      <c r="Q751" s="61"/>
    </row>
    <row r="752">
      <c r="B752" s="57"/>
      <c r="C752" s="107"/>
      <c r="D752" s="57"/>
      <c r="F752" s="59"/>
      <c r="H752" s="59"/>
      <c r="J752" s="59"/>
      <c r="L752" s="59"/>
      <c r="N752" s="59"/>
      <c r="P752" s="59"/>
      <c r="Q752" s="61"/>
    </row>
    <row r="753">
      <c r="B753" s="57"/>
      <c r="C753" s="107"/>
      <c r="D753" s="57"/>
      <c r="F753" s="59"/>
      <c r="H753" s="59"/>
      <c r="J753" s="59"/>
      <c r="L753" s="59"/>
      <c r="N753" s="59"/>
      <c r="P753" s="59"/>
      <c r="Q753" s="61"/>
    </row>
    <row r="754">
      <c r="B754" s="57"/>
      <c r="C754" s="107"/>
      <c r="D754" s="57"/>
      <c r="F754" s="59"/>
      <c r="H754" s="59"/>
      <c r="J754" s="59"/>
      <c r="L754" s="59"/>
      <c r="N754" s="59"/>
      <c r="P754" s="59"/>
      <c r="Q754" s="61"/>
    </row>
    <row r="755">
      <c r="B755" s="57"/>
      <c r="C755" s="107"/>
      <c r="D755" s="57"/>
      <c r="F755" s="59"/>
      <c r="H755" s="59"/>
      <c r="J755" s="59"/>
      <c r="L755" s="59"/>
      <c r="N755" s="59"/>
      <c r="P755" s="59"/>
      <c r="Q755" s="61"/>
    </row>
    <row r="756">
      <c r="B756" s="57"/>
      <c r="C756" s="107"/>
      <c r="D756" s="57"/>
      <c r="F756" s="59"/>
      <c r="H756" s="59"/>
      <c r="J756" s="59"/>
      <c r="L756" s="59"/>
      <c r="N756" s="59"/>
      <c r="P756" s="59"/>
      <c r="Q756" s="61"/>
    </row>
    <row r="757">
      <c r="B757" s="57"/>
      <c r="C757" s="107"/>
      <c r="D757" s="57"/>
      <c r="F757" s="59"/>
      <c r="H757" s="59"/>
      <c r="J757" s="59"/>
      <c r="L757" s="59"/>
      <c r="N757" s="59"/>
      <c r="P757" s="59"/>
      <c r="Q757" s="61"/>
    </row>
    <row r="758">
      <c r="B758" s="57"/>
      <c r="C758" s="107"/>
      <c r="D758" s="57"/>
      <c r="F758" s="59"/>
      <c r="H758" s="59"/>
      <c r="J758" s="59"/>
      <c r="L758" s="59"/>
      <c r="N758" s="59"/>
      <c r="P758" s="59"/>
      <c r="Q758" s="61"/>
    </row>
    <row r="759">
      <c r="B759" s="57"/>
      <c r="C759" s="107"/>
      <c r="D759" s="57"/>
      <c r="F759" s="59"/>
      <c r="H759" s="59"/>
      <c r="J759" s="59"/>
      <c r="L759" s="59"/>
      <c r="N759" s="59"/>
      <c r="P759" s="59"/>
      <c r="Q759" s="61"/>
    </row>
    <row r="760">
      <c r="B760" s="57"/>
      <c r="C760" s="107"/>
      <c r="D760" s="57"/>
      <c r="F760" s="59"/>
      <c r="H760" s="59"/>
      <c r="J760" s="59"/>
      <c r="L760" s="59"/>
      <c r="N760" s="59"/>
      <c r="P760" s="59"/>
      <c r="Q760" s="61"/>
    </row>
    <row r="761">
      <c r="B761" s="57"/>
      <c r="C761" s="107"/>
      <c r="D761" s="57"/>
      <c r="F761" s="59"/>
      <c r="H761" s="59"/>
      <c r="J761" s="59"/>
      <c r="L761" s="59"/>
      <c r="N761" s="59"/>
      <c r="P761" s="59"/>
      <c r="Q761" s="61"/>
    </row>
    <row r="762">
      <c r="B762" s="57"/>
      <c r="C762" s="107"/>
      <c r="D762" s="57"/>
      <c r="F762" s="59"/>
      <c r="H762" s="59"/>
      <c r="J762" s="59"/>
      <c r="L762" s="59"/>
      <c r="N762" s="59"/>
      <c r="P762" s="59"/>
      <c r="Q762" s="61"/>
    </row>
    <row r="763">
      <c r="B763" s="57"/>
      <c r="C763" s="107"/>
      <c r="D763" s="57"/>
      <c r="F763" s="59"/>
      <c r="H763" s="59"/>
      <c r="J763" s="59"/>
      <c r="L763" s="59"/>
      <c r="N763" s="59"/>
      <c r="P763" s="59"/>
      <c r="Q763" s="61"/>
    </row>
    <row r="764">
      <c r="B764" s="57"/>
      <c r="C764" s="107"/>
      <c r="D764" s="57"/>
      <c r="F764" s="59"/>
      <c r="H764" s="59"/>
      <c r="J764" s="59"/>
      <c r="L764" s="59"/>
      <c r="N764" s="59"/>
      <c r="P764" s="59"/>
      <c r="Q764" s="61"/>
    </row>
    <row r="765">
      <c r="B765" s="57"/>
      <c r="C765" s="107"/>
      <c r="D765" s="57"/>
      <c r="F765" s="59"/>
      <c r="H765" s="59"/>
      <c r="J765" s="59"/>
      <c r="L765" s="59"/>
      <c r="N765" s="59"/>
      <c r="P765" s="59"/>
      <c r="Q765" s="61"/>
    </row>
    <row r="766">
      <c r="B766" s="57"/>
      <c r="C766" s="107"/>
      <c r="D766" s="57"/>
      <c r="F766" s="59"/>
      <c r="H766" s="59"/>
      <c r="J766" s="59"/>
      <c r="L766" s="59"/>
      <c r="N766" s="59"/>
      <c r="P766" s="59"/>
      <c r="Q766" s="61"/>
    </row>
    <row r="767">
      <c r="B767" s="57"/>
      <c r="C767" s="107"/>
      <c r="D767" s="57"/>
      <c r="F767" s="59"/>
      <c r="H767" s="59"/>
      <c r="J767" s="59"/>
      <c r="L767" s="59"/>
      <c r="N767" s="59"/>
      <c r="P767" s="59"/>
      <c r="Q767" s="61"/>
    </row>
    <row r="768">
      <c r="B768" s="57"/>
      <c r="C768" s="107"/>
      <c r="D768" s="57"/>
      <c r="F768" s="59"/>
      <c r="H768" s="59"/>
      <c r="J768" s="59"/>
      <c r="L768" s="59"/>
      <c r="N768" s="59"/>
      <c r="P768" s="59"/>
      <c r="Q768" s="61"/>
    </row>
    <row r="769">
      <c r="B769" s="57"/>
      <c r="C769" s="107"/>
      <c r="D769" s="57"/>
      <c r="F769" s="59"/>
      <c r="H769" s="59"/>
      <c r="J769" s="59"/>
      <c r="L769" s="59"/>
      <c r="N769" s="59"/>
      <c r="P769" s="59"/>
      <c r="Q769" s="61"/>
    </row>
    <row r="770">
      <c r="B770" s="57"/>
      <c r="C770" s="107"/>
      <c r="D770" s="57"/>
      <c r="F770" s="59"/>
      <c r="H770" s="59"/>
      <c r="J770" s="59"/>
      <c r="L770" s="59"/>
      <c r="N770" s="59"/>
      <c r="P770" s="59"/>
      <c r="Q770" s="61"/>
    </row>
    <row r="771">
      <c r="B771" s="57"/>
      <c r="C771" s="107"/>
      <c r="D771" s="57"/>
      <c r="F771" s="59"/>
      <c r="H771" s="59"/>
      <c r="J771" s="59"/>
      <c r="L771" s="59"/>
      <c r="N771" s="59"/>
      <c r="P771" s="59"/>
      <c r="Q771" s="61"/>
    </row>
    <row r="772">
      <c r="B772" s="57"/>
      <c r="C772" s="107"/>
      <c r="D772" s="57"/>
      <c r="F772" s="59"/>
      <c r="H772" s="59"/>
      <c r="J772" s="59"/>
      <c r="L772" s="59"/>
      <c r="N772" s="59"/>
      <c r="P772" s="59"/>
      <c r="Q772" s="61"/>
    </row>
    <row r="773">
      <c r="B773" s="57"/>
      <c r="C773" s="107"/>
      <c r="D773" s="57"/>
      <c r="F773" s="59"/>
      <c r="H773" s="59"/>
      <c r="J773" s="59"/>
      <c r="L773" s="59"/>
      <c r="N773" s="59"/>
      <c r="P773" s="59"/>
      <c r="Q773" s="61"/>
    </row>
    <row r="774">
      <c r="B774" s="57"/>
      <c r="C774" s="107"/>
      <c r="D774" s="57"/>
      <c r="F774" s="59"/>
      <c r="H774" s="59"/>
      <c r="J774" s="59"/>
      <c r="L774" s="59"/>
      <c r="N774" s="59"/>
      <c r="P774" s="59"/>
      <c r="Q774" s="61"/>
    </row>
    <row r="775">
      <c r="B775" s="57"/>
      <c r="C775" s="107"/>
      <c r="D775" s="57"/>
      <c r="F775" s="59"/>
      <c r="H775" s="59"/>
      <c r="J775" s="59"/>
      <c r="L775" s="59"/>
      <c r="N775" s="59"/>
      <c r="P775" s="59"/>
      <c r="Q775" s="61"/>
    </row>
    <row r="776">
      <c r="B776" s="57"/>
      <c r="C776" s="107"/>
      <c r="D776" s="57"/>
      <c r="F776" s="59"/>
      <c r="H776" s="59"/>
      <c r="J776" s="59"/>
      <c r="L776" s="59"/>
      <c r="N776" s="59"/>
      <c r="P776" s="59"/>
      <c r="Q776" s="61"/>
    </row>
    <row r="777">
      <c r="B777" s="57"/>
      <c r="C777" s="107"/>
      <c r="D777" s="57"/>
      <c r="F777" s="59"/>
      <c r="H777" s="59"/>
      <c r="J777" s="59"/>
      <c r="L777" s="59"/>
      <c r="N777" s="59"/>
      <c r="P777" s="59"/>
      <c r="Q777" s="61"/>
    </row>
    <row r="778">
      <c r="B778" s="57"/>
      <c r="C778" s="107"/>
      <c r="D778" s="57"/>
      <c r="F778" s="59"/>
      <c r="H778" s="59"/>
      <c r="J778" s="59"/>
      <c r="L778" s="59"/>
      <c r="N778" s="59"/>
      <c r="P778" s="59"/>
      <c r="Q778" s="61"/>
    </row>
    <row r="779">
      <c r="B779" s="57"/>
      <c r="C779" s="107"/>
      <c r="D779" s="57"/>
      <c r="F779" s="59"/>
      <c r="H779" s="59"/>
      <c r="J779" s="59"/>
      <c r="L779" s="59"/>
      <c r="N779" s="59"/>
      <c r="P779" s="59"/>
      <c r="Q779" s="61"/>
    </row>
    <row r="780">
      <c r="B780" s="57"/>
      <c r="C780" s="107"/>
      <c r="D780" s="57"/>
      <c r="F780" s="59"/>
      <c r="H780" s="59"/>
      <c r="J780" s="59"/>
      <c r="L780" s="59"/>
      <c r="N780" s="59"/>
      <c r="P780" s="59"/>
      <c r="Q780" s="61"/>
    </row>
    <row r="781">
      <c r="B781" s="57"/>
      <c r="C781" s="107"/>
      <c r="D781" s="57"/>
      <c r="F781" s="59"/>
      <c r="H781" s="59"/>
      <c r="J781" s="59"/>
      <c r="L781" s="59"/>
      <c r="N781" s="59"/>
      <c r="P781" s="59"/>
      <c r="Q781" s="61"/>
    </row>
    <row r="782">
      <c r="B782" s="57"/>
      <c r="C782" s="107"/>
      <c r="D782" s="57"/>
      <c r="F782" s="59"/>
      <c r="H782" s="59"/>
      <c r="J782" s="59"/>
      <c r="L782" s="59"/>
      <c r="N782" s="59"/>
      <c r="P782" s="59"/>
      <c r="Q782" s="61"/>
    </row>
    <row r="783">
      <c r="B783" s="57"/>
      <c r="C783" s="107"/>
      <c r="D783" s="57"/>
      <c r="F783" s="59"/>
      <c r="H783" s="59"/>
      <c r="J783" s="59"/>
      <c r="L783" s="59"/>
      <c r="N783" s="59"/>
      <c r="P783" s="59"/>
      <c r="Q783" s="61"/>
    </row>
    <row r="784">
      <c r="B784" s="57"/>
      <c r="C784" s="107"/>
      <c r="D784" s="57"/>
      <c r="F784" s="59"/>
      <c r="H784" s="59"/>
      <c r="J784" s="59"/>
      <c r="L784" s="59"/>
      <c r="N784" s="59"/>
      <c r="P784" s="59"/>
      <c r="Q784" s="61"/>
    </row>
    <row r="785">
      <c r="B785" s="57"/>
      <c r="C785" s="107"/>
      <c r="D785" s="57"/>
      <c r="F785" s="59"/>
      <c r="H785" s="59"/>
      <c r="J785" s="59"/>
      <c r="L785" s="59"/>
      <c r="N785" s="59"/>
      <c r="P785" s="59"/>
      <c r="Q785" s="61"/>
    </row>
    <row r="786">
      <c r="B786" s="57"/>
      <c r="C786" s="107"/>
      <c r="D786" s="57"/>
      <c r="F786" s="59"/>
      <c r="H786" s="59"/>
      <c r="J786" s="59"/>
      <c r="L786" s="59"/>
      <c r="N786" s="59"/>
      <c r="P786" s="59"/>
      <c r="Q786" s="61"/>
    </row>
    <row r="787">
      <c r="B787" s="57"/>
      <c r="C787" s="107"/>
      <c r="D787" s="57"/>
      <c r="F787" s="59"/>
      <c r="H787" s="59"/>
      <c r="J787" s="59"/>
      <c r="L787" s="59"/>
      <c r="N787" s="59"/>
      <c r="P787" s="59"/>
      <c r="Q787" s="61"/>
    </row>
    <row r="788">
      <c r="B788" s="57"/>
      <c r="C788" s="107"/>
      <c r="D788" s="57"/>
      <c r="F788" s="59"/>
      <c r="H788" s="59"/>
      <c r="J788" s="59"/>
      <c r="L788" s="59"/>
      <c r="N788" s="59"/>
      <c r="P788" s="59"/>
      <c r="Q788" s="61"/>
    </row>
    <row r="789">
      <c r="B789" s="57"/>
      <c r="C789" s="107"/>
      <c r="D789" s="57"/>
      <c r="F789" s="59"/>
      <c r="H789" s="59"/>
      <c r="J789" s="59"/>
      <c r="L789" s="59"/>
      <c r="N789" s="59"/>
      <c r="P789" s="59"/>
      <c r="Q789" s="61"/>
    </row>
    <row r="790">
      <c r="B790" s="57"/>
      <c r="C790" s="107"/>
      <c r="D790" s="57"/>
      <c r="F790" s="59"/>
      <c r="H790" s="59"/>
      <c r="J790" s="59"/>
      <c r="L790" s="59"/>
      <c r="N790" s="59"/>
      <c r="P790" s="59"/>
      <c r="Q790" s="61"/>
    </row>
    <row r="791">
      <c r="B791" s="57"/>
      <c r="C791" s="107"/>
      <c r="D791" s="57"/>
      <c r="F791" s="59"/>
      <c r="H791" s="59"/>
      <c r="J791" s="59"/>
      <c r="L791" s="59"/>
      <c r="N791" s="59"/>
      <c r="P791" s="59"/>
      <c r="Q791" s="61"/>
    </row>
    <row r="792">
      <c r="B792" s="57"/>
      <c r="C792" s="107"/>
      <c r="D792" s="57"/>
      <c r="F792" s="59"/>
      <c r="H792" s="59"/>
      <c r="J792" s="59"/>
      <c r="L792" s="59"/>
      <c r="N792" s="59"/>
      <c r="P792" s="59"/>
      <c r="Q792" s="61"/>
    </row>
    <row r="793">
      <c r="B793" s="57"/>
      <c r="C793" s="107"/>
      <c r="D793" s="57"/>
      <c r="F793" s="59"/>
      <c r="H793" s="59"/>
      <c r="J793" s="59"/>
      <c r="L793" s="59"/>
      <c r="N793" s="59"/>
      <c r="P793" s="59"/>
      <c r="Q793" s="61"/>
    </row>
    <row r="794">
      <c r="B794" s="57"/>
      <c r="C794" s="107"/>
      <c r="D794" s="57"/>
      <c r="F794" s="59"/>
      <c r="H794" s="59"/>
      <c r="J794" s="59"/>
      <c r="L794" s="59"/>
      <c r="N794" s="59"/>
      <c r="P794" s="59"/>
      <c r="Q794" s="61"/>
    </row>
    <row r="795">
      <c r="B795" s="57"/>
      <c r="C795" s="107"/>
      <c r="D795" s="57"/>
      <c r="F795" s="59"/>
      <c r="H795" s="59"/>
      <c r="J795" s="59"/>
      <c r="L795" s="59"/>
      <c r="N795" s="59"/>
      <c r="P795" s="59"/>
      <c r="Q795" s="61"/>
    </row>
    <row r="796">
      <c r="B796" s="57"/>
      <c r="C796" s="107"/>
      <c r="D796" s="57"/>
      <c r="F796" s="59"/>
      <c r="H796" s="59"/>
      <c r="J796" s="59"/>
      <c r="L796" s="59"/>
      <c r="N796" s="59"/>
      <c r="P796" s="59"/>
      <c r="Q796" s="61"/>
    </row>
    <row r="797">
      <c r="B797" s="57"/>
      <c r="C797" s="107"/>
      <c r="D797" s="57"/>
      <c r="F797" s="59"/>
      <c r="H797" s="59"/>
      <c r="J797" s="59"/>
      <c r="L797" s="59"/>
      <c r="N797" s="59"/>
      <c r="P797" s="59"/>
      <c r="Q797" s="61"/>
    </row>
    <row r="798">
      <c r="B798" s="57"/>
      <c r="C798" s="107"/>
      <c r="D798" s="57"/>
      <c r="F798" s="59"/>
      <c r="H798" s="59"/>
      <c r="J798" s="59"/>
      <c r="L798" s="59"/>
      <c r="N798" s="59"/>
      <c r="P798" s="59"/>
      <c r="Q798" s="61"/>
    </row>
    <row r="799">
      <c r="B799" s="57"/>
      <c r="C799" s="107"/>
      <c r="D799" s="57"/>
      <c r="F799" s="59"/>
      <c r="H799" s="59"/>
      <c r="J799" s="59"/>
      <c r="L799" s="59"/>
      <c r="N799" s="59"/>
      <c r="P799" s="59"/>
      <c r="Q799" s="61"/>
    </row>
    <row r="800">
      <c r="B800" s="57"/>
      <c r="C800" s="107"/>
      <c r="D800" s="57"/>
      <c r="F800" s="59"/>
      <c r="H800" s="59"/>
      <c r="J800" s="59"/>
      <c r="L800" s="59"/>
      <c r="N800" s="59"/>
      <c r="P800" s="59"/>
      <c r="Q800" s="61"/>
    </row>
    <row r="801">
      <c r="B801" s="57"/>
      <c r="C801" s="107"/>
      <c r="D801" s="57"/>
      <c r="F801" s="59"/>
      <c r="H801" s="59"/>
      <c r="J801" s="59"/>
      <c r="L801" s="59"/>
      <c r="N801" s="59"/>
      <c r="P801" s="59"/>
      <c r="Q801" s="61"/>
    </row>
    <row r="802">
      <c r="B802" s="57"/>
      <c r="C802" s="107"/>
      <c r="D802" s="57"/>
      <c r="F802" s="59"/>
      <c r="H802" s="59"/>
      <c r="J802" s="59"/>
      <c r="L802" s="59"/>
      <c r="N802" s="59"/>
      <c r="P802" s="59"/>
      <c r="Q802" s="61"/>
    </row>
    <row r="803">
      <c r="B803" s="57"/>
      <c r="C803" s="107"/>
      <c r="D803" s="57"/>
      <c r="F803" s="59"/>
      <c r="H803" s="59"/>
      <c r="J803" s="59"/>
      <c r="L803" s="59"/>
      <c r="N803" s="59"/>
      <c r="P803" s="59"/>
      <c r="Q803" s="61"/>
    </row>
    <row r="804">
      <c r="B804" s="57"/>
      <c r="C804" s="107"/>
      <c r="D804" s="57"/>
      <c r="F804" s="59"/>
      <c r="H804" s="59"/>
      <c r="J804" s="59"/>
      <c r="L804" s="59"/>
      <c r="N804" s="59"/>
      <c r="P804" s="59"/>
      <c r="Q804" s="61"/>
    </row>
    <row r="805">
      <c r="B805" s="57"/>
      <c r="C805" s="107"/>
      <c r="D805" s="57"/>
      <c r="F805" s="59"/>
      <c r="H805" s="59"/>
      <c r="J805" s="59"/>
      <c r="L805" s="59"/>
      <c r="N805" s="59"/>
      <c r="P805" s="59"/>
      <c r="Q805" s="61"/>
    </row>
    <row r="806">
      <c r="B806" s="57"/>
      <c r="C806" s="107"/>
      <c r="D806" s="57"/>
      <c r="F806" s="59"/>
      <c r="H806" s="59"/>
      <c r="J806" s="59"/>
      <c r="L806" s="59"/>
      <c r="N806" s="59"/>
      <c r="P806" s="59"/>
      <c r="Q806" s="61"/>
    </row>
    <row r="807">
      <c r="B807" s="57"/>
      <c r="C807" s="107"/>
      <c r="D807" s="57"/>
      <c r="F807" s="59"/>
      <c r="H807" s="59"/>
      <c r="J807" s="59"/>
      <c r="L807" s="59"/>
      <c r="N807" s="59"/>
      <c r="P807" s="59"/>
      <c r="Q807" s="61"/>
    </row>
    <row r="808">
      <c r="B808" s="57"/>
      <c r="C808" s="107"/>
      <c r="D808" s="57"/>
      <c r="F808" s="59"/>
      <c r="H808" s="59"/>
      <c r="J808" s="59"/>
      <c r="L808" s="59"/>
      <c r="N808" s="59"/>
      <c r="P808" s="59"/>
      <c r="Q808" s="61"/>
    </row>
    <row r="809">
      <c r="B809" s="57"/>
      <c r="C809" s="107"/>
      <c r="D809" s="57"/>
      <c r="F809" s="59"/>
      <c r="H809" s="59"/>
      <c r="J809" s="59"/>
      <c r="L809" s="59"/>
      <c r="N809" s="59"/>
      <c r="P809" s="59"/>
      <c r="Q809" s="61"/>
    </row>
    <row r="810">
      <c r="B810" s="57"/>
      <c r="C810" s="107"/>
      <c r="D810" s="57"/>
      <c r="F810" s="59"/>
      <c r="H810" s="59"/>
      <c r="J810" s="59"/>
      <c r="L810" s="59"/>
      <c r="N810" s="59"/>
      <c r="P810" s="59"/>
      <c r="Q810" s="61"/>
    </row>
    <row r="811">
      <c r="B811" s="57"/>
      <c r="C811" s="107"/>
      <c r="D811" s="57"/>
      <c r="F811" s="59"/>
      <c r="H811" s="59"/>
      <c r="J811" s="59"/>
      <c r="L811" s="59"/>
      <c r="N811" s="59"/>
      <c r="P811" s="59"/>
      <c r="Q811" s="61"/>
    </row>
    <row r="812">
      <c r="B812" s="57"/>
      <c r="C812" s="107"/>
      <c r="D812" s="57"/>
      <c r="F812" s="59"/>
      <c r="H812" s="59"/>
      <c r="J812" s="59"/>
      <c r="L812" s="59"/>
      <c r="N812" s="59"/>
      <c r="P812" s="59"/>
      <c r="Q812" s="61"/>
    </row>
    <row r="813">
      <c r="B813" s="57"/>
      <c r="C813" s="107"/>
      <c r="D813" s="57"/>
      <c r="F813" s="59"/>
      <c r="H813" s="59"/>
      <c r="J813" s="59"/>
      <c r="L813" s="59"/>
      <c r="N813" s="59"/>
      <c r="P813" s="59"/>
      <c r="Q813" s="61"/>
    </row>
    <row r="814">
      <c r="B814" s="57"/>
      <c r="C814" s="107"/>
      <c r="D814" s="57"/>
      <c r="F814" s="59"/>
      <c r="H814" s="59"/>
      <c r="J814" s="59"/>
      <c r="L814" s="59"/>
      <c r="N814" s="59"/>
      <c r="P814" s="59"/>
      <c r="Q814" s="61"/>
    </row>
    <row r="815">
      <c r="B815" s="57"/>
      <c r="C815" s="107"/>
      <c r="D815" s="57"/>
      <c r="F815" s="59"/>
      <c r="H815" s="59"/>
      <c r="J815" s="59"/>
      <c r="L815" s="59"/>
      <c r="N815" s="59"/>
      <c r="P815" s="59"/>
      <c r="Q815" s="61"/>
    </row>
    <row r="816">
      <c r="B816" s="57"/>
      <c r="C816" s="107"/>
      <c r="D816" s="57"/>
      <c r="F816" s="59"/>
      <c r="H816" s="59"/>
      <c r="J816" s="59"/>
      <c r="L816" s="59"/>
      <c r="N816" s="59"/>
      <c r="P816" s="59"/>
      <c r="Q816" s="61"/>
    </row>
    <row r="817">
      <c r="B817" s="57"/>
      <c r="C817" s="107"/>
      <c r="D817" s="57"/>
      <c r="F817" s="59"/>
      <c r="H817" s="59"/>
      <c r="J817" s="59"/>
      <c r="L817" s="59"/>
      <c r="N817" s="59"/>
      <c r="P817" s="59"/>
      <c r="Q817" s="61"/>
    </row>
    <row r="818">
      <c r="B818" s="57"/>
      <c r="C818" s="107"/>
      <c r="D818" s="57"/>
      <c r="F818" s="59"/>
      <c r="H818" s="59"/>
      <c r="J818" s="59"/>
      <c r="L818" s="59"/>
      <c r="N818" s="59"/>
      <c r="P818" s="59"/>
      <c r="Q818" s="61"/>
    </row>
    <row r="819">
      <c r="B819" s="57"/>
      <c r="C819" s="107"/>
      <c r="D819" s="57"/>
      <c r="F819" s="59"/>
      <c r="H819" s="59"/>
      <c r="J819" s="59"/>
      <c r="L819" s="59"/>
      <c r="N819" s="59"/>
      <c r="P819" s="59"/>
      <c r="Q819" s="61"/>
    </row>
    <row r="820">
      <c r="B820" s="57"/>
      <c r="C820" s="107"/>
      <c r="D820" s="57"/>
      <c r="F820" s="59"/>
      <c r="H820" s="59"/>
      <c r="J820" s="59"/>
      <c r="L820" s="59"/>
      <c r="N820" s="59"/>
      <c r="P820" s="59"/>
      <c r="Q820" s="61"/>
    </row>
    <row r="821">
      <c r="B821" s="57"/>
      <c r="C821" s="107"/>
      <c r="D821" s="57"/>
      <c r="F821" s="59"/>
      <c r="H821" s="59"/>
      <c r="J821" s="59"/>
      <c r="L821" s="59"/>
      <c r="N821" s="59"/>
      <c r="P821" s="59"/>
      <c r="Q821" s="61"/>
    </row>
    <row r="822">
      <c r="B822" s="57"/>
      <c r="C822" s="107"/>
      <c r="D822" s="57"/>
      <c r="F822" s="59"/>
      <c r="H822" s="59"/>
      <c r="J822" s="59"/>
      <c r="L822" s="59"/>
      <c r="N822" s="59"/>
      <c r="P822" s="59"/>
      <c r="Q822" s="61"/>
    </row>
    <row r="823">
      <c r="B823" s="57"/>
      <c r="C823" s="107"/>
      <c r="D823" s="57"/>
      <c r="F823" s="59"/>
      <c r="H823" s="59"/>
      <c r="J823" s="59"/>
      <c r="L823" s="59"/>
      <c r="N823" s="59"/>
      <c r="P823" s="59"/>
      <c r="Q823" s="61"/>
    </row>
    <row r="824">
      <c r="B824" s="57"/>
      <c r="C824" s="107"/>
      <c r="D824" s="57"/>
      <c r="F824" s="59"/>
      <c r="H824" s="59"/>
      <c r="J824" s="59"/>
      <c r="L824" s="59"/>
      <c r="N824" s="59"/>
      <c r="P824" s="59"/>
      <c r="Q824" s="61"/>
    </row>
    <row r="825">
      <c r="B825" s="57"/>
      <c r="C825" s="107"/>
      <c r="D825" s="57"/>
      <c r="F825" s="59"/>
      <c r="H825" s="59"/>
      <c r="J825" s="59"/>
      <c r="L825" s="59"/>
      <c r="N825" s="59"/>
      <c r="P825" s="59"/>
      <c r="Q825" s="61"/>
    </row>
    <row r="826">
      <c r="B826" s="57"/>
      <c r="C826" s="107"/>
      <c r="D826" s="57"/>
      <c r="F826" s="59"/>
      <c r="H826" s="59"/>
      <c r="J826" s="59"/>
      <c r="L826" s="59"/>
      <c r="N826" s="59"/>
      <c r="P826" s="59"/>
      <c r="Q826" s="61"/>
    </row>
    <row r="827">
      <c r="B827" s="57"/>
      <c r="C827" s="107"/>
      <c r="D827" s="57"/>
      <c r="F827" s="59"/>
      <c r="H827" s="59"/>
      <c r="J827" s="59"/>
      <c r="L827" s="59"/>
      <c r="N827" s="59"/>
      <c r="P827" s="59"/>
      <c r="Q827" s="61"/>
    </row>
    <row r="828">
      <c r="B828" s="57"/>
      <c r="C828" s="107"/>
      <c r="D828" s="57"/>
      <c r="F828" s="59"/>
      <c r="H828" s="59"/>
      <c r="J828" s="59"/>
      <c r="L828" s="59"/>
      <c r="N828" s="59"/>
      <c r="P828" s="59"/>
      <c r="Q828" s="61"/>
    </row>
    <row r="829">
      <c r="B829" s="57"/>
      <c r="C829" s="107"/>
      <c r="D829" s="57"/>
      <c r="F829" s="59"/>
      <c r="H829" s="59"/>
      <c r="J829" s="59"/>
      <c r="L829" s="59"/>
      <c r="N829" s="59"/>
      <c r="P829" s="59"/>
      <c r="Q829" s="61"/>
    </row>
    <row r="830">
      <c r="B830" s="57"/>
      <c r="C830" s="107"/>
      <c r="D830" s="57"/>
      <c r="F830" s="59"/>
      <c r="H830" s="59"/>
      <c r="J830" s="59"/>
      <c r="L830" s="59"/>
      <c r="N830" s="59"/>
      <c r="P830" s="59"/>
      <c r="Q830" s="61"/>
    </row>
    <row r="831">
      <c r="B831" s="57"/>
      <c r="C831" s="107"/>
      <c r="D831" s="57"/>
      <c r="F831" s="59"/>
      <c r="H831" s="59"/>
      <c r="J831" s="59"/>
      <c r="L831" s="59"/>
      <c r="N831" s="59"/>
      <c r="P831" s="59"/>
      <c r="Q831" s="61"/>
    </row>
    <row r="832">
      <c r="B832" s="57"/>
      <c r="C832" s="107"/>
      <c r="D832" s="57"/>
      <c r="F832" s="59"/>
      <c r="H832" s="59"/>
      <c r="J832" s="59"/>
      <c r="L832" s="59"/>
      <c r="N832" s="59"/>
      <c r="P832" s="59"/>
      <c r="Q832" s="61"/>
    </row>
    <row r="833">
      <c r="B833" s="57"/>
      <c r="C833" s="107"/>
      <c r="D833" s="57"/>
      <c r="F833" s="59"/>
      <c r="H833" s="59"/>
      <c r="J833" s="59"/>
      <c r="L833" s="59"/>
      <c r="N833" s="59"/>
      <c r="P833" s="59"/>
      <c r="Q833" s="61"/>
    </row>
    <row r="834">
      <c r="B834" s="57"/>
      <c r="C834" s="107"/>
      <c r="D834" s="57"/>
      <c r="F834" s="59"/>
      <c r="H834" s="59"/>
      <c r="J834" s="59"/>
      <c r="L834" s="59"/>
      <c r="N834" s="59"/>
      <c r="P834" s="59"/>
      <c r="Q834" s="61"/>
    </row>
    <row r="835">
      <c r="B835" s="57"/>
      <c r="C835" s="107"/>
      <c r="D835" s="57"/>
      <c r="F835" s="59"/>
      <c r="H835" s="59"/>
      <c r="J835" s="59"/>
      <c r="L835" s="59"/>
      <c r="N835" s="59"/>
      <c r="P835" s="59"/>
      <c r="Q835" s="61"/>
    </row>
    <row r="836">
      <c r="B836" s="57"/>
      <c r="C836" s="107"/>
      <c r="D836" s="57"/>
      <c r="F836" s="59"/>
      <c r="H836" s="59"/>
      <c r="J836" s="59"/>
      <c r="L836" s="59"/>
      <c r="N836" s="59"/>
      <c r="P836" s="59"/>
      <c r="Q836" s="61"/>
    </row>
    <row r="837">
      <c r="B837" s="57"/>
      <c r="C837" s="107"/>
      <c r="D837" s="57"/>
      <c r="F837" s="59"/>
      <c r="H837" s="59"/>
      <c r="J837" s="59"/>
      <c r="L837" s="59"/>
      <c r="N837" s="59"/>
      <c r="P837" s="59"/>
      <c r="Q837" s="61"/>
    </row>
    <row r="838">
      <c r="B838" s="57"/>
      <c r="C838" s="107"/>
      <c r="D838" s="57"/>
      <c r="F838" s="59"/>
      <c r="H838" s="59"/>
      <c r="J838" s="59"/>
      <c r="L838" s="59"/>
      <c r="N838" s="59"/>
      <c r="P838" s="59"/>
      <c r="Q838" s="61"/>
    </row>
    <row r="839">
      <c r="B839" s="57"/>
      <c r="C839" s="107"/>
      <c r="D839" s="57"/>
      <c r="F839" s="59"/>
      <c r="H839" s="59"/>
      <c r="J839" s="59"/>
      <c r="L839" s="59"/>
      <c r="N839" s="59"/>
      <c r="P839" s="59"/>
      <c r="Q839" s="61"/>
    </row>
    <row r="840">
      <c r="B840" s="57"/>
      <c r="C840" s="107"/>
      <c r="D840" s="57"/>
      <c r="F840" s="59"/>
      <c r="H840" s="59"/>
      <c r="J840" s="59"/>
      <c r="L840" s="59"/>
      <c r="N840" s="59"/>
      <c r="P840" s="59"/>
      <c r="Q840" s="61"/>
    </row>
    <row r="841">
      <c r="B841" s="57"/>
      <c r="C841" s="107"/>
      <c r="D841" s="57"/>
      <c r="F841" s="59"/>
      <c r="H841" s="59"/>
      <c r="J841" s="59"/>
      <c r="L841" s="59"/>
      <c r="N841" s="59"/>
      <c r="P841" s="59"/>
      <c r="Q841" s="61"/>
    </row>
    <row r="842">
      <c r="B842" s="57"/>
      <c r="C842" s="107"/>
      <c r="D842" s="57"/>
      <c r="F842" s="59"/>
      <c r="H842" s="59"/>
      <c r="J842" s="59"/>
      <c r="L842" s="59"/>
      <c r="N842" s="59"/>
      <c r="P842" s="59"/>
      <c r="Q842" s="61"/>
    </row>
    <row r="843">
      <c r="B843" s="57"/>
      <c r="C843" s="107"/>
      <c r="D843" s="57"/>
      <c r="F843" s="59"/>
      <c r="H843" s="59"/>
      <c r="J843" s="59"/>
      <c r="L843" s="59"/>
      <c r="N843" s="59"/>
      <c r="P843" s="59"/>
      <c r="Q843" s="61"/>
    </row>
    <row r="844">
      <c r="B844" s="57"/>
      <c r="C844" s="107"/>
      <c r="D844" s="57"/>
      <c r="F844" s="59"/>
      <c r="H844" s="59"/>
      <c r="J844" s="59"/>
      <c r="L844" s="59"/>
      <c r="N844" s="59"/>
      <c r="P844" s="59"/>
      <c r="Q844" s="61"/>
    </row>
    <row r="845">
      <c r="B845" s="57"/>
      <c r="C845" s="107"/>
      <c r="D845" s="57"/>
      <c r="F845" s="59"/>
      <c r="H845" s="59"/>
      <c r="J845" s="59"/>
      <c r="L845" s="59"/>
      <c r="N845" s="59"/>
      <c r="P845" s="59"/>
      <c r="Q845" s="61"/>
    </row>
    <row r="846">
      <c r="B846" s="57"/>
      <c r="C846" s="107"/>
      <c r="D846" s="57"/>
      <c r="F846" s="59"/>
      <c r="H846" s="59"/>
      <c r="J846" s="59"/>
      <c r="L846" s="59"/>
      <c r="N846" s="59"/>
      <c r="P846" s="59"/>
      <c r="Q846" s="61"/>
    </row>
    <row r="847">
      <c r="B847" s="57"/>
      <c r="C847" s="107"/>
      <c r="D847" s="57"/>
      <c r="F847" s="59"/>
      <c r="H847" s="59"/>
      <c r="J847" s="59"/>
      <c r="L847" s="59"/>
      <c r="N847" s="59"/>
      <c r="P847" s="59"/>
      <c r="Q847" s="61"/>
    </row>
    <row r="848">
      <c r="B848" s="57"/>
      <c r="C848" s="107"/>
      <c r="D848" s="57"/>
      <c r="F848" s="59"/>
      <c r="H848" s="59"/>
      <c r="J848" s="59"/>
      <c r="L848" s="59"/>
      <c r="N848" s="59"/>
      <c r="P848" s="59"/>
      <c r="Q848" s="61"/>
    </row>
    <row r="849">
      <c r="B849" s="57"/>
      <c r="C849" s="107"/>
      <c r="D849" s="57"/>
      <c r="F849" s="59"/>
      <c r="H849" s="59"/>
      <c r="J849" s="59"/>
      <c r="L849" s="59"/>
      <c r="N849" s="59"/>
      <c r="P849" s="59"/>
      <c r="Q849" s="61"/>
    </row>
    <row r="850">
      <c r="B850" s="57"/>
      <c r="C850" s="107"/>
      <c r="D850" s="57"/>
      <c r="F850" s="59"/>
      <c r="H850" s="59"/>
      <c r="J850" s="59"/>
      <c r="L850" s="59"/>
      <c r="N850" s="59"/>
      <c r="P850" s="59"/>
      <c r="Q850" s="61"/>
    </row>
    <row r="851">
      <c r="B851" s="57"/>
      <c r="C851" s="107"/>
      <c r="D851" s="57"/>
      <c r="F851" s="59"/>
      <c r="H851" s="59"/>
      <c r="J851" s="59"/>
      <c r="L851" s="59"/>
      <c r="N851" s="59"/>
      <c r="P851" s="59"/>
      <c r="Q851" s="61"/>
    </row>
    <row r="852">
      <c r="B852" s="57"/>
      <c r="C852" s="107"/>
      <c r="D852" s="57"/>
      <c r="F852" s="59"/>
      <c r="H852" s="59"/>
      <c r="J852" s="59"/>
      <c r="L852" s="59"/>
      <c r="N852" s="59"/>
      <c r="P852" s="59"/>
      <c r="Q852" s="61"/>
    </row>
    <row r="853">
      <c r="B853" s="57"/>
      <c r="C853" s="107"/>
      <c r="D853" s="57"/>
      <c r="F853" s="59"/>
      <c r="H853" s="59"/>
      <c r="J853" s="59"/>
      <c r="L853" s="59"/>
      <c r="N853" s="59"/>
      <c r="P853" s="59"/>
      <c r="Q853" s="61"/>
    </row>
    <row r="854">
      <c r="B854" s="57"/>
      <c r="C854" s="107"/>
      <c r="D854" s="57"/>
      <c r="F854" s="59"/>
      <c r="H854" s="59"/>
      <c r="J854" s="59"/>
      <c r="L854" s="59"/>
      <c r="N854" s="59"/>
      <c r="P854" s="59"/>
      <c r="Q854" s="61"/>
    </row>
    <row r="855">
      <c r="B855" s="57"/>
      <c r="C855" s="107"/>
      <c r="D855" s="57"/>
      <c r="F855" s="59"/>
      <c r="H855" s="59"/>
      <c r="J855" s="59"/>
      <c r="L855" s="59"/>
      <c r="N855" s="59"/>
      <c r="P855" s="59"/>
      <c r="Q855" s="61"/>
    </row>
    <row r="856">
      <c r="B856" s="57"/>
      <c r="C856" s="107"/>
      <c r="D856" s="57"/>
      <c r="F856" s="59"/>
      <c r="H856" s="59"/>
      <c r="J856" s="59"/>
      <c r="L856" s="59"/>
      <c r="N856" s="59"/>
      <c r="P856" s="59"/>
      <c r="Q856" s="61"/>
    </row>
    <row r="857">
      <c r="B857" s="57"/>
      <c r="C857" s="107"/>
      <c r="D857" s="57"/>
      <c r="F857" s="59"/>
      <c r="H857" s="59"/>
      <c r="J857" s="59"/>
      <c r="L857" s="59"/>
      <c r="N857" s="59"/>
      <c r="P857" s="59"/>
      <c r="Q857" s="61"/>
    </row>
    <row r="858">
      <c r="B858" s="57"/>
      <c r="C858" s="107"/>
      <c r="D858" s="57"/>
      <c r="F858" s="59"/>
      <c r="H858" s="59"/>
      <c r="J858" s="59"/>
      <c r="L858" s="59"/>
      <c r="N858" s="59"/>
      <c r="P858" s="59"/>
      <c r="Q858" s="61"/>
    </row>
    <row r="859">
      <c r="B859" s="57"/>
      <c r="C859" s="107"/>
      <c r="D859" s="57"/>
      <c r="F859" s="59"/>
      <c r="H859" s="59"/>
      <c r="J859" s="59"/>
      <c r="L859" s="59"/>
      <c r="N859" s="59"/>
      <c r="P859" s="59"/>
      <c r="Q859" s="61"/>
    </row>
    <row r="860">
      <c r="B860" s="57"/>
      <c r="C860" s="107"/>
      <c r="D860" s="57"/>
      <c r="F860" s="59"/>
      <c r="H860" s="59"/>
      <c r="J860" s="59"/>
      <c r="L860" s="59"/>
      <c r="N860" s="59"/>
      <c r="P860" s="59"/>
      <c r="Q860" s="61"/>
    </row>
    <row r="861">
      <c r="B861" s="57"/>
      <c r="C861" s="107"/>
      <c r="D861" s="57"/>
      <c r="F861" s="59"/>
      <c r="H861" s="59"/>
      <c r="J861" s="59"/>
      <c r="L861" s="59"/>
      <c r="N861" s="59"/>
      <c r="P861" s="59"/>
      <c r="Q861" s="61"/>
    </row>
    <row r="862">
      <c r="B862" s="57"/>
      <c r="C862" s="107"/>
      <c r="D862" s="57"/>
      <c r="F862" s="59"/>
      <c r="H862" s="59"/>
      <c r="J862" s="59"/>
      <c r="L862" s="59"/>
      <c r="N862" s="59"/>
      <c r="P862" s="59"/>
      <c r="Q862" s="61"/>
    </row>
    <row r="863">
      <c r="B863" s="57"/>
      <c r="C863" s="107"/>
      <c r="D863" s="57"/>
      <c r="F863" s="59"/>
      <c r="H863" s="59"/>
      <c r="J863" s="59"/>
      <c r="L863" s="59"/>
      <c r="N863" s="59"/>
      <c r="P863" s="59"/>
      <c r="Q863" s="61"/>
    </row>
    <row r="864">
      <c r="B864" s="57"/>
      <c r="C864" s="107"/>
      <c r="D864" s="57"/>
      <c r="F864" s="59"/>
      <c r="H864" s="59"/>
      <c r="J864" s="59"/>
      <c r="L864" s="59"/>
      <c r="N864" s="59"/>
      <c r="P864" s="59"/>
      <c r="Q864" s="61"/>
    </row>
    <row r="865">
      <c r="B865" s="57"/>
      <c r="C865" s="107"/>
      <c r="D865" s="57"/>
      <c r="F865" s="59"/>
      <c r="H865" s="59"/>
      <c r="J865" s="59"/>
      <c r="L865" s="59"/>
      <c r="N865" s="59"/>
      <c r="P865" s="59"/>
      <c r="Q865" s="61"/>
    </row>
    <row r="866">
      <c r="B866" s="57"/>
      <c r="C866" s="107"/>
      <c r="D866" s="57"/>
      <c r="F866" s="59"/>
      <c r="H866" s="59"/>
      <c r="J866" s="59"/>
      <c r="L866" s="59"/>
      <c r="N866" s="59"/>
      <c r="P866" s="59"/>
      <c r="Q866" s="61"/>
    </row>
    <row r="867">
      <c r="B867" s="57"/>
      <c r="C867" s="107"/>
      <c r="D867" s="57"/>
      <c r="F867" s="59"/>
      <c r="H867" s="59"/>
      <c r="J867" s="59"/>
      <c r="L867" s="59"/>
      <c r="N867" s="59"/>
      <c r="P867" s="59"/>
      <c r="Q867" s="61"/>
    </row>
    <row r="868">
      <c r="B868" s="57"/>
      <c r="C868" s="107"/>
      <c r="D868" s="57"/>
      <c r="F868" s="59"/>
      <c r="H868" s="59"/>
      <c r="J868" s="59"/>
      <c r="L868" s="59"/>
      <c r="N868" s="59"/>
      <c r="P868" s="59"/>
      <c r="Q868" s="61"/>
    </row>
    <row r="869">
      <c r="B869" s="57"/>
      <c r="C869" s="107"/>
      <c r="D869" s="57"/>
      <c r="F869" s="59"/>
      <c r="H869" s="59"/>
      <c r="J869" s="59"/>
      <c r="L869" s="59"/>
      <c r="N869" s="59"/>
      <c r="P869" s="59"/>
      <c r="Q869" s="61"/>
    </row>
    <row r="870">
      <c r="B870" s="57"/>
      <c r="C870" s="107"/>
      <c r="D870" s="57"/>
      <c r="F870" s="59"/>
      <c r="H870" s="59"/>
      <c r="J870" s="59"/>
      <c r="L870" s="59"/>
      <c r="N870" s="59"/>
      <c r="P870" s="59"/>
      <c r="Q870" s="61"/>
    </row>
    <row r="871">
      <c r="B871" s="57"/>
      <c r="C871" s="107"/>
      <c r="D871" s="57"/>
      <c r="F871" s="59"/>
      <c r="H871" s="59"/>
      <c r="J871" s="59"/>
      <c r="L871" s="59"/>
      <c r="N871" s="59"/>
      <c r="P871" s="59"/>
      <c r="Q871" s="61"/>
    </row>
    <row r="872">
      <c r="B872" s="57"/>
      <c r="C872" s="107"/>
      <c r="D872" s="57"/>
      <c r="F872" s="59"/>
      <c r="H872" s="59"/>
      <c r="J872" s="59"/>
      <c r="L872" s="59"/>
      <c r="N872" s="59"/>
      <c r="P872" s="59"/>
      <c r="Q872" s="61"/>
    </row>
    <row r="873">
      <c r="B873" s="57"/>
      <c r="C873" s="107"/>
      <c r="D873" s="57"/>
      <c r="F873" s="59"/>
      <c r="H873" s="59"/>
      <c r="J873" s="59"/>
      <c r="L873" s="59"/>
      <c r="N873" s="59"/>
      <c r="P873" s="59"/>
      <c r="Q873" s="61"/>
    </row>
    <row r="874">
      <c r="B874" s="57"/>
      <c r="C874" s="107"/>
      <c r="D874" s="57"/>
      <c r="F874" s="59"/>
      <c r="H874" s="59"/>
      <c r="J874" s="59"/>
      <c r="L874" s="59"/>
      <c r="N874" s="59"/>
      <c r="P874" s="59"/>
      <c r="Q874" s="61"/>
    </row>
    <row r="875">
      <c r="B875" s="57"/>
      <c r="C875" s="107"/>
      <c r="D875" s="57"/>
      <c r="F875" s="59"/>
      <c r="H875" s="59"/>
      <c r="J875" s="59"/>
      <c r="L875" s="59"/>
      <c r="N875" s="59"/>
      <c r="P875" s="59"/>
      <c r="Q875" s="61"/>
    </row>
    <row r="876">
      <c r="B876" s="57"/>
      <c r="C876" s="107"/>
      <c r="D876" s="57"/>
      <c r="F876" s="59"/>
      <c r="H876" s="59"/>
      <c r="J876" s="59"/>
      <c r="L876" s="59"/>
      <c r="N876" s="59"/>
      <c r="P876" s="59"/>
      <c r="Q876" s="61"/>
    </row>
    <row r="877">
      <c r="B877" s="57"/>
      <c r="C877" s="107"/>
      <c r="D877" s="57"/>
      <c r="F877" s="59"/>
      <c r="H877" s="59"/>
      <c r="J877" s="59"/>
      <c r="L877" s="59"/>
      <c r="N877" s="59"/>
      <c r="P877" s="59"/>
      <c r="Q877" s="61"/>
    </row>
    <row r="878">
      <c r="B878" s="57"/>
      <c r="C878" s="107"/>
      <c r="D878" s="57"/>
      <c r="F878" s="59"/>
      <c r="H878" s="59"/>
      <c r="J878" s="59"/>
      <c r="L878" s="59"/>
      <c r="N878" s="59"/>
      <c r="P878" s="59"/>
      <c r="Q878" s="61"/>
    </row>
    <row r="879">
      <c r="B879" s="57"/>
      <c r="C879" s="107"/>
      <c r="D879" s="57"/>
      <c r="F879" s="59"/>
      <c r="H879" s="59"/>
      <c r="J879" s="59"/>
      <c r="L879" s="59"/>
      <c r="N879" s="59"/>
      <c r="P879" s="59"/>
      <c r="Q879" s="61"/>
    </row>
    <row r="880">
      <c r="B880" s="57"/>
      <c r="C880" s="107"/>
      <c r="D880" s="57"/>
      <c r="F880" s="59"/>
      <c r="H880" s="59"/>
      <c r="J880" s="59"/>
      <c r="L880" s="59"/>
      <c r="N880" s="59"/>
      <c r="P880" s="59"/>
      <c r="Q880" s="61"/>
    </row>
    <row r="881">
      <c r="B881" s="57"/>
      <c r="C881" s="107"/>
      <c r="D881" s="57"/>
      <c r="F881" s="59"/>
      <c r="H881" s="59"/>
      <c r="J881" s="59"/>
      <c r="L881" s="59"/>
      <c r="N881" s="59"/>
      <c r="P881" s="59"/>
      <c r="Q881" s="61"/>
    </row>
    <row r="882">
      <c r="B882" s="57"/>
      <c r="C882" s="107"/>
      <c r="D882" s="57"/>
      <c r="F882" s="59"/>
      <c r="H882" s="59"/>
      <c r="J882" s="59"/>
      <c r="L882" s="59"/>
      <c r="N882" s="59"/>
      <c r="P882" s="59"/>
      <c r="Q882" s="61"/>
    </row>
    <row r="883">
      <c r="B883" s="57"/>
      <c r="C883" s="107"/>
      <c r="D883" s="57"/>
      <c r="F883" s="59"/>
      <c r="H883" s="59"/>
      <c r="J883" s="59"/>
      <c r="L883" s="59"/>
      <c r="N883" s="59"/>
      <c r="P883" s="59"/>
      <c r="Q883" s="61"/>
    </row>
    <row r="884">
      <c r="B884" s="57"/>
      <c r="C884" s="107"/>
      <c r="D884" s="57"/>
      <c r="F884" s="59"/>
      <c r="H884" s="59"/>
      <c r="J884" s="59"/>
      <c r="L884" s="59"/>
      <c r="N884" s="59"/>
      <c r="P884" s="59"/>
      <c r="Q884" s="61"/>
    </row>
    <row r="885">
      <c r="B885" s="57"/>
      <c r="C885" s="107"/>
      <c r="D885" s="57"/>
      <c r="F885" s="59"/>
      <c r="H885" s="59"/>
      <c r="J885" s="59"/>
      <c r="L885" s="59"/>
      <c r="N885" s="59"/>
      <c r="P885" s="59"/>
      <c r="Q885" s="61"/>
    </row>
    <row r="886">
      <c r="B886" s="57"/>
      <c r="C886" s="107"/>
      <c r="D886" s="57"/>
      <c r="F886" s="59"/>
      <c r="H886" s="59"/>
      <c r="J886" s="59"/>
      <c r="L886" s="59"/>
      <c r="N886" s="59"/>
      <c r="P886" s="59"/>
      <c r="Q886" s="61"/>
    </row>
    <row r="887">
      <c r="B887" s="57"/>
      <c r="C887" s="107"/>
      <c r="D887" s="57"/>
      <c r="F887" s="59"/>
      <c r="H887" s="59"/>
      <c r="J887" s="59"/>
      <c r="L887" s="59"/>
      <c r="N887" s="59"/>
      <c r="P887" s="59"/>
      <c r="Q887" s="61"/>
    </row>
    <row r="888">
      <c r="B888" s="57"/>
      <c r="C888" s="107"/>
      <c r="D888" s="57"/>
      <c r="F888" s="59"/>
      <c r="H888" s="59"/>
      <c r="J888" s="59"/>
      <c r="L888" s="59"/>
      <c r="N888" s="59"/>
      <c r="P888" s="59"/>
      <c r="Q888" s="61"/>
    </row>
    <row r="889">
      <c r="B889" s="57"/>
      <c r="C889" s="107"/>
      <c r="D889" s="57"/>
      <c r="F889" s="59"/>
      <c r="H889" s="59"/>
      <c r="J889" s="59"/>
      <c r="L889" s="59"/>
      <c r="N889" s="59"/>
      <c r="P889" s="59"/>
      <c r="Q889" s="61"/>
    </row>
    <row r="890">
      <c r="B890" s="57"/>
      <c r="C890" s="107"/>
      <c r="D890" s="57"/>
      <c r="F890" s="59"/>
      <c r="H890" s="59"/>
      <c r="J890" s="59"/>
      <c r="L890" s="59"/>
      <c r="N890" s="59"/>
      <c r="P890" s="59"/>
      <c r="Q890" s="61"/>
    </row>
    <row r="891">
      <c r="B891" s="57"/>
      <c r="C891" s="107"/>
      <c r="D891" s="57"/>
      <c r="F891" s="59"/>
      <c r="H891" s="59"/>
      <c r="J891" s="59"/>
      <c r="L891" s="59"/>
      <c r="N891" s="59"/>
      <c r="P891" s="59"/>
      <c r="Q891" s="61"/>
    </row>
    <row r="892">
      <c r="B892" s="57"/>
      <c r="C892" s="107"/>
      <c r="D892" s="57"/>
      <c r="F892" s="59"/>
      <c r="H892" s="59"/>
      <c r="J892" s="59"/>
      <c r="L892" s="59"/>
      <c r="N892" s="59"/>
      <c r="P892" s="59"/>
      <c r="Q892" s="61"/>
    </row>
    <row r="893">
      <c r="B893" s="57"/>
      <c r="C893" s="107"/>
      <c r="D893" s="57"/>
      <c r="F893" s="59"/>
      <c r="H893" s="59"/>
      <c r="J893" s="59"/>
      <c r="L893" s="59"/>
      <c r="N893" s="59"/>
      <c r="P893" s="59"/>
      <c r="Q893" s="61"/>
    </row>
    <row r="894">
      <c r="B894" s="57"/>
      <c r="C894" s="107"/>
      <c r="D894" s="57"/>
      <c r="F894" s="59"/>
      <c r="H894" s="59"/>
      <c r="J894" s="59"/>
      <c r="L894" s="59"/>
      <c r="N894" s="59"/>
      <c r="P894" s="59"/>
      <c r="Q894" s="61"/>
    </row>
    <row r="895">
      <c r="B895" s="57"/>
      <c r="C895" s="107"/>
      <c r="D895" s="57"/>
      <c r="F895" s="59"/>
      <c r="H895" s="59"/>
      <c r="J895" s="59"/>
      <c r="L895" s="59"/>
      <c r="N895" s="59"/>
      <c r="P895" s="59"/>
      <c r="Q895" s="61"/>
    </row>
    <row r="896">
      <c r="B896" s="57"/>
      <c r="C896" s="107"/>
      <c r="D896" s="57"/>
      <c r="F896" s="59"/>
      <c r="H896" s="59"/>
      <c r="J896" s="59"/>
      <c r="L896" s="59"/>
      <c r="N896" s="59"/>
      <c r="P896" s="59"/>
      <c r="Q896" s="61"/>
    </row>
    <row r="897">
      <c r="B897" s="57"/>
      <c r="C897" s="107"/>
      <c r="D897" s="57"/>
      <c r="F897" s="59"/>
      <c r="H897" s="59"/>
      <c r="J897" s="59"/>
      <c r="L897" s="59"/>
      <c r="N897" s="59"/>
      <c r="P897" s="59"/>
      <c r="Q897" s="61"/>
    </row>
    <row r="898">
      <c r="B898" s="57"/>
      <c r="C898" s="107"/>
      <c r="D898" s="57"/>
      <c r="F898" s="59"/>
      <c r="H898" s="59"/>
      <c r="J898" s="59"/>
      <c r="L898" s="59"/>
      <c r="N898" s="59"/>
      <c r="P898" s="59"/>
      <c r="Q898" s="61"/>
    </row>
    <row r="899">
      <c r="B899" s="57"/>
      <c r="C899" s="107"/>
      <c r="D899" s="57"/>
      <c r="F899" s="59"/>
      <c r="H899" s="59"/>
      <c r="J899" s="59"/>
      <c r="L899" s="59"/>
      <c r="N899" s="59"/>
      <c r="P899" s="59"/>
      <c r="Q899" s="61"/>
    </row>
    <row r="900">
      <c r="B900" s="57"/>
      <c r="C900" s="107"/>
      <c r="D900" s="57"/>
      <c r="F900" s="59"/>
      <c r="H900" s="59"/>
      <c r="J900" s="59"/>
      <c r="L900" s="59"/>
      <c r="N900" s="59"/>
      <c r="P900" s="59"/>
      <c r="Q900" s="61"/>
    </row>
    <row r="901">
      <c r="B901" s="57"/>
      <c r="C901" s="107"/>
      <c r="D901" s="57"/>
      <c r="F901" s="59"/>
      <c r="H901" s="59"/>
      <c r="J901" s="59"/>
      <c r="L901" s="59"/>
      <c r="N901" s="59"/>
      <c r="P901" s="59"/>
      <c r="Q901" s="61"/>
    </row>
    <row r="902">
      <c r="B902" s="57"/>
      <c r="C902" s="107"/>
      <c r="D902" s="57"/>
      <c r="F902" s="59"/>
      <c r="H902" s="59"/>
      <c r="J902" s="59"/>
      <c r="L902" s="59"/>
      <c r="N902" s="59"/>
      <c r="P902" s="59"/>
      <c r="Q902" s="61"/>
    </row>
    <row r="903">
      <c r="B903" s="57"/>
      <c r="C903" s="107"/>
      <c r="D903" s="57"/>
      <c r="F903" s="59"/>
      <c r="H903" s="59"/>
      <c r="J903" s="59"/>
      <c r="L903" s="59"/>
      <c r="N903" s="59"/>
      <c r="P903" s="59"/>
      <c r="Q903" s="61"/>
    </row>
    <row r="904">
      <c r="B904" s="57"/>
      <c r="C904" s="107"/>
      <c r="D904" s="57"/>
      <c r="F904" s="59"/>
      <c r="H904" s="59"/>
      <c r="J904" s="59"/>
      <c r="L904" s="59"/>
      <c r="N904" s="59"/>
      <c r="P904" s="59"/>
      <c r="Q904" s="61"/>
    </row>
    <row r="905">
      <c r="B905" s="57"/>
      <c r="C905" s="107"/>
      <c r="D905" s="57"/>
      <c r="F905" s="59"/>
      <c r="H905" s="59"/>
      <c r="J905" s="59"/>
      <c r="L905" s="59"/>
      <c r="N905" s="59"/>
      <c r="P905" s="59"/>
      <c r="Q905" s="61"/>
    </row>
    <row r="906">
      <c r="B906" s="57"/>
      <c r="C906" s="107"/>
      <c r="D906" s="57"/>
      <c r="F906" s="59"/>
      <c r="H906" s="59"/>
      <c r="J906" s="59"/>
      <c r="L906" s="59"/>
      <c r="N906" s="59"/>
      <c r="P906" s="59"/>
      <c r="Q906" s="61"/>
    </row>
    <row r="907">
      <c r="B907" s="57"/>
      <c r="C907" s="107"/>
      <c r="D907" s="57"/>
      <c r="F907" s="59"/>
      <c r="H907" s="59"/>
      <c r="J907" s="59"/>
      <c r="L907" s="59"/>
      <c r="N907" s="59"/>
      <c r="P907" s="59"/>
      <c r="Q907" s="61"/>
    </row>
    <row r="908">
      <c r="B908" s="57"/>
      <c r="C908" s="107"/>
      <c r="D908" s="57"/>
      <c r="F908" s="59"/>
      <c r="H908" s="59"/>
      <c r="J908" s="59"/>
      <c r="L908" s="59"/>
      <c r="N908" s="59"/>
      <c r="P908" s="59"/>
      <c r="Q908" s="61"/>
    </row>
    <row r="909">
      <c r="B909" s="57"/>
      <c r="C909" s="107"/>
      <c r="D909" s="57"/>
      <c r="F909" s="59"/>
      <c r="H909" s="59"/>
      <c r="J909" s="59"/>
      <c r="L909" s="59"/>
      <c r="N909" s="59"/>
      <c r="P909" s="59"/>
      <c r="Q909" s="61"/>
    </row>
    <row r="910">
      <c r="B910" s="57"/>
      <c r="C910" s="107"/>
      <c r="D910" s="57"/>
      <c r="F910" s="59"/>
      <c r="H910" s="59"/>
      <c r="J910" s="59"/>
      <c r="L910" s="59"/>
      <c r="N910" s="59"/>
      <c r="P910" s="59"/>
      <c r="Q910" s="61"/>
    </row>
    <row r="911">
      <c r="B911" s="57"/>
      <c r="C911" s="107"/>
      <c r="D911" s="57"/>
      <c r="F911" s="59"/>
      <c r="H911" s="59"/>
      <c r="J911" s="59"/>
      <c r="L911" s="59"/>
      <c r="N911" s="59"/>
      <c r="P911" s="59"/>
      <c r="Q911" s="61"/>
    </row>
    <row r="912">
      <c r="B912" s="57"/>
      <c r="C912" s="107"/>
      <c r="D912" s="57"/>
      <c r="F912" s="59"/>
      <c r="H912" s="59"/>
      <c r="J912" s="59"/>
      <c r="L912" s="59"/>
      <c r="N912" s="59"/>
      <c r="P912" s="59"/>
      <c r="Q912" s="61"/>
    </row>
    <row r="913">
      <c r="B913" s="57"/>
      <c r="C913" s="107"/>
      <c r="D913" s="57"/>
      <c r="F913" s="59"/>
      <c r="H913" s="59"/>
      <c r="J913" s="59"/>
      <c r="L913" s="59"/>
      <c r="N913" s="59"/>
      <c r="P913" s="59"/>
      <c r="Q913" s="61"/>
    </row>
    <row r="914">
      <c r="B914" s="57"/>
      <c r="C914" s="107"/>
      <c r="D914" s="57"/>
      <c r="F914" s="59"/>
      <c r="H914" s="59"/>
      <c r="J914" s="59"/>
      <c r="L914" s="59"/>
      <c r="N914" s="59"/>
      <c r="P914" s="59"/>
      <c r="Q914" s="61"/>
    </row>
    <row r="915">
      <c r="B915" s="57"/>
      <c r="C915" s="107"/>
      <c r="D915" s="57"/>
      <c r="F915" s="59"/>
      <c r="H915" s="59"/>
      <c r="J915" s="59"/>
      <c r="L915" s="59"/>
      <c r="N915" s="59"/>
      <c r="P915" s="59"/>
      <c r="Q915" s="61"/>
    </row>
    <row r="916">
      <c r="B916" s="57"/>
      <c r="C916" s="107"/>
      <c r="D916" s="57"/>
      <c r="F916" s="59"/>
      <c r="H916" s="59"/>
      <c r="J916" s="59"/>
      <c r="L916" s="59"/>
      <c r="N916" s="59"/>
      <c r="P916" s="59"/>
      <c r="Q916" s="61"/>
    </row>
    <row r="917">
      <c r="B917" s="57"/>
      <c r="C917" s="107"/>
      <c r="D917" s="57"/>
      <c r="F917" s="59"/>
      <c r="H917" s="59"/>
      <c r="J917" s="59"/>
      <c r="L917" s="59"/>
      <c r="N917" s="59"/>
      <c r="P917" s="59"/>
      <c r="Q917" s="61"/>
    </row>
    <row r="918">
      <c r="B918" s="57"/>
      <c r="C918" s="107"/>
      <c r="D918" s="57"/>
      <c r="F918" s="59"/>
      <c r="H918" s="59"/>
      <c r="J918" s="59"/>
      <c r="L918" s="59"/>
      <c r="N918" s="59"/>
      <c r="P918" s="59"/>
      <c r="Q918" s="61"/>
    </row>
    <row r="919">
      <c r="B919" s="57"/>
      <c r="C919" s="107"/>
      <c r="D919" s="57"/>
      <c r="F919" s="59"/>
      <c r="H919" s="59"/>
      <c r="J919" s="59"/>
      <c r="L919" s="59"/>
      <c r="N919" s="59"/>
      <c r="P919" s="59"/>
      <c r="Q919" s="61"/>
    </row>
    <row r="920">
      <c r="B920" s="57"/>
      <c r="C920" s="107"/>
      <c r="D920" s="57"/>
      <c r="F920" s="59"/>
      <c r="H920" s="59"/>
      <c r="J920" s="59"/>
      <c r="L920" s="59"/>
      <c r="N920" s="59"/>
      <c r="P920" s="59"/>
      <c r="Q920" s="61"/>
    </row>
    <row r="921">
      <c r="B921" s="57"/>
      <c r="C921" s="107"/>
      <c r="D921" s="57"/>
      <c r="F921" s="59"/>
      <c r="H921" s="59"/>
      <c r="J921" s="59"/>
      <c r="L921" s="59"/>
      <c r="N921" s="59"/>
      <c r="P921" s="59"/>
      <c r="Q921" s="61"/>
    </row>
    <row r="922">
      <c r="B922" s="57"/>
      <c r="C922" s="107"/>
      <c r="D922" s="57"/>
      <c r="F922" s="59"/>
      <c r="H922" s="59"/>
      <c r="J922" s="59"/>
      <c r="L922" s="59"/>
      <c r="N922" s="59"/>
      <c r="P922" s="59"/>
      <c r="Q922" s="61"/>
    </row>
    <row r="923">
      <c r="B923" s="57"/>
      <c r="C923" s="107"/>
      <c r="D923" s="57"/>
      <c r="F923" s="59"/>
      <c r="H923" s="59"/>
      <c r="J923" s="59"/>
      <c r="L923" s="59"/>
      <c r="N923" s="59"/>
      <c r="P923" s="59"/>
      <c r="Q923" s="61"/>
    </row>
    <row r="924">
      <c r="B924" s="57"/>
      <c r="C924" s="107"/>
      <c r="D924" s="57"/>
      <c r="F924" s="59"/>
      <c r="H924" s="59"/>
      <c r="J924" s="59"/>
      <c r="L924" s="59"/>
      <c r="N924" s="59"/>
      <c r="P924" s="59"/>
      <c r="Q924" s="61"/>
    </row>
    <row r="925">
      <c r="B925" s="57"/>
      <c r="C925" s="107"/>
      <c r="D925" s="57"/>
      <c r="F925" s="59"/>
      <c r="H925" s="59"/>
      <c r="J925" s="59"/>
      <c r="L925" s="59"/>
      <c r="N925" s="59"/>
      <c r="P925" s="59"/>
      <c r="Q925" s="61"/>
    </row>
    <row r="926">
      <c r="B926" s="57"/>
      <c r="C926" s="107"/>
      <c r="D926" s="57"/>
      <c r="F926" s="59"/>
      <c r="H926" s="59"/>
      <c r="J926" s="59"/>
      <c r="L926" s="59"/>
      <c r="N926" s="59"/>
      <c r="P926" s="59"/>
      <c r="Q926" s="61"/>
    </row>
    <row r="927">
      <c r="B927" s="57"/>
      <c r="C927" s="107"/>
      <c r="D927" s="57"/>
      <c r="F927" s="59"/>
      <c r="H927" s="59"/>
      <c r="J927" s="59"/>
      <c r="L927" s="59"/>
      <c r="N927" s="59"/>
      <c r="P927" s="59"/>
      <c r="Q927" s="61"/>
    </row>
    <row r="928">
      <c r="B928" s="57"/>
      <c r="C928" s="107"/>
      <c r="D928" s="57"/>
      <c r="F928" s="59"/>
      <c r="H928" s="59"/>
      <c r="J928" s="59"/>
      <c r="L928" s="59"/>
      <c r="N928" s="59"/>
      <c r="P928" s="59"/>
      <c r="Q928" s="61"/>
    </row>
    <row r="929">
      <c r="B929" s="57"/>
      <c r="C929" s="107"/>
      <c r="D929" s="57"/>
      <c r="F929" s="59"/>
      <c r="H929" s="59"/>
      <c r="J929" s="59"/>
      <c r="L929" s="59"/>
      <c r="N929" s="59"/>
      <c r="P929" s="59"/>
      <c r="Q929" s="61"/>
    </row>
    <row r="930">
      <c r="B930" s="57"/>
      <c r="C930" s="107"/>
      <c r="D930" s="57"/>
      <c r="F930" s="59"/>
      <c r="H930" s="59"/>
      <c r="J930" s="59"/>
      <c r="L930" s="59"/>
      <c r="N930" s="59"/>
      <c r="P930" s="59"/>
      <c r="Q930" s="61"/>
    </row>
    <row r="931">
      <c r="B931" s="57"/>
      <c r="C931" s="107"/>
      <c r="D931" s="57"/>
      <c r="F931" s="59"/>
      <c r="H931" s="59"/>
      <c r="J931" s="59"/>
      <c r="L931" s="59"/>
      <c r="N931" s="59"/>
      <c r="P931" s="59"/>
      <c r="Q931" s="61"/>
    </row>
    <row r="932">
      <c r="B932" s="57"/>
      <c r="C932" s="107"/>
      <c r="D932" s="57"/>
      <c r="F932" s="59"/>
      <c r="H932" s="59"/>
      <c r="J932" s="59"/>
      <c r="L932" s="59"/>
      <c r="N932" s="59"/>
      <c r="P932" s="59"/>
      <c r="Q932" s="61"/>
    </row>
    <row r="933">
      <c r="B933" s="57"/>
      <c r="C933" s="107"/>
      <c r="D933" s="57"/>
      <c r="F933" s="59"/>
      <c r="H933" s="59"/>
      <c r="J933" s="59"/>
      <c r="L933" s="59"/>
      <c r="N933" s="59"/>
      <c r="P933" s="59"/>
      <c r="Q933" s="61"/>
    </row>
    <row r="934">
      <c r="B934" s="57"/>
      <c r="C934" s="107"/>
      <c r="D934" s="57"/>
      <c r="F934" s="59"/>
      <c r="H934" s="59"/>
      <c r="J934" s="59"/>
      <c r="L934" s="59"/>
      <c r="N934" s="59"/>
      <c r="P934" s="59"/>
      <c r="Q934" s="61"/>
    </row>
    <row r="935">
      <c r="B935" s="57"/>
      <c r="C935" s="107"/>
      <c r="D935" s="57"/>
      <c r="F935" s="59"/>
      <c r="H935" s="59"/>
      <c r="J935" s="59"/>
      <c r="L935" s="59"/>
      <c r="N935" s="59"/>
      <c r="P935" s="59"/>
      <c r="Q935" s="61"/>
    </row>
    <row r="936">
      <c r="B936" s="57"/>
      <c r="C936" s="107"/>
      <c r="D936" s="57"/>
      <c r="F936" s="59"/>
      <c r="H936" s="59"/>
      <c r="J936" s="59"/>
      <c r="L936" s="59"/>
      <c r="N936" s="59"/>
      <c r="P936" s="59"/>
      <c r="Q936" s="61"/>
    </row>
    <row r="937">
      <c r="B937" s="57"/>
      <c r="C937" s="107"/>
      <c r="D937" s="57"/>
      <c r="F937" s="59"/>
      <c r="H937" s="59"/>
      <c r="J937" s="59"/>
      <c r="L937" s="59"/>
      <c r="N937" s="59"/>
      <c r="P937" s="59"/>
      <c r="Q937" s="61"/>
    </row>
    <row r="938">
      <c r="B938" s="57"/>
      <c r="C938" s="107"/>
      <c r="D938" s="57"/>
      <c r="F938" s="59"/>
      <c r="H938" s="59"/>
      <c r="J938" s="59"/>
      <c r="L938" s="59"/>
      <c r="N938" s="59"/>
      <c r="P938" s="59"/>
      <c r="Q938" s="61"/>
    </row>
    <row r="939">
      <c r="B939" s="57"/>
      <c r="C939" s="107"/>
      <c r="D939" s="57"/>
      <c r="F939" s="59"/>
      <c r="H939" s="59"/>
      <c r="J939" s="59"/>
      <c r="L939" s="59"/>
      <c r="N939" s="59"/>
      <c r="P939" s="59"/>
      <c r="Q939" s="61"/>
    </row>
    <row r="940">
      <c r="B940" s="57"/>
      <c r="C940" s="107"/>
      <c r="D940" s="57"/>
      <c r="F940" s="59"/>
      <c r="H940" s="59"/>
      <c r="J940" s="59"/>
      <c r="L940" s="59"/>
      <c r="N940" s="59"/>
      <c r="P940" s="59"/>
      <c r="Q940" s="61"/>
    </row>
    <row r="941">
      <c r="B941" s="57"/>
      <c r="C941" s="107"/>
      <c r="D941" s="57"/>
      <c r="F941" s="59"/>
      <c r="H941" s="59"/>
      <c r="J941" s="59"/>
      <c r="L941" s="59"/>
      <c r="N941" s="59"/>
      <c r="P941" s="59"/>
      <c r="Q941" s="61"/>
    </row>
    <row r="942">
      <c r="B942" s="57"/>
      <c r="C942" s="107"/>
      <c r="D942" s="57"/>
      <c r="F942" s="59"/>
      <c r="H942" s="59"/>
      <c r="J942" s="59"/>
      <c r="L942" s="59"/>
      <c r="N942" s="59"/>
      <c r="P942" s="59"/>
      <c r="Q942" s="61"/>
    </row>
    <row r="943">
      <c r="B943" s="57"/>
      <c r="C943" s="107"/>
      <c r="D943" s="57"/>
      <c r="F943" s="59"/>
      <c r="H943" s="59"/>
      <c r="J943" s="59"/>
      <c r="L943" s="59"/>
      <c r="N943" s="59"/>
      <c r="P943" s="59"/>
      <c r="Q943" s="61"/>
    </row>
    <row r="944">
      <c r="B944" s="57"/>
      <c r="C944" s="107"/>
      <c r="D944" s="57"/>
      <c r="F944" s="59"/>
      <c r="H944" s="59"/>
      <c r="J944" s="59"/>
      <c r="L944" s="59"/>
      <c r="N944" s="59"/>
      <c r="P944" s="59"/>
      <c r="Q944" s="61"/>
    </row>
    <row r="945">
      <c r="B945" s="57"/>
      <c r="C945" s="107"/>
      <c r="D945" s="57"/>
      <c r="F945" s="59"/>
      <c r="H945" s="59"/>
      <c r="J945" s="59"/>
      <c r="L945" s="59"/>
      <c r="N945" s="59"/>
      <c r="P945" s="59"/>
      <c r="Q945" s="61"/>
    </row>
    <row r="946">
      <c r="B946" s="57"/>
      <c r="C946" s="107"/>
      <c r="D946" s="57"/>
      <c r="F946" s="59"/>
      <c r="H946" s="59"/>
      <c r="J946" s="59"/>
      <c r="L946" s="59"/>
      <c r="N946" s="59"/>
      <c r="P946" s="59"/>
      <c r="Q946" s="61"/>
    </row>
    <row r="947">
      <c r="B947" s="57"/>
      <c r="C947" s="107"/>
      <c r="D947" s="57"/>
      <c r="F947" s="59"/>
      <c r="H947" s="59"/>
      <c r="J947" s="59"/>
      <c r="L947" s="59"/>
      <c r="N947" s="59"/>
      <c r="P947" s="59"/>
      <c r="Q947" s="61"/>
    </row>
    <row r="948">
      <c r="B948" s="57"/>
      <c r="C948" s="107"/>
      <c r="D948" s="57"/>
      <c r="F948" s="59"/>
      <c r="H948" s="59"/>
      <c r="J948" s="59"/>
      <c r="L948" s="59"/>
      <c r="N948" s="59"/>
      <c r="P948" s="59"/>
      <c r="Q948" s="61"/>
    </row>
    <row r="949">
      <c r="B949" s="57"/>
      <c r="C949" s="107"/>
      <c r="D949" s="57"/>
      <c r="F949" s="59"/>
      <c r="H949" s="59"/>
      <c r="J949" s="59"/>
      <c r="L949" s="59"/>
      <c r="N949" s="59"/>
      <c r="P949" s="59"/>
      <c r="Q949" s="61"/>
    </row>
    <row r="950">
      <c r="B950" s="57"/>
      <c r="C950" s="107"/>
      <c r="D950" s="57"/>
      <c r="F950" s="59"/>
      <c r="H950" s="59"/>
      <c r="J950" s="59"/>
      <c r="L950" s="59"/>
      <c r="N950" s="59"/>
      <c r="P950" s="59"/>
      <c r="Q950" s="61"/>
    </row>
    <row r="951">
      <c r="B951" s="57"/>
      <c r="C951" s="107"/>
      <c r="D951" s="57"/>
      <c r="F951" s="59"/>
      <c r="H951" s="59"/>
      <c r="J951" s="59"/>
      <c r="L951" s="59"/>
      <c r="N951" s="59"/>
      <c r="P951" s="59"/>
      <c r="Q951" s="61"/>
    </row>
    <row r="952">
      <c r="B952" s="57"/>
      <c r="C952" s="107"/>
      <c r="D952" s="57"/>
      <c r="F952" s="59"/>
      <c r="H952" s="59"/>
      <c r="J952" s="59"/>
      <c r="L952" s="59"/>
      <c r="N952" s="59"/>
      <c r="P952" s="59"/>
      <c r="Q952" s="61"/>
    </row>
    <row r="953">
      <c r="B953" s="57"/>
      <c r="C953" s="107"/>
      <c r="D953" s="57"/>
      <c r="F953" s="59"/>
      <c r="H953" s="59"/>
      <c r="J953" s="59"/>
      <c r="L953" s="59"/>
      <c r="N953" s="59"/>
      <c r="P953" s="59"/>
      <c r="Q953" s="61"/>
    </row>
    <row r="954">
      <c r="B954" s="57"/>
      <c r="C954" s="107"/>
      <c r="D954" s="57"/>
      <c r="F954" s="59"/>
      <c r="H954" s="59"/>
      <c r="J954" s="59"/>
      <c r="L954" s="59"/>
      <c r="N954" s="59"/>
      <c r="P954" s="59"/>
      <c r="Q954" s="61"/>
    </row>
    <row r="955">
      <c r="B955" s="57"/>
      <c r="C955" s="107"/>
      <c r="D955" s="57"/>
      <c r="F955" s="59"/>
      <c r="H955" s="59"/>
      <c r="J955" s="59"/>
      <c r="L955" s="59"/>
      <c r="N955" s="59"/>
      <c r="P955" s="59"/>
      <c r="Q955" s="61"/>
    </row>
    <row r="956">
      <c r="B956" s="57"/>
      <c r="C956" s="107"/>
      <c r="D956" s="57"/>
      <c r="F956" s="59"/>
      <c r="H956" s="59"/>
      <c r="J956" s="59"/>
      <c r="L956" s="59"/>
      <c r="N956" s="59"/>
      <c r="P956" s="59"/>
      <c r="Q956" s="61"/>
    </row>
    <row r="957">
      <c r="B957" s="57"/>
      <c r="C957" s="107"/>
      <c r="D957" s="57"/>
      <c r="F957" s="59"/>
      <c r="H957" s="59"/>
      <c r="J957" s="59"/>
      <c r="L957" s="59"/>
      <c r="N957" s="59"/>
      <c r="P957" s="59"/>
      <c r="Q957" s="61"/>
    </row>
    <row r="958">
      <c r="B958" s="57"/>
      <c r="C958" s="107"/>
      <c r="D958" s="57"/>
      <c r="F958" s="59"/>
      <c r="H958" s="59"/>
      <c r="J958" s="59"/>
      <c r="L958" s="59"/>
      <c r="N958" s="59"/>
      <c r="P958" s="59"/>
      <c r="Q958" s="61"/>
    </row>
    <row r="959">
      <c r="B959" s="57"/>
      <c r="C959" s="107"/>
      <c r="D959" s="57"/>
      <c r="F959" s="59"/>
      <c r="H959" s="59"/>
      <c r="J959" s="59"/>
      <c r="L959" s="59"/>
      <c r="N959" s="59"/>
      <c r="P959" s="59"/>
      <c r="Q959" s="61"/>
    </row>
    <row r="960">
      <c r="B960" s="57"/>
      <c r="C960" s="107"/>
      <c r="D960" s="57"/>
      <c r="F960" s="59"/>
      <c r="H960" s="59"/>
      <c r="J960" s="59"/>
      <c r="L960" s="59"/>
      <c r="N960" s="59"/>
      <c r="P960" s="59"/>
      <c r="Q960" s="61"/>
    </row>
    <row r="961">
      <c r="B961" s="57"/>
      <c r="C961" s="107"/>
      <c r="D961" s="57"/>
      <c r="F961" s="59"/>
      <c r="H961" s="59"/>
      <c r="J961" s="59"/>
      <c r="L961" s="59"/>
      <c r="N961" s="59"/>
      <c r="P961" s="59"/>
      <c r="Q961" s="61"/>
    </row>
    <row r="962">
      <c r="B962" s="57"/>
      <c r="C962" s="107"/>
      <c r="D962" s="57"/>
      <c r="F962" s="59"/>
      <c r="H962" s="59"/>
      <c r="J962" s="59"/>
      <c r="L962" s="59"/>
      <c r="N962" s="59"/>
      <c r="P962" s="59"/>
      <c r="Q962" s="61"/>
    </row>
    <row r="963">
      <c r="B963" s="57"/>
      <c r="C963" s="107"/>
      <c r="D963" s="57"/>
      <c r="F963" s="59"/>
      <c r="H963" s="59"/>
      <c r="J963" s="59"/>
      <c r="L963" s="59"/>
      <c r="N963" s="59"/>
      <c r="P963" s="59"/>
      <c r="Q963" s="61"/>
    </row>
    <row r="964">
      <c r="B964" s="57"/>
      <c r="C964" s="107"/>
      <c r="D964" s="57"/>
      <c r="F964" s="59"/>
      <c r="H964" s="59"/>
      <c r="J964" s="59"/>
      <c r="L964" s="59"/>
      <c r="N964" s="59"/>
      <c r="P964" s="59"/>
      <c r="Q964" s="61"/>
    </row>
    <row r="965">
      <c r="B965" s="57"/>
      <c r="C965" s="107"/>
      <c r="D965" s="57"/>
      <c r="F965" s="59"/>
      <c r="H965" s="59"/>
      <c r="J965" s="59"/>
      <c r="L965" s="59"/>
      <c r="N965" s="59"/>
      <c r="P965" s="59"/>
      <c r="Q965" s="61"/>
    </row>
    <row r="966">
      <c r="B966" s="57"/>
      <c r="C966" s="107"/>
      <c r="D966" s="57"/>
      <c r="F966" s="59"/>
      <c r="H966" s="59"/>
      <c r="J966" s="59"/>
      <c r="L966" s="59"/>
      <c r="N966" s="59"/>
      <c r="P966" s="59"/>
      <c r="Q966" s="61"/>
    </row>
    <row r="967">
      <c r="B967" s="57"/>
      <c r="C967" s="107"/>
      <c r="D967" s="57"/>
      <c r="F967" s="59"/>
      <c r="H967" s="59"/>
      <c r="J967" s="59"/>
      <c r="L967" s="59"/>
      <c r="N967" s="59"/>
      <c r="P967" s="59"/>
      <c r="Q967" s="61"/>
    </row>
    <row r="968">
      <c r="B968" s="57"/>
      <c r="C968" s="107"/>
      <c r="D968" s="57"/>
      <c r="F968" s="59"/>
      <c r="H968" s="59"/>
      <c r="J968" s="59"/>
      <c r="L968" s="59"/>
      <c r="N968" s="59"/>
      <c r="P968" s="59"/>
      <c r="Q968" s="61"/>
    </row>
    <row r="969">
      <c r="B969" s="57"/>
      <c r="C969" s="107"/>
      <c r="D969" s="57"/>
      <c r="F969" s="59"/>
      <c r="H969" s="59"/>
      <c r="J969" s="59"/>
      <c r="L969" s="59"/>
      <c r="N969" s="59"/>
      <c r="P969" s="59"/>
      <c r="Q969" s="61"/>
    </row>
    <row r="970">
      <c r="B970" s="57"/>
      <c r="C970" s="107"/>
      <c r="D970" s="57"/>
      <c r="F970" s="59"/>
      <c r="H970" s="59"/>
      <c r="J970" s="59"/>
      <c r="L970" s="59"/>
      <c r="N970" s="59"/>
      <c r="P970" s="59"/>
      <c r="Q970" s="61"/>
    </row>
    <row r="971">
      <c r="B971" s="57"/>
      <c r="C971" s="107"/>
      <c r="D971" s="57"/>
      <c r="F971" s="59"/>
      <c r="H971" s="59"/>
      <c r="J971" s="59"/>
      <c r="L971" s="59"/>
      <c r="N971" s="59"/>
      <c r="P971" s="59"/>
      <c r="Q971" s="61"/>
    </row>
    <row r="972">
      <c r="B972" s="57"/>
      <c r="C972" s="107"/>
      <c r="D972" s="57"/>
      <c r="F972" s="59"/>
      <c r="H972" s="59"/>
      <c r="J972" s="59"/>
      <c r="L972" s="59"/>
      <c r="N972" s="59"/>
      <c r="P972" s="59"/>
      <c r="Q972" s="61"/>
    </row>
    <row r="973">
      <c r="B973" s="57"/>
      <c r="C973" s="107"/>
      <c r="D973" s="57"/>
      <c r="F973" s="59"/>
      <c r="H973" s="59"/>
      <c r="J973" s="59"/>
      <c r="L973" s="59"/>
      <c r="N973" s="59"/>
      <c r="P973" s="59"/>
      <c r="Q973" s="61"/>
    </row>
    <row r="974">
      <c r="B974" s="57"/>
      <c r="C974" s="107"/>
      <c r="D974" s="57"/>
      <c r="F974" s="59"/>
      <c r="H974" s="59"/>
      <c r="J974" s="59"/>
      <c r="L974" s="59"/>
      <c r="N974" s="59"/>
      <c r="P974" s="59"/>
      <c r="Q974" s="61"/>
    </row>
    <row r="975">
      <c r="B975" s="57"/>
      <c r="C975" s="107"/>
      <c r="D975" s="57"/>
      <c r="F975" s="59"/>
      <c r="H975" s="59"/>
      <c r="J975" s="59"/>
      <c r="L975" s="59"/>
      <c r="N975" s="59"/>
      <c r="P975" s="59"/>
      <c r="Q975" s="61"/>
    </row>
    <row r="976">
      <c r="B976" s="57"/>
      <c r="C976" s="107"/>
      <c r="D976" s="57"/>
      <c r="F976" s="59"/>
      <c r="H976" s="59"/>
      <c r="J976" s="59"/>
      <c r="L976" s="59"/>
      <c r="N976" s="59"/>
      <c r="P976" s="59"/>
      <c r="Q976" s="61"/>
    </row>
    <row r="977">
      <c r="B977" s="57"/>
      <c r="C977" s="107"/>
      <c r="D977" s="57"/>
      <c r="F977" s="59"/>
      <c r="H977" s="59"/>
      <c r="J977" s="59"/>
      <c r="L977" s="59"/>
      <c r="N977" s="59"/>
      <c r="P977" s="59"/>
      <c r="Q977" s="61"/>
    </row>
    <row r="978">
      <c r="B978" s="57"/>
      <c r="C978" s="107"/>
      <c r="D978" s="57"/>
      <c r="F978" s="59"/>
      <c r="H978" s="59"/>
      <c r="J978" s="59"/>
      <c r="L978" s="59"/>
      <c r="N978" s="59"/>
      <c r="P978" s="59"/>
      <c r="Q978" s="61"/>
    </row>
    <row r="979">
      <c r="B979" s="57"/>
      <c r="C979" s="107"/>
      <c r="D979" s="57"/>
      <c r="F979" s="59"/>
      <c r="H979" s="59"/>
      <c r="J979" s="59"/>
      <c r="L979" s="59"/>
      <c r="N979" s="59"/>
      <c r="P979" s="59"/>
      <c r="Q979" s="61"/>
    </row>
    <row r="980">
      <c r="B980" s="57"/>
      <c r="C980" s="107"/>
      <c r="D980" s="57"/>
      <c r="F980" s="59"/>
      <c r="H980" s="59"/>
      <c r="J980" s="59"/>
      <c r="L980" s="59"/>
      <c r="N980" s="59"/>
      <c r="P980" s="59"/>
      <c r="Q980" s="61"/>
    </row>
    <row r="981">
      <c r="B981" s="57"/>
      <c r="C981" s="107"/>
      <c r="D981" s="57"/>
      <c r="F981" s="59"/>
      <c r="H981" s="59"/>
      <c r="J981" s="59"/>
      <c r="L981" s="59"/>
      <c r="N981" s="59"/>
      <c r="P981" s="59"/>
      <c r="Q981" s="61"/>
    </row>
    <row r="982">
      <c r="B982" s="57"/>
      <c r="C982" s="107"/>
      <c r="D982" s="57"/>
      <c r="F982" s="59"/>
      <c r="H982" s="59"/>
      <c r="J982" s="59"/>
      <c r="L982" s="59"/>
      <c r="N982" s="59"/>
      <c r="P982" s="59"/>
      <c r="Q982" s="61"/>
    </row>
    <row r="983">
      <c r="B983" s="57"/>
      <c r="C983" s="107"/>
      <c r="D983" s="57"/>
      <c r="F983" s="59"/>
      <c r="H983" s="59"/>
      <c r="J983" s="59"/>
      <c r="L983" s="59"/>
      <c r="N983" s="59"/>
      <c r="P983" s="59"/>
      <c r="Q983" s="61"/>
    </row>
    <row r="984">
      <c r="B984" s="57"/>
      <c r="C984" s="107"/>
      <c r="D984" s="57"/>
      <c r="F984" s="59"/>
      <c r="H984" s="59"/>
      <c r="J984" s="59"/>
      <c r="L984" s="59"/>
      <c r="N984" s="59"/>
      <c r="P984" s="59"/>
      <c r="Q984" s="61"/>
    </row>
    <row r="985">
      <c r="B985" s="57"/>
      <c r="C985" s="107"/>
      <c r="D985" s="57"/>
      <c r="F985" s="59"/>
      <c r="H985" s="59"/>
      <c r="J985" s="59"/>
      <c r="L985" s="59"/>
      <c r="N985" s="59"/>
      <c r="P985" s="59"/>
      <c r="Q985" s="61"/>
    </row>
    <row r="986">
      <c r="B986" s="57"/>
      <c r="C986" s="107"/>
      <c r="D986" s="57"/>
      <c r="F986" s="59"/>
      <c r="H986" s="59"/>
      <c r="J986" s="59"/>
      <c r="L986" s="59"/>
      <c r="N986" s="59"/>
      <c r="P986" s="59"/>
      <c r="Q986" s="61"/>
    </row>
    <row r="987">
      <c r="B987" s="57"/>
      <c r="C987" s="107"/>
      <c r="D987" s="57"/>
      <c r="F987" s="59"/>
      <c r="H987" s="59"/>
      <c r="J987" s="59"/>
      <c r="L987" s="59"/>
      <c r="N987" s="59"/>
      <c r="P987" s="59"/>
      <c r="Q987" s="61"/>
    </row>
    <row r="988">
      <c r="B988" s="57"/>
      <c r="C988" s="107"/>
      <c r="D988" s="57"/>
      <c r="F988" s="59"/>
      <c r="H988" s="59"/>
      <c r="J988" s="59"/>
      <c r="L988" s="59"/>
      <c r="N988" s="59"/>
      <c r="P988" s="59"/>
      <c r="Q988" s="61"/>
    </row>
    <row r="989">
      <c r="B989" s="57"/>
      <c r="C989" s="107"/>
      <c r="D989" s="57"/>
      <c r="F989" s="59"/>
      <c r="H989" s="59"/>
      <c r="J989" s="59"/>
      <c r="L989" s="59"/>
      <c r="N989" s="59"/>
      <c r="P989" s="59"/>
      <c r="Q989" s="61"/>
    </row>
    <row r="990">
      <c r="B990" s="57"/>
      <c r="C990" s="107"/>
      <c r="D990" s="57"/>
      <c r="F990" s="59"/>
      <c r="H990" s="59"/>
      <c r="J990" s="59"/>
      <c r="L990" s="59"/>
      <c r="N990" s="59"/>
      <c r="P990" s="59"/>
      <c r="Q990" s="61"/>
    </row>
    <row r="991">
      <c r="B991" s="57"/>
      <c r="C991" s="107"/>
      <c r="D991" s="57"/>
      <c r="F991" s="59"/>
      <c r="H991" s="59"/>
      <c r="J991" s="59"/>
      <c r="L991" s="59"/>
      <c r="N991" s="59"/>
      <c r="P991" s="59"/>
      <c r="Q991" s="61"/>
    </row>
    <row r="992">
      <c r="B992" s="57"/>
      <c r="C992" s="107"/>
      <c r="D992" s="57"/>
      <c r="F992" s="59"/>
      <c r="H992" s="59"/>
      <c r="J992" s="59"/>
      <c r="L992" s="59"/>
      <c r="N992" s="59"/>
      <c r="P992" s="59"/>
      <c r="Q992" s="61"/>
    </row>
    <row r="993">
      <c r="B993" s="57"/>
      <c r="C993" s="107"/>
      <c r="D993" s="57"/>
      <c r="F993" s="59"/>
      <c r="H993" s="59"/>
      <c r="J993" s="59"/>
      <c r="L993" s="59"/>
      <c r="N993" s="59"/>
      <c r="P993" s="59"/>
      <c r="Q993" s="61"/>
    </row>
    <row r="994">
      <c r="B994" s="57"/>
      <c r="C994" s="107"/>
      <c r="D994" s="57"/>
      <c r="F994" s="59"/>
      <c r="H994" s="59"/>
      <c r="J994" s="59"/>
      <c r="L994" s="59"/>
      <c r="N994" s="59"/>
      <c r="P994" s="59"/>
      <c r="Q994" s="61"/>
    </row>
    <row r="995">
      <c r="B995" s="57"/>
      <c r="C995" s="107"/>
      <c r="D995" s="57"/>
      <c r="F995" s="59"/>
      <c r="H995" s="59"/>
      <c r="J995" s="59"/>
      <c r="L995" s="59"/>
      <c r="N995" s="59"/>
      <c r="P995" s="59"/>
      <c r="Q995" s="61"/>
    </row>
    <row r="996">
      <c r="B996" s="57"/>
      <c r="C996" s="107"/>
      <c r="D996" s="57"/>
      <c r="F996" s="59"/>
      <c r="H996" s="59"/>
      <c r="J996" s="59"/>
      <c r="L996" s="59"/>
      <c r="N996" s="59"/>
      <c r="P996" s="59"/>
      <c r="Q996" s="61"/>
    </row>
    <row r="997">
      <c r="B997" s="57"/>
      <c r="C997" s="107"/>
      <c r="D997" s="57"/>
      <c r="F997" s="59"/>
      <c r="H997" s="59"/>
      <c r="J997" s="59"/>
      <c r="L997" s="59"/>
      <c r="N997" s="59"/>
      <c r="P997" s="59"/>
      <c r="Q997" s="61"/>
    </row>
    <row r="998">
      <c r="B998" s="57"/>
      <c r="C998" s="107"/>
      <c r="D998" s="57"/>
      <c r="F998" s="59"/>
      <c r="H998" s="59"/>
      <c r="J998" s="59"/>
      <c r="L998" s="59"/>
      <c r="N998" s="59"/>
      <c r="P998" s="59"/>
      <c r="Q998" s="61"/>
    </row>
    <row r="999">
      <c r="B999" s="57"/>
      <c r="C999" s="107"/>
      <c r="D999" s="57"/>
      <c r="F999" s="59"/>
      <c r="H999" s="59"/>
      <c r="J999" s="59"/>
      <c r="L999" s="59"/>
      <c r="N999" s="59"/>
      <c r="P999" s="59"/>
      <c r="Q999" s="61"/>
    </row>
    <row r="1000">
      <c r="B1000" s="57"/>
      <c r="C1000" s="107"/>
      <c r="D1000" s="57"/>
      <c r="F1000" s="59"/>
      <c r="H1000" s="59"/>
      <c r="J1000" s="59"/>
      <c r="L1000" s="59"/>
      <c r="N1000" s="59"/>
      <c r="P1000" s="59"/>
      <c r="Q1000" s="61"/>
    </row>
    <row r="1001">
      <c r="B1001" s="57"/>
      <c r="C1001" s="107"/>
      <c r="D1001" s="57"/>
      <c r="F1001" s="59"/>
      <c r="H1001" s="59"/>
      <c r="J1001" s="59"/>
      <c r="L1001" s="59"/>
      <c r="N1001" s="59"/>
      <c r="P1001" s="59"/>
      <c r="Q1001" s="6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88"/>
    <col customWidth="1" min="2" max="2" width="14.13"/>
    <col customWidth="1" min="5" max="5" width="29.13"/>
    <col customWidth="1" min="6" max="6" width="15.0"/>
    <col customWidth="1" min="8" max="8" width="13.13"/>
    <col customWidth="1" min="13" max="13" width="33.5"/>
    <col customWidth="1" min="14" max="14" width="15.75"/>
    <col customWidth="1" min="15" max="15" width="49.25"/>
  </cols>
  <sheetData>
    <row r="1">
      <c r="A1" s="29" t="s">
        <v>29</v>
      </c>
      <c r="B1" s="30" t="s">
        <v>30</v>
      </c>
      <c r="C1" s="109" t="s">
        <v>31</v>
      </c>
      <c r="D1" s="30" t="s">
        <v>32</v>
      </c>
      <c r="E1" s="31" t="s">
        <v>33</v>
      </c>
      <c r="F1" s="30" t="s">
        <v>34</v>
      </c>
      <c r="G1" s="31" t="s">
        <v>35</v>
      </c>
      <c r="H1" s="32" t="s">
        <v>36</v>
      </c>
      <c r="I1" s="33" t="s">
        <v>37</v>
      </c>
      <c r="J1" s="30" t="s">
        <v>38</v>
      </c>
      <c r="K1" s="33" t="s">
        <v>39</v>
      </c>
      <c r="L1" s="30" t="s">
        <v>38</v>
      </c>
      <c r="M1" s="31" t="s">
        <v>40</v>
      </c>
      <c r="N1" s="30" t="s">
        <v>41</v>
      </c>
      <c r="O1" s="31" t="s">
        <v>42</v>
      </c>
      <c r="P1" s="34" t="s">
        <v>43</v>
      </c>
      <c r="Q1" s="35">
        <f>SUM(H2:H55)</f>
        <v>13874.3</v>
      </c>
    </row>
    <row r="2">
      <c r="A2" s="36" t="s">
        <v>204</v>
      </c>
      <c r="B2" s="110" t="s">
        <v>205</v>
      </c>
      <c r="C2" s="111" t="s">
        <v>206</v>
      </c>
      <c r="D2" s="40">
        <v>1.0</v>
      </c>
      <c r="E2" s="36" t="s">
        <v>207</v>
      </c>
      <c r="F2" s="40" t="s">
        <v>208</v>
      </c>
      <c r="G2" s="112">
        <v>390.0</v>
      </c>
      <c r="H2" s="27">
        <v>390.0</v>
      </c>
      <c r="I2" s="54" t="s">
        <v>189</v>
      </c>
      <c r="J2" s="110" t="s">
        <v>83</v>
      </c>
      <c r="K2" s="38" t="s">
        <v>209</v>
      </c>
      <c r="L2" s="110" t="s">
        <v>83</v>
      </c>
      <c r="M2" s="36" t="s">
        <v>210</v>
      </c>
      <c r="N2" s="40" t="s">
        <v>211</v>
      </c>
      <c r="O2" s="45"/>
      <c r="P2" s="37"/>
      <c r="Q2" s="46"/>
      <c r="R2" s="45"/>
      <c r="S2" s="45"/>
      <c r="T2" s="45"/>
      <c r="U2" s="45"/>
      <c r="V2" s="45"/>
      <c r="W2" s="45"/>
      <c r="X2" s="45"/>
      <c r="Y2" s="45"/>
      <c r="Z2" s="45"/>
    </row>
    <row r="3">
      <c r="A3" s="113" t="s">
        <v>212</v>
      </c>
      <c r="B3" s="110" t="s">
        <v>213</v>
      </c>
      <c r="C3" s="111" t="s">
        <v>214</v>
      </c>
      <c r="D3" s="40">
        <v>1.0</v>
      </c>
      <c r="E3" s="36" t="s">
        <v>207</v>
      </c>
      <c r="F3" s="40" t="s">
        <v>208</v>
      </c>
      <c r="G3" s="112">
        <v>365.0</v>
      </c>
      <c r="H3" s="27">
        <v>365.0</v>
      </c>
      <c r="I3" s="54" t="s">
        <v>189</v>
      </c>
      <c r="J3" s="110" t="s">
        <v>83</v>
      </c>
      <c r="K3" s="38" t="s">
        <v>209</v>
      </c>
      <c r="L3" s="110" t="s">
        <v>83</v>
      </c>
      <c r="M3" s="36" t="s">
        <v>210</v>
      </c>
      <c r="N3" s="40" t="s">
        <v>211</v>
      </c>
      <c r="O3" s="45"/>
      <c r="P3" s="37"/>
      <c r="Q3" s="46"/>
      <c r="R3" s="45"/>
      <c r="S3" s="45"/>
      <c r="T3" s="45"/>
      <c r="U3" s="45"/>
      <c r="V3" s="45"/>
      <c r="W3" s="45"/>
      <c r="X3" s="45"/>
      <c r="Y3" s="45"/>
      <c r="Z3" s="45"/>
    </row>
    <row r="4">
      <c r="A4" s="36" t="s">
        <v>215</v>
      </c>
      <c r="B4" s="110" t="s">
        <v>216</v>
      </c>
      <c r="C4" s="111" t="s">
        <v>217</v>
      </c>
      <c r="D4" s="40">
        <v>1.0</v>
      </c>
      <c r="E4" s="36" t="s">
        <v>218</v>
      </c>
      <c r="F4" s="40" t="s">
        <v>208</v>
      </c>
      <c r="G4" s="112">
        <v>500.0</v>
      </c>
      <c r="H4" s="27">
        <v>500.0</v>
      </c>
      <c r="I4" s="54" t="s">
        <v>189</v>
      </c>
      <c r="J4" s="110" t="s">
        <v>83</v>
      </c>
      <c r="K4" s="38" t="s">
        <v>219</v>
      </c>
      <c r="L4" s="110" t="s">
        <v>83</v>
      </c>
      <c r="M4" s="36" t="s">
        <v>210</v>
      </c>
      <c r="N4" s="40" t="s">
        <v>211</v>
      </c>
      <c r="O4" s="45"/>
      <c r="P4" s="37"/>
      <c r="Q4" s="46"/>
      <c r="R4" s="45"/>
      <c r="S4" s="45"/>
      <c r="T4" s="45"/>
      <c r="U4" s="45"/>
      <c r="V4" s="45"/>
      <c r="W4" s="45"/>
      <c r="X4" s="45"/>
      <c r="Y4" s="45"/>
      <c r="Z4" s="45"/>
    </row>
    <row r="5">
      <c r="A5" s="36" t="s">
        <v>220</v>
      </c>
      <c r="B5" s="114" t="s">
        <v>221</v>
      </c>
      <c r="C5" s="111" t="s">
        <v>222</v>
      </c>
      <c r="D5" s="40">
        <v>2.0</v>
      </c>
      <c r="E5" s="36" t="s">
        <v>223</v>
      </c>
      <c r="F5" s="40" t="s">
        <v>223</v>
      </c>
      <c r="G5" s="112">
        <v>210.0</v>
      </c>
      <c r="H5" s="115">
        <f>G5*2</f>
        <v>420</v>
      </c>
      <c r="I5" s="54" t="s">
        <v>224</v>
      </c>
      <c r="J5" s="110" t="s">
        <v>83</v>
      </c>
      <c r="K5" s="38" t="s">
        <v>225</v>
      </c>
      <c r="L5" s="110" t="s">
        <v>83</v>
      </c>
      <c r="M5" s="116" t="s">
        <v>171</v>
      </c>
      <c r="N5" s="37"/>
      <c r="O5" s="45"/>
      <c r="P5" s="37"/>
      <c r="Q5" s="46"/>
      <c r="R5" s="45"/>
      <c r="S5" s="45"/>
      <c r="T5" s="45"/>
      <c r="U5" s="45"/>
      <c r="V5" s="45"/>
      <c r="W5" s="45"/>
      <c r="X5" s="45"/>
      <c r="Y5" s="45"/>
      <c r="Z5" s="45"/>
    </row>
    <row r="6">
      <c r="A6" s="36" t="s">
        <v>226</v>
      </c>
      <c r="B6" s="110">
        <v>1.7182182E7</v>
      </c>
      <c r="C6" s="111" t="s">
        <v>227</v>
      </c>
      <c r="D6" s="40">
        <v>10.0</v>
      </c>
      <c r="E6" s="36" t="s">
        <v>139</v>
      </c>
      <c r="F6" s="40" t="s">
        <v>208</v>
      </c>
      <c r="G6" s="112">
        <v>12.67</v>
      </c>
      <c r="H6" s="115">
        <f t="shared" ref="H6:H7" si="1">G6*10</f>
        <v>126.7</v>
      </c>
      <c r="I6" s="54" t="s">
        <v>228</v>
      </c>
      <c r="J6" s="110" t="s">
        <v>83</v>
      </c>
      <c r="K6" s="38" t="s">
        <v>209</v>
      </c>
      <c r="L6" s="110" t="s">
        <v>83</v>
      </c>
      <c r="M6" s="117" t="s">
        <v>229</v>
      </c>
      <c r="N6" s="37"/>
      <c r="O6" s="45"/>
      <c r="P6" s="37"/>
      <c r="Q6" s="46"/>
      <c r="R6" s="45"/>
      <c r="S6" s="45"/>
      <c r="T6" s="45"/>
      <c r="U6" s="45"/>
      <c r="V6" s="45"/>
      <c r="W6" s="45"/>
      <c r="X6" s="45"/>
      <c r="Y6" s="45"/>
      <c r="Z6" s="45"/>
    </row>
    <row r="7">
      <c r="A7" s="36" t="s">
        <v>230</v>
      </c>
      <c r="B7" s="110">
        <v>1.7182182E7</v>
      </c>
      <c r="C7" s="111" t="s">
        <v>227</v>
      </c>
      <c r="D7" s="40">
        <v>10.0</v>
      </c>
      <c r="E7" s="36" t="s">
        <v>139</v>
      </c>
      <c r="F7" s="40" t="s">
        <v>208</v>
      </c>
      <c r="G7" s="112">
        <v>12.67</v>
      </c>
      <c r="H7" s="115">
        <f t="shared" si="1"/>
        <v>126.7</v>
      </c>
      <c r="I7" s="54" t="s">
        <v>228</v>
      </c>
      <c r="J7" s="110" t="s">
        <v>83</v>
      </c>
      <c r="K7" s="38" t="s">
        <v>228</v>
      </c>
      <c r="L7" s="110" t="s">
        <v>83</v>
      </c>
      <c r="M7" s="117" t="s">
        <v>229</v>
      </c>
      <c r="N7" s="37"/>
      <c r="O7" s="45"/>
      <c r="P7" s="37"/>
      <c r="Q7" s="46"/>
      <c r="R7" s="45"/>
      <c r="S7" s="45"/>
      <c r="T7" s="45"/>
      <c r="U7" s="45"/>
      <c r="V7" s="45"/>
      <c r="W7" s="45"/>
      <c r="X7" s="45"/>
      <c r="Y7" s="45"/>
      <c r="Z7" s="45"/>
    </row>
    <row r="8">
      <c r="A8" s="118" t="s">
        <v>231</v>
      </c>
      <c r="B8" s="119">
        <v>2262254.0</v>
      </c>
      <c r="C8" s="111" t="s">
        <v>232</v>
      </c>
      <c r="D8" s="40">
        <v>1.0</v>
      </c>
      <c r="E8" s="36" t="s">
        <v>139</v>
      </c>
      <c r="F8" s="40" t="s">
        <v>208</v>
      </c>
      <c r="G8" s="120">
        <v>106.24</v>
      </c>
      <c r="H8" s="27">
        <v>106.24</v>
      </c>
      <c r="I8" s="54" t="s">
        <v>233</v>
      </c>
      <c r="J8" s="110" t="s">
        <v>83</v>
      </c>
      <c r="K8" s="38" t="s">
        <v>234</v>
      </c>
      <c r="L8" s="110" t="s">
        <v>83</v>
      </c>
      <c r="M8" s="36" t="s">
        <v>194</v>
      </c>
      <c r="N8" s="37"/>
      <c r="O8" s="45"/>
      <c r="P8" s="37"/>
      <c r="Q8" s="46"/>
      <c r="R8" s="45"/>
      <c r="S8" s="45"/>
      <c r="T8" s="45"/>
      <c r="U8" s="45"/>
      <c r="V8" s="45"/>
      <c r="W8" s="45"/>
      <c r="X8" s="45"/>
      <c r="Y8" s="45"/>
      <c r="Z8" s="45"/>
    </row>
    <row r="9">
      <c r="A9" s="36" t="s">
        <v>235</v>
      </c>
      <c r="B9" s="37"/>
      <c r="C9" s="121"/>
      <c r="D9" s="37"/>
      <c r="E9" s="36" t="s">
        <v>236</v>
      </c>
      <c r="F9" s="37"/>
      <c r="G9" s="122">
        <v>454.0</v>
      </c>
      <c r="H9" s="122">
        <v>454.0</v>
      </c>
      <c r="I9" s="54" t="s">
        <v>189</v>
      </c>
      <c r="J9" s="110" t="s">
        <v>83</v>
      </c>
      <c r="K9" s="123"/>
      <c r="L9" s="124"/>
      <c r="M9" s="27" t="s">
        <v>237</v>
      </c>
      <c r="N9" s="37"/>
      <c r="O9" s="45"/>
      <c r="P9" s="37"/>
      <c r="Q9" s="46"/>
      <c r="R9" s="45"/>
      <c r="S9" s="45"/>
      <c r="T9" s="45"/>
      <c r="U9" s="45"/>
      <c r="V9" s="45"/>
      <c r="W9" s="45"/>
      <c r="X9" s="45"/>
      <c r="Y9" s="45"/>
      <c r="Z9" s="45"/>
    </row>
    <row r="10">
      <c r="A10" s="17" t="s">
        <v>238</v>
      </c>
      <c r="B10" s="81">
        <v>1.0703857E7</v>
      </c>
      <c r="C10" s="111">
        <v>1000.0</v>
      </c>
      <c r="D10" s="40">
        <v>1.0</v>
      </c>
      <c r="E10" s="17" t="s">
        <v>239</v>
      </c>
      <c r="F10" s="40" t="s">
        <v>208</v>
      </c>
      <c r="G10" s="120">
        <v>72.95</v>
      </c>
      <c r="H10" s="120">
        <v>72.95</v>
      </c>
      <c r="I10" s="54" t="s">
        <v>219</v>
      </c>
      <c r="J10" s="110" t="s">
        <v>83</v>
      </c>
      <c r="K10" s="38" t="s">
        <v>240</v>
      </c>
      <c r="L10" s="110" t="s">
        <v>241</v>
      </c>
      <c r="M10" s="36" t="s">
        <v>210</v>
      </c>
      <c r="N10" s="37"/>
      <c r="O10" s="45"/>
      <c r="P10" s="37"/>
      <c r="Q10" s="46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17" t="s">
        <v>242</v>
      </c>
      <c r="B11" s="125" t="s">
        <v>243</v>
      </c>
      <c r="C11" s="111" t="s">
        <v>244</v>
      </c>
      <c r="D11" s="40">
        <v>1.0</v>
      </c>
      <c r="E11" s="36" t="s">
        <v>245</v>
      </c>
      <c r="F11" s="40" t="s">
        <v>208</v>
      </c>
      <c r="G11" s="120">
        <v>643.0</v>
      </c>
      <c r="H11" s="120">
        <v>643.0</v>
      </c>
      <c r="I11" s="54" t="s">
        <v>246</v>
      </c>
      <c r="J11" s="110" t="s">
        <v>83</v>
      </c>
      <c r="K11" s="38" t="s">
        <v>247</v>
      </c>
      <c r="L11" s="110" t="s">
        <v>83</v>
      </c>
      <c r="M11" s="36" t="s">
        <v>210</v>
      </c>
      <c r="N11" s="40" t="s">
        <v>211</v>
      </c>
      <c r="O11" s="45"/>
      <c r="P11" s="37"/>
      <c r="Q11" s="46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17" t="s">
        <v>248</v>
      </c>
      <c r="B12" s="126" t="s">
        <v>249</v>
      </c>
      <c r="C12" s="127" t="s">
        <v>250</v>
      </c>
      <c r="D12" s="40">
        <v>1.0</v>
      </c>
      <c r="E12" s="113" t="s">
        <v>251</v>
      </c>
      <c r="F12" s="40" t="s">
        <v>208</v>
      </c>
      <c r="G12" s="120">
        <v>212.0</v>
      </c>
      <c r="H12" s="120">
        <v>212.0</v>
      </c>
      <c r="I12" s="54" t="s">
        <v>252</v>
      </c>
      <c r="J12" s="110" t="s">
        <v>83</v>
      </c>
      <c r="K12" s="38" t="s">
        <v>253</v>
      </c>
      <c r="L12" s="110" t="s">
        <v>83</v>
      </c>
      <c r="M12" s="36" t="s">
        <v>210</v>
      </c>
      <c r="N12" s="37"/>
      <c r="O12" s="45"/>
      <c r="P12" s="37"/>
      <c r="Q12" s="46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17" t="s">
        <v>254</v>
      </c>
      <c r="B13" s="81" t="s">
        <v>255</v>
      </c>
      <c r="C13" s="127" t="s">
        <v>256</v>
      </c>
      <c r="D13" s="40">
        <v>1.0</v>
      </c>
      <c r="E13" s="113" t="s">
        <v>257</v>
      </c>
      <c r="F13" s="40" t="s">
        <v>258</v>
      </c>
      <c r="G13" s="120">
        <v>643.0</v>
      </c>
      <c r="H13" s="128" t="s">
        <v>259</v>
      </c>
      <c r="I13" s="54" t="s">
        <v>252</v>
      </c>
      <c r="J13" s="110" t="s">
        <v>83</v>
      </c>
      <c r="K13" s="38" t="s">
        <v>260</v>
      </c>
      <c r="L13" s="110" t="s">
        <v>83</v>
      </c>
      <c r="M13" s="36" t="s">
        <v>210</v>
      </c>
      <c r="N13" s="37"/>
      <c r="O13" s="45"/>
      <c r="P13" s="37"/>
      <c r="Q13" s="46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17" t="s">
        <v>261</v>
      </c>
      <c r="B14" s="81" t="s">
        <v>262</v>
      </c>
      <c r="C14" s="111" t="s">
        <v>263</v>
      </c>
      <c r="D14" s="40">
        <v>1.0</v>
      </c>
      <c r="E14" s="36" t="s">
        <v>264</v>
      </c>
      <c r="F14" s="40" t="s">
        <v>265</v>
      </c>
      <c r="G14" s="120">
        <v>483.0</v>
      </c>
      <c r="H14" s="120">
        <v>483.0</v>
      </c>
      <c r="I14" s="54" t="s">
        <v>252</v>
      </c>
      <c r="J14" s="110" t="s">
        <v>83</v>
      </c>
      <c r="K14" s="38" t="s">
        <v>260</v>
      </c>
      <c r="L14" s="110" t="s">
        <v>266</v>
      </c>
      <c r="M14" s="36" t="s">
        <v>210</v>
      </c>
      <c r="N14" s="37"/>
      <c r="O14" s="72" t="s">
        <v>267</v>
      </c>
      <c r="P14" s="37"/>
      <c r="Q14" s="46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17" t="s">
        <v>268</v>
      </c>
      <c r="B15" s="81" t="s">
        <v>269</v>
      </c>
      <c r="C15" s="111" t="s">
        <v>270</v>
      </c>
      <c r="D15" s="40">
        <v>1.0</v>
      </c>
      <c r="E15" s="113" t="s">
        <v>257</v>
      </c>
      <c r="F15" s="40" t="s">
        <v>258</v>
      </c>
      <c r="G15" s="120">
        <v>738.0</v>
      </c>
      <c r="H15" s="120">
        <v>738.0</v>
      </c>
      <c r="I15" s="54" t="s">
        <v>252</v>
      </c>
      <c r="J15" s="110" t="s">
        <v>83</v>
      </c>
      <c r="K15" s="38" t="s">
        <v>260</v>
      </c>
      <c r="L15" s="110" t="s">
        <v>83</v>
      </c>
      <c r="M15" s="36" t="s">
        <v>210</v>
      </c>
      <c r="N15" s="37"/>
      <c r="O15" s="45"/>
      <c r="P15" s="37"/>
      <c r="Q15" s="46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17" t="s">
        <v>271</v>
      </c>
      <c r="B16" s="81" t="s">
        <v>272</v>
      </c>
      <c r="C16" s="111" t="s">
        <v>273</v>
      </c>
      <c r="D16" s="40">
        <v>1.0</v>
      </c>
      <c r="E16" s="113" t="s">
        <v>274</v>
      </c>
      <c r="F16" s="40" t="s">
        <v>208</v>
      </c>
      <c r="G16" s="19">
        <v>390.0</v>
      </c>
      <c r="H16" s="128">
        <v>390.0</v>
      </c>
      <c r="I16" s="54" t="s">
        <v>252</v>
      </c>
      <c r="J16" s="110" t="s">
        <v>83</v>
      </c>
      <c r="K16" s="38" t="s">
        <v>275</v>
      </c>
      <c r="L16" s="110" t="s">
        <v>83</v>
      </c>
      <c r="M16" s="36" t="s">
        <v>210</v>
      </c>
      <c r="N16" s="40" t="s">
        <v>211</v>
      </c>
      <c r="O16" s="45"/>
      <c r="P16" s="37"/>
      <c r="Q16" s="46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17" t="s">
        <v>276</v>
      </c>
      <c r="B17" s="81" t="s">
        <v>277</v>
      </c>
      <c r="C17" s="127" t="s">
        <v>278</v>
      </c>
      <c r="D17" s="40">
        <v>1.0</v>
      </c>
      <c r="E17" s="113" t="s">
        <v>251</v>
      </c>
      <c r="F17" s="40" t="s">
        <v>208</v>
      </c>
      <c r="G17" s="19">
        <v>439.0</v>
      </c>
      <c r="H17" s="128">
        <v>439.0</v>
      </c>
      <c r="I17" s="54" t="s">
        <v>252</v>
      </c>
      <c r="J17" s="110" t="s">
        <v>83</v>
      </c>
      <c r="K17" s="38" t="s">
        <v>253</v>
      </c>
      <c r="L17" s="124"/>
      <c r="M17" s="36" t="s">
        <v>210</v>
      </c>
      <c r="N17" s="37"/>
      <c r="O17" s="45"/>
      <c r="P17" s="37"/>
      <c r="Q17" s="46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17" t="s">
        <v>279</v>
      </c>
      <c r="B18" s="81" t="s">
        <v>280</v>
      </c>
      <c r="C18" s="127" t="s">
        <v>281</v>
      </c>
      <c r="D18" s="40">
        <v>1.0</v>
      </c>
      <c r="E18" s="113" t="s">
        <v>257</v>
      </c>
      <c r="F18" s="40" t="s">
        <v>258</v>
      </c>
      <c r="G18" s="19">
        <v>652.0</v>
      </c>
      <c r="H18" s="128">
        <v>652.0</v>
      </c>
      <c r="I18" s="54" t="s">
        <v>252</v>
      </c>
      <c r="J18" s="110" t="s">
        <v>83</v>
      </c>
      <c r="K18" s="38" t="s">
        <v>260</v>
      </c>
      <c r="L18" s="110" t="s">
        <v>83</v>
      </c>
      <c r="M18" s="36" t="s">
        <v>210</v>
      </c>
      <c r="N18" s="37"/>
      <c r="O18" s="72" t="s">
        <v>282</v>
      </c>
      <c r="P18" s="37"/>
      <c r="Q18" s="46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17" t="s">
        <v>283</v>
      </c>
      <c r="B19" s="81" t="s">
        <v>284</v>
      </c>
      <c r="C19" s="127" t="s">
        <v>281</v>
      </c>
      <c r="D19" s="40">
        <v>1.0</v>
      </c>
      <c r="E19" s="113" t="s">
        <v>257</v>
      </c>
      <c r="F19" s="40" t="s">
        <v>258</v>
      </c>
      <c r="G19" s="19">
        <v>652.0</v>
      </c>
      <c r="H19" s="128">
        <v>652.0</v>
      </c>
      <c r="I19" s="54" t="s">
        <v>252</v>
      </c>
      <c r="J19" s="110" t="s">
        <v>83</v>
      </c>
      <c r="K19" s="38" t="s">
        <v>260</v>
      </c>
      <c r="L19" s="110" t="s">
        <v>83</v>
      </c>
      <c r="M19" s="36" t="s">
        <v>210</v>
      </c>
      <c r="N19" s="37"/>
      <c r="O19" s="45"/>
      <c r="P19" s="37"/>
      <c r="Q19" s="46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17" t="s">
        <v>285</v>
      </c>
      <c r="B20" s="81" t="s">
        <v>286</v>
      </c>
      <c r="C20" s="127" t="s">
        <v>206</v>
      </c>
      <c r="D20" s="40">
        <v>1.0</v>
      </c>
      <c r="E20" s="113" t="s">
        <v>274</v>
      </c>
      <c r="F20" s="40" t="s">
        <v>287</v>
      </c>
      <c r="G20" s="19">
        <v>390.0</v>
      </c>
      <c r="H20" s="128">
        <v>390.0</v>
      </c>
      <c r="I20" s="54" t="s">
        <v>252</v>
      </c>
      <c r="J20" s="110" t="s">
        <v>83</v>
      </c>
      <c r="K20" s="38" t="s">
        <v>288</v>
      </c>
      <c r="L20" s="110" t="s">
        <v>83</v>
      </c>
      <c r="M20" s="36" t="s">
        <v>210</v>
      </c>
      <c r="N20" s="37"/>
      <c r="O20" s="45"/>
      <c r="P20" s="37"/>
      <c r="Q20" s="46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17" t="s">
        <v>289</v>
      </c>
      <c r="B21" s="81" t="s">
        <v>290</v>
      </c>
      <c r="C21" s="127" t="s">
        <v>291</v>
      </c>
      <c r="D21" s="40">
        <v>1.0</v>
      </c>
      <c r="E21" s="113" t="s">
        <v>274</v>
      </c>
      <c r="F21" s="40" t="s">
        <v>287</v>
      </c>
      <c r="G21" s="19">
        <v>390.0</v>
      </c>
      <c r="H21" s="128">
        <v>390.0</v>
      </c>
      <c r="I21" s="54" t="s">
        <v>252</v>
      </c>
      <c r="J21" s="110" t="s">
        <v>83</v>
      </c>
      <c r="K21" s="38" t="s">
        <v>288</v>
      </c>
      <c r="L21" s="110" t="s">
        <v>83</v>
      </c>
      <c r="M21" s="36" t="s">
        <v>210</v>
      </c>
      <c r="N21" s="37"/>
      <c r="O21" s="45"/>
      <c r="P21" s="37"/>
      <c r="Q21" s="46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17" t="s">
        <v>292</v>
      </c>
      <c r="B22" s="40" t="s">
        <v>293</v>
      </c>
      <c r="C22" s="127" t="s">
        <v>294</v>
      </c>
      <c r="D22" s="40">
        <v>1.0</v>
      </c>
      <c r="E22" s="113" t="s">
        <v>251</v>
      </c>
      <c r="F22" s="40" t="s">
        <v>208</v>
      </c>
      <c r="G22" s="19">
        <v>459.0</v>
      </c>
      <c r="H22" s="128">
        <v>459.0</v>
      </c>
      <c r="I22" s="54" t="s">
        <v>252</v>
      </c>
      <c r="J22" s="110" t="s">
        <v>83</v>
      </c>
      <c r="K22" s="38" t="s">
        <v>295</v>
      </c>
      <c r="L22" s="110" t="s">
        <v>241</v>
      </c>
      <c r="M22" s="36" t="s">
        <v>210</v>
      </c>
      <c r="N22" s="37"/>
      <c r="O22" s="45"/>
      <c r="P22" s="37"/>
      <c r="Q22" s="46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129" t="s">
        <v>296</v>
      </c>
      <c r="B23" s="113" t="s">
        <v>297</v>
      </c>
      <c r="C23" s="127" t="s">
        <v>294</v>
      </c>
      <c r="D23" s="40">
        <v>3.0</v>
      </c>
      <c r="E23" s="36" t="s">
        <v>298</v>
      </c>
      <c r="F23" s="40" t="s">
        <v>298</v>
      </c>
      <c r="G23" s="19">
        <v>605.0</v>
      </c>
      <c r="H23" s="120">
        <f t="shared" ref="H23:H24" si="2">G23*3</f>
        <v>1815</v>
      </c>
      <c r="I23" s="54" t="s">
        <v>252</v>
      </c>
      <c r="J23" s="110" t="s">
        <v>83</v>
      </c>
      <c r="K23" s="38" t="s">
        <v>299</v>
      </c>
      <c r="L23" s="110" t="s">
        <v>83</v>
      </c>
      <c r="M23" s="116" t="s">
        <v>171</v>
      </c>
      <c r="N23" s="40" t="s">
        <v>300</v>
      </c>
      <c r="O23" s="45"/>
      <c r="P23" s="37"/>
      <c r="Q23" s="46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129" t="s">
        <v>301</v>
      </c>
      <c r="B24" s="36">
        <v>736369.0</v>
      </c>
      <c r="C24" s="36"/>
      <c r="D24" s="40" t="s">
        <v>302</v>
      </c>
      <c r="E24" s="36" t="s">
        <v>145</v>
      </c>
      <c r="F24" s="40" t="s">
        <v>102</v>
      </c>
      <c r="G24" s="19">
        <v>219.99</v>
      </c>
      <c r="H24" s="120">
        <f t="shared" si="2"/>
        <v>659.97</v>
      </c>
      <c r="I24" s="54" t="s">
        <v>303</v>
      </c>
      <c r="J24" s="110" t="s">
        <v>83</v>
      </c>
      <c r="K24" s="38" t="s">
        <v>304</v>
      </c>
      <c r="L24" s="110" t="s">
        <v>83</v>
      </c>
      <c r="M24" s="36" t="s">
        <v>305</v>
      </c>
      <c r="N24" s="37"/>
      <c r="O24" s="45"/>
      <c r="P24" s="37"/>
      <c r="Q24" s="46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17" t="s">
        <v>306</v>
      </c>
      <c r="B25" s="36">
        <v>641041.0</v>
      </c>
      <c r="C25" s="127" t="s">
        <v>307</v>
      </c>
      <c r="D25" s="40" t="s">
        <v>308</v>
      </c>
      <c r="E25" s="36" t="s">
        <v>309</v>
      </c>
      <c r="F25" s="40" t="s">
        <v>102</v>
      </c>
      <c r="G25" s="120">
        <v>179.99</v>
      </c>
      <c r="H25" s="120">
        <f>G25*5</f>
        <v>899.95</v>
      </c>
      <c r="I25" s="54" t="s">
        <v>303</v>
      </c>
      <c r="J25" s="110" t="s">
        <v>83</v>
      </c>
      <c r="K25" s="38" t="s">
        <v>304</v>
      </c>
      <c r="L25" s="110" t="s">
        <v>83</v>
      </c>
      <c r="M25" s="36" t="s">
        <v>305</v>
      </c>
      <c r="N25" s="37"/>
      <c r="O25" s="45"/>
      <c r="P25" s="37"/>
      <c r="Q25" s="46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129" t="s">
        <v>310</v>
      </c>
      <c r="B26" s="36">
        <v>194915.0</v>
      </c>
      <c r="C26" s="45"/>
      <c r="D26" s="40" t="s">
        <v>311</v>
      </c>
      <c r="E26" s="36" t="s">
        <v>312</v>
      </c>
      <c r="F26" s="40" t="s">
        <v>102</v>
      </c>
      <c r="G26" s="120">
        <v>34.99</v>
      </c>
      <c r="H26" s="120">
        <f>G26*4</f>
        <v>139.96</v>
      </c>
      <c r="I26" s="54" t="s">
        <v>303</v>
      </c>
      <c r="J26" s="110" t="s">
        <v>83</v>
      </c>
      <c r="K26" s="38" t="s">
        <v>304</v>
      </c>
      <c r="L26" s="110" t="s">
        <v>83</v>
      </c>
      <c r="M26" s="36" t="s">
        <v>305</v>
      </c>
      <c r="N26" s="37"/>
      <c r="O26" s="45"/>
      <c r="P26" s="37"/>
      <c r="Q26" s="46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129" t="s">
        <v>313</v>
      </c>
      <c r="B27" s="36">
        <v>142238.0</v>
      </c>
      <c r="C27" s="45"/>
      <c r="D27" s="40" t="s">
        <v>314</v>
      </c>
      <c r="E27" s="36" t="s">
        <v>312</v>
      </c>
      <c r="F27" s="40" t="s">
        <v>102</v>
      </c>
      <c r="G27" s="120">
        <v>19.9</v>
      </c>
      <c r="H27" s="120">
        <f t="shared" ref="H27:H28" si="3">G27*3</f>
        <v>59.7</v>
      </c>
      <c r="I27" s="54" t="s">
        <v>303</v>
      </c>
      <c r="J27" s="110" t="s">
        <v>83</v>
      </c>
      <c r="K27" s="38" t="s">
        <v>304</v>
      </c>
      <c r="L27" s="110" t="s">
        <v>83</v>
      </c>
      <c r="M27" s="36" t="s">
        <v>305</v>
      </c>
      <c r="N27" s="37"/>
      <c r="O27" s="45"/>
      <c r="P27" s="37"/>
      <c r="Q27" s="46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129" t="s">
        <v>315</v>
      </c>
      <c r="B28" s="36">
        <v>809023.0</v>
      </c>
      <c r="C28" s="45"/>
      <c r="D28" s="40" t="s">
        <v>314</v>
      </c>
      <c r="E28" s="36" t="s">
        <v>316</v>
      </c>
      <c r="F28" s="40" t="s">
        <v>102</v>
      </c>
      <c r="G28" s="120">
        <v>24.99</v>
      </c>
      <c r="H28" s="120">
        <f t="shared" si="3"/>
        <v>74.97</v>
      </c>
      <c r="I28" s="54" t="s">
        <v>303</v>
      </c>
      <c r="J28" s="110" t="s">
        <v>83</v>
      </c>
      <c r="K28" s="38" t="s">
        <v>304</v>
      </c>
      <c r="L28" s="110" t="s">
        <v>83</v>
      </c>
      <c r="M28" s="36" t="s">
        <v>305</v>
      </c>
      <c r="N28" s="37"/>
      <c r="O28" s="45"/>
      <c r="P28" s="37"/>
      <c r="Q28" s="46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129" t="s">
        <v>317</v>
      </c>
      <c r="B29" s="36">
        <v>485943.0</v>
      </c>
      <c r="C29" s="45"/>
      <c r="D29" s="40" t="s">
        <v>318</v>
      </c>
      <c r="E29" s="36" t="s">
        <v>319</v>
      </c>
      <c r="F29" s="40" t="s">
        <v>102</v>
      </c>
      <c r="G29" s="120">
        <v>19.99</v>
      </c>
      <c r="H29" s="120">
        <v>19.99</v>
      </c>
      <c r="I29" s="54" t="s">
        <v>303</v>
      </c>
      <c r="J29" s="110" t="s">
        <v>83</v>
      </c>
      <c r="K29" s="38" t="s">
        <v>304</v>
      </c>
      <c r="L29" s="110" t="s">
        <v>83</v>
      </c>
      <c r="M29" s="36" t="s">
        <v>305</v>
      </c>
      <c r="N29" s="37"/>
      <c r="O29" s="45"/>
      <c r="P29" s="37"/>
      <c r="Q29" s="46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129" t="s">
        <v>320</v>
      </c>
      <c r="B30" s="36">
        <v>480933.0</v>
      </c>
      <c r="C30" s="36" t="s">
        <v>321</v>
      </c>
      <c r="D30" s="40" t="s">
        <v>322</v>
      </c>
      <c r="E30" s="36" t="s">
        <v>323</v>
      </c>
      <c r="F30" s="40" t="s">
        <v>102</v>
      </c>
      <c r="G30" s="120">
        <v>9.99</v>
      </c>
      <c r="H30" s="120">
        <f>G30*2</f>
        <v>19.98</v>
      </c>
      <c r="I30" s="54" t="s">
        <v>303</v>
      </c>
      <c r="J30" s="110" t="s">
        <v>83</v>
      </c>
      <c r="K30" s="38" t="s">
        <v>304</v>
      </c>
      <c r="L30" s="110" t="s">
        <v>83</v>
      </c>
      <c r="M30" s="36" t="s">
        <v>305</v>
      </c>
      <c r="N30" s="37"/>
      <c r="O30" s="45"/>
      <c r="P30" s="37"/>
      <c r="Q30" s="46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130" t="s">
        <v>324</v>
      </c>
      <c r="B31" s="36">
        <v>851563.0</v>
      </c>
      <c r="C31" s="45"/>
      <c r="D31" s="40" t="s">
        <v>325</v>
      </c>
      <c r="E31" s="36" t="s">
        <v>326</v>
      </c>
      <c r="F31" s="40" t="s">
        <v>102</v>
      </c>
      <c r="G31" s="120">
        <v>49.99</v>
      </c>
      <c r="H31" s="120">
        <v>49.99</v>
      </c>
      <c r="I31" s="54" t="s">
        <v>303</v>
      </c>
      <c r="J31" s="110" t="s">
        <v>83</v>
      </c>
      <c r="K31" s="38" t="s">
        <v>304</v>
      </c>
      <c r="L31" s="110" t="s">
        <v>83</v>
      </c>
      <c r="M31" s="36" t="s">
        <v>305</v>
      </c>
      <c r="N31" s="37"/>
      <c r="O31" s="45"/>
      <c r="P31" s="37"/>
      <c r="Q31" s="46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131" t="s">
        <v>327</v>
      </c>
      <c r="B32" s="132">
        <v>706496.0</v>
      </c>
      <c r="C32" s="36" t="s">
        <v>328</v>
      </c>
      <c r="D32" s="40" t="s">
        <v>311</v>
      </c>
      <c r="E32" s="36" t="s">
        <v>309</v>
      </c>
      <c r="F32" s="40" t="s">
        <v>102</v>
      </c>
      <c r="G32" s="120">
        <v>319.99</v>
      </c>
      <c r="H32" s="120">
        <f>319*4</f>
        <v>1276</v>
      </c>
      <c r="I32" s="54" t="s">
        <v>303</v>
      </c>
      <c r="J32" s="110" t="s">
        <v>83</v>
      </c>
      <c r="K32" s="38" t="s">
        <v>304</v>
      </c>
      <c r="L32" s="110" t="s">
        <v>83</v>
      </c>
      <c r="M32" s="36" t="s">
        <v>305</v>
      </c>
      <c r="N32" s="37"/>
      <c r="O32" s="45"/>
      <c r="P32" s="37"/>
      <c r="Q32" s="46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131" t="s">
        <v>329</v>
      </c>
      <c r="B33" s="36">
        <v>649858.0</v>
      </c>
      <c r="C33" s="45"/>
      <c r="D33" s="133" t="s">
        <v>325</v>
      </c>
      <c r="E33" s="36" t="s">
        <v>330</v>
      </c>
      <c r="F33" s="40" t="s">
        <v>102</v>
      </c>
      <c r="G33" s="120">
        <v>21.9</v>
      </c>
      <c r="H33" s="120">
        <v>21.9</v>
      </c>
      <c r="I33" s="54" t="s">
        <v>303</v>
      </c>
      <c r="J33" s="110" t="s">
        <v>83</v>
      </c>
      <c r="K33" s="38" t="s">
        <v>304</v>
      </c>
      <c r="L33" s="110" t="s">
        <v>83</v>
      </c>
      <c r="M33" s="36" t="s">
        <v>305</v>
      </c>
      <c r="N33" s="37"/>
      <c r="O33" s="45"/>
      <c r="P33" s="37"/>
      <c r="Q33" s="46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131"/>
      <c r="B34" s="45"/>
      <c r="C34" s="45"/>
      <c r="D34" s="37"/>
      <c r="E34" s="45"/>
      <c r="F34" s="37"/>
      <c r="G34" s="26"/>
      <c r="H34" s="26"/>
      <c r="I34" s="46"/>
      <c r="J34" s="124"/>
      <c r="K34" s="123"/>
      <c r="L34" s="124"/>
      <c r="M34" s="45"/>
      <c r="N34" s="37"/>
      <c r="O34" s="45"/>
      <c r="P34" s="37"/>
      <c r="Q34" s="46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129"/>
      <c r="B35" s="45"/>
      <c r="C35" s="45"/>
      <c r="D35" s="40"/>
      <c r="E35" s="45"/>
      <c r="F35" s="37"/>
      <c r="G35" s="26"/>
      <c r="H35" s="26"/>
      <c r="I35" s="45"/>
      <c r="J35" s="124"/>
      <c r="K35" s="123"/>
      <c r="L35" s="124"/>
      <c r="M35" s="45"/>
      <c r="N35" s="37"/>
      <c r="O35" s="45"/>
      <c r="P35" s="37"/>
      <c r="Q35" s="46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134"/>
      <c r="B36" s="37"/>
      <c r="C36" s="45"/>
      <c r="D36" s="37"/>
      <c r="E36" s="45"/>
      <c r="F36" s="37"/>
      <c r="G36" s="26"/>
      <c r="H36" s="26"/>
      <c r="I36" s="45"/>
      <c r="J36" s="124"/>
      <c r="K36" s="123"/>
      <c r="L36" s="124"/>
      <c r="M36" s="45"/>
      <c r="N36" s="37"/>
      <c r="O36" s="45"/>
      <c r="P36" s="37"/>
      <c r="Q36" s="46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135" t="s">
        <v>331</v>
      </c>
      <c r="B37" s="37"/>
      <c r="C37" s="45"/>
      <c r="D37" s="37"/>
      <c r="E37" s="45"/>
      <c r="F37" s="37"/>
      <c r="G37" s="26"/>
      <c r="H37" s="27"/>
      <c r="I37" s="45"/>
      <c r="J37" s="124"/>
      <c r="K37" s="123"/>
      <c r="L37" s="124"/>
      <c r="M37" s="45"/>
      <c r="N37" s="37"/>
      <c r="O37" s="45"/>
      <c r="P37" s="37"/>
      <c r="Q37" s="46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118" t="s">
        <v>332</v>
      </c>
      <c r="B38" s="40" t="s">
        <v>192</v>
      </c>
      <c r="C38" s="40" t="s">
        <v>192</v>
      </c>
      <c r="D38" s="40" t="s">
        <v>192</v>
      </c>
      <c r="E38" s="40" t="s">
        <v>192</v>
      </c>
      <c r="F38" s="40" t="s">
        <v>192</v>
      </c>
      <c r="G38" s="26">
        <v>173.7</v>
      </c>
      <c r="H38" s="27">
        <v>173.7</v>
      </c>
      <c r="I38" s="36" t="s">
        <v>333</v>
      </c>
      <c r="J38" s="124"/>
      <c r="K38" s="123"/>
      <c r="L38" s="124"/>
      <c r="M38" s="136" t="s">
        <v>334</v>
      </c>
      <c r="N38" s="37"/>
      <c r="O38" s="45"/>
      <c r="P38" s="37"/>
      <c r="Q38" s="46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137" t="s">
        <v>335</v>
      </c>
      <c r="B39" s="40" t="s">
        <v>192</v>
      </c>
      <c r="C39" s="40" t="s">
        <v>192</v>
      </c>
      <c r="D39" s="40" t="s">
        <v>192</v>
      </c>
      <c r="E39" s="40" t="s">
        <v>192</v>
      </c>
      <c r="F39" s="40" t="s">
        <v>192</v>
      </c>
      <c r="G39" s="26">
        <v>40.96</v>
      </c>
      <c r="H39" s="27">
        <v>40.96</v>
      </c>
      <c r="I39" s="36" t="s">
        <v>336</v>
      </c>
      <c r="J39" s="124"/>
      <c r="K39" s="123"/>
      <c r="L39" s="124"/>
      <c r="M39" s="136" t="s">
        <v>334</v>
      </c>
      <c r="N39" s="37"/>
      <c r="O39" s="45"/>
      <c r="P39" s="37"/>
      <c r="Q39" s="46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118" t="s">
        <v>337</v>
      </c>
      <c r="B40" s="40" t="s">
        <v>192</v>
      </c>
      <c r="C40" s="40" t="s">
        <v>192</v>
      </c>
      <c r="D40" s="40" t="s">
        <v>192</v>
      </c>
      <c r="E40" s="40" t="s">
        <v>192</v>
      </c>
      <c r="F40" s="40" t="s">
        <v>192</v>
      </c>
      <c r="G40" s="26">
        <v>23.85</v>
      </c>
      <c r="H40" s="27">
        <v>23.85</v>
      </c>
      <c r="I40" s="36" t="s">
        <v>338</v>
      </c>
      <c r="J40" s="124"/>
      <c r="K40" s="123"/>
      <c r="L40" s="124"/>
      <c r="M40" s="136" t="s">
        <v>339</v>
      </c>
      <c r="N40" s="37"/>
      <c r="O40" s="45"/>
      <c r="P40" s="37"/>
      <c r="Q40" s="46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113" t="s">
        <v>340</v>
      </c>
      <c r="B41" s="40" t="s">
        <v>192</v>
      </c>
      <c r="C41" s="40" t="s">
        <v>192</v>
      </c>
      <c r="D41" s="40" t="s">
        <v>192</v>
      </c>
      <c r="E41" s="40" t="s">
        <v>192</v>
      </c>
      <c r="F41" s="40" t="s">
        <v>192</v>
      </c>
      <c r="G41" s="26">
        <v>95.0</v>
      </c>
      <c r="H41" s="27">
        <v>95.0</v>
      </c>
      <c r="I41" s="36" t="s">
        <v>341</v>
      </c>
      <c r="J41" s="124"/>
      <c r="K41" s="123"/>
      <c r="L41" s="124"/>
      <c r="M41" s="136" t="s">
        <v>334</v>
      </c>
      <c r="N41" s="37"/>
      <c r="O41" s="45"/>
      <c r="P41" s="37"/>
      <c r="Q41" s="46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36" t="s">
        <v>342</v>
      </c>
      <c r="B42" s="40" t="s">
        <v>192</v>
      </c>
      <c r="C42" s="40" t="s">
        <v>192</v>
      </c>
      <c r="D42" s="40" t="s">
        <v>192</v>
      </c>
      <c r="E42" s="40" t="s">
        <v>192</v>
      </c>
      <c r="F42" s="40" t="s">
        <v>192</v>
      </c>
      <c r="G42" s="26">
        <v>130.0</v>
      </c>
      <c r="H42" s="27">
        <v>130.0</v>
      </c>
      <c r="I42" s="36" t="s">
        <v>343</v>
      </c>
      <c r="J42" s="124"/>
      <c r="K42" s="123"/>
      <c r="L42" s="124"/>
      <c r="M42" s="136" t="s">
        <v>334</v>
      </c>
      <c r="N42" s="37"/>
      <c r="O42" s="45"/>
      <c r="P42" s="37"/>
      <c r="Q42" s="46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113" t="s">
        <v>344</v>
      </c>
      <c r="B43" s="40" t="s">
        <v>192</v>
      </c>
      <c r="C43" s="40" t="s">
        <v>192</v>
      </c>
      <c r="D43" s="40" t="s">
        <v>192</v>
      </c>
      <c r="E43" s="40" t="s">
        <v>192</v>
      </c>
      <c r="F43" s="40" t="s">
        <v>192</v>
      </c>
      <c r="G43" s="26">
        <v>57.55</v>
      </c>
      <c r="H43" s="27">
        <v>57.55</v>
      </c>
      <c r="I43" s="36" t="s">
        <v>345</v>
      </c>
      <c r="J43" s="124"/>
      <c r="K43" s="123"/>
      <c r="L43" s="124"/>
      <c r="M43" s="36" t="s">
        <v>346</v>
      </c>
      <c r="N43" s="37"/>
      <c r="O43" s="45"/>
      <c r="P43" s="37"/>
      <c r="Q43" s="46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113" t="s">
        <v>347</v>
      </c>
      <c r="B44" s="40" t="s">
        <v>192</v>
      </c>
      <c r="C44" s="40" t="s">
        <v>192</v>
      </c>
      <c r="D44" s="40" t="s">
        <v>192</v>
      </c>
      <c r="E44" s="40" t="s">
        <v>192</v>
      </c>
      <c r="F44" s="40" t="s">
        <v>192</v>
      </c>
      <c r="G44" s="26">
        <v>305.0</v>
      </c>
      <c r="H44" s="27">
        <v>305.0</v>
      </c>
      <c r="I44" s="36" t="s">
        <v>345</v>
      </c>
      <c r="J44" s="124"/>
      <c r="K44" s="123"/>
      <c r="L44" s="124"/>
      <c r="M44" s="36" t="s">
        <v>346</v>
      </c>
      <c r="N44" s="37"/>
      <c r="O44" s="45"/>
      <c r="P44" s="37"/>
      <c r="Q44" s="46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113" t="s">
        <v>199</v>
      </c>
      <c r="B45" s="40" t="s">
        <v>192</v>
      </c>
      <c r="C45" s="40" t="s">
        <v>192</v>
      </c>
      <c r="D45" s="40" t="s">
        <v>192</v>
      </c>
      <c r="E45" s="40" t="s">
        <v>192</v>
      </c>
      <c r="F45" s="40" t="s">
        <v>192</v>
      </c>
      <c r="G45" s="26">
        <v>1.24</v>
      </c>
      <c r="H45" s="27">
        <v>1.24</v>
      </c>
      <c r="I45" s="36" t="s">
        <v>341</v>
      </c>
      <c r="J45" s="124"/>
      <c r="K45" s="123"/>
      <c r="L45" s="37"/>
      <c r="M45" s="36" t="s">
        <v>194</v>
      </c>
      <c r="N45" s="37"/>
      <c r="O45" s="45"/>
      <c r="P45" s="37"/>
      <c r="Q45" s="46"/>
      <c r="R45" s="45"/>
      <c r="S45" s="45"/>
      <c r="T45" s="45"/>
      <c r="U45" s="45"/>
      <c r="V45" s="45"/>
      <c r="W45" s="45"/>
      <c r="X45" s="45"/>
      <c r="Y45" s="45"/>
      <c r="Z45" s="45"/>
    </row>
    <row r="46">
      <c r="H46" s="27"/>
      <c r="I46" s="45"/>
      <c r="J46" s="124"/>
      <c r="K46" s="123"/>
      <c r="L46" s="37"/>
      <c r="M46" s="45"/>
      <c r="N46" s="37"/>
      <c r="O46" s="45"/>
      <c r="P46" s="37"/>
      <c r="Q46" s="46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45"/>
      <c r="B47" s="37"/>
      <c r="C47" s="45"/>
      <c r="D47" s="37"/>
      <c r="E47" s="45"/>
      <c r="F47" s="37"/>
      <c r="G47" s="26"/>
      <c r="H47" s="27"/>
      <c r="I47" s="45"/>
      <c r="J47" s="124"/>
      <c r="K47" s="123"/>
      <c r="L47" s="37"/>
      <c r="M47" s="45"/>
      <c r="N47" s="37"/>
      <c r="O47" s="45"/>
      <c r="P47" s="37"/>
      <c r="Q47" s="46"/>
      <c r="R47" s="45"/>
      <c r="S47" s="45"/>
      <c r="T47" s="45"/>
      <c r="U47" s="45"/>
      <c r="V47" s="45"/>
      <c r="W47" s="45"/>
      <c r="X47" s="45"/>
      <c r="Y47" s="45"/>
      <c r="Z47" s="45"/>
    </row>
    <row r="48">
      <c r="B48" s="59"/>
      <c r="D48" s="59"/>
      <c r="F48" s="59"/>
      <c r="G48" s="26"/>
      <c r="H48" s="27"/>
      <c r="J48" s="138"/>
      <c r="K48" s="107"/>
      <c r="L48" s="59"/>
      <c r="N48" s="59"/>
      <c r="P48" s="59"/>
      <c r="Q48" s="61"/>
    </row>
    <row r="49">
      <c r="B49" s="59"/>
      <c r="D49" s="59"/>
      <c r="F49" s="59"/>
      <c r="G49" s="26"/>
      <c r="H49" s="27"/>
      <c r="J49" s="138"/>
      <c r="K49" s="107"/>
      <c r="L49" s="59"/>
      <c r="N49" s="59"/>
      <c r="P49" s="59"/>
      <c r="Q49" s="61"/>
    </row>
    <row r="50">
      <c r="A50" s="17" t="s">
        <v>348</v>
      </c>
      <c r="B50" s="59"/>
      <c r="D50" s="59"/>
      <c r="F50" s="59"/>
      <c r="G50" s="26"/>
      <c r="H50" s="27"/>
      <c r="J50" s="138"/>
      <c r="K50" s="107"/>
      <c r="L50" s="59"/>
      <c r="N50" s="59"/>
      <c r="P50" s="59"/>
      <c r="Q50" s="61"/>
    </row>
    <row r="51">
      <c r="B51" s="59"/>
      <c r="D51" s="59"/>
      <c r="F51" s="59"/>
      <c r="G51" s="26"/>
      <c r="H51" s="27"/>
      <c r="J51" s="138"/>
      <c r="K51" s="107"/>
      <c r="L51" s="59"/>
      <c r="N51" s="59"/>
      <c r="P51" s="59"/>
      <c r="Q51" s="61"/>
    </row>
    <row r="52">
      <c r="B52" s="59"/>
      <c r="D52" s="59"/>
      <c r="F52" s="59"/>
      <c r="G52" s="26"/>
      <c r="H52" s="27"/>
      <c r="J52" s="138"/>
      <c r="K52" s="107"/>
      <c r="L52" s="59"/>
      <c r="N52" s="59"/>
      <c r="P52" s="59"/>
      <c r="Q52" s="61"/>
    </row>
    <row r="53">
      <c r="B53" s="59"/>
      <c r="D53" s="59"/>
      <c r="F53" s="59"/>
      <c r="G53" s="26"/>
      <c r="H53" s="27"/>
      <c r="J53" s="59"/>
      <c r="K53" s="107"/>
      <c r="L53" s="59"/>
      <c r="N53" s="59"/>
      <c r="P53" s="59"/>
      <c r="Q53" s="61"/>
    </row>
    <row r="54">
      <c r="B54" s="59"/>
      <c r="D54" s="59"/>
      <c r="F54" s="59"/>
      <c r="G54" s="26"/>
      <c r="H54" s="27"/>
      <c r="J54" s="59"/>
      <c r="K54" s="107"/>
      <c r="L54" s="59"/>
      <c r="N54" s="59"/>
      <c r="P54" s="59"/>
      <c r="Q54" s="61"/>
    </row>
    <row r="55">
      <c r="B55" s="59"/>
      <c r="D55" s="59"/>
      <c r="F55" s="59"/>
      <c r="G55" s="26"/>
      <c r="H55" s="27"/>
      <c r="J55" s="59"/>
      <c r="K55" s="107"/>
      <c r="L55" s="59"/>
      <c r="N55" s="59"/>
      <c r="P55" s="59"/>
      <c r="Q55" s="61"/>
    </row>
    <row r="56">
      <c r="B56" s="59"/>
      <c r="D56" s="59"/>
      <c r="F56" s="59"/>
      <c r="G56" s="26"/>
      <c r="H56" s="27"/>
      <c r="J56" s="59"/>
      <c r="K56" s="107"/>
      <c r="L56" s="59"/>
      <c r="N56" s="59"/>
      <c r="P56" s="59"/>
      <c r="Q56" s="61"/>
    </row>
    <row r="57">
      <c r="B57" s="59"/>
      <c r="D57" s="59"/>
      <c r="F57" s="59"/>
      <c r="G57" s="26"/>
      <c r="H57" s="27"/>
      <c r="J57" s="59"/>
      <c r="L57" s="59"/>
      <c r="N57" s="59"/>
      <c r="P57" s="59"/>
      <c r="Q57" s="61"/>
    </row>
    <row r="58">
      <c r="B58" s="59"/>
      <c r="D58" s="59"/>
      <c r="F58" s="59"/>
      <c r="G58" s="26"/>
      <c r="H58" s="27"/>
      <c r="J58" s="59"/>
      <c r="L58" s="59"/>
      <c r="N58" s="59"/>
      <c r="P58" s="59"/>
      <c r="Q58" s="61"/>
    </row>
    <row r="59">
      <c r="B59" s="59"/>
      <c r="D59" s="59"/>
      <c r="F59" s="59"/>
      <c r="G59" s="26"/>
      <c r="H59" s="59"/>
      <c r="J59" s="59"/>
      <c r="L59" s="59"/>
      <c r="N59" s="59"/>
      <c r="P59" s="59"/>
      <c r="Q59" s="61"/>
    </row>
    <row r="60">
      <c r="B60" s="59"/>
      <c r="D60" s="59"/>
      <c r="F60" s="59"/>
      <c r="G60" s="26"/>
      <c r="H60" s="59"/>
      <c r="J60" s="59"/>
      <c r="L60" s="59"/>
      <c r="N60" s="59"/>
      <c r="P60" s="59"/>
      <c r="Q60" s="61"/>
    </row>
    <row r="61">
      <c r="B61" s="59"/>
      <c r="D61" s="59"/>
      <c r="F61" s="59"/>
      <c r="G61" s="26"/>
      <c r="H61" s="59"/>
      <c r="J61" s="59"/>
      <c r="L61" s="59"/>
      <c r="N61" s="59"/>
      <c r="P61" s="59"/>
      <c r="Q61" s="61"/>
    </row>
    <row r="62">
      <c r="B62" s="59"/>
      <c r="D62" s="59"/>
      <c r="F62" s="59"/>
      <c r="G62" s="26"/>
      <c r="H62" s="59"/>
      <c r="J62" s="59"/>
      <c r="L62" s="59"/>
      <c r="N62" s="59"/>
      <c r="P62" s="59"/>
      <c r="Q62" s="61"/>
    </row>
    <row r="63">
      <c r="B63" s="59"/>
      <c r="D63" s="59"/>
      <c r="F63" s="59"/>
      <c r="G63" s="26"/>
      <c r="H63" s="59"/>
      <c r="J63" s="59"/>
      <c r="L63" s="59"/>
      <c r="N63" s="59"/>
      <c r="P63" s="59"/>
      <c r="Q63" s="61"/>
    </row>
    <row r="64">
      <c r="B64" s="59"/>
      <c r="D64" s="59"/>
      <c r="F64" s="59"/>
      <c r="G64" s="26"/>
      <c r="H64" s="59"/>
      <c r="J64" s="59"/>
      <c r="L64" s="59"/>
      <c r="N64" s="59"/>
      <c r="P64" s="59"/>
      <c r="Q64" s="61"/>
    </row>
    <row r="65">
      <c r="B65" s="59"/>
      <c r="D65" s="59"/>
      <c r="F65" s="59"/>
      <c r="G65" s="26"/>
      <c r="H65" s="59"/>
      <c r="J65" s="59"/>
      <c r="L65" s="59"/>
      <c r="N65" s="59"/>
      <c r="P65" s="59"/>
      <c r="Q65" s="61"/>
    </row>
    <row r="66">
      <c r="B66" s="59"/>
      <c r="D66" s="59"/>
      <c r="F66" s="59"/>
      <c r="G66" s="26"/>
      <c r="H66" s="59"/>
      <c r="J66" s="59"/>
      <c r="L66" s="59"/>
      <c r="N66" s="59"/>
      <c r="P66" s="59"/>
      <c r="Q66" s="61"/>
    </row>
    <row r="67">
      <c r="B67" s="59"/>
      <c r="D67" s="59"/>
      <c r="F67" s="59"/>
      <c r="G67" s="26"/>
      <c r="H67" s="59"/>
      <c r="J67" s="59"/>
      <c r="L67" s="59"/>
      <c r="N67" s="59"/>
      <c r="P67" s="59"/>
      <c r="Q67" s="61"/>
    </row>
    <row r="68">
      <c r="B68" s="59"/>
      <c r="D68" s="59"/>
      <c r="F68" s="59"/>
      <c r="H68" s="59"/>
      <c r="J68" s="59"/>
      <c r="L68" s="59"/>
      <c r="N68" s="59"/>
      <c r="P68" s="59"/>
      <c r="Q68" s="61"/>
    </row>
    <row r="69">
      <c r="B69" s="59"/>
      <c r="D69" s="59"/>
      <c r="F69" s="59"/>
      <c r="H69" s="59"/>
      <c r="J69" s="59"/>
      <c r="L69" s="59"/>
      <c r="N69" s="59"/>
      <c r="P69" s="59"/>
      <c r="Q69" s="61"/>
    </row>
    <row r="70">
      <c r="B70" s="59"/>
      <c r="D70" s="59"/>
      <c r="F70" s="59"/>
      <c r="H70" s="59"/>
      <c r="J70" s="59"/>
      <c r="L70" s="59"/>
      <c r="N70" s="59"/>
      <c r="P70" s="59"/>
      <c r="Q70" s="61"/>
    </row>
    <row r="71">
      <c r="B71" s="59"/>
      <c r="D71" s="59"/>
      <c r="F71" s="59"/>
      <c r="H71" s="59"/>
      <c r="J71" s="59"/>
      <c r="L71" s="59"/>
      <c r="N71" s="59"/>
      <c r="P71" s="59"/>
      <c r="Q71" s="61"/>
    </row>
    <row r="72">
      <c r="B72" s="59"/>
      <c r="D72" s="59"/>
      <c r="F72" s="59"/>
      <c r="H72" s="59"/>
      <c r="J72" s="59"/>
      <c r="L72" s="59"/>
      <c r="N72" s="59"/>
      <c r="P72" s="59"/>
      <c r="Q72" s="61"/>
    </row>
    <row r="73">
      <c r="B73" s="59"/>
      <c r="D73" s="59"/>
      <c r="F73" s="59"/>
      <c r="H73" s="59"/>
      <c r="J73" s="59"/>
      <c r="L73" s="59"/>
      <c r="N73" s="59"/>
      <c r="P73" s="59"/>
      <c r="Q73" s="61"/>
    </row>
    <row r="74">
      <c r="B74" s="59"/>
      <c r="D74" s="59"/>
      <c r="F74" s="59"/>
      <c r="H74" s="59"/>
      <c r="J74" s="59"/>
      <c r="L74" s="59"/>
      <c r="N74" s="59"/>
      <c r="P74" s="59"/>
      <c r="Q74" s="61"/>
    </row>
    <row r="75">
      <c r="B75" s="59"/>
      <c r="D75" s="59"/>
      <c r="F75" s="59"/>
      <c r="H75" s="59"/>
      <c r="J75" s="59"/>
      <c r="L75" s="59"/>
      <c r="N75" s="59"/>
      <c r="P75" s="59"/>
      <c r="Q75" s="61"/>
    </row>
    <row r="76">
      <c r="B76" s="59"/>
      <c r="D76" s="59"/>
      <c r="F76" s="59"/>
      <c r="H76" s="59"/>
      <c r="J76" s="59"/>
      <c r="L76" s="59"/>
      <c r="N76" s="59"/>
      <c r="P76" s="59"/>
      <c r="Q76" s="61"/>
    </row>
    <row r="77">
      <c r="B77" s="59"/>
      <c r="D77" s="59"/>
      <c r="F77" s="59"/>
      <c r="H77" s="59"/>
      <c r="J77" s="59"/>
      <c r="L77" s="59"/>
      <c r="N77" s="59"/>
      <c r="P77" s="59"/>
      <c r="Q77" s="61"/>
    </row>
    <row r="78">
      <c r="B78" s="59"/>
      <c r="D78" s="59"/>
      <c r="F78" s="59"/>
      <c r="H78" s="59"/>
      <c r="J78" s="59"/>
      <c r="L78" s="59"/>
      <c r="N78" s="59"/>
      <c r="P78" s="59"/>
      <c r="Q78" s="61"/>
    </row>
    <row r="79">
      <c r="B79" s="59"/>
      <c r="D79" s="59"/>
      <c r="F79" s="59"/>
      <c r="H79" s="59"/>
      <c r="J79" s="59"/>
      <c r="L79" s="59"/>
      <c r="N79" s="59"/>
      <c r="P79" s="59"/>
      <c r="Q79" s="61"/>
    </row>
    <row r="80">
      <c r="B80" s="59"/>
      <c r="D80" s="59"/>
      <c r="F80" s="59"/>
      <c r="H80" s="59"/>
      <c r="J80" s="59"/>
      <c r="L80" s="59"/>
      <c r="N80" s="59"/>
      <c r="P80" s="59"/>
      <c r="Q80" s="61"/>
    </row>
    <row r="81">
      <c r="B81" s="59"/>
      <c r="D81" s="59"/>
      <c r="F81" s="59"/>
      <c r="H81" s="59"/>
      <c r="J81" s="59"/>
      <c r="L81" s="59"/>
      <c r="N81" s="59"/>
      <c r="P81" s="59"/>
      <c r="Q81" s="61"/>
    </row>
    <row r="82">
      <c r="B82" s="59"/>
      <c r="D82" s="59"/>
      <c r="F82" s="59"/>
      <c r="H82" s="59"/>
      <c r="J82" s="59"/>
      <c r="L82" s="59"/>
      <c r="N82" s="59"/>
      <c r="P82" s="59"/>
      <c r="Q82" s="61"/>
    </row>
    <row r="83">
      <c r="B83" s="59"/>
      <c r="D83" s="59"/>
      <c r="F83" s="59"/>
      <c r="H83" s="59"/>
      <c r="J83" s="59"/>
      <c r="L83" s="59"/>
      <c r="N83" s="59"/>
      <c r="P83" s="59"/>
      <c r="Q83" s="61"/>
    </row>
    <row r="84">
      <c r="B84" s="59"/>
      <c r="D84" s="59"/>
      <c r="F84" s="59"/>
      <c r="H84" s="59"/>
      <c r="J84" s="59"/>
      <c r="L84" s="59"/>
      <c r="N84" s="59"/>
      <c r="P84" s="59"/>
      <c r="Q84" s="61"/>
    </row>
    <row r="85">
      <c r="B85" s="59"/>
      <c r="D85" s="59"/>
      <c r="F85" s="59"/>
      <c r="H85" s="59"/>
      <c r="J85" s="59"/>
      <c r="L85" s="59"/>
      <c r="N85" s="59"/>
      <c r="P85" s="59"/>
      <c r="Q85" s="61"/>
    </row>
    <row r="86">
      <c r="B86" s="59"/>
      <c r="D86" s="59"/>
      <c r="F86" s="59"/>
      <c r="H86" s="59"/>
      <c r="J86" s="59"/>
      <c r="L86" s="59"/>
      <c r="N86" s="59"/>
      <c r="P86" s="59"/>
      <c r="Q86" s="61"/>
    </row>
    <row r="87">
      <c r="B87" s="59"/>
      <c r="D87" s="59"/>
      <c r="F87" s="59"/>
      <c r="H87" s="59"/>
      <c r="J87" s="59"/>
      <c r="L87" s="59"/>
      <c r="N87" s="59"/>
      <c r="P87" s="59"/>
      <c r="Q87" s="61"/>
    </row>
    <row r="88">
      <c r="B88" s="59"/>
      <c r="D88" s="59"/>
      <c r="F88" s="59"/>
      <c r="H88" s="59"/>
      <c r="J88" s="59"/>
      <c r="L88" s="59"/>
      <c r="N88" s="59"/>
      <c r="P88" s="59"/>
      <c r="Q88" s="61"/>
    </row>
    <row r="89">
      <c r="B89" s="59"/>
      <c r="D89" s="59"/>
      <c r="F89" s="59"/>
      <c r="H89" s="59"/>
      <c r="J89" s="59"/>
      <c r="L89" s="59"/>
      <c r="N89" s="59"/>
      <c r="P89" s="59"/>
      <c r="Q89" s="61"/>
    </row>
    <row r="90">
      <c r="B90" s="59"/>
      <c r="D90" s="59"/>
      <c r="F90" s="59"/>
      <c r="H90" s="59"/>
      <c r="J90" s="59"/>
      <c r="L90" s="59"/>
      <c r="N90" s="59"/>
      <c r="P90" s="59"/>
      <c r="Q90" s="61"/>
    </row>
    <row r="91">
      <c r="B91" s="59"/>
      <c r="D91" s="59"/>
      <c r="F91" s="59"/>
      <c r="H91" s="59"/>
      <c r="J91" s="59"/>
      <c r="L91" s="59"/>
      <c r="N91" s="59"/>
      <c r="P91" s="59"/>
      <c r="Q91" s="61"/>
    </row>
    <row r="92">
      <c r="B92" s="59"/>
      <c r="D92" s="59"/>
      <c r="F92" s="59"/>
      <c r="H92" s="59"/>
      <c r="J92" s="59"/>
      <c r="L92" s="59"/>
      <c r="N92" s="59"/>
      <c r="P92" s="59"/>
      <c r="Q92" s="61"/>
    </row>
    <row r="93">
      <c r="B93" s="59"/>
      <c r="D93" s="59"/>
      <c r="F93" s="59"/>
      <c r="H93" s="59"/>
      <c r="J93" s="59"/>
      <c r="L93" s="59"/>
      <c r="N93" s="59"/>
      <c r="P93" s="59"/>
      <c r="Q93" s="61"/>
    </row>
    <row r="94">
      <c r="B94" s="59"/>
      <c r="D94" s="59"/>
      <c r="F94" s="59"/>
      <c r="H94" s="59"/>
      <c r="J94" s="59"/>
      <c r="L94" s="59"/>
      <c r="N94" s="59"/>
      <c r="P94" s="59"/>
      <c r="Q94" s="61"/>
    </row>
    <row r="95">
      <c r="B95" s="59"/>
      <c r="D95" s="59"/>
      <c r="F95" s="59"/>
      <c r="H95" s="59"/>
      <c r="J95" s="59"/>
      <c r="L95" s="59"/>
      <c r="N95" s="59"/>
      <c r="P95" s="59"/>
      <c r="Q95" s="61"/>
    </row>
    <row r="96">
      <c r="B96" s="59"/>
      <c r="D96" s="59"/>
      <c r="F96" s="59"/>
      <c r="H96" s="59"/>
      <c r="J96" s="59"/>
      <c r="L96" s="59"/>
      <c r="N96" s="59"/>
      <c r="P96" s="59"/>
      <c r="Q96" s="61"/>
    </row>
    <row r="97">
      <c r="B97" s="59"/>
      <c r="D97" s="59"/>
      <c r="F97" s="59"/>
      <c r="H97" s="59"/>
      <c r="J97" s="59"/>
      <c r="L97" s="59"/>
      <c r="N97" s="59"/>
      <c r="P97" s="59"/>
      <c r="Q97" s="61"/>
    </row>
    <row r="98">
      <c r="B98" s="59"/>
      <c r="D98" s="59"/>
      <c r="F98" s="59"/>
      <c r="H98" s="59"/>
      <c r="J98" s="59"/>
      <c r="L98" s="59"/>
      <c r="N98" s="59"/>
      <c r="P98" s="59"/>
      <c r="Q98" s="61"/>
    </row>
    <row r="99">
      <c r="B99" s="59"/>
      <c r="D99" s="59"/>
      <c r="F99" s="59"/>
      <c r="H99" s="59"/>
      <c r="J99" s="59"/>
      <c r="L99" s="59"/>
      <c r="N99" s="59"/>
      <c r="P99" s="59"/>
      <c r="Q99" s="61"/>
    </row>
    <row r="100">
      <c r="B100" s="59"/>
      <c r="D100" s="59"/>
      <c r="F100" s="59"/>
      <c r="H100" s="59"/>
      <c r="J100" s="59"/>
      <c r="L100" s="59"/>
      <c r="N100" s="59"/>
      <c r="P100" s="59"/>
      <c r="Q100" s="61"/>
    </row>
    <row r="101">
      <c r="B101" s="59"/>
      <c r="D101" s="59"/>
      <c r="F101" s="59"/>
      <c r="H101" s="59"/>
      <c r="J101" s="59"/>
      <c r="L101" s="59"/>
      <c r="N101" s="59"/>
      <c r="P101" s="59"/>
      <c r="Q101" s="61"/>
    </row>
    <row r="102">
      <c r="B102" s="59"/>
      <c r="D102" s="59"/>
      <c r="F102" s="59"/>
      <c r="H102" s="59"/>
      <c r="J102" s="59"/>
      <c r="L102" s="59"/>
      <c r="N102" s="59"/>
      <c r="P102" s="59"/>
      <c r="Q102" s="61"/>
    </row>
    <row r="103">
      <c r="B103" s="59"/>
      <c r="D103" s="59"/>
      <c r="F103" s="59"/>
      <c r="H103" s="59"/>
      <c r="J103" s="59"/>
      <c r="L103" s="59"/>
      <c r="N103" s="59"/>
      <c r="P103" s="59"/>
      <c r="Q103" s="61"/>
    </row>
    <row r="104">
      <c r="B104" s="59"/>
      <c r="D104" s="59"/>
      <c r="F104" s="59"/>
      <c r="H104" s="59"/>
      <c r="J104" s="59"/>
      <c r="L104" s="59"/>
      <c r="N104" s="59"/>
      <c r="P104" s="59"/>
      <c r="Q104" s="61"/>
    </row>
    <row r="105">
      <c r="B105" s="59"/>
      <c r="D105" s="59"/>
      <c r="F105" s="59"/>
      <c r="H105" s="59"/>
      <c r="J105" s="59"/>
      <c r="L105" s="59"/>
      <c r="N105" s="59"/>
      <c r="P105" s="59"/>
      <c r="Q105" s="61"/>
    </row>
    <row r="106">
      <c r="B106" s="59"/>
      <c r="D106" s="59"/>
      <c r="F106" s="59"/>
      <c r="H106" s="59"/>
      <c r="J106" s="59"/>
      <c r="L106" s="59"/>
      <c r="N106" s="59"/>
      <c r="P106" s="59"/>
      <c r="Q106" s="61"/>
    </row>
    <row r="107">
      <c r="B107" s="59"/>
      <c r="D107" s="59"/>
      <c r="F107" s="59"/>
      <c r="H107" s="59"/>
      <c r="J107" s="59"/>
      <c r="L107" s="59"/>
      <c r="N107" s="59"/>
      <c r="P107" s="59"/>
      <c r="Q107" s="61"/>
    </row>
    <row r="108">
      <c r="B108" s="59"/>
      <c r="D108" s="59"/>
      <c r="F108" s="59"/>
      <c r="H108" s="59"/>
      <c r="J108" s="59"/>
      <c r="L108" s="59"/>
      <c r="N108" s="59"/>
      <c r="P108" s="59"/>
      <c r="Q108" s="61"/>
    </row>
    <row r="109">
      <c r="B109" s="59"/>
      <c r="D109" s="59"/>
      <c r="F109" s="59"/>
      <c r="H109" s="59"/>
      <c r="J109" s="59"/>
      <c r="L109" s="59"/>
      <c r="N109" s="59"/>
      <c r="P109" s="59"/>
      <c r="Q109" s="61"/>
    </row>
    <row r="110">
      <c r="B110" s="59"/>
      <c r="D110" s="59"/>
      <c r="F110" s="59"/>
      <c r="H110" s="59"/>
      <c r="J110" s="59"/>
      <c r="L110" s="59"/>
      <c r="N110" s="59"/>
      <c r="P110" s="59"/>
      <c r="Q110" s="61"/>
    </row>
    <row r="111">
      <c r="B111" s="59"/>
      <c r="D111" s="59"/>
      <c r="F111" s="59"/>
      <c r="H111" s="59"/>
      <c r="J111" s="59"/>
      <c r="L111" s="59"/>
      <c r="N111" s="59"/>
      <c r="P111" s="59"/>
      <c r="Q111" s="61"/>
    </row>
    <row r="112">
      <c r="B112" s="59"/>
      <c r="D112" s="59"/>
      <c r="F112" s="59"/>
      <c r="H112" s="59"/>
      <c r="J112" s="59"/>
      <c r="L112" s="59"/>
      <c r="N112" s="59"/>
      <c r="P112" s="59"/>
      <c r="Q112" s="61"/>
    </row>
    <row r="113">
      <c r="B113" s="59"/>
      <c r="D113" s="59"/>
      <c r="F113" s="59"/>
      <c r="H113" s="59"/>
      <c r="J113" s="59"/>
      <c r="L113" s="59"/>
      <c r="N113" s="59"/>
      <c r="P113" s="59"/>
      <c r="Q113" s="61"/>
    </row>
    <row r="114">
      <c r="B114" s="59"/>
      <c r="D114" s="59"/>
      <c r="F114" s="59"/>
      <c r="H114" s="59"/>
      <c r="J114" s="59"/>
      <c r="L114" s="59"/>
      <c r="N114" s="59"/>
      <c r="P114" s="59"/>
      <c r="Q114" s="61"/>
    </row>
    <row r="115">
      <c r="B115" s="59"/>
      <c r="D115" s="59"/>
      <c r="F115" s="59"/>
      <c r="H115" s="59"/>
      <c r="J115" s="59"/>
      <c r="L115" s="59"/>
      <c r="N115" s="59"/>
      <c r="P115" s="59"/>
      <c r="Q115" s="61"/>
    </row>
    <row r="116">
      <c r="B116" s="59"/>
      <c r="D116" s="59"/>
      <c r="F116" s="59"/>
      <c r="H116" s="59"/>
      <c r="J116" s="59"/>
      <c r="L116" s="59"/>
      <c r="N116" s="59"/>
      <c r="P116" s="59"/>
      <c r="Q116" s="61"/>
    </row>
    <row r="117">
      <c r="B117" s="59"/>
      <c r="D117" s="59"/>
      <c r="F117" s="59"/>
      <c r="H117" s="59"/>
      <c r="J117" s="59"/>
      <c r="L117" s="59"/>
      <c r="N117" s="59"/>
      <c r="P117" s="59"/>
      <c r="Q117" s="61"/>
    </row>
    <row r="118">
      <c r="B118" s="59"/>
      <c r="D118" s="59"/>
      <c r="F118" s="59"/>
      <c r="H118" s="59"/>
      <c r="J118" s="59"/>
      <c r="L118" s="59"/>
      <c r="N118" s="59"/>
      <c r="P118" s="59"/>
      <c r="Q118" s="61"/>
    </row>
    <row r="119">
      <c r="B119" s="59"/>
      <c r="D119" s="59"/>
      <c r="F119" s="59"/>
      <c r="H119" s="59"/>
      <c r="J119" s="59"/>
      <c r="L119" s="59"/>
      <c r="N119" s="59"/>
      <c r="P119" s="59"/>
      <c r="Q119" s="61"/>
    </row>
    <row r="120">
      <c r="B120" s="59"/>
      <c r="D120" s="59"/>
      <c r="F120" s="59"/>
      <c r="H120" s="59"/>
      <c r="J120" s="59"/>
      <c r="L120" s="59"/>
      <c r="N120" s="59"/>
      <c r="P120" s="59"/>
      <c r="Q120" s="61"/>
    </row>
    <row r="121">
      <c r="B121" s="59"/>
      <c r="D121" s="59"/>
      <c r="F121" s="59"/>
      <c r="H121" s="59"/>
      <c r="J121" s="59"/>
      <c r="L121" s="59"/>
      <c r="N121" s="59"/>
      <c r="P121" s="59"/>
      <c r="Q121" s="61"/>
    </row>
    <row r="122">
      <c r="B122" s="59"/>
      <c r="D122" s="59"/>
      <c r="F122" s="59"/>
      <c r="H122" s="59"/>
      <c r="J122" s="59"/>
      <c r="L122" s="59"/>
      <c r="N122" s="59"/>
      <c r="P122" s="59"/>
      <c r="Q122" s="61"/>
    </row>
    <row r="123">
      <c r="B123" s="59"/>
      <c r="D123" s="59"/>
      <c r="F123" s="59"/>
      <c r="H123" s="59"/>
      <c r="J123" s="59"/>
      <c r="L123" s="59"/>
      <c r="N123" s="59"/>
      <c r="P123" s="59"/>
      <c r="Q123" s="61"/>
    </row>
    <row r="124">
      <c r="B124" s="59"/>
      <c r="D124" s="59"/>
      <c r="F124" s="59"/>
      <c r="H124" s="59"/>
      <c r="J124" s="59"/>
      <c r="L124" s="59"/>
      <c r="N124" s="59"/>
      <c r="P124" s="59"/>
      <c r="Q124" s="61"/>
    </row>
    <row r="125">
      <c r="B125" s="59"/>
      <c r="D125" s="59"/>
      <c r="F125" s="59"/>
      <c r="H125" s="59"/>
      <c r="J125" s="59"/>
      <c r="L125" s="59"/>
      <c r="N125" s="59"/>
      <c r="P125" s="59"/>
      <c r="Q125" s="61"/>
    </row>
    <row r="126">
      <c r="B126" s="59"/>
      <c r="D126" s="59"/>
      <c r="F126" s="59"/>
      <c r="H126" s="59"/>
      <c r="J126" s="59"/>
      <c r="L126" s="59"/>
      <c r="N126" s="59"/>
      <c r="P126" s="59"/>
      <c r="Q126" s="61"/>
    </row>
    <row r="127">
      <c r="B127" s="59"/>
      <c r="D127" s="59"/>
      <c r="F127" s="59"/>
      <c r="H127" s="59"/>
      <c r="J127" s="59"/>
      <c r="L127" s="59"/>
      <c r="N127" s="59"/>
      <c r="P127" s="59"/>
      <c r="Q127" s="61"/>
    </row>
    <row r="128">
      <c r="B128" s="59"/>
      <c r="D128" s="59"/>
      <c r="F128" s="59"/>
      <c r="H128" s="59"/>
      <c r="J128" s="59"/>
      <c r="L128" s="59"/>
      <c r="N128" s="59"/>
      <c r="P128" s="59"/>
      <c r="Q128" s="61"/>
    </row>
    <row r="129">
      <c r="B129" s="59"/>
      <c r="D129" s="59"/>
      <c r="F129" s="59"/>
      <c r="H129" s="59"/>
      <c r="J129" s="59"/>
      <c r="L129" s="59"/>
      <c r="N129" s="59"/>
      <c r="P129" s="59"/>
      <c r="Q129" s="61"/>
    </row>
    <row r="130">
      <c r="B130" s="59"/>
      <c r="D130" s="59"/>
      <c r="F130" s="59"/>
      <c r="H130" s="59"/>
      <c r="J130" s="59"/>
      <c r="L130" s="59"/>
      <c r="N130" s="59"/>
      <c r="P130" s="59"/>
      <c r="Q130" s="61"/>
    </row>
    <row r="131">
      <c r="B131" s="59"/>
      <c r="D131" s="59"/>
      <c r="F131" s="59"/>
      <c r="H131" s="59"/>
      <c r="J131" s="59"/>
      <c r="L131" s="59"/>
      <c r="N131" s="59"/>
      <c r="P131" s="59"/>
      <c r="Q131" s="61"/>
    </row>
    <row r="132">
      <c r="B132" s="59"/>
      <c r="D132" s="59"/>
      <c r="F132" s="59"/>
      <c r="H132" s="59"/>
      <c r="J132" s="59"/>
      <c r="L132" s="59"/>
      <c r="N132" s="59"/>
      <c r="P132" s="59"/>
      <c r="Q132" s="61"/>
    </row>
    <row r="133">
      <c r="B133" s="59"/>
      <c r="D133" s="59"/>
      <c r="F133" s="59"/>
      <c r="H133" s="59"/>
      <c r="J133" s="59"/>
      <c r="L133" s="59"/>
      <c r="N133" s="59"/>
      <c r="P133" s="59"/>
      <c r="Q133" s="61"/>
    </row>
    <row r="134">
      <c r="B134" s="59"/>
      <c r="D134" s="59"/>
      <c r="F134" s="59"/>
      <c r="H134" s="59"/>
      <c r="J134" s="59"/>
      <c r="L134" s="59"/>
      <c r="N134" s="59"/>
      <c r="P134" s="59"/>
      <c r="Q134" s="61"/>
    </row>
    <row r="135">
      <c r="B135" s="59"/>
      <c r="D135" s="59"/>
      <c r="F135" s="59"/>
      <c r="H135" s="59"/>
      <c r="J135" s="59"/>
      <c r="L135" s="59"/>
      <c r="N135" s="59"/>
      <c r="P135" s="59"/>
      <c r="Q135" s="61"/>
    </row>
    <row r="136">
      <c r="B136" s="59"/>
      <c r="D136" s="59"/>
      <c r="F136" s="59"/>
      <c r="H136" s="59"/>
      <c r="J136" s="59"/>
      <c r="L136" s="59"/>
      <c r="N136" s="59"/>
      <c r="P136" s="59"/>
      <c r="Q136" s="61"/>
    </row>
    <row r="137">
      <c r="B137" s="59"/>
      <c r="D137" s="59"/>
      <c r="F137" s="59"/>
      <c r="H137" s="59"/>
      <c r="J137" s="59"/>
      <c r="L137" s="59"/>
      <c r="N137" s="59"/>
      <c r="P137" s="59"/>
      <c r="Q137" s="61"/>
    </row>
    <row r="138">
      <c r="B138" s="59"/>
      <c r="D138" s="59"/>
      <c r="F138" s="59"/>
      <c r="H138" s="59"/>
      <c r="J138" s="59"/>
      <c r="L138" s="59"/>
      <c r="N138" s="59"/>
      <c r="P138" s="59"/>
      <c r="Q138" s="61"/>
    </row>
    <row r="139">
      <c r="B139" s="59"/>
      <c r="D139" s="59"/>
      <c r="F139" s="59"/>
      <c r="H139" s="59"/>
      <c r="J139" s="59"/>
      <c r="L139" s="59"/>
      <c r="N139" s="59"/>
      <c r="P139" s="59"/>
      <c r="Q139" s="61"/>
    </row>
    <row r="140">
      <c r="B140" s="59"/>
      <c r="D140" s="59"/>
      <c r="F140" s="59"/>
      <c r="H140" s="59"/>
      <c r="J140" s="59"/>
      <c r="L140" s="59"/>
      <c r="N140" s="59"/>
      <c r="P140" s="59"/>
      <c r="Q140" s="61"/>
    </row>
    <row r="141">
      <c r="B141" s="59"/>
      <c r="D141" s="59"/>
      <c r="F141" s="59"/>
      <c r="H141" s="59"/>
      <c r="J141" s="59"/>
      <c r="L141" s="59"/>
      <c r="N141" s="59"/>
      <c r="P141" s="59"/>
      <c r="Q141" s="61"/>
    </row>
    <row r="142">
      <c r="B142" s="59"/>
      <c r="D142" s="59"/>
      <c r="F142" s="59"/>
      <c r="H142" s="59"/>
      <c r="J142" s="59"/>
      <c r="L142" s="59"/>
      <c r="N142" s="59"/>
      <c r="P142" s="59"/>
      <c r="Q142" s="61"/>
    </row>
    <row r="143">
      <c r="B143" s="59"/>
      <c r="D143" s="59"/>
      <c r="F143" s="59"/>
      <c r="H143" s="59"/>
      <c r="J143" s="59"/>
      <c r="L143" s="59"/>
      <c r="N143" s="59"/>
      <c r="P143" s="59"/>
      <c r="Q143" s="61"/>
    </row>
    <row r="144">
      <c r="B144" s="59"/>
      <c r="D144" s="59"/>
      <c r="F144" s="59"/>
      <c r="H144" s="59"/>
      <c r="J144" s="59"/>
      <c r="L144" s="59"/>
      <c r="N144" s="59"/>
      <c r="P144" s="59"/>
      <c r="Q144" s="61"/>
    </row>
    <row r="145">
      <c r="B145" s="59"/>
      <c r="D145" s="59"/>
      <c r="F145" s="59"/>
      <c r="H145" s="59"/>
      <c r="J145" s="59"/>
      <c r="L145" s="59"/>
      <c r="N145" s="59"/>
      <c r="P145" s="59"/>
      <c r="Q145" s="61"/>
    </row>
    <row r="146">
      <c r="B146" s="59"/>
      <c r="D146" s="59"/>
      <c r="F146" s="59"/>
      <c r="H146" s="59"/>
      <c r="J146" s="59"/>
      <c r="L146" s="59"/>
      <c r="N146" s="59"/>
      <c r="P146" s="59"/>
      <c r="Q146" s="61"/>
    </row>
    <row r="147">
      <c r="B147" s="59"/>
      <c r="D147" s="59"/>
      <c r="F147" s="59"/>
      <c r="H147" s="59"/>
      <c r="J147" s="59"/>
      <c r="L147" s="59"/>
      <c r="N147" s="59"/>
      <c r="P147" s="59"/>
      <c r="Q147" s="61"/>
    </row>
    <row r="148">
      <c r="B148" s="59"/>
      <c r="D148" s="59"/>
      <c r="F148" s="59"/>
      <c r="H148" s="59"/>
      <c r="J148" s="59"/>
      <c r="L148" s="59"/>
      <c r="N148" s="59"/>
      <c r="P148" s="59"/>
      <c r="Q148" s="61"/>
    </row>
    <row r="149">
      <c r="B149" s="59"/>
      <c r="D149" s="59"/>
      <c r="F149" s="59"/>
      <c r="H149" s="59"/>
      <c r="J149" s="59"/>
      <c r="L149" s="59"/>
      <c r="N149" s="59"/>
      <c r="P149" s="59"/>
      <c r="Q149" s="61"/>
    </row>
    <row r="150">
      <c r="B150" s="59"/>
      <c r="D150" s="59"/>
      <c r="F150" s="59"/>
      <c r="H150" s="59"/>
      <c r="J150" s="59"/>
      <c r="L150" s="59"/>
      <c r="N150" s="59"/>
      <c r="P150" s="59"/>
      <c r="Q150" s="61"/>
    </row>
    <row r="151">
      <c r="B151" s="59"/>
      <c r="D151" s="59"/>
      <c r="F151" s="59"/>
      <c r="H151" s="59"/>
      <c r="J151" s="59"/>
      <c r="L151" s="59"/>
      <c r="N151" s="59"/>
      <c r="P151" s="59"/>
      <c r="Q151" s="61"/>
    </row>
    <row r="152">
      <c r="B152" s="59"/>
      <c r="D152" s="59"/>
      <c r="F152" s="59"/>
      <c r="H152" s="59"/>
      <c r="J152" s="59"/>
      <c r="L152" s="59"/>
      <c r="N152" s="59"/>
      <c r="P152" s="59"/>
      <c r="Q152" s="61"/>
    </row>
    <row r="153">
      <c r="B153" s="59"/>
      <c r="D153" s="59"/>
      <c r="F153" s="59"/>
      <c r="H153" s="59"/>
      <c r="J153" s="59"/>
      <c r="L153" s="59"/>
      <c r="N153" s="59"/>
      <c r="P153" s="59"/>
      <c r="Q153" s="61"/>
    </row>
    <row r="154">
      <c r="B154" s="59"/>
      <c r="D154" s="59"/>
      <c r="F154" s="59"/>
      <c r="H154" s="59"/>
      <c r="J154" s="59"/>
      <c r="L154" s="59"/>
      <c r="N154" s="59"/>
      <c r="P154" s="59"/>
      <c r="Q154" s="61"/>
    </row>
    <row r="155">
      <c r="B155" s="59"/>
      <c r="D155" s="59"/>
      <c r="F155" s="59"/>
      <c r="H155" s="59"/>
      <c r="J155" s="59"/>
      <c r="L155" s="59"/>
      <c r="N155" s="59"/>
      <c r="P155" s="59"/>
      <c r="Q155" s="61"/>
    </row>
    <row r="156">
      <c r="B156" s="59"/>
      <c r="D156" s="59"/>
      <c r="F156" s="59"/>
      <c r="H156" s="59"/>
      <c r="J156" s="59"/>
      <c r="L156" s="59"/>
      <c r="N156" s="59"/>
      <c r="P156" s="59"/>
      <c r="Q156" s="61"/>
    </row>
    <row r="157">
      <c r="B157" s="59"/>
      <c r="D157" s="59"/>
      <c r="F157" s="59"/>
      <c r="H157" s="59"/>
      <c r="J157" s="59"/>
      <c r="L157" s="59"/>
      <c r="N157" s="59"/>
      <c r="P157" s="59"/>
      <c r="Q157" s="61"/>
    </row>
    <row r="158">
      <c r="B158" s="59"/>
      <c r="D158" s="59"/>
      <c r="F158" s="59"/>
      <c r="H158" s="59"/>
      <c r="J158" s="59"/>
      <c r="L158" s="59"/>
      <c r="N158" s="59"/>
      <c r="P158" s="59"/>
      <c r="Q158" s="61"/>
    </row>
    <row r="159">
      <c r="B159" s="59"/>
      <c r="D159" s="59"/>
      <c r="F159" s="59"/>
      <c r="H159" s="59"/>
      <c r="J159" s="59"/>
      <c r="L159" s="59"/>
      <c r="N159" s="59"/>
      <c r="P159" s="59"/>
      <c r="Q159" s="61"/>
    </row>
    <row r="160">
      <c r="B160" s="59"/>
      <c r="D160" s="59"/>
      <c r="F160" s="59"/>
      <c r="H160" s="59"/>
      <c r="J160" s="59"/>
      <c r="L160" s="59"/>
      <c r="N160" s="59"/>
      <c r="P160" s="59"/>
      <c r="Q160" s="61"/>
    </row>
    <row r="161">
      <c r="B161" s="59"/>
      <c r="D161" s="59"/>
      <c r="F161" s="59"/>
      <c r="H161" s="59"/>
      <c r="J161" s="59"/>
      <c r="L161" s="59"/>
      <c r="N161" s="59"/>
      <c r="P161" s="59"/>
      <c r="Q161" s="61"/>
    </row>
    <row r="162">
      <c r="B162" s="59"/>
      <c r="D162" s="59"/>
      <c r="F162" s="59"/>
      <c r="H162" s="59"/>
      <c r="J162" s="59"/>
      <c r="L162" s="59"/>
      <c r="N162" s="59"/>
      <c r="P162" s="59"/>
      <c r="Q162" s="61"/>
    </row>
    <row r="163">
      <c r="B163" s="59"/>
      <c r="D163" s="59"/>
      <c r="F163" s="59"/>
      <c r="H163" s="59"/>
      <c r="J163" s="59"/>
      <c r="L163" s="59"/>
      <c r="N163" s="59"/>
      <c r="P163" s="59"/>
      <c r="Q163" s="61"/>
    </row>
    <row r="164">
      <c r="B164" s="59"/>
      <c r="D164" s="59"/>
      <c r="F164" s="59"/>
      <c r="H164" s="59"/>
      <c r="J164" s="59"/>
      <c r="L164" s="59"/>
      <c r="N164" s="59"/>
      <c r="P164" s="59"/>
      <c r="Q164" s="61"/>
    </row>
    <row r="165">
      <c r="B165" s="59"/>
      <c r="D165" s="59"/>
      <c r="F165" s="59"/>
      <c r="H165" s="59"/>
      <c r="J165" s="59"/>
      <c r="L165" s="59"/>
      <c r="N165" s="59"/>
      <c r="P165" s="59"/>
      <c r="Q165" s="61"/>
    </row>
    <row r="166">
      <c r="B166" s="59"/>
      <c r="D166" s="59"/>
      <c r="F166" s="59"/>
      <c r="H166" s="59"/>
      <c r="J166" s="59"/>
      <c r="L166" s="59"/>
      <c r="N166" s="59"/>
      <c r="P166" s="59"/>
      <c r="Q166" s="61"/>
    </row>
    <row r="167">
      <c r="B167" s="59"/>
      <c r="D167" s="59"/>
      <c r="F167" s="59"/>
      <c r="H167" s="59"/>
      <c r="J167" s="59"/>
      <c r="L167" s="59"/>
      <c r="N167" s="59"/>
      <c r="P167" s="59"/>
      <c r="Q167" s="61"/>
    </row>
    <row r="168">
      <c r="B168" s="59"/>
      <c r="D168" s="59"/>
      <c r="F168" s="59"/>
      <c r="H168" s="59"/>
      <c r="J168" s="59"/>
      <c r="L168" s="59"/>
      <c r="N168" s="59"/>
      <c r="P168" s="59"/>
      <c r="Q168" s="61"/>
    </row>
    <row r="169">
      <c r="B169" s="59"/>
      <c r="D169" s="59"/>
      <c r="F169" s="59"/>
      <c r="H169" s="59"/>
      <c r="J169" s="59"/>
      <c r="L169" s="59"/>
      <c r="N169" s="59"/>
      <c r="P169" s="59"/>
      <c r="Q169" s="61"/>
    </row>
    <row r="170">
      <c r="B170" s="59"/>
      <c r="D170" s="59"/>
      <c r="F170" s="59"/>
      <c r="H170" s="59"/>
      <c r="J170" s="59"/>
      <c r="L170" s="59"/>
      <c r="N170" s="59"/>
      <c r="P170" s="59"/>
      <c r="Q170" s="61"/>
    </row>
    <row r="171">
      <c r="B171" s="59"/>
      <c r="D171" s="59"/>
      <c r="F171" s="59"/>
      <c r="H171" s="59"/>
      <c r="J171" s="59"/>
      <c r="L171" s="59"/>
      <c r="N171" s="59"/>
      <c r="P171" s="59"/>
      <c r="Q171" s="61"/>
    </row>
    <row r="172">
      <c r="B172" s="59"/>
      <c r="D172" s="59"/>
      <c r="F172" s="59"/>
      <c r="H172" s="59"/>
      <c r="J172" s="59"/>
      <c r="L172" s="59"/>
      <c r="N172" s="59"/>
      <c r="P172" s="59"/>
      <c r="Q172" s="61"/>
    </row>
    <row r="173">
      <c r="B173" s="59"/>
      <c r="D173" s="59"/>
      <c r="F173" s="59"/>
      <c r="H173" s="59"/>
      <c r="J173" s="59"/>
      <c r="L173" s="59"/>
      <c r="N173" s="59"/>
      <c r="P173" s="59"/>
      <c r="Q173" s="61"/>
    </row>
    <row r="174">
      <c r="B174" s="59"/>
      <c r="D174" s="59"/>
      <c r="F174" s="59"/>
      <c r="H174" s="59"/>
      <c r="J174" s="59"/>
      <c r="L174" s="59"/>
      <c r="N174" s="59"/>
      <c r="P174" s="59"/>
      <c r="Q174" s="61"/>
    </row>
    <row r="175">
      <c r="B175" s="59"/>
      <c r="D175" s="59"/>
      <c r="F175" s="59"/>
      <c r="H175" s="59"/>
      <c r="J175" s="59"/>
      <c r="L175" s="59"/>
      <c r="N175" s="59"/>
      <c r="P175" s="59"/>
      <c r="Q175" s="61"/>
    </row>
    <row r="176">
      <c r="B176" s="59"/>
      <c r="D176" s="59"/>
      <c r="F176" s="59"/>
      <c r="H176" s="59"/>
      <c r="J176" s="59"/>
      <c r="L176" s="59"/>
      <c r="N176" s="59"/>
      <c r="P176" s="59"/>
      <c r="Q176" s="61"/>
    </row>
    <row r="177">
      <c r="B177" s="59"/>
      <c r="D177" s="59"/>
      <c r="F177" s="59"/>
      <c r="H177" s="59"/>
      <c r="J177" s="59"/>
      <c r="L177" s="59"/>
      <c r="N177" s="59"/>
      <c r="P177" s="59"/>
      <c r="Q177" s="61"/>
    </row>
    <row r="178">
      <c r="B178" s="59"/>
      <c r="D178" s="59"/>
      <c r="F178" s="59"/>
      <c r="H178" s="59"/>
      <c r="J178" s="59"/>
      <c r="L178" s="59"/>
      <c r="N178" s="59"/>
      <c r="P178" s="59"/>
      <c r="Q178" s="61"/>
    </row>
    <row r="179">
      <c r="B179" s="59"/>
      <c r="D179" s="59"/>
      <c r="F179" s="59"/>
      <c r="H179" s="59"/>
      <c r="J179" s="59"/>
      <c r="L179" s="59"/>
      <c r="N179" s="59"/>
      <c r="P179" s="59"/>
      <c r="Q179" s="61"/>
    </row>
    <row r="180">
      <c r="B180" s="59"/>
      <c r="D180" s="59"/>
      <c r="F180" s="59"/>
      <c r="H180" s="59"/>
      <c r="J180" s="59"/>
      <c r="L180" s="59"/>
      <c r="N180" s="59"/>
      <c r="P180" s="59"/>
      <c r="Q180" s="61"/>
    </row>
    <row r="181">
      <c r="B181" s="59"/>
      <c r="D181" s="59"/>
      <c r="F181" s="59"/>
      <c r="H181" s="59"/>
      <c r="J181" s="59"/>
      <c r="L181" s="59"/>
      <c r="N181" s="59"/>
      <c r="P181" s="59"/>
      <c r="Q181" s="61"/>
    </row>
    <row r="182">
      <c r="B182" s="59"/>
      <c r="D182" s="59"/>
      <c r="F182" s="59"/>
      <c r="H182" s="59"/>
      <c r="J182" s="59"/>
      <c r="L182" s="59"/>
      <c r="N182" s="59"/>
      <c r="P182" s="59"/>
      <c r="Q182" s="61"/>
    </row>
    <row r="183">
      <c r="B183" s="59"/>
      <c r="D183" s="59"/>
      <c r="F183" s="59"/>
      <c r="H183" s="59"/>
      <c r="J183" s="59"/>
      <c r="L183" s="59"/>
      <c r="N183" s="59"/>
      <c r="P183" s="59"/>
      <c r="Q183" s="61"/>
    </row>
    <row r="184">
      <c r="B184" s="59"/>
      <c r="D184" s="59"/>
      <c r="F184" s="59"/>
      <c r="H184" s="59"/>
      <c r="J184" s="59"/>
      <c r="L184" s="59"/>
      <c r="N184" s="59"/>
      <c r="P184" s="59"/>
      <c r="Q184" s="61"/>
    </row>
    <row r="185">
      <c r="B185" s="59"/>
      <c r="D185" s="59"/>
      <c r="F185" s="59"/>
      <c r="H185" s="59"/>
      <c r="J185" s="59"/>
      <c r="L185" s="59"/>
      <c r="N185" s="59"/>
      <c r="P185" s="59"/>
      <c r="Q185" s="61"/>
    </row>
    <row r="186">
      <c r="B186" s="59"/>
      <c r="D186" s="59"/>
      <c r="F186" s="59"/>
      <c r="H186" s="59"/>
      <c r="J186" s="59"/>
      <c r="L186" s="59"/>
      <c r="N186" s="59"/>
      <c r="P186" s="59"/>
      <c r="Q186" s="61"/>
    </row>
    <row r="187">
      <c r="B187" s="59"/>
      <c r="D187" s="59"/>
      <c r="F187" s="59"/>
      <c r="H187" s="59"/>
      <c r="J187" s="59"/>
      <c r="L187" s="59"/>
      <c r="N187" s="59"/>
      <c r="P187" s="59"/>
      <c r="Q187" s="61"/>
    </row>
    <row r="188">
      <c r="B188" s="59"/>
      <c r="D188" s="59"/>
      <c r="F188" s="59"/>
      <c r="H188" s="59"/>
      <c r="J188" s="59"/>
      <c r="L188" s="59"/>
      <c r="N188" s="59"/>
      <c r="P188" s="59"/>
      <c r="Q188" s="61"/>
    </row>
    <row r="189">
      <c r="B189" s="59"/>
      <c r="D189" s="59"/>
      <c r="F189" s="59"/>
      <c r="H189" s="59"/>
      <c r="J189" s="59"/>
      <c r="L189" s="59"/>
      <c r="N189" s="59"/>
      <c r="P189" s="59"/>
      <c r="Q189" s="61"/>
    </row>
    <row r="190">
      <c r="B190" s="59"/>
      <c r="D190" s="59"/>
      <c r="F190" s="59"/>
      <c r="H190" s="59"/>
      <c r="J190" s="59"/>
      <c r="L190" s="59"/>
      <c r="N190" s="59"/>
      <c r="P190" s="59"/>
      <c r="Q190" s="61"/>
    </row>
    <row r="191">
      <c r="B191" s="59"/>
      <c r="D191" s="59"/>
      <c r="F191" s="59"/>
      <c r="H191" s="59"/>
      <c r="J191" s="59"/>
      <c r="L191" s="59"/>
      <c r="N191" s="59"/>
      <c r="P191" s="59"/>
      <c r="Q191" s="61"/>
    </row>
    <row r="192">
      <c r="B192" s="59"/>
      <c r="D192" s="59"/>
      <c r="F192" s="59"/>
      <c r="H192" s="59"/>
      <c r="J192" s="59"/>
      <c r="L192" s="59"/>
      <c r="N192" s="59"/>
      <c r="P192" s="59"/>
      <c r="Q192" s="61"/>
    </row>
    <row r="193">
      <c r="B193" s="59"/>
      <c r="D193" s="59"/>
      <c r="F193" s="59"/>
      <c r="H193" s="59"/>
      <c r="J193" s="59"/>
      <c r="L193" s="59"/>
      <c r="N193" s="59"/>
      <c r="P193" s="59"/>
      <c r="Q193" s="61"/>
    </row>
    <row r="194">
      <c r="B194" s="59"/>
      <c r="D194" s="59"/>
      <c r="F194" s="59"/>
      <c r="H194" s="59"/>
      <c r="J194" s="59"/>
      <c r="L194" s="59"/>
      <c r="N194" s="59"/>
      <c r="P194" s="59"/>
      <c r="Q194" s="61"/>
    </row>
    <row r="195">
      <c r="B195" s="59"/>
      <c r="D195" s="59"/>
      <c r="F195" s="59"/>
      <c r="H195" s="59"/>
      <c r="J195" s="59"/>
      <c r="L195" s="59"/>
      <c r="N195" s="59"/>
      <c r="P195" s="59"/>
      <c r="Q195" s="61"/>
    </row>
    <row r="196">
      <c r="B196" s="59"/>
      <c r="D196" s="59"/>
      <c r="F196" s="59"/>
      <c r="H196" s="59"/>
      <c r="J196" s="59"/>
      <c r="L196" s="59"/>
      <c r="N196" s="59"/>
      <c r="P196" s="59"/>
      <c r="Q196" s="61"/>
    </row>
    <row r="197">
      <c r="B197" s="59"/>
      <c r="D197" s="59"/>
      <c r="F197" s="59"/>
      <c r="H197" s="59"/>
      <c r="J197" s="59"/>
      <c r="L197" s="59"/>
      <c r="N197" s="59"/>
      <c r="P197" s="59"/>
      <c r="Q197" s="61"/>
    </row>
    <row r="198">
      <c r="B198" s="59"/>
      <c r="D198" s="59"/>
      <c r="F198" s="59"/>
      <c r="H198" s="59"/>
      <c r="J198" s="59"/>
      <c r="L198" s="59"/>
      <c r="N198" s="59"/>
      <c r="P198" s="59"/>
      <c r="Q198" s="61"/>
    </row>
    <row r="199">
      <c r="B199" s="59"/>
      <c r="D199" s="59"/>
      <c r="F199" s="59"/>
      <c r="H199" s="59"/>
      <c r="J199" s="59"/>
      <c r="L199" s="59"/>
      <c r="N199" s="59"/>
      <c r="P199" s="59"/>
      <c r="Q199" s="61"/>
    </row>
    <row r="200">
      <c r="B200" s="59"/>
      <c r="D200" s="59"/>
      <c r="F200" s="59"/>
      <c r="H200" s="59"/>
      <c r="J200" s="59"/>
      <c r="L200" s="59"/>
      <c r="N200" s="59"/>
      <c r="P200" s="59"/>
      <c r="Q200" s="61"/>
    </row>
    <row r="201">
      <c r="B201" s="59"/>
      <c r="D201" s="59"/>
      <c r="F201" s="59"/>
      <c r="H201" s="59"/>
      <c r="J201" s="59"/>
      <c r="L201" s="59"/>
      <c r="N201" s="59"/>
      <c r="P201" s="59"/>
      <c r="Q201" s="61"/>
    </row>
    <row r="202">
      <c r="B202" s="59"/>
      <c r="D202" s="59"/>
      <c r="F202" s="59"/>
      <c r="H202" s="59"/>
      <c r="J202" s="59"/>
      <c r="L202" s="59"/>
      <c r="N202" s="59"/>
      <c r="P202" s="59"/>
      <c r="Q202" s="61"/>
    </row>
    <row r="203">
      <c r="B203" s="59"/>
      <c r="D203" s="59"/>
      <c r="F203" s="59"/>
      <c r="H203" s="59"/>
      <c r="J203" s="59"/>
      <c r="L203" s="59"/>
      <c r="N203" s="59"/>
      <c r="P203" s="59"/>
      <c r="Q203" s="61"/>
    </row>
    <row r="204">
      <c r="B204" s="59"/>
      <c r="D204" s="59"/>
      <c r="F204" s="59"/>
      <c r="H204" s="59"/>
      <c r="J204" s="59"/>
      <c r="L204" s="59"/>
      <c r="N204" s="59"/>
      <c r="P204" s="59"/>
      <c r="Q204" s="61"/>
    </row>
    <row r="205">
      <c r="B205" s="59"/>
      <c r="D205" s="59"/>
      <c r="F205" s="59"/>
      <c r="H205" s="59"/>
      <c r="J205" s="59"/>
      <c r="L205" s="59"/>
      <c r="N205" s="59"/>
      <c r="P205" s="59"/>
      <c r="Q205" s="61"/>
    </row>
    <row r="206">
      <c r="B206" s="59"/>
      <c r="D206" s="59"/>
      <c r="F206" s="59"/>
      <c r="H206" s="59"/>
      <c r="J206" s="59"/>
      <c r="L206" s="59"/>
      <c r="N206" s="59"/>
      <c r="P206" s="59"/>
      <c r="Q206" s="61"/>
    </row>
    <row r="207">
      <c r="B207" s="59"/>
      <c r="D207" s="59"/>
      <c r="F207" s="59"/>
      <c r="H207" s="59"/>
      <c r="J207" s="59"/>
      <c r="L207" s="59"/>
      <c r="N207" s="59"/>
      <c r="P207" s="59"/>
      <c r="Q207" s="61"/>
    </row>
    <row r="208">
      <c r="B208" s="59"/>
      <c r="D208" s="59"/>
      <c r="F208" s="59"/>
      <c r="H208" s="59"/>
      <c r="J208" s="59"/>
      <c r="L208" s="59"/>
      <c r="N208" s="59"/>
      <c r="P208" s="59"/>
      <c r="Q208" s="61"/>
    </row>
    <row r="209">
      <c r="B209" s="59"/>
      <c r="D209" s="59"/>
      <c r="F209" s="59"/>
      <c r="H209" s="59"/>
      <c r="J209" s="59"/>
      <c r="L209" s="59"/>
      <c r="N209" s="59"/>
      <c r="P209" s="59"/>
      <c r="Q209" s="61"/>
    </row>
    <row r="210">
      <c r="B210" s="59"/>
      <c r="D210" s="59"/>
      <c r="F210" s="59"/>
      <c r="H210" s="59"/>
      <c r="J210" s="59"/>
      <c r="L210" s="59"/>
      <c r="N210" s="59"/>
      <c r="P210" s="59"/>
      <c r="Q210" s="61"/>
    </row>
    <row r="211">
      <c r="B211" s="59"/>
      <c r="D211" s="59"/>
      <c r="F211" s="59"/>
      <c r="H211" s="59"/>
      <c r="J211" s="59"/>
      <c r="L211" s="59"/>
      <c r="N211" s="59"/>
      <c r="P211" s="59"/>
      <c r="Q211" s="61"/>
    </row>
    <row r="212">
      <c r="B212" s="59"/>
      <c r="D212" s="59"/>
      <c r="F212" s="59"/>
      <c r="H212" s="59"/>
      <c r="J212" s="59"/>
      <c r="L212" s="59"/>
      <c r="N212" s="59"/>
      <c r="P212" s="59"/>
      <c r="Q212" s="61"/>
    </row>
    <row r="213">
      <c r="B213" s="59"/>
      <c r="D213" s="59"/>
      <c r="F213" s="59"/>
      <c r="H213" s="59"/>
      <c r="J213" s="59"/>
      <c r="L213" s="59"/>
      <c r="N213" s="59"/>
      <c r="P213" s="59"/>
      <c r="Q213" s="61"/>
    </row>
    <row r="214">
      <c r="B214" s="59"/>
      <c r="D214" s="59"/>
      <c r="F214" s="59"/>
      <c r="H214" s="59"/>
      <c r="J214" s="59"/>
      <c r="L214" s="59"/>
      <c r="N214" s="59"/>
      <c r="P214" s="59"/>
      <c r="Q214" s="61"/>
    </row>
    <row r="215">
      <c r="B215" s="59"/>
      <c r="D215" s="59"/>
      <c r="F215" s="59"/>
      <c r="H215" s="59"/>
      <c r="J215" s="59"/>
      <c r="L215" s="59"/>
      <c r="N215" s="59"/>
      <c r="P215" s="59"/>
      <c r="Q215" s="61"/>
    </row>
    <row r="216">
      <c r="B216" s="59"/>
      <c r="D216" s="59"/>
      <c r="F216" s="59"/>
      <c r="H216" s="59"/>
      <c r="J216" s="59"/>
      <c r="L216" s="59"/>
      <c r="N216" s="59"/>
      <c r="P216" s="59"/>
      <c r="Q216" s="61"/>
    </row>
    <row r="217">
      <c r="B217" s="59"/>
      <c r="D217" s="59"/>
      <c r="F217" s="59"/>
      <c r="H217" s="59"/>
      <c r="J217" s="59"/>
      <c r="L217" s="59"/>
      <c r="N217" s="59"/>
      <c r="P217" s="59"/>
      <c r="Q217" s="61"/>
    </row>
    <row r="218">
      <c r="B218" s="59"/>
      <c r="D218" s="59"/>
      <c r="F218" s="59"/>
      <c r="H218" s="59"/>
      <c r="J218" s="59"/>
      <c r="L218" s="59"/>
      <c r="N218" s="59"/>
      <c r="P218" s="59"/>
      <c r="Q218" s="61"/>
    </row>
    <row r="219">
      <c r="B219" s="59"/>
      <c r="D219" s="59"/>
      <c r="F219" s="59"/>
      <c r="H219" s="59"/>
      <c r="J219" s="59"/>
      <c r="L219" s="59"/>
      <c r="N219" s="59"/>
      <c r="P219" s="59"/>
      <c r="Q219" s="61"/>
    </row>
    <row r="220">
      <c r="B220" s="59"/>
      <c r="D220" s="59"/>
      <c r="F220" s="59"/>
      <c r="H220" s="59"/>
      <c r="J220" s="59"/>
      <c r="L220" s="59"/>
      <c r="N220" s="59"/>
      <c r="P220" s="59"/>
      <c r="Q220" s="61"/>
    </row>
    <row r="221">
      <c r="B221" s="59"/>
      <c r="D221" s="59"/>
      <c r="F221" s="59"/>
      <c r="H221" s="59"/>
      <c r="J221" s="59"/>
      <c r="L221" s="59"/>
      <c r="N221" s="59"/>
      <c r="P221" s="59"/>
      <c r="Q221" s="61"/>
    </row>
    <row r="222">
      <c r="B222" s="59"/>
      <c r="D222" s="59"/>
      <c r="F222" s="59"/>
      <c r="H222" s="59"/>
      <c r="J222" s="59"/>
      <c r="L222" s="59"/>
      <c r="N222" s="59"/>
      <c r="P222" s="59"/>
      <c r="Q222" s="61"/>
    </row>
    <row r="223">
      <c r="B223" s="59"/>
      <c r="D223" s="59"/>
      <c r="F223" s="59"/>
      <c r="H223" s="59"/>
      <c r="J223" s="59"/>
      <c r="L223" s="59"/>
      <c r="N223" s="59"/>
      <c r="P223" s="59"/>
      <c r="Q223" s="61"/>
    </row>
    <row r="224">
      <c r="B224" s="59"/>
      <c r="D224" s="59"/>
      <c r="F224" s="59"/>
      <c r="H224" s="59"/>
      <c r="J224" s="59"/>
      <c r="L224" s="59"/>
      <c r="N224" s="59"/>
      <c r="P224" s="59"/>
      <c r="Q224" s="61"/>
    </row>
    <row r="225">
      <c r="B225" s="59"/>
      <c r="D225" s="59"/>
      <c r="F225" s="59"/>
      <c r="H225" s="59"/>
      <c r="J225" s="59"/>
      <c r="L225" s="59"/>
      <c r="N225" s="59"/>
      <c r="P225" s="59"/>
      <c r="Q225" s="61"/>
    </row>
    <row r="226">
      <c r="B226" s="59"/>
      <c r="D226" s="59"/>
      <c r="F226" s="59"/>
      <c r="H226" s="59"/>
      <c r="J226" s="59"/>
      <c r="L226" s="59"/>
      <c r="N226" s="59"/>
      <c r="P226" s="59"/>
      <c r="Q226" s="61"/>
    </row>
    <row r="227">
      <c r="B227" s="59"/>
      <c r="D227" s="59"/>
      <c r="F227" s="59"/>
      <c r="H227" s="59"/>
      <c r="J227" s="59"/>
      <c r="L227" s="59"/>
      <c r="N227" s="59"/>
      <c r="P227" s="59"/>
      <c r="Q227" s="61"/>
    </row>
    <row r="228">
      <c r="B228" s="59"/>
      <c r="D228" s="59"/>
      <c r="F228" s="59"/>
      <c r="H228" s="59"/>
      <c r="J228" s="59"/>
      <c r="L228" s="59"/>
      <c r="N228" s="59"/>
      <c r="P228" s="59"/>
      <c r="Q228" s="61"/>
    </row>
    <row r="229">
      <c r="B229" s="59"/>
      <c r="D229" s="59"/>
      <c r="F229" s="59"/>
      <c r="H229" s="59"/>
      <c r="J229" s="59"/>
      <c r="L229" s="59"/>
      <c r="N229" s="59"/>
      <c r="P229" s="59"/>
      <c r="Q229" s="61"/>
    </row>
    <row r="230">
      <c r="B230" s="59"/>
      <c r="D230" s="59"/>
      <c r="F230" s="59"/>
      <c r="H230" s="59"/>
      <c r="J230" s="59"/>
      <c r="L230" s="59"/>
      <c r="N230" s="59"/>
      <c r="P230" s="59"/>
      <c r="Q230" s="61"/>
    </row>
    <row r="231">
      <c r="B231" s="59"/>
      <c r="D231" s="59"/>
      <c r="F231" s="59"/>
      <c r="H231" s="59"/>
      <c r="J231" s="59"/>
      <c r="L231" s="59"/>
      <c r="N231" s="59"/>
      <c r="P231" s="59"/>
      <c r="Q231" s="61"/>
    </row>
    <row r="232">
      <c r="B232" s="59"/>
      <c r="D232" s="59"/>
      <c r="F232" s="59"/>
      <c r="H232" s="59"/>
      <c r="J232" s="59"/>
      <c r="L232" s="59"/>
      <c r="N232" s="59"/>
      <c r="P232" s="59"/>
      <c r="Q232" s="61"/>
    </row>
    <row r="233">
      <c r="B233" s="59"/>
      <c r="D233" s="59"/>
      <c r="F233" s="59"/>
      <c r="H233" s="59"/>
      <c r="J233" s="59"/>
      <c r="L233" s="59"/>
      <c r="N233" s="59"/>
      <c r="P233" s="59"/>
      <c r="Q233" s="61"/>
    </row>
    <row r="234">
      <c r="B234" s="59"/>
      <c r="D234" s="59"/>
      <c r="F234" s="59"/>
      <c r="H234" s="59"/>
      <c r="J234" s="59"/>
      <c r="L234" s="59"/>
      <c r="N234" s="59"/>
      <c r="P234" s="59"/>
      <c r="Q234" s="61"/>
    </row>
    <row r="235">
      <c r="B235" s="59"/>
      <c r="D235" s="59"/>
      <c r="F235" s="59"/>
      <c r="H235" s="59"/>
      <c r="J235" s="59"/>
      <c r="L235" s="59"/>
      <c r="N235" s="59"/>
      <c r="P235" s="59"/>
      <c r="Q235" s="61"/>
    </row>
    <row r="236">
      <c r="B236" s="59"/>
      <c r="D236" s="59"/>
      <c r="F236" s="59"/>
      <c r="H236" s="59"/>
      <c r="J236" s="59"/>
      <c r="L236" s="59"/>
      <c r="N236" s="59"/>
      <c r="P236" s="59"/>
      <c r="Q236" s="61"/>
    </row>
    <row r="237">
      <c r="B237" s="59"/>
      <c r="D237" s="59"/>
      <c r="F237" s="59"/>
      <c r="H237" s="59"/>
      <c r="J237" s="59"/>
      <c r="L237" s="59"/>
      <c r="N237" s="59"/>
      <c r="P237" s="59"/>
      <c r="Q237" s="61"/>
    </row>
    <row r="238">
      <c r="B238" s="59"/>
      <c r="D238" s="59"/>
      <c r="F238" s="59"/>
      <c r="H238" s="59"/>
      <c r="J238" s="59"/>
      <c r="L238" s="59"/>
      <c r="N238" s="59"/>
      <c r="P238" s="59"/>
      <c r="Q238" s="61"/>
    </row>
    <row r="239">
      <c r="B239" s="59"/>
      <c r="D239" s="59"/>
      <c r="F239" s="59"/>
      <c r="H239" s="59"/>
      <c r="J239" s="59"/>
      <c r="L239" s="59"/>
      <c r="N239" s="59"/>
      <c r="P239" s="59"/>
      <c r="Q239" s="61"/>
    </row>
    <row r="240">
      <c r="B240" s="59"/>
      <c r="D240" s="59"/>
      <c r="F240" s="59"/>
      <c r="H240" s="59"/>
      <c r="J240" s="59"/>
      <c r="L240" s="59"/>
      <c r="N240" s="59"/>
      <c r="P240" s="59"/>
      <c r="Q240" s="61"/>
    </row>
    <row r="241">
      <c r="B241" s="59"/>
      <c r="D241" s="59"/>
      <c r="F241" s="59"/>
      <c r="H241" s="59"/>
      <c r="J241" s="59"/>
      <c r="L241" s="59"/>
      <c r="N241" s="59"/>
      <c r="P241" s="59"/>
      <c r="Q241" s="61"/>
    </row>
    <row r="242">
      <c r="B242" s="59"/>
      <c r="D242" s="59"/>
      <c r="F242" s="59"/>
      <c r="H242" s="59"/>
      <c r="J242" s="59"/>
      <c r="L242" s="59"/>
      <c r="N242" s="59"/>
      <c r="P242" s="59"/>
      <c r="Q242" s="61"/>
    </row>
    <row r="243">
      <c r="B243" s="59"/>
      <c r="D243" s="59"/>
      <c r="F243" s="59"/>
      <c r="H243" s="59"/>
      <c r="J243" s="59"/>
      <c r="L243" s="59"/>
      <c r="N243" s="59"/>
      <c r="P243" s="59"/>
      <c r="Q243" s="61"/>
    </row>
    <row r="244">
      <c r="B244" s="59"/>
      <c r="D244" s="59"/>
      <c r="F244" s="59"/>
      <c r="H244" s="59"/>
      <c r="J244" s="59"/>
      <c r="L244" s="59"/>
      <c r="N244" s="59"/>
      <c r="P244" s="59"/>
      <c r="Q244" s="61"/>
    </row>
    <row r="245">
      <c r="B245" s="59"/>
      <c r="D245" s="59"/>
      <c r="F245" s="59"/>
      <c r="H245" s="59"/>
      <c r="J245" s="59"/>
      <c r="L245" s="59"/>
      <c r="N245" s="59"/>
      <c r="P245" s="59"/>
      <c r="Q245" s="61"/>
    </row>
    <row r="246">
      <c r="B246" s="59"/>
      <c r="D246" s="59"/>
      <c r="F246" s="59"/>
      <c r="H246" s="59"/>
      <c r="J246" s="59"/>
      <c r="L246" s="59"/>
      <c r="N246" s="59"/>
      <c r="P246" s="59"/>
      <c r="Q246" s="61"/>
    </row>
    <row r="247">
      <c r="B247" s="59"/>
      <c r="D247" s="59"/>
      <c r="F247" s="59"/>
      <c r="H247" s="59"/>
      <c r="J247" s="59"/>
      <c r="L247" s="59"/>
      <c r="N247" s="59"/>
      <c r="P247" s="59"/>
      <c r="Q247" s="61"/>
    </row>
    <row r="248">
      <c r="B248" s="59"/>
      <c r="D248" s="59"/>
      <c r="F248" s="59"/>
      <c r="H248" s="59"/>
      <c r="J248" s="59"/>
      <c r="L248" s="59"/>
      <c r="N248" s="59"/>
      <c r="P248" s="59"/>
      <c r="Q248" s="61"/>
    </row>
    <row r="249">
      <c r="B249" s="59"/>
      <c r="D249" s="59"/>
      <c r="F249" s="59"/>
      <c r="H249" s="59"/>
      <c r="J249" s="59"/>
      <c r="L249" s="59"/>
      <c r="N249" s="59"/>
      <c r="P249" s="59"/>
      <c r="Q249" s="61"/>
    </row>
    <row r="250">
      <c r="B250" s="59"/>
      <c r="D250" s="59"/>
      <c r="F250" s="59"/>
      <c r="H250" s="59"/>
      <c r="J250" s="59"/>
      <c r="L250" s="59"/>
      <c r="N250" s="59"/>
      <c r="P250" s="59"/>
      <c r="Q250" s="61"/>
    </row>
    <row r="251">
      <c r="B251" s="59"/>
      <c r="D251" s="59"/>
      <c r="F251" s="59"/>
      <c r="H251" s="59"/>
      <c r="J251" s="59"/>
      <c r="L251" s="59"/>
      <c r="N251" s="59"/>
      <c r="P251" s="59"/>
      <c r="Q251" s="61"/>
    </row>
    <row r="252">
      <c r="B252" s="59"/>
      <c r="D252" s="59"/>
      <c r="F252" s="59"/>
      <c r="H252" s="59"/>
      <c r="J252" s="59"/>
      <c r="L252" s="59"/>
      <c r="N252" s="59"/>
      <c r="P252" s="59"/>
      <c r="Q252" s="61"/>
    </row>
    <row r="253">
      <c r="B253" s="59"/>
      <c r="D253" s="59"/>
      <c r="F253" s="59"/>
      <c r="H253" s="59"/>
      <c r="J253" s="59"/>
      <c r="L253" s="59"/>
      <c r="N253" s="59"/>
      <c r="P253" s="59"/>
      <c r="Q253" s="61"/>
    </row>
    <row r="254">
      <c r="B254" s="59"/>
      <c r="D254" s="59"/>
      <c r="F254" s="59"/>
      <c r="H254" s="59"/>
      <c r="J254" s="59"/>
      <c r="L254" s="59"/>
      <c r="N254" s="59"/>
      <c r="P254" s="59"/>
      <c r="Q254" s="61"/>
    </row>
    <row r="255">
      <c r="B255" s="59"/>
      <c r="D255" s="59"/>
      <c r="F255" s="59"/>
      <c r="H255" s="59"/>
      <c r="J255" s="59"/>
      <c r="L255" s="59"/>
      <c r="N255" s="59"/>
      <c r="P255" s="59"/>
      <c r="Q255" s="61"/>
    </row>
    <row r="256">
      <c r="B256" s="59"/>
      <c r="D256" s="59"/>
      <c r="F256" s="59"/>
      <c r="H256" s="59"/>
      <c r="J256" s="59"/>
      <c r="L256" s="59"/>
      <c r="N256" s="59"/>
      <c r="P256" s="59"/>
      <c r="Q256" s="61"/>
    </row>
    <row r="257">
      <c r="B257" s="59"/>
      <c r="D257" s="59"/>
      <c r="F257" s="59"/>
      <c r="H257" s="59"/>
      <c r="J257" s="59"/>
      <c r="L257" s="59"/>
      <c r="N257" s="59"/>
      <c r="P257" s="59"/>
      <c r="Q257" s="61"/>
    </row>
    <row r="258">
      <c r="B258" s="59"/>
      <c r="D258" s="59"/>
      <c r="F258" s="59"/>
      <c r="H258" s="59"/>
      <c r="J258" s="59"/>
      <c r="L258" s="59"/>
      <c r="N258" s="59"/>
      <c r="P258" s="59"/>
      <c r="Q258" s="61"/>
    </row>
    <row r="259">
      <c r="B259" s="59"/>
      <c r="D259" s="59"/>
      <c r="F259" s="59"/>
      <c r="H259" s="59"/>
      <c r="J259" s="59"/>
      <c r="L259" s="59"/>
      <c r="N259" s="59"/>
      <c r="P259" s="59"/>
      <c r="Q259" s="61"/>
    </row>
    <row r="260">
      <c r="B260" s="59"/>
      <c r="D260" s="59"/>
      <c r="F260" s="59"/>
      <c r="H260" s="59"/>
      <c r="J260" s="59"/>
      <c r="L260" s="59"/>
      <c r="N260" s="59"/>
      <c r="P260" s="59"/>
      <c r="Q260" s="61"/>
    </row>
    <row r="261">
      <c r="B261" s="59"/>
      <c r="D261" s="59"/>
      <c r="F261" s="59"/>
      <c r="H261" s="59"/>
      <c r="J261" s="59"/>
      <c r="L261" s="59"/>
      <c r="N261" s="59"/>
      <c r="P261" s="59"/>
      <c r="Q261" s="61"/>
    </row>
    <row r="262">
      <c r="B262" s="59"/>
      <c r="D262" s="59"/>
      <c r="F262" s="59"/>
      <c r="H262" s="59"/>
      <c r="J262" s="59"/>
      <c r="L262" s="59"/>
      <c r="N262" s="59"/>
      <c r="P262" s="59"/>
      <c r="Q262" s="61"/>
    </row>
    <row r="263">
      <c r="B263" s="59"/>
      <c r="D263" s="59"/>
      <c r="F263" s="59"/>
      <c r="H263" s="59"/>
      <c r="J263" s="59"/>
      <c r="L263" s="59"/>
      <c r="N263" s="59"/>
      <c r="P263" s="59"/>
      <c r="Q263" s="61"/>
    </row>
    <row r="264">
      <c r="B264" s="59"/>
      <c r="D264" s="59"/>
      <c r="F264" s="59"/>
      <c r="H264" s="59"/>
      <c r="J264" s="59"/>
      <c r="L264" s="59"/>
      <c r="N264" s="59"/>
      <c r="P264" s="59"/>
      <c r="Q264" s="61"/>
    </row>
    <row r="265">
      <c r="B265" s="59"/>
      <c r="D265" s="59"/>
      <c r="F265" s="59"/>
      <c r="H265" s="59"/>
      <c r="J265" s="59"/>
      <c r="L265" s="59"/>
      <c r="N265" s="59"/>
      <c r="P265" s="59"/>
      <c r="Q265" s="61"/>
    </row>
    <row r="266">
      <c r="B266" s="59"/>
      <c r="D266" s="59"/>
      <c r="F266" s="59"/>
      <c r="H266" s="59"/>
      <c r="J266" s="59"/>
      <c r="L266" s="59"/>
      <c r="N266" s="59"/>
      <c r="P266" s="59"/>
      <c r="Q266" s="61"/>
    </row>
    <row r="267">
      <c r="B267" s="59"/>
      <c r="D267" s="59"/>
      <c r="F267" s="59"/>
      <c r="H267" s="59"/>
      <c r="J267" s="59"/>
      <c r="L267" s="59"/>
      <c r="N267" s="59"/>
      <c r="P267" s="59"/>
      <c r="Q267" s="61"/>
    </row>
    <row r="268">
      <c r="B268" s="59"/>
      <c r="D268" s="59"/>
      <c r="F268" s="59"/>
      <c r="H268" s="59"/>
      <c r="J268" s="59"/>
      <c r="L268" s="59"/>
      <c r="N268" s="59"/>
      <c r="P268" s="59"/>
      <c r="Q268" s="61"/>
    </row>
    <row r="269">
      <c r="B269" s="59"/>
      <c r="D269" s="59"/>
      <c r="F269" s="59"/>
      <c r="H269" s="59"/>
      <c r="J269" s="59"/>
      <c r="L269" s="59"/>
      <c r="N269" s="59"/>
      <c r="P269" s="59"/>
      <c r="Q269" s="61"/>
    </row>
    <row r="270">
      <c r="B270" s="59"/>
      <c r="D270" s="59"/>
      <c r="F270" s="59"/>
      <c r="H270" s="59"/>
      <c r="J270" s="59"/>
      <c r="L270" s="59"/>
      <c r="N270" s="59"/>
      <c r="P270" s="59"/>
      <c r="Q270" s="61"/>
    </row>
    <row r="271">
      <c r="B271" s="59"/>
      <c r="D271" s="59"/>
      <c r="F271" s="59"/>
      <c r="H271" s="59"/>
      <c r="J271" s="59"/>
      <c r="L271" s="59"/>
      <c r="N271" s="59"/>
      <c r="P271" s="59"/>
      <c r="Q271" s="61"/>
    </row>
    <row r="272">
      <c r="B272" s="59"/>
      <c r="D272" s="59"/>
      <c r="F272" s="59"/>
      <c r="H272" s="59"/>
      <c r="J272" s="59"/>
      <c r="L272" s="59"/>
      <c r="N272" s="59"/>
      <c r="P272" s="59"/>
      <c r="Q272" s="61"/>
    </row>
    <row r="273">
      <c r="B273" s="59"/>
      <c r="D273" s="59"/>
      <c r="F273" s="59"/>
      <c r="H273" s="59"/>
      <c r="J273" s="59"/>
      <c r="L273" s="59"/>
      <c r="N273" s="59"/>
      <c r="P273" s="59"/>
      <c r="Q273" s="61"/>
    </row>
    <row r="274">
      <c r="B274" s="59"/>
      <c r="D274" s="59"/>
      <c r="F274" s="59"/>
      <c r="H274" s="59"/>
      <c r="J274" s="59"/>
      <c r="L274" s="59"/>
      <c r="N274" s="59"/>
      <c r="P274" s="59"/>
      <c r="Q274" s="61"/>
    </row>
    <row r="275">
      <c r="B275" s="59"/>
      <c r="D275" s="59"/>
      <c r="F275" s="59"/>
      <c r="H275" s="59"/>
      <c r="J275" s="59"/>
      <c r="L275" s="59"/>
      <c r="N275" s="59"/>
      <c r="P275" s="59"/>
      <c r="Q275" s="61"/>
    </row>
    <row r="276">
      <c r="B276" s="59"/>
      <c r="D276" s="59"/>
      <c r="F276" s="59"/>
      <c r="H276" s="59"/>
      <c r="J276" s="59"/>
      <c r="L276" s="59"/>
      <c r="N276" s="59"/>
      <c r="P276" s="59"/>
      <c r="Q276" s="61"/>
    </row>
    <row r="277">
      <c r="B277" s="59"/>
      <c r="D277" s="59"/>
      <c r="F277" s="59"/>
      <c r="H277" s="59"/>
      <c r="J277" s="59"/>
      <c r="L277" s="59"/>
      <c r="N277" s="59"/>
      <c r="P277" s="59"/>
      <c r="Q277" s="61"/>
    </row>
    <row r="278">
      <c r="B278" s="59"/>
      <c r="D278" s="59"/>
      <c r="F278" s="59"/>
      <c r="H278" s="59"/>
      <c r="J278" s="59"/>
      <c r="L278" s="59"/>
      <c r="N278" s="59"/>
      <c r="P278" s="59"/>
      <c r="Q278" s="61"/>
    </row>
    <row r="279">
      <c r="B279" s="59"/>
      <c r="D279" s="59"/>
      <c r="F279" s="59"/>
      <c r="H279" s="59"/>
      <c r="J279" s="59"/>
      <c r="L279" s="59"/>
      <c r="N279" s="59"/>
      <c r="P279" s="59"/>
      <c r="Q279" s="61"/>
    </row>
    <row r="280">
      <c r="B280" s="59"/>
      <c r="D280" s="59"/>
      <c r="F280" s="59"/>
      <c r="H280" s="59"/>
      <c r="J280" s="59"/>
      <c r="L280" s="59"/>
      <c r="N280" s="59"/>
      <c r="P280" s="59"/>
      <c r="Q280" s="61"/>
    </row>
    <row r="281">
      <c r="B281" s="59"/>
      <c r="D281" s="59"/>
      <c r="F281" s="59"/>
      <c r="H281" s="59"/>
      <c r="J281" s="59"/>
      <c r="L281" s="59"/>
      <c r="N281" s="59"/>
      <c r="P281" s="59"/>
      <c r="Q281" s="61"/>
    </row>
    <row r="282">
      <c r="B282" s="59"/>
      <c r="D282" s="59"/>
      <c r="F282" s="59"/>
      <c r="H282" s="59"/>
      <c r="J282" s="59"/>
      <c r="L282" s="59"/>
      <c r="N282" s="59"/>
      <c r="P282" s="59"/>
      <c r="Q282" s="61"/>
    </row>
    <row r="283">
      <c r="B283" s="59"/>
      <c r="D283" s="59"/>
      <c r="F283" s="59"/>
      <c r="H283" s="59"/>
      <c r="J283" s="59"/>
      <c r="L283" s="59"/>
      <c r="N283" s="59"/>
      <c r="P283" s="59"/>
      <c r="Q283" s="61"/>
    </row>
    <row r="284">
      <c r="B284" s="59"/>
      <c r="D284" s="59"/>
      <c r="F284" s="59"/>
      <c r="H284" s="59"/>
      <c r="J284" s="59"/>
      <c r="L284" s="59"/>
      <c r="N284" s="59"/>
      <c r="P284" s="59"/>
      <c r="Q284" s="61"/>
    </row>
    <row r="285">
      <c r="B285" s="59"/>
      <c r="D285" s="59"/>
      <c r="F285" s="59"/>
      <c r="H285" s="59"/>
      <c r="J285" s="59"/>
      <c r="L285" s="59"/>
      <c r="N285" s="59"/>
      <c r="P285" s="59"/>
      <c r="Q285" s="61"/>
    </row>
    <row r="286">
      <c r="B286" s="59"/>
      <c r="D286" s="59"/>
      <c r="F286" s="59"/>
      <c r="H286" s="59"/>
      <c r="J286" s="59"/>
      <c r="L286" s="59"/>
      <c r="N286" s="59"/>
      <c r="P286" s="59"/>
      <c r="Q286" s="61"/>
    </row>
    <row r="287">
      <c r="B287" s="59"/>
      <c r="D287" s="59"/>
      <c r="F287" s="59"/>
      <c r="H287" s="59"/>
      <c r="J287" s="59"/>
      <c r="L287" s="59"/>
      <c r="N287" s="59"/>
      <c r="P287" s="59"/>
      <c r="Q287" s="61"/>
    </row>
    <row r="288">
      <c r="B288" s="59"/>
      <c r="D288" s="59"/>
      <c r="F288" s="59"/>
      <c r="H288" s="59"/>
      <c r="J288" s="59"/>
      <c r="L288" s="59"/>
      <c r="N288" s="59"/>
      <c r="P288" s="59"/>
      <c r="Q288" s="61"/>
    </row>
    <row r="289">
      <c r="B289" s="59"/>
      <c r="D289" s="59"/>
      <c r="F289" s="59"/>
      <c r="H289" s="59"/>
      <c r="J289" s="59"/>
      <c r="L289" s="59"/>
      <c r="N289" s="59"/>
      <c r="P289" s="59"/>
      <c r="Q289" s="61"/>
    </row>
    <row r="290">
      <c r="B290" s="59"/>
      <c r="D290" s="59"/>
      <c r="F290" s="59"/>
      <c r="H290" s="59"/>
      <c r="J290" s="59"/>
      <c r="L290" s="59"/>
      <c r="N290" s="59"/>
      <c r="P290" s="59"/>
      <c r="Q290" s="61"/>
    </row>
    <row r="291">
      <c r="B291" s="59"/>
      <c r="D291" s="59"/>
      <c r="F291" s="59"/>
      <c r="H291" s="59"/>
      <c r="J291" s="59"/>
      <c r="L291" s="59"/>
      <c r="N291" s="59"/>
      <c r="P291" s="59"/>
      <c r="Q291" s="61"/>
    </row>
    <row r="292">
      <c r="B292" s="59"/>
      <c r="D292" s="59"/>
      <c r="F292" s="59"/>
      <c r="H292" s="59"/>
      <c r="J292" s="59"/>
      <c r="L292" s="59"/>
      <c r="N292" s="59"/>
      <c r="P292" s="59"/>
      <c r="Q292" s="61"/>
    </row>
    <row r="293">
      <c r="B293" s="59"/>
      <c r="D293" s="59"/>
      <c r="F293" s="59"/>
      <c r="H293" s="59"/>
      <c r="J293" s="59"/>
      <c r="L293" s="59"/>
      <c r="N293" s="59"/>
      <c r="P293" s="59"/>
      <c r="Q293" s="61"/>
    </row>
    <row r="294">
      <c r="B294" s="59"/>
      <c r="D294" s="59"/>
      <c r="F294" s="59"/>
      <c r="H294" s="59"/>
      <c r="J294" s="59"/>
      <c r="L294" s="59"/>
      <c r="N294" s="59"/>
      <c r="P294" s="59"/>
      <c r="Q294" s="61"/>
    </row>
    <row r="295">
      <c r="B295" s="59"/>
      <c r="D295" s="59"/>
      <c r="F295" s="59"/>
      <c r="H295" s="59"/>
      <c r="J295" s="59"/>
      <c r="L295" s="59"/>
      <c r="N295" s="59"/>
      <c r="P295" s="59"/>
      <c r="Q295" s="61"/>
    </row>
    <row r="296">
      <c r="B296" s="59"/>
      <c r="D296" s="59"/>
      <c r="F296" s="59"/>
      <c r="H296" s="59"/>
      <c r="J296" s="59"/>
      <c r="L296" s="59"/>
      <c r="N296" s="59"/>
      <c r="P296" s="59"/>
      <c r="Q296" s="61"/>
    </row>
    <row r="297">
      <c r="B297" s="59"/>
      <c r="D297" s="59"/>
      <c r="F297" s="59"/>
      <c r="H297" s="59"/>
      <c r="J297" s="59"/>
      <c r="L297" s="59"/>
      <c r="N297" s="59"/>
      <c r="P297" s="59"/>
      <c r="Q297" s="61"/>
    </row>
    <row r="298">
      <c r="B298" s="59"/>
      <c r="D298" s="59"/>
      <c r="F298" s="59"/>
      <c r="H298" s="59"/>
      <c r="J298" s="59"/>
      <c r="L298" s="59"/>
      <c r="N298" s="59"/>
      <c r="P298" s="59"/>
      <c r="Q298" s="61"/>
    </row>
    <row r="299">
      <c r="B299" s="59"/>
      <c r="D299" s="59"/>
      <c r="F299" s="59"/>
      <c r="H299" s="59"/>
      <c r="J299" s="59"/>
      <c r="L299" s="59"/>
      <c r="N299" s="59"/>
      <c r="P299" s="59"/>
      <c r="Q299" s="61"/>
    </row>
    <row r="300">
      <c r="B300" s="59"/>
      <c r="D300" s="59"/>
      <c r="F300" s="59"/>
      <c r="H300" s="59"/>
      <c r="J300" s="59"/>
      <c r="L300" s="59"/>
      <c r="N300" s="59"/>
      <c r="P300" s="59"/>
      <c r="Q300" s="61"/>
    </row>
    <row r="301">
      <c r="B301" s="59"/>
      <c r="D301" s="59"/>
      <c r="F301" s="59"/>
      <c r="H301" s="59"/>
      <c r="J301" s="59"/>
      <c r="L301" s="59"/>
      <c r="N301" s="59"/>
      <c r="P301" s="59"/>
      <c r="Q301" s="61"/>
    </row>
    <row r="302">
      <c r="B302" s="59"/>
      <c r="D302" s="59"/>
      <c r="F302" s="59"/>
      <c r="H302" s="59"/>
      <c r="J302" s="59"/>
      <c r="L302" s="59"/>
      <c r="N302" s="59"/>
      <c r="P302" s="59"/>
      <c r="Q302" s="61"/>
    </row>
    <row r="303">
      <c r="B303" s="59"/>
      <c r="D303" s="59"/>
      <c r="F303" s="59"/>
      <c r="H303" s="59"/>
      <c r="J303" s="59"/>
      <c r="L303" s="59"/>
      <c r="N303" s="59"/>
      <c r="P303" s="59"/>
      <c r="Q303" s="61"/>
    </row>
    <row r="304">
      <c r="B304" s="59"/>
      <c r="D304" s="59"/>
      <c r="F304" s="59"/>
      <c r="H304" s="59"/>
      <c r="J304" s="59"/>
      <c r="L304" s="59"/>
      <c r="N304" s="59"/>
      <c r="P304" s="59"/>
      <c r="Q304" s="61"/>
    </row>
    <row r="305">
      <c r="B305" s="59"/>
      <c r="D305" s="59"/>
      <c r="F305" s="59"/>
      <c r="H305" s="59"/>
      <c r="J305" s="59"/>
      <c r="L305" s="59"/>
      <c r="N305" s="59"/>
      <c r="P305" s="59"/>
      <c r="Q305" s="61"/>
    </row>
    <row r="306">
      <c r="B306" s="59"/>
      <c r="D306" s="59"/>
      <c r="F306" s="59"/>
      <c r="H306" s="59"/>
      <c r="J306" s="59"/>
      <c r="L306" s="59"/>
      <c r="N306" s="59"/>
      <c r="P306" s="59"/>
      <c r="Q306" s="61"/>
    </row>
    <row r="307">
      <c r="B307" s="59"/>
      <c r="D307" s="59"/>
      <c r="F307" s="59"/>
      <c r="H307" s="59"/>
      <c r="J307" s="59"/>
      <c r="L307" s="59"/>
      <c r="N307" s="59"/>
      <c r="P307" s="59"/>
      <c r="Q307" s="61"/>
    </row>
    <row r="308">
      <c r="B308" s="59"/>
      <c r="D308" s="59"/>
      <c r="F308" s="59"/>
      <c r="H308" s="59"/>
      <c r="J308" s="59"/>
      <c r="L308" s="59"/>
      <c r="N308" s="59"/>
      <c r="P308" s="59"/>
      <c r="Q308" s="61"/>
    </row>
    <row r="309">
      <c r="B309" s="59"/>
      <c r="D309" s="59"/>
      <c r="F309" s="59"/>
      <c r="H309" s="59"/>
      <c r="J309" s="59"/>
      <c r="L309" s="59"/>
      <c r="N309" s="59"/>
      <c r="P309" s="59"/>
      <c r="Q309" s="61"/>
    </row>
    <row r="310">
      <c r="B310" s="59"/>
      <c r="D310" s="59"/>
      <c r="F310" s="59"/>
      <c r="H310" s="59"/>
      <c r="J310" s="59"/>
      <c r="L310" s="59"/>
      <c r="N310" s="59"/>
      <c r="P310" s="59"/>
      <c r="Q310" s="61"/>
    </row>
    <row r="311">
      <c r="B311" s="59"/>
      <c r="D311" s="59"/>
      <c r="F311" s="59"/>
      <c r="H311" s="59"/>
      <c r="J311" s="59"/>
      <c r="L311" s="59"/>
      <c r="N311" s="59"/>
      <c r="P311" s="59"/>
      <c r="Q311" s="61"/>
    </row>
    <row r="312">
      <c r="B312" s="59"/>
      <c r="D312" s="59"/>
      <c r="F312" s="59"/>
      <c r="H312" s="59"/>
      <c r="J312" s="59"/>
      <c r="L312" s="59"/>
      <c r="N312" s="59"/>
      <c r="P312" s="59"/>
      <c r="Q312" s="61"/>
    </row>
    <row r="313">
      <c r="B313" s="59"/>
      <c r="D313" s="59"/>
      <c r="F313" s="59"/>
      <c r="H313" s="59"/>
      <c r="J313" s="59"/>
      <c r="L313" s="59"/>
      <c r="N313" s="59"/>
      <c r="P313" s="59"/>
      <c r="Q313" s="61"/>
    </row>
    <row r="314">
      <c r="B314" s="59"/>
      <c r="D314" s="59"/>
      <c r="F314" s="59"/>
      <c r="H314" s="59"/>
      <c r="J314" s="59"/>
      <c r="L314" s="59"/>
      <c r="N314" s="59"/>
      <c r="P314" s="59"/>
      <c r="Q314" s="61"/>
    </row>
    <row r="315">
      <c r="B315" s="59"/>
      <c r="D315" s="59"/>
      <c r="F315" s="59"/>
      <c r="H315" s="59"/>
      <c r="J315" s="59"/>
      <c r="L315" s="59"/>
      <c r="N315" s="59"/>
      <c r="P315" s="59"/>
      <c r="Q315" s="61"/>
    </row>
    <row r="316">
      <c r="B316" s="59"/>
      <c r="D316" s="59"/>
      <c r="F316" s="59"/>
      <c r="H316" s="59"/>
      <c r="J316" s="59"/>
      <c r="L316" s="59"/>
      <c r="N316" s="59"/>
      <c r="P316" s="59"/>
      <c r="Q316" s="61"/>
    </row>
    <row r="317">
      <c r="B317" s="59"/>
      <c r="D317" s="59"/>
      <c r="F317" s="59"/>
      <c r="H317" s="59"/>
      <c r="J317" s="59"/>
      <c r="L317" s="59"/>
      <c r="N317" s="59"/>
      <c r="P317" s="59"/>
      <c r="Q317" s="61"/>
    </row>
    <row r="318">
      <c r="B318" s="59"/>
      <c r="D318" s="59"/>
      <c r="F318" s="59"/>
      <c r="H318" s="59"/>
      <c r="J318" s="59"/>
      <c r="L318" s="59"/>
      <c r="N318" s="59"/>
      <c r="P318" s="59"/>
      <c r="Q318" s="61"/>
    </row>
    <row r="319">
      <c r="B319" s="59"/>
      <c r="D319" s="59"/>
      <c r="F319" s="59"/>
      <c r="H319" s="59"/>
      <c r="J319" s="59"/>
      <c r="L319" s="59"/>
      <c r="N319" s="59"/>
      <c r="P319" s="59"/>
      <c r="Q319" s="61"/>
    </row>
    <row r="320">
      <c r="B320" s="59"/>
      <c r="D320" s="59"/>
      <c r="F320" s="59"/>
      <c r="H320" s="59"/>
      <c r="J320" s="59"/>
      <c r="L320" s="59"/>
      <c r="N320" s="59"/>
      <c r="P320" s="59"/>
      <c r="Q320" s="61"/>
    </row>
    <row r="321">
      <c r="B321" s="59"/>
      <c r="D321" s="59"/>
      <c r="F321" s="59"/>
      <c r="H321" s="59"/>
      <c r="J321" s="59"/>
      <c r="L321" s="59"/>
      <c r="N321" s="59"/>
      <c r="P321" s="59"/>
      <c r="Q321" s="61"/>
    </row>
    <row r="322">
      <c r="B322" s="59"/>
      <c r="D322" s="59"/>
      <c r="F322" s="59"/>
      <c r="H322" s="59"/>
      <c r="J322" s="59"/>
      <c r="L322" s="59"/>
      <c r="N322" s="59"/>
      <c r="P322" s="59"/>
      <c r="Q322" s="61"/>
    </row>
    <row r="323">
      <c r="B323" s="59"/>
      <c r="D323" s="59"/>
      <c r="F323" s="59"/>
      <c r="H323" s="59"/>
      <c r="J323" s="59"/>
      <c r="L323" s="59"/>
      <c r="N323" s="59"/>
      <c r="P323" s="59"/>
      <c r="Q323" s="61"/>
    </row>
    <row r="324">
      <c r="B324" s="59"/>
      <c r="D324" s="59"/>
      <c r="F324" s="59"/>
      <c r="H324" s="59"/>
      <c r="J324" s="59"/>
      <c r="L324" s="59"/>
      <c r="N324" s="59"/>
      <c r="P324" s="59"/>
      <c r="Q324" s="61"/>
    </row>
    <row r="325">
      <c r="B325" s="59"/>
      <c r="D325" s="59"/>
      <c r="F325" s="59"/>
      <c r="H325" s="59"/>
      <c r="J325" s="59"/>
      <c r="L325" s="59"/>
      <c r="N325" s="59"/>
      <c r="P325" s="59"/>
      <c r="Q325" s="61"/>
    </row>
    <row r="326">
      <c r="B326" s="59"/>
      <c r="D326" s="59"/>
      <c r="F326" s="59"/>
      <c r="H326" s="59"/>
      <c r="J326" s="59"/>
      <c r="L326" s="59"/>
      <c r="N326" s="59"/>
      <c r="P326" s="59"/>
      <c r="Q326" s="61"/>
    </row>
    <row r="327">
      <c r="B327" s="59"/>
      <c r="D327" s="59"/>
      <c r="F327" s="59"/>
      <c r="H327" s="59"/>
      <c r="J327" s="59"/>
      <c r="L327" s="59"/>
      <c r="N327" s="59"/>
      <c r="P327" s="59"/>
      <c r="Q327" s="61"/>
    </row>
    <row r="328">
      <c r="B328" s="59"/>
      <c r="D328" s="59"/>
      <c r="F328" s="59"/>
      <c r="H328" s="59"/>
      <c r="J328" s="59"/>
      <c r="L328" s="59"/>
      <c r="N328" s="59"/>
      <c r="P328" s="59"/>
      <c r="Q328" s="61"/>
    </row>
    <row r="329">
      <c r="B329" s="59"/>
      <c r="D329" s="59"/>
      <c r="F329" s="59"/>
      <c r="H329" s="59"/>
      <c r="J329" s="59"/>
      <c r="L329" s="59"/>
      <c r="N329" s="59"/>
      <c r="P329" s="59"/>
      <c r="Q329" s="61"/>
    </row>
    <row r="330">
      <c r="B330" s="59"/>
      <c r="D330" s="59"/>
      <c r="F330" s="59"/>
      <c r="H330" s="59"/>
      <c r="J330" s="59"/>
      <c r="L330" s="59"/>
      <c r="N330" s="59"/>
      <c r="P330" s="59"/>
      <c r="Q330" s="61"/>
    </row>
    <row r="331">
      <c r="B331" s="59"/>
      <c r="D331" s="59"/>
      <c r="F331" s="59"/>
      <c r="H331" s="59"/>
      <c r="J331" s="59"/>
      <c r="L331" s="59"/>
      <c r="N331" s="59"/>
      <c r="P331" s="59"/>
      <c r="Q331" s="61"/>
    </row>
    <row r="332">
      <c r="B332" s="59"/>
      <c r="D332" s="59"/>
      <c r="F332" s="59"/>
      <c r="H332" s="59"/>
      <c r="J332" s="59"/>
      <c r="L332" s="59"/>
      <c r="N332" s="59"/>
      <c r="P332" s="59"/>
      <c r="Q332" s="61"/>
    </row>
    <row r="333">
      <c r="B333" s="59"/>
      <c r="D333" s="59"/>
      <c r="F333" s="59"/>
      <c r="H333" s="59"/>
      <c r="J333" s="59"/>
      <c r="L333" s="59"/>
      <c r="N333" s="59"/>
      <c r="P333" s="59"/>
      <c r="Q333" s="61"/>
    </row>
    <row r="334">
      <c r="B334" s="59"/>
      <c r="D334" s="59"/>
      <c r="F334" s="59"/>
      <c r="H334" s="59"/>
      <c r="J334" s="59"/>
      <c r="L334" s="59"/>
      <c r="N334" s="59"/>
      <c r="P334" s="59"/>
      <c r="Q334" s="61"/>
    </row>
    <row r="335">
      <c r="B335" s="59"/>
      <c r="D335" s="59"/>
      <c r="F335" s="59"/>
      <c r="H335" s="59"/>
      <c r="J335" s="59"/>
      <c r="L335" s="59"/>
      <c r="N335" s="59"/>
      <c r="P335" s="59"/>
      <c r="Q335" s="61"/>
    </row>
    <row r="336">
      <c r="B336" s="59"/>
      <c r="D336" s="59"/>
      <c r="F336" s="59"/>
      <c r="H336" s="59"/>
      <c r="J336" s="59"/>
      <c r="L336" s="59"/>
      <c r="N336" s="59"/>
      <c r="P336" s="59"/>
      <c r="Q336" s="61"/>
    </row>
    <row r="337">
      <c r="B337" s="59"/>
      <c r="D337" s="59"/>
      <c r="F337" s="59"/>
      <c r="H337" s="59"/>
      <c r="J337" s="59"/>
      <c r="L337" s="59"/>
      <c r="N337" s="59"/>
      <c r="P337" s="59"/>
      <c r="Q337" s="61"/>
    </row>
    <row r="338">
      <c r="B338" s="59"/>
      <c r="D338" s="59"/>
      <c r="F338" s="59"/>
      <c r="H338" s="59"/>
      <c r="J338" s="59"/>
      <c r="L338" s="59"/>
      <c r="N338" s="59"/>
      <c r="P338" s="59"/>
      <c r="Q338" s="61"/>
    </row>
    <row r="339">
      <c r="B339" s="59"/>
      <c r="D339" s="59"/>
      <c r="F339" s="59"/>
      <c r="H339" s="59"/>
      <c r="J339" s="59"/>
      <c r="L339" s="59"/>
      <c r="N339" s="59"/>
      <c r="P339" s="59"/>
      <c r="Q339" s="61"/>
    </row>
    <row r="340">
      <c r="B340" s="59"/>
      <c r="D340" s="59"/>
      <c r="F340" s="59"/>
      <c r="H340" s="59"/>
      <c r="J340" s="59"/>
      <c r="L340" s="59"/>
      <c r="N340" s="59"/>
      <c r="P340" s="59"/>
      <c r="Q340" s="61"/>
    </row>
    <row r="341">
      <c r="B341" s="59"/>
      <c r="D341" s="59"/>
      <c r="F341" s="59"/>
      <c r="H341" s="59"/>
      <c r="J341" s="59"/>
      <c r="L341" s="59"/>
      <c r="N341" s="59"/>
      <c r="P341" s="59"/>
      <c r="Q341" s="61"/>
    </row>
    <row r="342">
      <c r="B342" s="59"/>
      <c r="D342" s="59"/>
      <c r="F342" s="59"/>
      <c r="H342" s="59"/>
      <c r="J342" s="59"/>
      <c r="L342" s="59"/>
      <c r="N342" s="59"/>
      <c r="P342" s="59"/>
      <c r="Q342" s="61"/>
    </row>
    <row r="343">
      <c r="B343" s="59"/>
      <c r="D343" s="59"/>
      <c r="F343" s="59"/>
      <c r="H343" s="59"/>
      <c r="J343" s="59"/>
      <c r="L343" s="59"/>
      <c r="N343" s="59"/>
      <c r="P343" s="59"/>
      <c r="Q343" s="61"/>
    </row>
    <row r="344">
      <c r="B344" s="59"/>
      <c r="D344" s="59"/>
      <c r="F344" s="59"/>
      <c r="H344" s="59"/>
      <c r="J344" s="59"/>
      <c r="L344" s="59"/>
      <c r="N344" s="59"/>
      <c r="P344" s="59"/>
      <c r="Q344" s="61"/>
    </row>
    <row r="345">
      <c r="B345" s="59"/>
      <c r="D345" s="59"/>
      <c r="F345" s="59"/>
      <c r="H345" s="59"/>
      <c r="J345" s="59"/>
      <c r="L345" s="59"/>
      <c r="N345" s="59"/>
      <c r="P345" s="59"/>
      <c r="Q345" s="61"/>
    </row>
    <row r="346">
      <c r="B346" s="59"/>
      <c r="D346" s="59"/>
      <c r="F346" s="59"/>
      <c r="H346" s="59"/>
      <c r="J346" s="59"/>
      <c r="L346" s="59"/>
      <c r="N346" s="59"/>
      <c r="P346" s="59"/>
      <c r="Q346" s="61"/>
    </row>
    <row r="347">
      <c r="B347" s="59"/>
      <c r="D347" s="59"/>
      <c r="F347" s="59"/>
      <c r="H347" s="59"/>
      <c r="J347" s="59"/>
      <c r="L347" s="59"/>
      <c r="N347" s="59"/>
      <c r="P347" s="59"/>
      <c r="Q347" s="61"/>
    </row>
    <row r="348">
      <c r="B348" s="59"/>
      <c r="D348" s="59"/>
      <c r="F348" s="59"/>
      <c r="H348" s="59"/>
      <c r="J348" s="59"/>
      <c r="L348" s="59"/>
      <c r="N348" s="59"/>
      <c r="P348" s="59"/>
      <c r="Q348" s="61"/>
    </row>
    <row r="349">
      <c r="B349" s="59"/>
      <c r="D349" s="59"/>
      <c r="F349" s="59"/>
      <c r="H349" s="59"/>
      <c r="J349" s="59"/>
      <c r="L349" s="59"/>
      <c r="N349" s="59"/>
      <c r="P349" s="59"/>
      <c r="Q349" s="61"/>
    </row>
    <row r="350">
      <c r="B350" s="59"/>
      <c r="D350" s="59"/>
      <c r="F350" s="59"/>
      <c r="H350" s="59"/>
      <c r="J350" s="59"/>
      <c r="L350" s="59"/>
      <c r="N350" s="59"/>
      <c r="P350" s="59"/>
      <c r="Q350" s="61"/>
    </row>
    <row r="351">
      <c r="B351" s="59"/>
      <c r="D351" s="59"/>
      <c r="F351" s="59"/>
      <c r="H351" s="59"/>
      <c r="J351" s="59"/>
      <c r="L351" s="59"/>
      <c r="N351" s="59"/>
      <c r="P351" s="59"/>
      <c r="Q351" s="61"/>
    </row>
    <row r="352">
      <c r="B352" s="59"/>
      <c r="D352" s="59"/>
      <c r="F352" s="59"/>
      <c r="H352" s="59"/>
      <c r="J352" s="59"/>
      <c r="L352" s="59"/>
      <c r="N352" s="59"/>
      <c r="P352" s="59"/>
      <c r="Q352" s="61"/>
    </row>
    <row r="353">
      <c r="B353" s="59"/>
      <c r="D353" s="59"/>
      <c r="F353" s="59"/>
      <c r="H353" s="59"/>
      <c r="J353" s="59"/>
      <c r="L353" s="59"/>
      <c r="N353" s="59"/>
      <c r="P353" s="59"/>
      <c r="Q353" s="61"/>
    </row>
    <row r="354">
      <c r="B354" s="59"/>
      <c r="D354" s="59"/>
      <c r="F354" s="59"/>
      <c r="H354" s="59"/>
      <c r="J354" s="59"/>
      <c r="L354" s="59"/>
      <c r="N354" s="59"/>
      <c r="P354" s="59"/>
      <c r="Q354" s="61"/>
    </row>
    <row r="355">
      <c r="B355" s="59"/>
      <c r="D355" s="59"/>
      <c r="F355" s="59"/>
      <c r="H355" s="59"/>
      <c r="J355" s="59"/>
      <c r="L355" s="59"/>
      <c r="N355" s="59"/>
      <c r="P355" s="59"/>
      <c r="Q355" s="61"/>
    </row>
    <row r="356">
      <c r="B356" s="59"/>
      <c r="D356" s="59"/>
      <c r="F356" s="59"/>
      <c r="H356" s="59"/>
      <c r="J356" s="59"/>
      <c r="L356" s="59"/>
      <c r="N356" s="59"/>
      <c r="P356" s="59"/>
      <c r="Q356" s="61"/>
    </row>
    <row r="357">
      <c r="B357" s="59"/>
      <c r="D357" s="59"/>
      <c r="F357" s="59"/>
      <c r="H357" s="59"/>
      <c r="J357" s="59"/>
      <c r="L357" s="59"/>
      <c r="N357" s="59"/>
      <c r="P357" s="59"/>
      <c r="Q357" s="61"/>
    </row>
    <row r="358">
      <c r="B358" s="59"/>
      <c r="D358" s="59"/>
      <c r="F358" s="59"/>
      <c r="H358" s="59"/>
      <c r="J358" s="59"/>
      <c r="L358" s="59"/>
      <c r="N358" s="59"/>
      <c r="P358" s="59"/>
      <c r="Q358" s="61"/>
    </row>
    <row r="359">
      <c r="B359" s="59"/>
      <c r="D359" s="59"/>
      <c r="F359" s="59"/>
      <c r="H359" s="59"/>
      <c r="J359" s="59"/>
      <c r="L359" s="59"/>
      <c r="N359" s="59"/>
      <c r="P359" s="59"/>
      <c r="Q359" s="61"/>
    </row>
    <row r="360">
      <c r="B360" s="59"/>
      <c r="D360" s="59"/>
      <c r="F360" s="59"/>
      <c r="H360" s="59"/>
      <c r="J360" s="59"/>
      <c r="L360" s="59"/>
      <c r="N360" s="59"/>
      <c r="P360" s="59"/>
      <c r="Q360" s="61"/>
    </row>
    <row r="361">
      <c r="B361" s="59"/>
      <c r="D361" s="59"/>
      <c r="F361" s="59"/>
      <c r="H361" s="59"/>
      <c r="J361" s="59"/>
      <c r="L361" s="59"/>
      <c r="N361" s="59"/>
      <c r="P361" s="59"/>
      <c r="Q361" s="61"/>
    </row>
    <row r="362">
      <c r="B362" s="59"/>
      <c r="D362" s="59"/>
      <c r="F362" s="59"/>
      <c r="H362" s="59"/>
      <c r="J362" s="59"/>
      <c r="L362" s="59"/>
      <c r="N362" s="59"/>
      <c r="P362" s="59"/>
      <c r="Q362" s="61"/>
    </row>
    <row r="363">
      <c r="B363" s="59"/>
      <c r="D363" s="59"/>
      <c r="F363" s="59"/>
      <c r="H363" s="59"/>
      <c r="J363" s="59"/>
      <c r="L363" s="59"/>
      <c r="N363" s="59"/>
      <c r="P363" s="59"/>
      <c r="Q363" s="61"/>
    </row>
    <row r="364">
      <c r="B364" s="59"/>
      <c r="D364" s="59"/>
      <c r="F364" s="59"/>
      <c r="H364" s="59"/>
      <c r="J364" s="59"/>
      <c r="L364" s="59"/>
      <c r="N364" s="59"/>
      <c r="P364" s="59"/>
      <c r="Q364" s="61"/>
    </row>
    <row r="365">
      <c r="B365" s="59"/>
      <c r="D365" s="59"/>
      <c r="F365" s="59"/>
      <c r="H365" s="59"/>
      <c r="J365" s="59"/>
      <c r="L365" s="59"/>
      <c r="N365" s="59"/>
      <c r="P365" s="59"/>
      <c r="Q365" s="61"/>
    </row>
    <row r="366">
      <c r="B366" s="59"/>
      <c r="D366" s="59"/>
      <c r="F366" s="59"/>
      <c r="H366" s="59"/>
      <c r="J366" s="59"/>
      <c r="L366" s="59"/>
      <c r="N366" s="59"/>
      <c r="P366" s="59"/>
      <c r="Q366" s="61"/>
    </row>
    <row r="367">
      <c r="B367" s="59"/>
      <c r="D367" s="59"/>
      <c r="F367" s="59"/>
      <c r="H367" s="59"/>
      <c r="J367" s="59"/>
      <c r="L367" s="59"/>
      <c r="N367" s="59"/>
      <c r="P367" s="59"/>
      <c r="Q367" s="61"/>
    </row>
    <row r="368">
      <c r="B368" s="59"/>
      <c r="D368" s="59"/>
      <c r="F368" s="59"/>
      <c r="H368" s="59"/>
      <c r="J368" s="59"/>
      <c r="L368" s="59"/>
      <c r="N368" s="59"/>
      <c r="P368" s="59"/>
      <c r="Q368" s="61"/>
    </row>
    <row r="369">
      <c r="B369" s="59"/>
      <c r="D369" s="59"/>
      <c r="F369" s="59"/>
      <c r="H369" s="59"/>
      <c r="J369" s="59"/>
      <c r="L369" s="59"/>
      <c r="N369" s="59"/>
      <c r="P369" s="59"/>
      <c r="Q369" s="61"/>
    </row>
    <row r="370">
      <c r="B370" s="59"/>
      <c r="D370" s="59"/>
      <c r="F370" s="59"/>
      <c r="H370" s="59"/>
      <c r="J370" s="59"/>
      <c r="L370" s="59"/>
      <c r="N370" s="59"/>
      <c r="P370" s="59"/>
      <c r="Q370" s="61"/>
    </row>
    <row r="371">
      <c r="B371" s="59"/>
      <c r="D371" s="59"/>
      <c r="F371" s="59"/>
      <c r="H371" s="59"/>
      <c r="J371" s="59"/>
      <c r="L371" s="59"/>
      <c r="N371" s="59"/>
      <c r="P371" s="59"/>
      <c r="Q371" s="61"/>
    </row>
    <row r="372">
      <c r="B372" s="59"/>
      <c r="D372" s="59"/>
      <c r="F372" s="59"/>
      <c r="H372" s="59"/>
      <c r="J372" s="59"/>
      <c r="L372" s="59"/>
      <c r="N372" s="59"/>
      <c r="P372" s="59"/>
      <c r="Q372" s="61"/>
    </row>
    <row r="373">
      <c r="B373" s="59"/>
      <c r="D373" s="59"/>
      <c r="F373" s="59"/>
      <c r="H373" s="59"/>
      <c r="J373" s="59"/>
      <c r="L373" s="59"/>
      <c r="N373" s="59"/>
      <c r="P373" s="59"/>
      <c r="Q373" s="61"/>
    </row>
    <row r="374">
      <c r="B374" s="59"/>
      <c r="D374" s="59"/>
      <c r="F374" s="59"/>
      <c r="H374" s="59"/>
      <c r="J374" s="59"/>
      <c r="L374" s="59"/>
      <c r="N374" s="59"/>
      <c r="P374" s="59"/>
      <c r="Q374" s="61"/>
    </row>
    <row r="375">
      <c r="B375" s="59"/>
      <c r="D375" s="59"/>
      <c r="F375" s="59"/>
      <c r="H375" s="59"/>
      <c r="J375" s="59"/>
      <c r="L375" s="59"/>
      <c r="N375" s="59"/>
      <c r="P375" s="59"/>
      <c r="Q375" s="61"/>
    </row>
    <row r="376">
      <c r="B376" s="59"/>
      <c r="D376" s="59"/>
      <c r="F376" s="59"/>
      <c r="H376" s="59"/>
      <c r="J376" s="59"/>
      <c r="L376" s="59"/>
      <c r="N376" s="59"/>
      <c r="P376" s="59"/>
      <c r="Q376" s="61"/>
    </row>
    <row r="377">
      <c r="B377" s="59"/>
      <c r="D377" s="59"/>
      <c r="F377" s="59"/>
      <c r="H377" s="59"/>
      <c r="J377" s="59"/>
      <c r="L377" s="59"/>
      <c r="N377" s="59"/>
      <c r="P377" s="59"/>
      <c r="Q377" s="61"/>
    </row>
    <row r="378">
      <c r="B378" s="59"/>
      <c r="D378" s="59"/>
      <c r="F378" s="59"/>
      <c r="H378" s="59"/>
      <c r="J378" s="59"/>
      <c r="L378" s="59"/>
      <c r="N378" s="59"/>
      <c r="P378" s="59"/>
      <c r="Q378" s="61"/>
    </row>
    <row r="379">
      <c r="B379" s="59"/>
      <c r="D379" s="59"/>
      <c r="F379" s="59"/>
      <c r="H379" s="59"/>
      <c r="J379" s="59"/>
      <c r="L379" s="59"/>
      <c r="N379" s="59"/>
      <c r="P379" s="59"/>
      <c r="Q379" s="61"/>
    </row>
    <row r="380">
      <c r="B380" s="59"/>
      <c r="D380" s="59"/>
      <c r="F380" s="59"/>
      <c r="H380" s="59"/>
      <c r="J380" s="59"/>
      <c r="L380" s="59"/>
      <c r="N380" s="59"/>
      <c r="P380" s="59"/>
      <c r="Q380" s="61"/>
    </row>
    <row r="381">
      <c r="B381" s="59"/>
      <c r="D381" s="59"/>
      <c r="F381" s="59"/>
      <c r="H381" s="59"/>
      <c r="J381" s="59"/>
      <c r="L381" s="59"/>
      <c r="N381" s="59"/>
      <c r="P381" s="59"/>
      <c r="Q381" s="61"/>
    </row>
    <row r="382">
      <c r="B382" s="59"/>
      <c r="D382" s="59"/>
      <c r="F382" s="59"/>
      <c r="H382" s="59"/>
      <c r="J382" s="59"/>
      <c r="L382" s="59"/>
      <c r="N382" s="59"/>
      <c r="P382" s="59"/>
      <c r="Q382" s="61"/>
    </row>
    <row r="383">
      <c r="B383" s="59"/>
      <c r="D383" s="59"/>
      <c r="F383" s="59"/>
      <c r="H383" s="59"/>
      <c r="J383" s="59"/>
      <c r="L383" s="59"/>
      <c r="N383" s="59"/>
      <c r="P383" s="59"/>
      <c r="Q383" s="61"/>
    </row>
    <row r="384">
      <c r="B384" s="59"/>
      <c r="D384" s="59"/>
      <c r="F384" s="59"/>
      <c r="H384" s="59"/>
      <c r="J384" s="59"/>
      <c r="L384" s="59"/>
      <c r="N384" s="59"/>
      <c r="P384" s="59"/>
      <c r="Q384" s="61"/>
    </row>
    <row r="385">
      <c r="B385" s="59"/>
      <c r="D385" s="59"/>
      <c r="F385" s="59"/>
      <c r="H385" s="59"/>
      <c r="J385" s="59"/>
      <c r="L385" s="59"/>
      <c r="N385" s="59"/>
      <c r="P385" s="59"/>
      <c r="Q385" s="61"/>
    </row>
    <row r="386">
      <c r="B386" s="59"/>
      <c r="D386" s="59"/>
      <c r="F386" s="59"/>
      <c r="H386" s="59"/>
      <c r="J386" s="59"/>
      <c r="L386" s="59"/>
      <c r="N386" s="59"/>
      <c r="P386" s="59"/>
      <c r="Q386" s="61"/>
    </row>
    <row r="387">
      <c r="B387" s="59"/>
      <c r="D387" s="59"/>
      <c r="F387" s="59"/>
      <c r="H387" s="59"/>
      <c r="J387" s="59"/>
      <c r="L387" s="59"/>
      <c r="N387" s="59"/>
      <c r="P387" s="59"/>
      <c r="Q387" s="61"/>
    </row>
    <row r="388">
      <c r="B388" s="59"/>
      <c r="D388" s="59"/>
      <c r="F388" s="59"/>
      <c r="H388" s="59"/>
      <c r="J388" s="59"/>
      <c r="L388" s="59"/>
      <c r="N388" s="59"/>
      <c r="P388" s="59"/>
      <c r="Q388" s="61"/>
    </row>
    <row r="389">
      <c r="B389" s="59"/>
      <c r="D389" s="59"/>
      <c r="F389" s="59"/>
      <c r="H389" s="59"/>
      <c r="J389" s="59"/>
      <c r="L389" s="59"/>
      <c r="N389" s="59"/>
      <c r="P389" s="59"/>
      <c r="Q389" s="61"/>
    </row>
    <row r="390">
      <c r="B390" s="59"/>
      <c r="D390" s="59"/>
      <c r="F390" s="59"/>
      <c r="H390" s="59"/>
      <c r="J390" s="59"/>
      <c r="L390" s="59"/>
      <c r="N390" s="59"/>
      <c r="P390" s="59"/>
      <c r="Q390" s="61"/>
    </row>
    <row r="391">
      <c r="B391" s="59"/>
      <c r="D391" s="59"/>
      <c r="F391" s="59"/>
      <c r="H391" s="59"/>
      <c r="J391" s="59"/>
      <c r="L391" s="59"/>
      <c r="N391" s="59"/>
      <c r="P391" s="59"/>
      <c r="Q391" s="61"/>
    </row>
    <row r="392">
      <c r="B392" s="59"/>
      <c r="D392" s="59"/>
      <c r="F392" s="59"/>
      <c r="H392" s="59"/>
      <c r="J392" s="59"/>
      <c r="L392" s="59"/>
      <c r="N392" s="59"/>
      <c r="P392" s="59"/>
      <c r="Q392" s="61"/>
    </row>
    <row r="393">
      <c r="B393" s="59"/>
      <c r="D393" s="59"/>
      <c r="F393" s="59"/>
      <c r="H393" s="59"/>
      <c r="J393" s="59"/>
      <c r="L393" s="59"/>
      <c r="N393" s="59"/>
      <c r="P393" s="59"/>
      <c r="Q393" s="61"/>
    </row>
    <row r="394">
      <c r="B394" s="59"/>
      <c r="D394" s="59"/>
      <c r="F394" s="59"/>
      <c r="H394" s="59"/>
      <c r="J394" s="59"/>
      <c r="L394" s="59"/>
      <c r="N394" s="59"/>
      <c r="P394" s="59"/>
      <c r="Q394" s="61"/>
    </row>
    <row r="395">
      <c r="B395" s="59"/>
      <c r="D395" s="59"/>
      <c r="F395" s="59"/>
      <c r="H395" s="59"/>
      <c r="J395" s="59"/>
      <c r="L395" s="59"/>
      <c r="N395" s="59"/>
      <c r="P395" s="59"/>
      <c r="Q395" s="61"/>
    </row>
    <row r="396">
      <c r="B396" s="59"/>
      <c r="D396" s="59"/>
      <c r="F396" s="59"/>
      <c r="H396" s="59"/>
      <c r="J396" s="59"/>
      <c r="L396" s="59"/>
      <c r="N396" s="59"/>
      <c r="P396" s="59"/>
      <c r="Q396" s="61"/>
    </row>
    <row r="397">
      <c r="B397" s="59"/>
      <c r="D397" s="59"/>
      <c r="F397" s="59"/>
      <c r="H397" s="59"/>
      <c r="J397" s="59"/>
      <c r="L397" s="59"/>
      <c r="N397" s="59"/>
      <c r="P397" s="59"/>
      <c r="Q397" s="61"/>
    </row>
    <row r="398">
      <c r="B398" s="59"/>
      <c r="D398" s="59"/>
      <c r="F398" s="59"/>
      <c r="H398" s="59"/>
      <c r="J398" s="59"/>
      <c r="L398" s="59"/>
      <c r="N398" s="59"/>
      <c r="P398" s="59"/>
      <c r="Q398" s="61"/>
    </row>
    <row r="399">
      <c r="B399" s="59"/>
      <c r="D399" s="59"/>
      <c r="F399" s="59"/>
      <c r="H399" s="59"/>
      <c r="J399" s="59"/>
      <c r="L399" s="59"/>
      <c r="N399" s="59"/>
      <c r="P399" s="59"/>
      <c r="Q399" s="61"/>
    </row>
    <row r="400">
      <c r="B400" s="59"/>
      <c r="D400" s="59"/>
      <c r="F400" s="59"/>
      <c r="H400" s="59"/>
      <c r="J400" s="59"/>
      <c r="L400" s="59"/>
      <c r="N400" s="59"/>
      <c r="P400" s="59"/>
      <c r="Q400" s="61"/>
    </row>
    <row r="401">
      <c r="B401" s="59"/>
      <c r="D401" s="59"/>
      <c r="F401" s="59"/>
      <c r="H401" s="59"/>
      <c r="J401" s="59"/>
      <c r="L401" s="59"/>
      <c r="N401" s="59"/>
      <c r="P401" s="59"/>
      <c r="Q401" s="61"/>
    </row>
    <row r="402">
      <c r="B402" s="59"/>
      <c r="D402" s="59"/>
      <c r="F402" s="59"/>
      <c r="H402" s="59"/>
      <c r="J402" s="59"/>
      <c r="L402" s="59"/>
      <c r="N402" s="59"/>
      <c r="P402" s="59"/>
      <c r="Q402" s="61"/>
    </row>
    <row r="403">
      <c r="B403" s="59"/>
      <c r="D403" s="59"/>
      <c r="F403" s="59"/>
      <c r="H403" s="59"/>
      <c r="J403" s="59"/>
      <c r="L403" s="59"/>
      <c r="N403" s="59"/>
      <c r="P403" s="59"/>
      <c r="Q403" s="61"/>
    </row>
    <row r="404">
      <c r="B404" s="59"/>
      <c r="D404" s="59"/>
      <c r="F404" s="59"/>
      <c r="H404" s="59"/>
      <c r="J404" s="59"/>
      <c r="L404" s="59"/>
      <c r="N404" s="59"/>
      <c r="P404" s="59"/>
      <c r="Q404" s="61"/>
    </row>
    <row r="405">
      <c r="B405" s="59"/>
      <c r="D405" s="59"/>
      <c r="F405" s="59"/>
      <c r="H405" s="59"/>
      <c r="J405" s="59"/>
      <c r="L405" s="59"/>
      <c r="N405" s="59"/>
      <c r="P405" s="59"/>
      <c r="Q405" s="61"/>
    </row>
    <row r="406">
      <c r="B406" s="59"/>
      <c r="D406" s="59"/>
      <c r="F406" s="59"/>
      <c r="H406" s="59"/>
      <c r="J406" s="59"/>
      <c r="L406" s="59"/>
      <c r="N406" s="59"/>
      <c r="P406" s="59"/>
      <c r="Q406" s="61"/>
    </row>
    <row r="407">
      <c r="B407" s="59"/>
      <c r="D407" s="59"/>
      <c r="F407" s="59"/>
      <c r="H407" s="59"/>
      <c r="J407" s="59"/>
      <c r="L407" s="59"/>
      <c r="N407" s="59"/>
      <c r="P407" s="59"/>
      <c r="Q407" s="61"/>
    </row>
    <row r="408">
      <c r="B408" s="59"/>
      <c r="D408" s="59"/>
      <c r="F408" s="59"/>
      <c r="H408" s="59"/>
      <c r="J408" s="59"/>
      <c r="L408" s="59"/>
      <c r="N408" s="59"/>
      <c r="P408" s="59"/>
      <c r="Q408" s="61"/>
    </row>
    <row r="409">
      <c r="B409" s="59"/>
      <c r="D409" s="59"/>
      <c r="F409" s="59"/>
      <c r="H409" s="59"/>
      <c r="J409" s="59"/>
      <c r="L409" s="59"/>
      <c r="N409" s="59"/>
      <c r="P409" s="59"/>
      <c r="Q409" s="61"/>
    </row>
    <row r="410">
      <c r="B410" s="59"/>
      <c r="D410" s="59"/>
      <c r="F410" s="59"/>
      <c r="H410" s="59"/>
      <c r="J410" s="59"/>
      <c r="L410" s="59"/>
      <c r="N410" s="59"/>
      <c r="P410" s="59"/>
      <c r="Q410" s="61"/>
    </row>
    <row r="411">
      <c r="B411" s="59"/>
      <c r="D411" s="59"/>
      <c r="F411" s="59"/>
      <c r="H411" s="59"/>
      <c r="J411" s="59"/>
      <c r="L411" s="59"/>
      <c r="N411" s="59"/>
      <c r="P411" s="59"/>
      <c r="Q411" s="61"/>
    </row>
    <row r="412">
      <c r="B412" s="59"/>
      <c r="D412" s="59"/>
      <c r="F412" s="59"/>
      <c r="H412" s="59"/>
      <c r="J412" s="59"/>
      <c r="L412" s="59"/>
      <c r="N412" s="59"/>
      <c r="P412" s="59"/>
      <c r="Q412" s="61"/>
    </row>
    <row r="413">
      <c r="B413" s="59"/>
      <c r="D413" s="59"/>
      <c r="F413" s="59"/>
      <c r="H413" s="59"/>
      <c r="J413" s="59"/>
      <c r="L413" s="59"/>
      <c r="N413" s="59"/>
      <c r="P413" s="59"/>
      <c r="Q413" s="61"/>
    </row>
    <row r="414">
      <c r="B414" s="59"/>
      <c r="D414" s="59"/>
      <c r="F414" s="59"/>
      <c r="H414" s="59"/>
      <c r="J414" s="59"/>
      <c r="L414" s="59"/>
      <c r="N414" s="59"/>
      <c r="P414" s="59"/>
      <c r="Q414" s="61"/>
    </row>
    <row r="415">
      <c r="B415" s="59"/>
      <c r="D415" s="59"/>
      <c r="F415" s="59"/>
      <c r="H415" s="59"/>
      <c r="J415" s="59"/>
      <c r="L415" s="59"/>
      <c r="N415" s="59"/>
      <c r="P415" s="59"/>
      <c r="Q415" s="61"/>
    </row>
    <row r="416">
      <c r="B416" s="59"/>
      <c r="D416" s="59"/>
      <c r="F416" s="59"/>
      <c r="H416" s="59"/>
      <c r="J416" s="59"/>
      <c r="L416" s="59"/>
      <c r="N416" s="59"/>
      <c r="P416" s="59"/>
      <c r="Q416" s="61"/>
    </row>
    <row r="417">
      <c r="B417" s="59"/>
      <c r="D417" s="59"/>
      <c r="F417" s="59"/>
      <c r="H417" s="59"/>
      <c r="J417" s="59"/>
      <c r="L417" s="59"/>
      <c r="N417" s="59"/>
      <c r="P417" s="59"/>
      <c r="Q417" s="61"/>
    </row>
    <row r="418">
      <c r="B418" s="59"/>
      <c r="D418" s="59"/>
      <c r="F418" s="59"/>
      <c r="H418" s="59"/>
      <c r="J418" s="59"/>
      <c r="L418" s="59"/>
      <c r="N418" s="59"/>
      <c r="P418" s="59"/>
      <c r="Q418" s="61"/>
    </row>
    <row r="419">
      <c r="B419" s="59"/>
      <c r="D419" s="59"/>
      <c r="F419" s="59"/>
      <c r="H419" s="59"/>
      <c r="J419" s="59"/>
      <c r="L419" s="59"/>
      <c r="N419" s="59"/>
      <c r="P419" s="59"/>
      <c r="Q419" s="61"/>
    </row>
    <row r="420">
      <c r="B420" s="59"/>
      <c r="D420" s="59"/>
      <c r="F420" s="59"/>
      <c r="H420" s="59"/>
      <c r="J420" s="59"/>
      <c r="L420" s="59"/>
      <c r="N420" s="59"/>
      <c r="P420" s="59"/>
      <c r="Q420" s="61"/>
    </row>
    <row r="421">
      <c r="B421" s="59"/>
      <c r="D421" s="59"/>
      <c r="F421" s="59"/>
      <c r="H421" s="59"/>
      <c r="J421" s="59"/>
      <c r="L421" s="59"/>
      <c r="N421" s="59"/>
      <c r="P421" s="59"/>
      <c r="Q421" s="61"/>
    </row>
    <row r="422">
      <c r="B422" s="59"/>
      <c r="D422" s="59"/>
      <c r="F422" s="59"/>
      <c r="H422" s="59"/>
      <c r="J422" s="59"/>
      <c r="L422" s="59"/>
      <c r="N422" s="59"/>
      <c r="P422" s="59"/>
      <c r="Q422" s="61"/>
    </row>
    <row r="423">
      <c r="B423" s="59"/>
      <c r="D423" s="59"/>
      <c r="F423" s="59"/>
      <c r="H423" s="59"/>
      <c r="J423" s="59"/>
      <c r="L423" s="59"/>
      <c r="N423" s="59"/>
      <c r="P423" s="59"/>
      <c r="Q423" s="61"/>
    </row>
    <row r="424">
      <c r="B424" s="59"/>
      <c r="D424" s="59"/>
      <c r="F424" s="59"/>
      <c r="H424" s="59"/>
      <c r="J424" s="59"/>
      <c r="L424" s="59"/>
      <c r="N424" s="59"/>
      <c r="P424" s="59"/>
      <c r="Q424" s="61"/>
    </row>
    <row r="425">
      <c r="B425" s="59"/>
      <c r="D425" s="59"/>
      <c r="F425" s="59"/>
      <c r="H425" s="59"/>
      <c r="J425" s="59"/>
      <c r="L425" s="59"/>
      <c r="N425" s="59"/>
      <c r="P425" s="59"/>
      <c r="Q425" s="61"/>
    </row>
    <row r="426">
      <c r="B426" s="59"/>
      <c r="D426" s="59"/>
      <c r="F426" s="59"/>
      <c r="H426" s="59"/>
      <c r="J426" s="59"/>
      <c r="L426" s="59"/>
      <c r="N426" s="59"/>
      <c r="P426" s="59"/>
      <c r="Q426" s="61"/>
    </row>
    <row r="427">
      <c r="B427" s="59"/>
      <c r="D427" s="59"/>
      <c r="F427" s="59"/>
      <c r="H427" s="59"/>
      <c r="J427" s="59"/>
      <c r="L427" s="59"/>
      <c r="N427" s="59"/>
      <c r="P427" s="59"/>
      <c r="Q427" s="61"/>
    </row>
    <row r="428">
      <c r="B428" s="59"/>
      <c r="D428" s="59"/>
      <c r="F428" s="59"/>
      <c r="H428" s="59"/>
      <c r="J428" s="59"/>
      <c r="L428" s="59"/>
      <c r="N428" s="59"/>
      <c r="P428" s="59"/>
      <c r="Q428" s="61"/>
    </row>
    <row r="429">
      <c r="B429" s="59"/>
      <c r="D429" s="59"/>
      <c r="F429" s="59"/>
      <c r="H429" s="59"/>
      <c r="J429" s="59"/>
      <c r="L429" s="59"/>
      <c r="N429" s="59"/>
      <c r="P429" s="59"/>
      <c r="Q429" s="61"/>
    </row>
    <row r="430">
      <c r="B430" s="59"/>
      <c r="D430" s="59"/>
      <c r="F430" s="59"/>
      <c r="H430" s="59"/>
      <c r="J430" s="59"/>
      <c r="L430" s="59"/>
      <c r="N430" s="59"/>
      <c r="P430" s="59"/>
      <c r="Q430" s="61"/>
    </row>
    <row r="431">
      <c r="B431" s="59"/>
      <c r="D431" s="59"/>
      <c r="F431" s="59"/>
      <c r="H431" s="59"/>
      <c r="J431" s="59"/>
      <c r="L431" s="59"/>
      <c r="N431" s="59"/>
      <c r="P431" s="59"/>
      <c r="Q431" s="61"/>
    </row>
    <row r="432">
      <c r="B432" s="59"/>
      <c r="D432" s="59"/>
      <c r="F432" s="59"/>
      <c r="H432" s="59"/>
      <c r="J432" s="59"/>
      <c r="L432" s="59"/>
      <c r="N432" s="59"/>
      <c r="P432" s="59"/>
      <c r="Q432" s="61"/>
    </row>
    <row r="433">
      <c r="B433" s="59"/>
      <c r="D433" s="59"/>
      <c r="F433" s="59"/>
      <c r="H433" s="59"/>
      <c r="J433" s="59"/>
      <c r="L433" s="59"/>
      <c r="N433" s="59"/>
      <c r="P433" s="59"/>
      <c r="Q433" s="61"/>
    </row>
    <row r="434">
      <c r="B434" s="59"/>
      <c r="D434" s="59"/>
      <c r="F434" s="59"/>
      <c r="H434" s="59"/>
      <c r="J434" s="59"/>
      <c r="L434" s="59"/>
      <c r="N434" s="59"/>
      <c r="P434" s="59"/>
      <c r="Q434" s="61"/>
    </row>
    <row r="435">
      <c r="B435" s="59"/>
      <c r="D435" s="59"/>
      <c r="F435" s="59"/>
      <c r="H435" s="59"/>
      <c r="J435" s="59"/>
      <c r="L435" s="59"/>
      <c r="N435" s="59"/>
      <c r="P435" s="59"/>
      <c r="Q435" s="61"/>
    </row>
    <row r="436">
      <c r="B436" s="59"/>
      <c r="D436" s="59"/>
      <c r="F436" s="59"/>
      <c r="H436" s="59"/>
      <c r="J436" s="59"/>
      <c r="L436" s="59"/>
      <c r="N436" s="59"/>
      <c r="P436" s="59"/>
      <c r="Q436" s="61"/>
    </row>
    <row r="437">
      <c r="B437" s="59"/>
      <c r="D437" s="59"/>
      <c r="F437" s="59"/>
      <c r="H437" s="59"/>
      <c r="J437" s="59"/>
      <c r="L437" s="59"/>
      <c r="N437" s="59"/>
      <c r="P437" s="59"/>
      <c r="Q437" s="61"/>
    </row>
    <row r="438">
      <c r="B438" s="59"/>
      <c r="D438" s="59"/>
      <c r="F438" s="59"/>
      <c r="H438" s="59"/>
      <c r="J438" s="59"/>
      <c r="L438" s="59"/>
      <c r="N438" s="59"/>
      <c r="P438" s="59"/>
      <c r="Q438" s="61"/>
    </row>
    <row r="439">
      <c r="B439" s="59"/>
      <c r="D439" s="59"/>
      <c r="F439" s="59"/>
      <c r="H439" s="59"/>
      <c r="J439" s="59"/>
      <c r="L439" s="59"/>
      <c r="N439" s="59"/>
      <c r="P439" s="59"/>
      <c r="Q439" s="61"/>
    </row>
    <row r="440">
      <c r="B440" s="59"/>
      <c r="D440" s="59"/>
      <c r="F440" s="59"/>
      <c r="H440" s="59"/>
      <c r="J440" s="59"/>
      <c r="L440" s="59"/>
      <c r="N440" s="59"/>
      <c r="P440" s="59"/>
      <c r="Q440" s="61"/>
    </row>
    <row r="441">
      <c r="B441" s="59"/>
      <c r="D441" s="59"/>
      <c r="F441" s="59"/>
      <c r="H441" s="59"/>
      <c r="J441" s="59"/>
      <c r="L441" s="59"/>
      <c r="N441" s="59"/>
      <c r="P441" s="59"/>
      <c r="Q441" s="61"/>
    </row>
    <row r="442">
      <c r="B442" s="59"/>
      <c r="D442" s="59"/>
      <c r="F442" s="59"/>
      <c r="H442" s="59"/>
      <c r="J442" s="59"/>
      <c r="L442" s="59"/>
      <c r="N442" s="59"/>
      <c r="P442" s="59"/>
      <c r="Q442" s="61"/>
    </row>
    <row r="443">
      <c r="B443" s="59"/>
      <c r="D443" s="59"/>
      <c r="F443" s="59"/>
      <c r="H443" s="59"/>
      <c r="J443" s="59"/>
      <c r="L443" s="59"/>
      <c r="N443" s="59"/>
      <c r="P443" s="59"/>
      <c r="Q443" s="61"/>
    </row>
    <row r="444">
      <c r="B444" s="59"/>
      <c r="D444" s="59"/>
      <c r="F444" s="59"/>
      <c r="H444" s="59"/>
      <c r="J444" s="59"/>
      <c r="L444" s="59"/>
      <c r="N444" s="59"/>
      <c r="P444" s="59"/>
      <c r="Q444" s="61"/>
    </row>
    <row r="445">
      <c r="B445" s="59"/>
      <c r="D445" s="59"/>
      <c r="F445" s="59"/>
      <c r="H445" s="59"/>
      <c r="J445" s="59"/>
      <c r="L445" s="59"/>
      <c r="N445" s="59"/>
      <c r="P445" s="59"/>
      <c r="Q445" s="61"/>
    </row>
    <row r="446">
      <c r="B446" s="59"/>
      <c r="D446" s="59"/>
      <c r="F446" s="59"/>
      <c r="H446" s="59"/>
      <c r="J446" s="59"/>
      <c r="L446" s="59"/>
      <c r="N446" s="59"/>
      <c r="P446" s="59"/>
      <c r="Q446" s="61"/>
    </row>
    <row r="447">
      <c r="B447" s="59"/>
      <c r="D447" s="59"/>
      <c r="F447" s="59"/>
      <c r="H447" s="59"/>
      <c r="J447" s="59"/>
      <c r="L447" s="59"/>
      <c r="N447" s="59"/>
      <c r="P447" s="59"/>
      <c r="Q447" s="61"/>
    </row>
    <row r="448">
      <c r="B448" s="59"/>
      <c r="D448" s="59"/>
      <c r="F448" s="59"/>
      <c r="H448" s="59"/>
      <c r="J448" s="59"/>
      <c r="L448" s="59"/>
      <c r="N448" s="59"/>
      <c r="P448" s="59"/>
      <c r="Q448" s="61"/>
    </row>
    <row r="449">
      <c r="B449" s="59"/>
      <c r="D449" s="59"/>
      <c r="F449" s="59"/>
      <c r="H449" s="59"/>
      <c r="J449" s="59"/>
      <c r="L449" s="59"/>
      <c r="N449" s="59"/>
      <c r="P449" s="59"/>
      <c r="Q449" s="61"/>
    </row>
    <row r="450">
      <c r="B450" s="59"/>
      <c r="D450" s="59"/>
      <c r="F450" s="59"/>
      <c r="H450" s="59"/>
      <c r="J450" s="59"/>
      <c r="L450" s="59"/>
      <c r="N450" s="59"/>
      <c r="P450" s="59"/>
      <c r="Q450" s="61"/>
    </row>
    <row r="451">
      <c r="B451" s="59"/>
      <c r="D451" s="59"/>
      <c r="F451" s="59"/>
      <c r="H451" s="59"/>
      <c r="J451" s="59"/>
      <c r="L451" s="59"/>
      <c r="N451" s="59"/>
      <c r="P451" s="59"/>
      <c r="Q451" s="61"/>
    </row>
    <row r="452">
      <c r="B452" s="59"/>
      <c r="D452" s="59"/>
      <c r="F452" s="59"/>
      <c r="H452" s="59"/>
      <c r="J452" s="59"/>
      <c r="L452" s="59"/>
      <c r="N452" s="59"/>
      <c r="P452" s="59"/>
      <c r="Q452" s="61"/>
    </row>
    <row r="453">
      <c r="B453" s="59"/>
      <c r="D453" s="59"/>
      <c r="F453" s="59"/>
      <c r="H453" s="59"/>
      <c r="J453" s="59"/>
      <c r="L453" s="59"/>
      <c r="N453" s="59"/>
      <c r="P453" s="59"/>
      <c r="Q453" s="61"/>
    </row>
    <row r="454">
      <c r="B454" s="59"/>
      <c r="D454" s="59"/>
      <c r="F454" s="59"/>
      <c r="H454" s="59"/>
      <c r="J454" s="59"/>
      <c r="L454" s="59"/>
      <c r="N454" s="59"/>
      <c r="P454" s="59"/>
      <c r="Q454" s="61"/>
    </row>
    <row r="455">
      <c r="B455" s="59"/>
      <c r="D455" s="59"/>
      <c r="F455" s="59"/>
      <c r="H455" s="59"/>
      <c r="J455" s="59"/>
      <c r="L455" s="59"/>
      <c r="N455" s="59"/>
      <c r="P455" s="59"/>
      <c r="Q455" s="61"/>
    </row>
    <row r="456">
      <c r="B456" s="59"/>
      <c r="D456" s="59"/>
      <c r="F456" s="59"/>
      <c r="H456" s="59"/>
      <c r="J456" s="59"/>
      <c r="L456" s="59"/>
      <c r="N456" s="59"/>
      <c r="P456" s="59"/>
      <c r="Q456" s="61"/>
    </row>
    <row r="457">
      <c r="B457" s="59"/>
      <c r="D457" s="59"/>
      <c r="F457" s="59"/>
      <c r="H457" s="59"/>
      <c r="J457" s="59"/>
      <c r="L457" s="59"/>
      <c r="N457" s="59"/>
      <c r="P457" s="59"/>
      <c r="Q457" s="61"/>
    </row>
    <row r="458">
      <c r="B458" s="59"/>
      <c r="D458" s="59"/>
      <c r="F458" s="59"/>
      <c r="H458" s="59"/>
      <c r="J458" s="59"/>
      <c r="L458" s="59"/>
      <c r="N458" s="59"/>
      <c r="P458" s="59"/>
      <c r="Q458" s="61"/>
    </row>
    <row r="459">
      <c r="B459" s="59"/>
      <c r="D459" s="59"/>
      <c r="F459" s="59"/>
      <c r="H459" s="59"/>
      <c r="J459" s="59"/>
      <c r="L459" s="59"/>
      <c r="N459" s="59"/>
      <c r="P459" s="59"/>
      <c r="Q459" s="61"/>
    </row>
    <row r="460">
      <c r="B460" s="59"/>
      <c r="D460" s="59"/>
      <c r="F460" s="59"/>
      <c r="H460" s="59"/>
      <c r="J460" s="59"/>
      <c r="L460" s="59"/>
      <c r="N460" s="59"/>
      <c r="P460" s="59"/>
      <c r="Q460" s="61"/>
    </row>
    <row r="461">
      <c r="B461" s="59"/>
      <c r="D461" s="59"/>
      <c r="F461" s="59"/>
      <c r="H461" s="59"/>
      <c r="J461" s="59"/>
      <c r="L461" s="59"/>
      <c r="N461" s="59"/>
      <c r="P461" s="59"/>
      <c r="Q461" s="61"/>
    </row>
    <row r="462">
      <c r="B462" s="59"/>
      <c r="D462" s="59"/>
      <c r="F462" s="59"/>
      <c r="H462" s="59"/>
      <c r="J462" s="59"/>
      <c r="L462" s="59"/>
      <c r="N462" s="59"/>
      <c r="P462" s="59"/>
      <c r="Q462" s="61"/>
    </row>
    <row r="463">
      <c r="B463" s="59"/>
      <c r="D463" s="59"/>
      <c r="F463" s="59"/>
      <c r="H463" s="59"/>
      <c r="J463" s="59"/>
      <c r="L463" s="59"/>
      <c r="N463" s="59"/>
      <c r="P463" s="59"/>
      <c r="Q463" s="61"/>
    </row>
    <row r="464">
      <c r="B464" s="59"/>
      <c r="D464" s="59"/>
      <c r="F464" s="59"/>
      <c r="H464" s="59"/>
      <c r="J464" s="59"/>
      <c r="L464" s="59"/>
      <c r="N464" s="59"/>
      <c r="P464" s="59"/>
      <c r="Q464" s="61"/>
    </row>
    <row r="465">
      <c r="B465" s="59"/>
      <c r="D465" s="59"/>
      <c r="F465" s="59"/>
      <c r="H465" s="59"/>
      <c r="J465" s="59"/>
      <c r="L465" s="59"/>
      <c r="N465" s="59"/>
      <c r="P465" s="59"/>
      <c r="Q465" s="61"/>
    </row>
    <row r="466">
      <c r="B466" s="59"/>
      <c r="D466" s="59"/>
      <c r="F466" s="59"/>
      <c r="H466" s="59"/>
      <c r="J466" s="59"/>
      <c r="L466" s="59"/>
      <c r="N466" s="59"/>
      <c r="P466" s="59"/>
      <c r="Q466" s="61"/>
    </row>
    <row r="467">
      <c r="B467" s="59"/>
      <c r="D467" s="59"/>
      <c r="F467" s="59"/>
      <c r="H467" s="59"/>
      <c r="J467" s="59"/>
      <c r="L467" s="59"/>
      <c r="N467" s="59"/>
      <c r="P467" s="59"/>
      <c r="Q467" s="61"/>
    </row>
    <row r="468">
      <c r="B468" s="59"/>
      <c r="D468" s="59"/>
      <c r="F468" s="59"/>
      <c r="H468" s="59"/>
      <c r="J468" s="59"/>
      <c r="L468" s="59"/>
      <c r="N468" s="59"/>
      <c r="P468" s="59"/>
      <c r="Q468" s="61"/>
    </row>
    <row r="469">
      <c r="B469" s="59"/>
      <c r="D469" s="59"/>
      <c r="F469" s="59"/>
      <c r="H469" s="59"/>
      <c r="J469" s="59"/>
      <c r="L469" s="59"/>
      <c r="N469" s="59"/>
      <c r="P469" s="59"/>
      <c r="Q469" s="61"/>
    </row>
    <row r="470">
      <c r="B470" s="59"/>
      <c r="D470" s="59"/>
      <c r="F470" s="59"/>
      <c r="H470" s="59"/>
      <c r="J470" s="59"/>
      <c r="L470" s="59"/>
      <c r="N470" s="59"/>
      <c r="P470" s="59"/>
      <c r="Q470" s="61"/>
    </row>
    <row r="471">
      <c r="B471" s="59"/>
      <c r="D471" s="59"/>
      <c r="F471" s="59"/>
      <c r="H471" s="59"/>
      <c r="J471" s="59"/>
      <c r="L471" s="59"/>
      <c r="N471" s="59"/>
      <c r="P471" s="59"/>
      <c r="Q471" s="61"/>
    </row>
    <row r="472">
      <c r="B472" s="59"/>
      <c r="D472" s="59"/>
      <c r="F472" s="59"/>
      <c r="H472" s="59"/>
      <c r="J472" s="59"/>
      <c r="L472" s="59"/>
      <c r="N472" s="59"/>
      <c r="P472" s="59"/>
      <c r="Q472" s="61"/>
    </row>
    <row r="473">
      <c r="B473" s="59"/>
      <c r="D473" s="59"/>
      <c r="F473" s="59"/>
      <c r="H473" s="59"/>
      <c r="J473" s="59"/>
      <c r="L473" s="59"/>
      <c r="N473" s="59"/>
      <c r="P473" s="59"/>
      <c r="Q473" s="61"/>
    </row>
    <row r="474">
      <c r="B474" s="59"/>
      <c r="D474" s="59"/>
      <c r="F474" s="59"/>
      <c r="H474" s="59"/>
      <c r="J474" s="59"/>
      <c r="L474" s="59"/>
      <c r="N474" s="59"/>
      <c r="P474" s="59"/>
      <c r="Q474" s="61"/>
    </row>
    <row r="475">
      <c r="B475" s="59"/>
      <c r="D475" s="59"/>
      <c r="F475" s="59"/>
      <c r="H475" s="59"/>
      <c r="J475" s="59"/>
      <c r="L475" s="59"/>
      <c r="N475" s="59"/>
      <c r="P475" s="59"/>
      <c r="Q475" s="61"/>
    </row>
    <row r="476">
      <c r="B476" s="59"/>
      <c r="D476" s="59"/>
      <c r="F476" s="59"/>
      <c r="H476" s="59"/>
      <c r="J476" s="59"/>
      <c r="L476" s="59"/>
      <c r="N476" s="59"/>
      <c r="P476" s="59"/>
      <c r="Q476" s="61"/>
    </row>
    <row r="477">
      <c r="B477" s="59"/>
      <c r="D477" s="59"/>
      <c r="F477" s="59"/>
      <c r="H477" s="59"/>
      <c r="J477" s="59"/>
      <c r="L477" s="59"/>
      <c r="N477" s="59"/>
      <c r="P477" s="59"/>
      <c r="Q477" s="61"/>
    </row>
    <row r="478">
      <c r="B478" s="59"/>
      <c r="D478" s="59"/>
      <c r="F478" s="59"/>
      <c r="H478" s="59"/>
      <c r="J478" s="59"/>
      <c r="L478" s="59"/>
      <c r="N478" s="59"/>
      <c r="P478" s="59"/>
      <c r="Q478" s="61"/>
    </row>
    <row r="479">
      <c r="B479" s="59"/>
      <c r="D479" s="59"/>
      <c r="F479" s="59"/>
      <c r="H479" s="59"/>
      <c r="J479" s="59"/>
      <c r="L479" s="59"/>
      <c r="N479" s="59"/>
      <c r="P479" s="59"/>
      <c r="Q479" s="61"/>
    </row>
    <row r="480">
      <c r="B480" s="59"/>
      <c r="D480" s="59"/>
      <c r="F480" s="59"/>
      <c r="H480" s="59"/>
      <c r="J480" s="59"/>
      <c r="L480" s="59"/>
      <c r="N480" s="59"/>
      <c r="P480" s="59"/>
      <c r="Q480" s="61"/>
    </row>
    <row r="481">
      <c r="B481" s="59"/>
      <c r="D481" s="59"/>
      <c r="F481" s="59"/>
      <c r="H481" s="59"/>
      <c r="J481" s="59"/>
      <c r="L481" s="59"/>
      <c r="N481" s="59"/>
      <c r="P481" s="59"/>
      <c r="Q481" s="61"/>
    </row>
    <row r="482">
      <c r="B482" s="59"/>
      <c r="D482" s="59"/>
      <c r="F482" s="59"/>
      <c r="H482" s="59"/>
      <c r="J482" s="59"/>
      <c r="L482" s="59"/>
      <c r="N482" s="59"/>
      <c r="P482" s="59"/>
      <c r="Q482" s="61"/>
    </row>
    <row r="483">
      <c r="B483" s="59"/>
      <c r="D483" s="59"/>
      <c r="F483" s="59"/>
      <c r="H483" s="59"/>
      <c r="J483" s="59"/>
      <c r="L483" s="59"/>
      <c r="N483" s="59"/>
      <c r="P483" s="59"/>
      <c r="Q483" s="61"/>
    </row>
    <row r="484">
      <c r="B484" s="59"/>
      <c r="D484" s="59"/>
      <c r="F484" s="59"/>
      <c r="H484" s="59"/>
      <c r="J484" s="59"/>
      <c r="L484" s="59"/>
      <c r="N484" s="59"/>
      <c r="P484" s="59"/>
      <c r="Q484" s="61"/>
    </row>
    <row r="485">
      <c r="B485" s="59"/>
      <c r="D485" s="59"/>
      <c r="F485" s="59"/>
      <c r="H485" s="59"/>
      <c r="J485" s="59"/>
      <c r="L485" s="59"/>
      <c r="N485" s="59"/>
      <c r="P485" s="59"/>
      <c r="Q485" s="61"/>
    </row>
    <row r="486">
      <c r="B486" s="59"/>
      <c r="D486" s="59"/>
      <c r="F486" s="59"/>
      <c r="H486" s="59"/>
      <c r="J486" s="59"/>
      <c r="L486" s="59"/>
      <c r="N486" s="59"/>
      <c r="P486" s="59"/>
      <c r="Q486" s="61"/>
    </row>
    <row r="487">
      <c r="B487" s="59"/>
      <c r="D487" s="59"/>
      <c r="F487" s="59"/>
      <c r="H487" s="59"/>
      <c r="J487" s="59"/>
      <c r="L487" s="59"/>
      <c r="N487" s="59"/>
      <c r="P487" s="59"/>
      <c r="Q487" s="61"/>
    </row>
    <row r="488">
      <c r="B488" s="59"/>
      <c r="D488" s="59"/>
      <c r="F488" s="59"/>
      <c r="H488" s="59"/>
      <c r="J488" s="59"/>
      <c r="L488" s="59"/>
      <c r="N488" s="59"/>
      <c r="P488" s="59"/>
      <c r="Q488" s="61"/>
    </row>
    <row r="489">
      <c r="B489" s="59"/>
      <c r="D489" s="59"/>
      <c r="F489" s="59"/>
      <c r="H489" s="59"/>
      <c r="J489" s="59"/>
      <c r="L489" s="59"/>
      <c r="N489" s="59"/>
      <c r="P489" s="59"/>
      <c r="Q489" s="61"/>
    </row>
    <row r="490">
      <c r="B490" s="59"/>
      <c r="D490" s="59"/>
      <c r="F490" s="59"/>
      <c r="H490" s="59"/>
      <c r="J490" s="59"/>
      <c r="L490" s="59"/>
      <c r="N490" s="59"/>
      <c r="P490" s="59"/>
      <c r="Q490" s="61"/>
    </row>
    <row r="491">
      <c r="B491" s="59"/>
      <c r="D491" s="59"/>
      <c r="F491" s="59"/>
      <c r="H491" s="59"/>
      <c r="J491" s="59"/>
      <c r="L491" s="59"/>
      <c r="N491" s="59"/>
      <c r="P491" s="59"/>
      <c r="Q491" s="61"/>
    </row>
    <row r="492">
      <c r="B492" s="59"/>
      <c r="D492" s="59"/>
      <c r="F492" s="59"/>
      <c r="H492" s="59"/>
      <c r="J492" s="59"/>
      <c r="L492" s="59"/>
      <c r="N492" s="59"/>
      <c r="P492" s="59"/>
      <c r="Q492" s="61"/>
    </row>
    <row r="493">
      <c r="B493" s="59"/>
      <c r="D493" s="59"/>
      <c r="F493" s="59"/>
      <c r="H493" s="59"/>
      <c r="J493" s="59"/>
      <c r="L493" s="59"/>
      <c r="N493" s="59"/>
      <c r="P493" s="59"/>
      <c r="Q493" s="61"/>
    </row>
    <row r="494">
      <c r="B494" s="59"/>
      <c r="D494" s="59"/>
      <c r="F494" s="59"/>
      <c r="H494" s="59"/>
      <c r="J494" s="59"/>
      <c r="L494" s="59"/>
      <c r="N494" s="59"/>
      <c r="P494" s="59"/>
      <c r="Q494" s="61"/>
    </row>
    <row r="495">
      <c r="B495" s="59"/>
      <c r="D495" s="59"/>
      <c r="F495" s="59"/>
      <c r="H495" s="59"/>
      <c r="J495" s="59"/>
      <c r="L495" s="59"/>
      <c r="N495" s="59"/>
      <c r="P495" s="59"/>
      <c r="Q495" s="61"/>
    </row>
    <row r="496">
      <c r="B496" s="59"/>
      <c r="D496" s="59"/>
      <c r="F496" s="59"/>
      <c r="H496" s="59"/>
      <c r="J496" s="59"/>
      <c r="L496" s="59"/>
      <c r="N496" s="59"/>
      <c r="P496" s="59"/>
      <c r="Q496" s="61"/>
    </row>
    <row r="497">
      <c r="B497" s="59"/>
      <c r="D497" s="59"/>
      <c r="F497" s="59"/>
      <c r="H497" s="59"/>
      <c r="J497" s="59"/>
      <c r="L497" s="59"/>
      <c r="N497" s="59"/>
      <c r="P497" s="59"/>
      <c r="Q497" s="61"/>
    </row>
    <row r="498">
      <c r="B498" s="59"/>
      <c r="D498" s="59"/>
      <c r="F498" s="59"/>
      <c r="H498" s="59"/>
      <c r="J498" s="59"/>
      <c r="L498" s="59"/>
      <c r="N498" s="59"/>
      <c r="P498" s="59"/>
      <c r="Q498" s="61"/>
    </row>
    <row r="499">
      <c r="B499" s="59"/>
      <c r="D499" s="59"/>
      <c r="F499" s="59"/>
      <c r="H499" s="59"/>
      <c r="J499" s="59"/>
      <c r="L499" s="59"/>
      <c r="N499" s="59"/>
      <c r="P499" s="59"/>
      <c r="Q499" s="61"/>
    </row>
    <row r="500">
      <c r="B500" s="59"/>
      <c r="D500" s="59"/>
      <c r="F500" s="59"/>
      <c r="H500" s="59"/>
      <c r="J500" s="59"/>
      <c r="L500" s="59"/>
      <c r="N500" s="59"/>
      <c r="P500" s="59"/>
      <c r="Q500" s="61"/>
    </row>
    <row r="501">
      <c r="B501" s="59"/>
      <c r="D501" s="59"/>
      <c r="F501" s="59"/>
      <c r="H501" s="59"/>
      <c r="J501" s="59"/>
      <c r="L501" s="59"/>
      <c r="N501" s="59"/>
      <c r="P501" s="59"/>
      <c r="Q501" s="61"/>
    </row>
    <row r="502">
      <c r="B502" s="59"/>
      <c r="D502" s="59"/>
      <c r="F502" s="59"/>
      <c r="H502" s="59"/>
      <c r="J502" s="59"/>
      <c r="L502" s="59"/>
      <c r="N502" s="59"/>
      <c r="P502" s="59"/>
      <c r="Q502" s="61"/>
    </row>
    <row r="503">
      <c r="B503" s="59"/>
      <c r="D503" s="59"/>
      <c r="F503" s="59"/>
      <c r="H503" s="59"/>
      <c r="J503" s="59"/>
      <c r="L503" s="59"/>
      <c r="N503" s="59"/>
      <c r="P503" s="59"/>
      <c r="Q503" s="61"/>
    </row>
    <row r="504">
      <c r="B504" s="59"/>
      <c r="D504" s="59"/>
      <c r="F504" s="59"/>
      <c r="H504" s="59"/>
      <c r="J504" s="59"/>
      <c r="L504" s="59"/>
      <c r="N504" s="59"/>
      <c r="P504" s="59"/>
      <c r="Q504" s="61"/>
    </row>
    <row r="505">
      <c r="B505" s="59"/>
      <c r="D505" s="59"/>
      <c r="F505" s="59"/>
      <c r="H505" s="59"/>
      <c r="J505" s="59"/>
      <c r="L505" s="59"/>
      <c r="N505" s="59"/>
      <c r="P505" s="59"/>
      <c r="Q505" s="61"/>
    </row>
    <row r="506">
      <c r="B506" s="59"/>
      <c r="D506" s="59"/>
      <c r="F506" s="59"/>
      <c r="H506" s="59"/>
      <c r="J506" s="59"/>
      <c r="L506" s="59"/>
      <c r="N506" s="59"/>
      <c r="P506" s="59"/>
      <c r="Q506" s="61"/>
    </row>
    <row r="507">
      <c r="B507" s="59"/>
      <c r="D507" s="59"/>
      <c r="F507" s="59"/>
      <c r="H507" s="59"/>
      <c r="J507" s="59"/>
      <c r="L507" s="59"/>
      <c r="N507" s="59"/>
      <c r="P507" s="59"/>
      <c r="Q507" s="61"/>
    </row>
    <row r="508">
      <c r="B508" s="59"/>
      <c r="D508" s="59"/>
      <c r="F508" s="59"/>
      <c r="H508" s="59"/>
      <c r="J508" s="59"/>
      <c r="L508" s="59"/>
      <c r="N508" s="59"/>
      <c r="P508" s="59"/>
      <c r="Q508" s="61"/>
    </row>
    <row r="509">
      <c r="B509" s="59"/>
      <c r="D509" s="59"/>
      <c r="F509" s="59"/>
      <c r="H509" s="59"/>
      <c r="J509" s="59"/>
      <c r="L509" s="59"/>
      <c r="N509" s="59"/>
      <c r="P509" s="59"/>
      <c r="Q509" s="61"/>
    </row>
    <row r="510">
      <c r="B510" s="59"/>
      <c r="D510" s="59"/>
      <c r="F510" s="59"/>
      <c r="H510" s="59"/>
      <c r="J510" s="59"/>
      <c r="L510" s="59"/>
      <c r="N510" s="59"/>
      <c r="P510" s="59"/>
      <c r="Q510" s="61"/>
    </row>
    <row r="511">
      <c r="B511" s="59"/>
      <c r="D511" s="59"/>
      <c r="F511" s="59"/>
      <c r="H511" s="59"/>
      <c r="J511" s="59"/>
      <c r="L511" s="59"/>
      <c r="N511" s="59"/>
      <c r="P511" s="59"/>
      <c r="Q511" s="61"/>
    </row>
    <row r="512">
      <c r="B512" s="59"/>
      <c r="D512" s="59"/>
      <c r="F512" s="59"/>
      <c r="H512" s="59"/>
      <c r="J512" s="59"/>
      <c r="L512" s="59"/>
      <c r="N512" s="59"/>
      <c r="P512" s="59"/>
      <c r="Q512" s="61"/>
    </row>
    <row r="513">
      <c r="B513" s="59"/>
      <c r="D513" s="59"/>
      <c r="F513" s="59"/>
      <c r="H513" s="59"/>
      <c r="J513" s="59"/>
      <c r="L513" s="59"/>
      <c r="N513" s="59"/>
      <c r="P513" s="59"/>
      <c r="Q513" s="61"/>
    </row>
    <row r="514">
      <c r="B514" s="59"/>
      <c r="D514" s="59"/>
      <c r="F514" s="59"/>
      <c r="H514" s="59"/>
      <c r="J514" s="59"/>
      <c r="L514" s="59"/>
      <c r="N514" s="59"/>
      <c r="P514" s="59"/>
      <c r="Q514" s="61"/>
    </row>
    <row r="515">
      <c r="B515" s="59"/>
      <c r="D515" s="59"/>
      <c r="F515" s="59"/>
      <c r="H515" s="59"/>
      <c r="J515" s="59"/>
      <c r="L515" s="59"/>
      <c r="N515" s="59"/>
      <c r="P515" s="59"/>
      <c r="Q515" s="61"/>
    </row>
    <row r="516">
      <c r="B516" s="59"/>
      <c r="D516" s="59"/>
      <c r="F516" s="59"/>
      <c r="H516" s="59"/>
      <c r="J516" s="59"/>
      <c r="L516" s="59"/>
      <c r="N516" s="59"/>
      <c r="P516" s="59"/>
      <c r="Q516" s="61"/>
    </row>
    <row r="517">
      <c r="B517" s="59"/>
      <c r="D517" s="59"/>
      <c r="F517" s="59"/>
      <c r="H517" s="59"/>
      <c r="J517" s="59"/>
      <c r="L517" s="59"/>
      <c r="N517" s="59"/>
      <c r="P517" s="59"/>
      <c r="Q517" s="61"/>
    </row>
    <row r="518">
      <c r="B518" s="59"/>
      <c r="D518" s="59"/>
      <c r="F518" s="59"/>
      <c r="H518" s="59"/>
      <c r="J518" s="59"/>
      <c r="L518" s="59"/>
      <c r="N518" s="59"/>
      <c r="P518" s="59"/>
      <c r="Q518" s="61"/>
    </row>
    <row r="519">
      <c r="B519" s="59"/>
      <c r="D519" s="59"/>
      <c r="F519" s="59"/>
      <c r="H519" s="59"/>
      <c r="J519" s="59"/>
      <c r="L519" s="59"/>
      <c r="N519" s="59"/>
      <c r="P519" s="59"/>
      <c r="Q519" s="61"/>
    </row>
    <row r="520">
      <c r="B520" s="59"/>
      <c r="D520" s="59"/>
      <c r="F520" s="59"/>
      <c r="H520" s="59"/>
      <c r="J520" s="59"/>
      <c r="L520" s="59"/>
      <c r="N520" s="59"/>
      <c r="P520" s="59"/>
      <c r="Q520" s="61"/>
    </row>
    <row r="521">
      <c r="B521" s="59"/>
      <c r="D521" s="59"/>
      <c r="F521" s="59"/>
      <c r="H521" s="59"/>
      <c r="J521" s="59"/>
      <c r="L521" s="59"/>
      <c r="N521" s="59"/>
      <c r="P521" s="59"/>
      <c r="Q521" s="61"/>
    </row>
    <row r="522">
      <c r="B522" s="59"/>
      <c r="D522" s="59"/>
      <c r="F522" s="59"/>
      <c r="H522" s="59"/>
      <c r="J522" s="59"/>
      <c r="L522" s="59"/>
      <c r="N522" s="59"/>
      <c r="P522" s="59"/>
      <c r="Q522" s="61"/>
    </row>
    <row r="523">
      <c r="B523" s="59"/>
      <c r="D523" s="59"/>
      <c r="F523" s="59"/>
      <c r="H523" s="59"/>
      <c r="J523" s="59"/>
      <c r="L523" s="59"/>
      <c r="N523" s="59"/>
      <c r="P523" s="59"/>
      <c r="Q523" s="61"/>
    </row>
    <row r="524">
      <c r="B524" s="59"/>
      <c r="D524" s="59"/>
      <c r="F524" s="59"/>
      <c r="H524" s="59"/>
      <c r="J524" s="59"/>
      <c r="L524" s="59"/>
      <c r="N524" s="59"/>
      <c r="P524" s="59"/>
      <c r="Q524" s="61"/>
    </row>
    <row r="525">
      <c r="B525" s="59"/>
      <c r="D525" s="59"/>
      <c r="F525" s="59"/>
      <c r="H525" s="59"/>
      <c r="J525" s="59"/>
      <c r="L525" s="59"/>
      <c r="N525" s="59"/>
      <c r="P525" s="59"/>
      <c r="Q525" s="61"/>
    </row>
    <row r="526">
      <c r="B526" s="59"/>
      <c r="D526" s="59"/>
      <c r="F526" s="59"/>
      <c r="H526" s="59"/>
      <c r="J526" s="59"/>
      <c r="L526" s="59"/>
      <c r="N526" s="59"/>
      <c r="P526" s="59"/>
      <c r="Q526" s="61"/>
    </row>
    <row r="527">
      <c r="B527" s="59"/>
      <c r="D527" s="59"/>
      <c r="F527" s="59"/>
      <c r="H527" s="59"/>
      <c r="J527" s="59"/>
      <c r="L527" s="59"/>
      <c r="N527" s="59"/>
      <c r="P527" s="59"/>
      <c r="Q527" s="61"/>
    </row>
    <row r="528">
      <c r="B528" s="59"/>
      <c r="D528" s="59"/>
      <c r="F528" s="59"/>
      <c r="H528" s="59"/>
      <c r="J528" s="59"/>
      <c r="L528" s="59"/>
      <c r="N528" s="59"/>
      <c r="P528" s="59"/>
      <c r="Q528" s="61"/>
    </row>
    <row r="529">
      <c r="B529" s="59"/>
      <c r="D529" s="59"/>
      <c r="F529" s="59"/>
      <c r="H529" s="59"/>
      <c r="J529" s="59"/>
      <c r="L529" s="59"/>
      <c r="N529" s="59"/>
      <c r="P529" s="59"/>
      <c r="Q529" s="61"/>
    </row>
    <row r="530">
      <c r="B530" s="59"/>
      <c r="D530" s="59"/>
      <c r="F530" s="59"/>
      <c r="H530" s="59"/>
      <c r="J530" s="59"/>
      <c r="L530" s="59"/>
      <c r="N530" s="59"/>
      <c r="P530" s="59"/>
      <c r="Q530" s="61"/>
    </row>
    <row r="531">
      <c r="B531" s="59"/>
      <c r="D531" s="59"/>
      <c r="F531" s="59"/>
      <c r="H531" s="59"/>
      <c r="J531" s="59"/>
      <c r="L531" s="59"/>
      <c r="N531" s="59"/>
      <c r="P531" s="59"/>
      <c r="Q531" s="61"/>
    </row>
    <row r="532">
      <c r="B532" s="59"/>
      <c r="D532" s="59"/>
      <c r="F532" s="59"/>
      <c r="H532" s="59"/>
      <c r="J532" s="59"/>
      <c r="L532" s="59"/>
      <c r="N532" s="59"/>
      <c r="P532" s="59"/>
      <c r="Q532" s="61"/>
    </row>
    <row r="533">
      <c r="B533" s="59"/>
      <c r="D533" s="59"/>
      <c r="F533" s="59"/>
      <c r="H533" s="59"/>
      <c r="J533" s="59"/>
      <c r="L533" s="59"/>
      <c r="N533" s="59"/>
      <c r="P533" s="59"/>
      <c r="Q533" s="61"/>
    </row>
    <row r="534">
      <c r="B534" s="59"/>
      <c r="D534" s="59"/>
      <c r="F534" s="59"/>
      <c r="H534" s="59"/>
      <c r="J534" s="59"/>
      <c r="L534" s="59"/>
      <c r="N534" s="59"/>
      <c r="P534" s="59"/>
      <c r="Q534" s="61"/>
    </row>
    <row r="535">
      <c r="B535" s="59"/>
      <c r="D535" s="59"/>
      <c r="F535" s="59"/>
      <c r="H535" s="59"/>
      <c r="J535" s="59"/>
      <c r="L535" s="59"/>
      <c r="N535" s="59"/>
      <c r="P535" s="59"/>
      <c r="Q535" s="61"/>
    </row>
    <row r="536">
      <c r="B536" s="59"/>
      <c r="D536" s="59"/>
      <c r="F536" s="59"/>
      <c r="H536" s="59"/>
      <c r="J536" s="59"/>
      <c r="L536" s="59"/>
      <c r="N536" s="59"/>
      <c r="P536" s="59"/>
      <c r="Q536" s="61"/>
    </row>
    <row r="537">
      <c r="B537" s="59"/>
      <c r="D537" s="59"/>
      <c r="F537" s="59"/>
      <c r="H537" s="59"/>
      <c r="J537" s="59"/>
      <c r="L537" s="59"/>
      <c r="N537" s="59"/>
      <c r="P537" s="59"/>
      <c r="Q537" s="61"/>
    </row>
    <row r="538">
      <c r="B538" s="59"/>
      <c r="D538" s="59"/>
      <c r="F538" s="59"/>
      <c r="H538" s="59"/>
      <c r="J538" s="59"/>
      <c r="L538" s="59"/>
      <c r="N538" s="59"/>
      <c r="P538" s="59"/>
      <c r="Q538" s="61"/>
    </row>
    <row r="539">
      <c r="B539" s="59"/>
      <c r="D539" s="59"/>
      <c r="F539" s="59"/>
      <c r="H539" s="59"/>
      <c r="J539" s="59"/>
      <c r="L539" s="59"/>
      <c r="N539" s="59"/>
      <c r="P539" s="59"/>
      <c r="Q539" s="61"/>
    </row>
    <row r="540">
      <c r="B540" s="59"/>
      <c r="D540" s="59"/>
      <c r="F540" s="59"/>
      <c r="H540" s="59"/>
      <c r="J540" s="59"/>
      <c r="L540" s="59"/>
      <c r="N540" s="59"/>
      <c r="P540" s="59"/>
      <c r="Q540" s="61"/>
    </row>
    <row r="541">
      <c r="B541" s="59"/>
      <c r="D541" s="59"/>
      <c r="F541" s="59"/>
      <c r="H541" s="59"/>
      <c r="J541" s="59"/>
      <c r="L541" s="59"/>
      <c r="N541" s="59"/>
      <c r="P541" s="59"/>
      <c r="Q541" s="61"/>
    </row>
    <row r="542">
      <c r="B542" s="59"/>
      <c r="D542" s="59"/>
      <c r="F542" s="59"/>
      <c r="H542" s="59"/>
      <c r="J542" s="59"/>
      <c r="L542" s="59"/>
      <c r="N542" s="59"/>
      <c r="P542" s="59"/>
      <c r="Q542" s="61"/>
    </row>
    <row r="543">
      <c r="B543" s="59"/>
      <c r="D543" s="59"/>
      <c r="F543" s="59"/>
      <c r="H543" s="59"/>
      <c r="J543" s="59"/>
      <c r="L543" s="59"/>
      <c r="N543" s="59"/>
      <c r="P543" s="59"/>
      <c r="Q543" s="61"/>
    </row>
    <row r="544">
      <c r="B544" s="59"/>
      <c r="D544" s="59"/>
      <c r="F544" s="59"/>
      <c r="H544" s="59"/>
      <c r="J544" s="59"/>
      <c r="L544" s="59"/>
      <c r="N544" s="59"/>
      <c r="P544" s="59"/>
      <c r="Q544" s="61"/>
    </row>
    <row r="545">
      <c r="B545" s="59"/>
      <c r="D545" s="59"/>
      <c r="F545" s="59"/>
      <c r="H545" s="59"/>
      <c r="J545" s="59"/>
      <c r="L545" s="59"/>
      <c r="N545" s="59"/>
      <c r="P545" s="59"/>
      <c r="Q545" s="61"/>
    </row>
    <row r="546">
      <c r="B546" s="59"/>
      <c r="D546" s="59"/>
      <c r="F546" s="59"/>
      <c r="H546" s="59"/>
      <c r="J546" s="59"/>
      <c r="L546" s="59"/>
      <c r="N546" s="59"/>
      <c r="P546" s="59"/>
      <c r="Q546" s="61"/>
    </row>
    <row r="547">
      <c r="B547" s="59"/>
      <c r="D547" s="59"/>
      <c r="F547" s="59"/>
      <c r="H547" s="59"/>
      <c r="J547" s="59"/>
      <c r="L547" s="59"/>
      <c r="N547" s="59"/>
      <c r="P547" s="59"/>
      <c r="Q547" s="61"/>
    </row>
    <row r="548">
      <c r="B548" s="59"/>
      <c r="D548" s="59"/>
      <c r="F548" s="59"/>
      <c r="H548" s="59"/>
      <c r="J548" s="59"/>
      <c r="L548" s="59"/>
      <c r="N548" s="59"/>
      <c r="P548" s="59"/>
      <c r="Q548" s="61"/>
    </row>
    <row r="549">
      <c r="B549" s="59"/>
      <c r="D549" s="59"/>
      <c r="F549" s="59"/>
      <c r="H549" s="59"/>
      <c r="J549" s="59"/>
      <c r="L549" s="59"/>
      <c r="N549" s="59"/>
      <c r="P549" s="59"/>
      <c r="Q549" s="61"/>
    </row>
    <row r="550">
      <c r="B550" s="59"/>
      <c r="D550" s="59"/>
      <c r="F550" s="59"/>
      <c r="H550" s="59"/>
      <c r="J550" s="59"/>
      <c r="L550" s="59"/>
      <c r="N550" s="59"/>
      <c r="P550" s="59"/>
      <c r="Q550" s="61"/>
    </row>
    <row r="551">
      <c r="B551" s="59"/>
      <c r="D551" s="59"/>
      <c r="F551" s="59"/>
      <c r="H551" s="59"/>
      <c r="J551" s="59"/>
      <c r="L551" s="59"/>
      <c r="N551" s="59"/>
      <c r="P551" s="59"/>
      <c r="Q551" s="61"/>
    </row>
    <row r="552">
      <c r="B552" s="59"/>
      <c r="D552" s="59"/>
      <c r="F552" s="59"/>
      <c r="H552" s="59"/>
      <c r="J552" s="59"/>
      <c r="L552" s="59"/>
      <c r="N552" s="59"/>
      <c r="P552" s="59"/>
      <c r="Q552" s="61"/>
    </row>
    <row r="553">
      <c r="B553" s="59"/>
      <c r="D553" s="59"/>
      <c r="F553" s="59"/>
      <c r="H553" s="59"/>
      <c r="J553" s="59"/>
      <c r="L553" s="59"/>
      <c r="N553" s="59"/>
      <c r="P553" s="59"/>
      <c r="Q553" s="61"/>
    </row>
    <row r="554">
      <c r="B554" s="59"/>
      <c r="D554" s="59"/>
      <c r="F554" s="59"/>
      <c r="H554" s="59"/>
      <c r="J554" s="59"/>
      <c r="L554" s="59"/>
      <c r="N554" s="59"/>
      <c r="P554" s="59"/>
      <c r="Q554" s="61"/>
    </row>
    <row r="555">
      <c r="B555" s="59"/>
      <c r="D555" s="59"/>
      <c r="F555" s="59"/>
      <c r="H555" s="59"/>
      <c r="J555" s="59"/>
      <c r="L555" s="59"/>
      <c r="N555" s="59"/>
      <c r="P555" s="59"/>
      <c r="Q555" s="61"/>
    </row>
    <row r="556">
      <c r="B556" s="59"/>
      <c r="D556" s="59"/>
      <c r="F556" s="59"/>
      <c r="H556" s="59"/>
      <c r="J556" s="59"/>
      <c r="L556" s="59"/>
      <c r="N556" s="59"/>
      <c r="P556" s="59"/>
      <c r="Q556" s="61"/>
    </row>
    <row r="557">
      <c r="B557" s="59"/>
      <c r="D557" s="59"/>
      <c r="F557" s="59"/>
      <c r="H557" s="59"/>
      <c r="J557" s="59"/>
      <c r="L557" s="59"/>
      <c r="N557" s="59"/>
      <c r="P557" s="59"/>
      <c r="Q557" s="61"/>
    </row>
    <row r="558">
      <c r="B558" s="59"/>
      <c r="D558" s="59"/>
      <c r="F558" s="59"/>
      <c r="H558" s="59"/>
      <c r="J558" s="59"/>
      <c r="L558" s="59"/>
      <c r="N558" s="59"/>
      <c r="P558" s="59"/>
      <c r="Q558" s="61"/>
    </row>
    <row r="559">
      <c r="B559" s="59"/>
      <c r="D559" s="59"/>
      <c r="F559" s="59"/>
      <c r="H559" s="59"/>
      <c r="J559" s="59"/>
      <c r="L559" s="59"/>
      <c r="N559" s="59"/>
      <c r="P559" s="59"/>
      <c r="Q559" s="61"/>
    </row>
    <row r="560">
      <c r="B560" s="59"/>
      <c r="D560" s="59"/>
      <c r="F560" s="59"/>
      <c r="H560" s="59"/>
      <c r="J560" s="59"/>
      <c r="L560" s="59"/>
      <c r="N560" s="59"/>
      <c r="P560" s="59"/>
      <c r="Q560" s="61"/>
    </row>
    <row r="561">
      <c r="B561" s="59"/>
      <c r="D561" s="59"/>
      <c r="F561" s="59"/>
      <c r="H561" s="59"/>
      <c r="J561" s="59"/>
      <c r="L561" s="59"/>
      <c r="N561" s="59"/>
      <c r="P561" s="59"/>
      <c r="Q561" s="61"/>
    </row>
    <row r="562">
      <c r="B562" s="59"/>
      <c r="D562" s="59"/>
      <c r="F562" s="59"/>
      <c r="H562" s="59"/>
      <c r="J562" s="59"/>
      <c r="L562" s="59"/>
      <c r="N562" s="59"/>
      <c r="P562" s="59"/>
      <c r="Q562" s="61"/>
    </row>
    <row r="563">
      <c r="B563" s="59"/>
      <c r="D563" s="59"/>
      <c r="F563" s="59"/>
      <c r="H563" s="59"/>
      <c r="J563" s="59"/>
      <c r="L563" s="59"/>
      <c r="N563" s="59"/>
      <c r="P563" s="59"/>
      <c r="Q563" s="61"/>
    </row>
    <row r="564">
      <c r="B564" s="59"/>
      <c r="D564" s="59"/>
      <c r="F564" s="59"/>
      <c r="H564" s="59"/>
      <c r="J564" s="59"/>
      <c r="L564" s="59"/>
      <c r="N564" s="59"/>
      <c r="P564" s="59"/>
      <c r="Q564" s="61"/>
    </row>
    <row r="565">
      <c r="B565" s="59"/>
      <c r="D565" s="59"/>
      <c r="F565" s="59"/>
      <c r="H565" s="59"/>
      <c r="J565" s="59"/>
      <c r="L565" s="59"/>
      <c r="N565" s="59"/>
      <c r="P565" s="59"/>
      <c r="Q565" s="61"/>
    </row>
    <row r="566">
      <c r="B566" s="59"/>
      <c r="D566" s="59"/>
      <c r="F566" s="59"/>
      <c r="H566" s="59"/>
      <c r="J566" s="59"/>
      <c r="L566" s="59"/>
      <c r="N566" s="59"/>
      <c r="P566" s="59"/>
      <c r="Q566" s="61"/>
    </row>
    <row r="567">
      <c r="B567" s="59"/>
      <c r="D567" s="59"/>
      <c r="F567" s="59"/>
      <c r="H567" s="59"/>
      <c r="J567" s="59"/>
      <c r="L567" s="59"/>
      <c r="N567" s="59"/>
      <c r="P567" s="59"/>
      <c r="Q567" s="61"/>
    </row>
    <row r="568">
      <c r="B568" s="59"/>
      <c r="D568" s="59"/>
      <c r="F568" s="59"/>
      <c r="H568" s="59"/>
      <c r="J568" s="59"/>
      <c r="L568" s="59"/>
      <c r="N568" s="59"/>
      <c r="P568" s="59"/>
      <c r="Q568" s="61"/>
    </row>
    <row r="569">
      <c r="B569" s="59"/>
      <c r="D569" s="59"/>
      <c r="F569" s="59"/>
      <c r="H569" s="59"/>
      <c r="J569" s="59"/>
      <c r="L569" s="59"/>
      <c r="N569" s="59"/>
      <c r="P569" s="59"/>
      <c r="Q569" s="61"/>
    </row>
    <row r="570">
      <c r="B570" s="59"/>
      <c r="D570" s="59"/>
      <c r="F570" s="59"/>
      <c r="H570" s="59"/>
      <c r="J570" s="59"/>
      <c r="L570" s="59"/>
      <c r="N570" s="59"/>
      <c r="P570" s="59"/>
      <c r="Q570" s="61"/>
    </row>
    <row r="571">
      <c r="B571" s="59"/>
      <c r="D571" s="59"/>
      <c r="F571" s="59"/>
      <c r="H571" s="59"/>
      <c r="J571" s="59"/>
      <c r="L571" s="59"/>
      <c r="N571" s="59"/>
      <c r="P571" s="59"/>
      <c r="Q571" s="61"/>
    </row>
    <row r="572">
      <c r="B572" s="59"/>
      <c r="D572" s="59"/>
      <c r="F572" s="59"/>
      <c r="H572" s="59"/>
      <c r="J572" s="59"/>
      <c r="L572" s="59"/>
      <c r="N572" s="59"/>
      <c r="P572" s="59"/>
      <c r="Q572" s="61"/>
    </row>
    <row r="573">
      <c r="B573" s="59"/>
      <c r="D573" s="59"/>
      <c r="F573" s="59"/>
      <c r="H573" s="59"/>
      <c r="J573" s="59"/>
      <c r="L573" s="59"/>
      <c r="N573" s="59"/>
      <c r="P573" s="59"/>
      <c r="Q573" s="61"/>
    </row>
    <row r="574">
      <c r="B574" s="59"/>
      <c r="D574" s="59"/>
      <c r="F574" s="59"/>
      <c r="H574" s="59"/>
      <c r="J574" s="59"/>
      <c r="L574" s="59"/>
      <c r="N574" s="59"/>
      <c r="P574" s="59"/>
      <c r="Q574" s="61"/>
    </row>
    <row r="575">
      <c r="B575" s="59"/>
      <c r="D575" s="59"/>
      <c r="F575" s="59"/>
      <c r="H575" s="59"/>
      <c r="J575" s="59"/>
      <c r="L575" s="59"/>
      <c r="N575" s="59"/>
      <c r="P575" s="59"/>
      <c r="Q575" s="61"/>
    </row>
    <row r="576">
      <c r="B576" s="59"/>
      <c r="D576" s="59"/>
      <c r="F576" s="59"/>
      <c r="H576" s="59"/>
      <c r="J576" s="59"/>
      <c r="L576" s="59"/>
      <c r="N576" s="59"/>
      <c r="P576" s="59"/>
      <c r="Q576" s="61"/>
    </row>
    <row r="577">
      <c r="B577" s="59"/>
      <c r="D577" s="59"/>
      <c r="F577" s="59"/>
      <c r="H577" s="59"/>
      <c r="J577" s="59"/>
      <c r="L577" s="59"/>
      <c r="N577" s="59"/>
      <c r="P577" s="59"/>
      <c r="Q577" s="61"/>
    </row>
    <row r="578">
      <c r="B578" s="59"/>
      <c r="D578" s="59"/>
      <c r="F578" s="59"/>
      <c r="H578" s="59"/>
      <c r="J578" s="59"/>
      <c r="L578" s="59"/>
      <c r="N578" s="59"/>
      <c r="P578" s="59"/>
      <c r="Q578" s="61"/>
    </row>
    <row r="579">
      <c r="B579" s="59"/>
      <c r="D579" s="59"/>
      <c r="F579" s="59"/>
      <c r="H579" s="59"/>
      <c r="J579" s="59"/>
      <c r="L579" s="59"/>
      <c r="N579" s="59"/>
      <c r="P579" s="59"/>
      <c r="Q579" s="61"/>
    </row>
    <row r="580">
      <c r="B580" s="59"/>
      <c r="D580" s="59"/>
      <c r="F580" s="59"/>
      <c r="H580" s="59"/>
      <c r="J580" s="59"/>
      <c r="L580" s="59"/>
      <c r="N580" s="59"/>
      <c r="P580" s="59"/>
      <c r="Q580" s="61"/>
    </row>
    <row r="581">
      <c r="B581" s="59"/>
      <c r="D581" s="59"/>
      <c r="F581" s="59"/>
      <c r="H581" s="59"/>
      <c r="J581" s="59"/>
      <c r="L581" s="59"/>
      <c r="N581" s="59"/>
      <c r="P581" s="59"/>
      <c r="Q581" s="61"/>
    </row>
    <row r="582">
      <c r="B582" s="59"/>
      <c r="D582" s="59"/>
      <c r="F582" s="59"/>
      <c r="H582" s="59"/>
      <c r="J582" s="59"/>
      <c r="L582" s="59"/>
      <c r="N582" s="59"/>
      <c r="P582" s="59"/>
      <c r="Q582" s="61"/>
    </row>
    <row r="583">
      <c r="B583" s="59"/>
      <c r="D583" s="59"/>
      <c r="F583" s="59"/>
      <c r="H583" s="59"/>
      <c r="J583" s="59"/>
      <c r="L583" s="59"/>
      <c r="N583" s="59"/>
      <c r="P583" s="59"/>
      <c r="Q583" s="61"/>
    </row>
    <row r="584">
      <c r="B584" s="59"/>
      <c r="D584" s="59"/>
      <c r="F584" s="59"/>
      <c r="H584" s="59"/>
      <c r="J584" s="59"/>
      <c r="L584" s="59"/>
      <c r="N584" s="59"/>
      <c r="P584" s="59"/>
      <c r="Q584" s="61"/>
    </row>
    <row r="585">
      <c r="B585" s="59"/>
      <c r="D585" s="59"/>
      <c r="F585" s="59"/>
      <c r="H585" s="59"/>
      <c r="J585" s="59"/>
      <c r="L585" s="59"/>
      <c r="N585" s="59"/>
      <c r="P585" s="59"/>
      <c r="Q585" s="61"/>
    </row>
    <row r="586">
      <c r="B586" s="59"/>
      <c r="D586" s="59"/>
      <c r="F586" s="59"/>
      <c r="H586" s="59"/>
      <c r="J586" s="59"/>
      <c r="L586" s="59"/>
      <c r="N586" s="59"/>
      <c r="P586" s="59"/>
      <c r="Q586" s="61"/>
    </row>
    <row r="587">
      <c r="B587" s="59"/>
      <c r="D587" s="59"/>
      <c r="F587" s="59"/>
      <c r="H587" s="59"/>
      <c r="J587" s="59"/>
      <c r="L587" s="59"/>
      <c r="N587" s="59"/>
      <c r="P587" s="59"/>
      <c r="Q587" s="61"/>
    </row>
    <row r="588">
      <c r="B588" s="59"/>
      <c r="D588" s="59"/>
      <c r="F588" s="59"/>
      <c r="H588" s="59"/>
      <c r="J588" s="59"/>
      <c r="L588" s="59"/>
      <c r="N588" s="59"/>
      <c r="P588" s="59"/>
      <c r="Q588" s="61"/>
    </row>
    <row r="589">
      <c r="B589" s="59"/>
      <c r="D589" s="59"/>
      <c r="F589" s="59"/>
      <c r="H589" s="59"/>
      <c r="J589" s="59"/>
      <c r="L589" s="59"/>
      <c r="N589" s="59"/>
      <c r="P589" s="59"/>
      <c r="Q589" s="61"/>
    </row>
    <row r="590">
      <c r="B590" s="59"/>
      <c r="D590" s="59"/>
      <c r="F590" s="59"/>
      <c r="H590" s="59"/>
      <c r="J590" s="59"/>
      <c r="L590" s="59"/>
      <c r="N590" s="59"/>
      <c r="P590" s="59"/>
      <c r="Q590" s="61"/>
    </row>
    <row r="591">
      <c r="B591" s="59"/>
      <c r="D591" s="59"/>
      <c r="F591" s="59"/>
      <c r="H591" s="59"/>
      <c r="J591" s="59"/>
      <c r="L591" s="59"/>
      <c r="N591" s="59"/>
      <c r="P591" s="59"/>
      <c r="Q591" s="61"/>
    </row>
    <row r="592">
      <c r="B592" s="59"/>
      <c r="D592" s="59"/>
      <c r="F592" s="59"/>
      <c r="H592" s="59"/>
      <c r="J592" s="59"/>
      <c r="L592" s="59"/>
      <c r="N592" s="59"/>
      <c r="P592" s="59"/>
      <c r="Q592" s="61"/>
    </row>
    <row r="593">
      <c r="B593" s="59"/>
      <c r="D593" s="59"/>
      <c r="F593" s="59"/>
      <c r="H593" s="59"/>
      <c r="J593" s="59"/>
      <c r="L593" s="59"/>
      <c r="N593" s="59"/>
      <c r="P593" s="59"/>
      <c r="Q593" s="61"/>
    </row>
    <row r="594">
      <c r="B594" s="59"/>
      <c r="D594" s="59"/>
      <c r="F594" s="59"/>
      <c r="H594" s="59"/>
      <c r="J594" s="59"/>
      <c r="L594" s="59"/>
      <c r="N594" s="59"/>
      <c r="P594" s="59"/>
      <c r="Q594" s="61"/>
    </row>
    <row r="595">
      <c r="B595" s="59"/>
      <c r="D595" s="59"/>
      <c r="F595" s="59"/>
      <c r="H595" s="59"/>
      <c r="J595" s="59"/>
      <c r="L595" s="59"/>
      <c r="N595" s="59"/>
      <c r="P595" s="59"/>
      <c r="Q595" s="61"/>
    </row>
    <row r="596">
      <c r="B596" s="59"/>
      <c r="D596" s="59"/>
      <c r="F596" s="59"/>
      <c r="H596" s="59"/>
      <c r="J596" s="59"/>
      <c r="L596" s="59"/>
      <c r="N596" s="59"/>
      <c r="P596" s="59"/>
      <c r="Q596" s="61"/>
    </row>
    <row r="597">
      <c r="B597" s="59"/>
      <c r="D597" s="59"/>
      <c r="F597" s="59"/>
      <c r="H597" s="59"/>
      <c r="J597" s="59"/>
      <c r="L597" s="59"/>
      <c r="N597" s="59"/>
      <c r="P597" s="59"/>
      <c r="Q597" s="61"/>
    </row>
    <row r="598">
      <c r="B598" s="59"/>
      <c r="D598" s="59"/>
      <c r="F598" s="59"/>
      <c r="H598" s="59"/>
      <c r="J598" s="59"/>
      <c r="L598" s="59"/>
      <c r="N598" s="59"/>
      <c r="P598" s="59"/>
      <c r="Q598" s="61"/>
    </row>
    <row r="599">
      <c r="B599" s="59"/>
      <c r="D599" s="59"/>
      <c r="F599" s="59"/>
      <c r="H599" s="59"/>
      <c r="J599" s="59"/>
      <c r="L599" s="59"/>
      <c r="N599" s="59"/>
      <c r="P599" s="59"/>
      <c r="Q599" s="61"/>
    </row>
    <row r="600">
      <c r="B600" s="59"/>
      <c r="D600" s="59"/>
      <c r="F600" s="59"/>
      <c r="H600" s="59"/>
      <c r="J600" s="59"/>
      <c r="L600" s="59"/>
      <c r="N600" s="59"/>
      <c r="P600" s="59"/>
      <c r="Q600" s="61"/>
    </row>
    <row r="601">
      <c r="B601" s="59"/>
      <c r="D601" s="59"/>
      <c r="F601" s="59"/>
      <c r="H601" s="59"/>
      <c r="J601" s="59"/>
      <c r="L601" s="59"/>
      <c r="N601" s="59"/>
      <c r="P601" s="59"/>
      <c r="Q601" s="61"/>
    </row>
    <row r="602">
      <c r="B602" s="59"/>
      <c r="D602" s="59"/>
      <c r="F602" s="59"/>
      <c r="H602" s="59"/>
      <c r="J602" s="59"/>
      <c r="L602" s="59"/>
      <c r="N602" s="59"/>
      <c r="P602" s="59"/>
      <c r="Q602" s="61"/>
    </row>
    <row r="603">
      <c r="B603" s="59"/>
      <c r="D603" s="59"/>
      <c r="F603" s="59"/>
      <c r="H603" s="59"/>
      <c r="J603" s="59"/>
      <c r="L603" s="59"/>
      <c r="N603" s="59"/>
      <c r="P603" s="59"/>
      <c r="Q603" s="61"/>
    </row>
    <row r="604">
      <c r="B604" s="59"/>
      <c r="D604" s="59"/>
      <c r="F604" s="59"/>
      <c r="H604" s="59"/>
      <c r="J604" s="59"/>
      <c r="L604" s="59"/>
      <c r="N604" s="59"/>
      <c r="P604" s="59"/>
      <c r="Q604" s="61"/>
    </row>
    <row r="605">
      <c r="B605" s="59"/>
      <c r="D605" s="59"/>
      <c r="F605" s="59"/>
      <c r="H605" s="59"/>
      <c r="J605" s="59"/>
      <c r="L605" s="59"/>
      <c r="N605" s="59"/>
      <c r="P605" s="59"/>
      <c r="Q605" s="61"/>
    </row>
    <row r="606">
      <c r="B606" s="59"/>
      <c r="D606" s="59"/>
      <c r="F606" s="59"/>
      <c r="H606" s="59"/>
      <c r="J606" s="59"/>
      <c r="L606" s="59"/>
      <c r="N606" s="59"/>
      <c r="P606" s="59"/>
      <c r="Q606" s="61"/>
    </row>
    <row r="607">
      <c r="B607" s="59"/>
      <c r="D607" s="59"/>
      <c r="F607" s="59"/>
      <c r="H607" s="59"/>
      <c r="J607" s="59"/>
      <c r="L607" s="59"/>
      <c r="N607" s="59"/>
      <c r="P607" s="59"/>
      <c r="Q607" s="61"/>
    </row>
    <row r="608">
      <c r="B608" s="59"/>
      <c r="D608" s="59"/>
      <c r="F608" s="59"/>
      <c r="H608" s="59"/>
      <c r="J608" s="59"/>
      <c r="L608" s="59"/>
      <c r="N608" s="59"/>
      <c r="P608" s="59"/>
      <c r="Q608" s="61"/>
    </row>
    <row r="609">
      <c r="B609" s="59"/>
      <c r="D609" s="59"/>
      <c r="F609" s="59"/>
      <c r="H609" s="59"/>
      <c r="J609" s="59"/>
      <c r="L609" s="59"/>
      <c r="N609" s="59"/>
      <c r="P609" s="59"/>
      <c r="Q609" s="61"/>
    </row>
    <row r="610">
      <c r="B610" s="59"/>
      <c r="D610" s="59"/>
      <c r="F610" s="59"/>
      <c r="H610" s="59"/>
      <c r="J610" s="59"/>
      <c r="L610" s="59"/>
      <c r="N610" s="59"/>
      <c r="P610" s="59"/>
      <c r="Q610" s="61"/>
    </row>
    <row r="611">
      <c r="B611" s="59"/>
      <c r="D611" s="59"/>
      <c r="F611" s="59"/>
      <c r="H611" s="59"/>
      <c r="J611" s="59"/>
      <c r="L611" s="59"/>
      <c r="N611" s="59"/>
      <c r="P611" s="59"/>
      <c r="Q611" s="61"/>
    </row>
    <row r="612">
      <c r="B612" s="59"/>
      <c r="D612" s="59"/>
      <c r="F612" s="59"/>
      <c r="H612" s="59"/>
      <c r="J612" s="59"/>
      <c r="L612" s="59"/>
      <c r="N612" s="59"/>
      <c r="P612" s="59"/>
      <c r="Q612" s="61"/>
    </row>
    <row r="613">
      <c r="B613" s="59"/>
      <c r="D613" s="59"/>
      <c r="F613" s="59"/>
      <c r="H613" s="59"/>
      <c r="J613" s="59"/>
      <c r="L613" s="59"/>
      <c r="N613" s="59"/>
      <c r="P613" s="59"/>
      <c r="Q613" s="61"/>
    </row>
    <row r="614">
      <c r="B614" s="59"/>
      <c r="D614" s="59"/>
      <c r="F614" s="59"/>
      <c r="H614" s="59"/>
      <c r="J614" s="59"/>
      <c r="L614" s="59"/>
      <c r="N614" s="59"/>
      <c r="P614" s="59"/>
      <c r="Q614" s="61"/>
    </row>
    <row r="615">
      <c r="B615" s="59"/>
      <c r="D615" s="59"/>
      <c r="F615" s="59"/>
      <c r="H615" s="59"/>
      <c r="J615" s="59"/>
      <c r="L615" s="59"/>
      <c r="N615" s="59"/>
      <c r="P615" s="59"/>
      <c r="Q615" s="61"/>
    </row>
    <row r="616">
      <c r="B616" s="59"/>
      <c r="D616" s="59"/>
      <c r="F616" s="59"/>
      <c r="H616" s="59"/>
      <c r="J616" s="59"/>
      <c r="L616" s="59"/>
      <c r="N616" s="59"/>
      <c r="P616" s="59"/>
      <c r="Q616" s="61"/>
    </row>
    <row r="617">
      <c r="B617" s="59"/>
      <c r="D617" s="59"/>
      <c r="F617" s="59"/>
      <c r="H617" s="59"/>
      <c r="J617" s="59"/>
      <c r="L617" s="59"/>
      <c r="N617" s="59"/>
      <c r="P617" s="59"/>
      <c r="Q617" s="61"/>
    </row>
    <row r="618">
      <c r="B618" s="59"/>
      <c r="D618" s="59"/>
      <c r="F618" s="59"/>
      <c r="H618" s="59"/>
      <c r="J618" s="59"/>
      <c r="L618" s="59"/>
      <c r="N618" s="59"/>
      <c r="P618" s="59"/>
      <c r="Q618" s="61"/>
    </row>
    <row r="619">
      <c r="B619" s="59"/>
      <c r="D619" s="59"/>
      <c r="F619" s="59"/>
      <c r="H619" s="59"/>
      <c r="J619" s="59"/>
      <c r="L619" s="59"/>
      <c r="N619" s="59"/>
      <c r="P619" s="59"/>
      <c r="Q619" s="61"/>
    </row>
    <row r="620">
      <c r="B620" s="59"/>
      <c r="D620" s="59"/>
      <c r="F620" s="59"/>
      <c r="H620" s="59"/>
      <c r="J620" s="59"/>
      <c r="L620" s="59"/>
      <c r="N620" s="59"/>
      <c r="P620" s="59"/>
      <c r="Q620" s="61"/>
    </row>
    <row r="621">
      <c r="B621" s="59"/>
      <c r="D621" s="59"/>
      <c r="F621" s="59"/>
      <c r="H621" s="59"/>
      <c r="J621" s="59"/>
      <c r="L621" s="59"/>
      <c r="N621" s="59"/>
      <c r="P621" s="59"/>
      <c r="Q621" s="61"/>
    </row>
    <row r="622">
      <c r="B622" s="59"/>
      <c r="D622" s="59"/>
      <c r="F622" s="59"/>
      <c r="H622" s="59"/>
      <c r="J622" s="59"/>
      <c r="L622" s="59"/>
      <c r="N622" s="59"/>
      <c r="P622" s="59"/>
      <c r="Q622" s="61"/>
    </row>
    <row r="623">
      <c r="B623" s="59"/>
      <c r="D623" s="59"/>
      <c r="F623" s="59"/>
      <c r="H623" s="59"/>
      <c r="J623" s="59"/>
      <c r="L623" s="59"/>
      <c r="N623" s="59"/>
      <c r="P623" s="59"/>
      <c r="Q623" s="61"/>
    </row>
    <row r="624">
      <c r="B624" s="59"/>
      <c r="D624" s="59"/>
      <c r="F624" s="59"/>
      <c r="H624" s="59"/>
      <c r="J624" s="59"/>
      <c r="L624" s="59"/>
      <c r="N624" s="59"/>
      <c r="P624" s="59"/>
      <c r="Q624" s="61"/>
    </row>
    <row r="625">
      <c r="B625" s="59"/>
      <c r="D625" s="59"/>
      <c r="F625" s="59"/>
      <c r="H625" s="59"/>
      <c r="J625" s="59"/>
      <c r="L625" s="59"/>
      <c r="N625" s="59"/>
      <c r="P625" s="59"/>
      <c r="Q625" s="61"/>
    </row>
    <row r="626">
      <c r="B626" s="59"/>
      <c r="D626" s="59"/>
      <c r="F626" s="59"/>
      <c r="H626" s="59"/>
      <c r="J626" s="59"/>
      <c r="L626" s="59"/>
      <c r="N626" s="59"/>
      <c r="P626" s="59"/>
      <c r="Q626" s="61"/>
    </row>
    <row r="627">
      <c r="B627" s="59"/>
      <c r="D627" s="59"/>
      <c r="F627" s="59"/>
      <c r="H627" s="59"/>
      <c r="J627" s="59"/>
      <c r="L627" s="59"/>
      <c r="N627" s="59"/>
      <c r="P627" s="59"/>
      <c r="Q627" s="61"/>
    </row>
    <row r="628">
      <c r="B628" s="59"/>
      <c r="D628" s="59"/>
      <c r="F628" s="59"/>
      <c r="H628" s="59"/>
      <c r="J628" s="59"/>
      <c r="L628" s="59"/>
      <c r="N628" s="59"/>
      <c r="P628" s="59"/>
      <c r="Q628" s="61"/>
    </row>
    <row r="629">
      <c r="B629" s="59"/>
      <c r="D629" s="59"/>
      <c r="F629" s="59"/>
      <c r="H629" s="59"/>
      <c r="J629" s="59"/>
      <c r="L629" s="59"/>
      <c r="N629" s="59"/>
      <c r="P629" s="59"/>
      <c r="Q629" s="61"/>
    </row>
    <row r="630">
      <c r="B630" s="59"/>
      <c r="D630" s="59"/>
      <c r="F630" s="59"/>
      <c r="H630" s="59"/>
      <c r="J630" s="59"/>
      <c r="L630" s="59"/>
      <c r="N630" s="59"/>
      <c r="P630" s="59"/>
      <c r="Q630" s="61"/>
    </row>
    <row r="631">
      <c r="B631" s="59"/>
      <c r="D631" s="59"/>
      <c r="F631" s="59"/>
      <c r="H631" s="59"/>
      <c r="J631" s="59"/>
      <c r="L631" s="59"/>
      <c r="N631" s="59"/>
      <c r="P631" s="59"/>
      <c r="Q631" s="61"/>
    </row>
    <row r="632">
      <c r="B632" s="59"/>
      <c r="D632" s="59"/>
      <c r="F632" s="59"/>
      <c r="H632" s="59"/>
      <c r="J632" s="59"/>
      <c r="L632" s="59"/>
      <c r="N632" s="59"/>
      <c r="P632" s="59"/>
      <c r="Q632" s="61"/>
    </row>
    <row r="633">
      <c r="B633" s="59"/>
      <c r="D633" s="59"/>
      <c r="F633" s="59"/>
      <c r="H633" s="59"/>
      <c r="J633" s="59"/>
      <c r="L633" s="59"/>
      <c r="N633" s="59"/>
      <c r="P633" s="59"/>
      <c r="Q633" s="61"/>
    </row>
    <row r="634">
      <c r="B634" s="59"/>
      <c r="D634" s="59"/>
      <c r="F634" s="59"/>
      <c r="H634" s="59"/>
      <c r="J634" s="59"/>
      <c r="L634" s="59"/>
      <c r="N634" s="59"/>
      <c r="P634" s="59"/>
      <c r="Q634" s="61"/>
    </row>
    <row r="635">
      <c r="B635" s="59"/>
      <c r="D635" s="59"/>
      <c r="F635" s="59"/>
      <c r="H635" s="59"/>
      <c r="J635" s="59"/>
      <c r="L635" s="59"/>
      <c r="N635" s="59"/>
      <c r="P635" s="59"/>
      <c r="Q635" s="61"/>
    </row>
    <row r="636">
      <c r="B636" s="59"/>
      <c r="D636" s="59"/>
      <c r="F636" s="59"/>
      <c r="H636" s="59"/>
      <c r="J636" s="59"/>
      <c r="L636" s="59"/>
      <c r="N636" s="59"/>
      <c r="P636" s="59"/>
      <c r="Q636" s="61"/>
    </row>
    <row r="637">
      <c r="B637" s="59"/>
      <c r="D637" s="59"/>
      <c r="F637" s="59"/>
      <c r="H637" s="59"/>
      <c r="J637" s="59"/>
      <c r="L637" s="59"/>
      <c r="N637" s="59"/>
      <c r="P637" s="59"/>
      <c r="Q637" s="61"/>
    </row>
    <row r="638">
      <c r="B638" s="59"/>
      <c r="D638" s="59"/>
      <c r="F638" s="59"/>
      <c r="H638" s="59"/>
      <c r="J638" s="59"/>
      <c r="L638" s="59"/>
      <c r="N638" s="59"/>
      <c r="P638" s="59"/>
      <c r="Q638" s="61"/>
    </row>
    <row r="639">
      <c r="B639" s="59"/>
      <c r="D639" s="59"/>
      <c r="F639" s="59"/>
      <c r="H639" s="59"/>
      <c r="J639" s="59"/>
      <c r="L639" s="59"/>
      <c r="N639" s="59"/>
      <c r="P639" s="59"/>
      <c r="Q639" s="61"/>
    </row>
    <row r="640">
      <c r="B640" s="59"/>
      <c r="D640" s="59"/>
      <c r="F640" s="59"/>
      <c r="H640" s="59"/>
      <c r="J640" s="59"/>
      <c r="L640" s="59"/>
      <c r="N640" s="59"/>
      <c r="P640" s="59"/>
      <c r="Q640" s="61"/>
    </row>
    <row r="641">
      <c r="B641" s="59"/>
      <c r="D641" s="59"/>
      <c r="F641" s="59"/>
      <c r="H641" s="59"/>
      <c r="J641" s="59"/>
      <c r="L641" s="59"/>
      <c r="N641" s="59"/>
      <c r="P641" s="59"/>
      <c r="Q641" s="61"/>
    </row>
    <row r="642">
      <c r="B642" s="59"/>
      <c r="D642" s="59"/>
      <c r="F642" s="59"/>
      <c r="H642" s="59"/>
      <c r="J642" s="59"/>
      <c r="L642" s="59"/>
      <c r="N642" s="59"/>
      <c r="P642" s="59"/>
      <c r="Q642" s="61"/>
    </row>
    <row r="643">
      <c r="B643" s="59"/>
      <c r="D643" s="59"/>
      <c r="F643" s="59"/>
      <c r="H643" s="59"/>
      <c r="J643" s="59"/>
      <c r="L643" s="59"/>
      <c r="N643" s="59"/>
      <c r="P643" s="59"/>
      <c r="Q643" s="61"/>
    </row>
    <row r="644">
      <c r="B644" s="59"/>
      <c r="D644" s="59"/>
      <c r="F644" s="59"/>
      <c r="H644" s="59"/>
      <c r="J644" s="59"/>
      <c r="L644" s="59"/>
      <c r="N644" s="59"/>
      <c r="P644" s="59"/>
      <c r="Q644" s="61"/>
    </row>
    <row r="645">
      <c r="B645" s="59"/>
      <c r="D645" s="59"/>
      <c r="F645" s="59"/>
      <c r="H645" s="59"/>
      <c r="J645" s="59"/>
      <c r="L645" s="59"/>
      <c r="N645" s="59"/>
      <c r="P645" s="59"/>
      <c r="Q645" s="61"/>
    </row>
    <row r="646">
      <c r="B646" s="59"/>
      <c r="D646" s="59"/>
      <c r="F646" s="59"/>
      <c r="H646" s="59"/>
      <c r="J646" s="59"/>
      <c r="L646" s="59"/>
      <c r="N646" s="59"/>
      <c r="P646" s="59"/>
      <c r="Q646" s="61"/>
    </row>
    <row r="647">
      <c r="B647" s="59"/>
      <c r="D647" s="59"/>
      <c r="F647" s="59"/>
      <c r="H647" s="59"/>
      <c r="J647" s="59"/>
      <c r="L647" s="59"/>
      <c r="N647" s="59"/>
      <c r="P647" s="59"/>
      <c r="Q647" s="61"/>
    </row>
    <row r="648">
      <c r="B648" s="59"/>
      <c r="D648" s="59"/>
      <c r="F648" s="59"/>
      <c r="H648" s="59"/>
      <c r="J648" s="59"/>
      <c r="L648" s="59"/>
      <c r="N648" s="59"/>
      <c r="P648" s="59"/>
      <c r="Q648" s="61"/>
    </row>
    <row r="649">
      <c r="B649" s="59"/>
      <c r="D649" s="59"/>
      <c r="F649" s="59"/>
      <c r="H649" s="59"/>
      <c r="J649" s="59"/>
      <c r="L649" s="59"/>
      <c r="N649" s="59"/>
      <c r="P649" s="59"/>
      <c r="Q649" s="61"/>
    </row>
    <row r="650">
      <c r="B650" s="59"/>
      <c r="D650" s="59"/>
      <c r="F650" s="59"/>
      <c r="H650" s="59"/>
      <c r="J650" s="59"/>
      <c r="L650" s="59"/>
      <c r="N650" s="59"/>
      <c r="P650" s="59"/>
      <c r="Q650" s="61"/>
    </row>
    <row r="651">
      <c r="B651" s="59"/>
      <c r="D651" s="59"/>
      <c r="F651" s="59"/>
      <c r="H651" s="59"/>
      <c r="J651" s="59"/>
      <c r="L651" s="59"/>
      <c r="N651" s="59"/>
      <c r="P651" s="59"/>
      <c r="Q651" s="61"/>
    </row>
    <row r="652">
      <c r="B652" s="59"/>
      <c r="D652" s="59"/>
      <c r="F652" s="59"/>
      <c r="H652" s="59"/>
      <c r="J652" s="59"/>
      <c r="L652" s="59"/>
      <c r="N652" s="59"/>
      <c r="P652" s="59"/>
      <c r="Q652" s="61"/>
    </row>
    <row r="653">
      <c r="B653" s="59"/>
      <c r="D653" s="59"/>
      <c r="F653" s="59"/>
      <c r="H653" s="59"/>
      <c r="J653" s="59"/>
      <c r="L653" s="59"/>
      <c r="N653" s="59"/>
      <c r="P653" s="59"/>
      <c r="Q653" s="61"/>
    </row>
    <row r="654">
      <c r="B654" s="59"/>
      <c r="D654" s="59"/>
      <c r="F654" s="59"/>
      <c r="H654" s="59"/>
      <c r="J654" s="59"/>
      <c r="L654" s="59"/>
      <c r="N654" s="59"/>
      <c r="P654" s="59"/>
      <c r="Q654" s="61"/>
    </row>
    <row r="655">
      <c r="B655" s="59"/>
      <c r="D655" s="59"/>
      <c r="F655" s="59"/>
      <c r="H655" s="59"/>
      <c r="J655" s="59"/>
      <c r="L655" s="59"/>
      <c r="N655" s="59"/>
      <c r="P655" s="59"/>
      <c r="Q655" s="61"/>
    </row>
    <row r="656">
      <c r="B656" s="59"/>
      <c r="D656" s="59"/>
      <c r="F656" s="59"/>
      <c r="H656" s="59"/>
      <c r="J656" s="59"/>
      <c r="L656" s="59"/>
      <c r="N656" s="59"/>
      <c r="P656" s="59"/>
      <c r="Q656" s="61"/>
    </row>
    <row r="657">
      <c r="B657" s="59"/>
      <c r="D657" s="59"/>
      <c r="F657" s="59"/>
      <c r="H657" s="59"/>
      <c r="J657" s="59"/>
      <c r="L657" s="59"/>
      <c r="N657" s="59"/>
      <c r="P657" s="59"/>
      <c r="Q657" s="61"/>
    </row>
    <row r="658">
      <c r="B658" s="59"/>
      <c r="D658" s="59"/>
      <c r="F658" s="59"/>
      <c r="H658" s="59"/>
      <c r="J658" s="59"/>
      <c r="L658" s="59"/>
      <c r="N658" s="59"/>
      <c r="P658" s="59"/>
      <c r="Q658" s="61"/>
    </row>
    <row r="659">
      <c r="B659" s="59"/>
      <c r="D659" s="59"/>
      <c r="F659" s="59"/>
      <c r="H659" s="59"/>
      <c r="J659" s="59"/>
      <c r="L659" s="59"/>
      <c r="N659" s="59"/>
      <c r="P659" s="59"/>
      <c r="Q659" s="61"/>
    </row>
    <row r="660">
      <c r="B660" s="59"/>
      <c r="D660" s="59"/>
      <c r="F660" s="59"/>
      <c r="H660" s="59"/>
      <c r="J660" s="59"/>
      <c r="L660" s="59"/>
      <c r="N660" s="59"/>
      <c r="P660" s="59"/>
      <c r="Q660" s="61"/>
    </row>
    <row r="661">
      <c r="B661" s="59"/>
      <c r="D661" s="59"/>
      <c r="F661" s="59"/>
      <c r="H661" s="59"/>
      <c r="J661" s="59"/>
      <c r="L661" s="59"/>
      <c r="N661" s="59"/>
      <c r="P661" s="59"/>
      <c r="Q661" s="61"/>
    </row>
    <row r="662">
      <c r="B662" s="59"/>
      <c r="D662" s="59"/>
      <c r="F662" s="59"/>
      <c r="H662" s="59"/>
      <c r="J662" s="59"/>
      <c r="L662" s="59"/>
      <c r="N662" s="59"/>
      <c r="P662" s="59"/>
      <c r="Q662" s="61"/>
    </row>
    <row r="663">
      <c r="B663" s="59"/>
      <c r="D663" s="59"/>
      <c r="F663" s="59"/>
      <c r="H663" s="59"/>
      <c r="J663" s="59"/>
      <c r="L663" s="59"/>
      <c r="N663" s="59"/>
      <c r="P663" s="59"/>
      <c r="Q663" s="61"/>
    </row>
    <row r="664">
      <c r="B664" s="59"/>
      <c r="D664" s="59"/>
      <c r="F664" s="59"/>
      <c r="H664" s="59"/>
      <c r="J664" s="59"/>
      <c r="L664" s="59"/>
      <c r="N664" s="59"/>
      <c r="P664" s="59"/>
      <c r="Q664" s="61"/>
    </row>
    <row r="665">
      <c r="B665" s="59"/>
      <c r="D665" s="59"/>
      <c r="F665" s="59"/>
      <c r="H665" s="59"/>
      <c r="J665" s="59"/>
      <c r="L665" s="59"/>
      <c r="N665" s="59"/>
      <c r="P665" s="59"/>
      <c r="Q665" s="61"/>
    </row>
    <row r="666">
      <c r="B666" s="59"/>
      <c r="D666" s="59"/>
      <c r="F666" s="59"/>
      <c r="H666" s="59"/>
      <c r="J666" s="59"/>
      <c r="L666" s="59"/>
      <c r="N666" s="59"/>
      <c r="P666" s="59"/>
      <c r="Q666" s="61"/>
    </row>
    <row r="667">
      <c r="B667" s="59"/>
      <c r="D667" s="59"/>
      <c r="F667" s="59"/>
      <c r="H667" s="59"/>
      <c r="J667" s="59"/>
      <c r="L667" s="59"/>
      <c r="N667" s="59"/>
      <c r="P667" s="59"/>
      <c r="Q667" s="61"/>
    </row>
    <row r="668">
      <c r="B668" s="59"/>
      <c r="D668" s="59"/>
      <c r="F668" s="59"/>
      <c r="H668" s="59"/>
      <c r="J668" s="59"/>
      <c r="L668" s="59"/>
      <c r="N668" s="59"/>
      <c r="P668" s="59"/>
      <c r="Q668" s="61"/>
    </row>
    <row r="669">
      <c r="B669" s="59"/>
      <c r="D669" s="59"/>
      <c r="F669" s="59"/>
      <c r="H669" s="59"/>
      <c r="J669" s="59"/>
      <c r="L669" s="59"/>
      <c r="N669" s="59"/>
      <c r="P669" s="59"/>
      <c r="Q669" s="61"/>
    </row>
    <row r="670">
      <c r="B670" s="59"/>
      <c r="D670" s="59"/>
      <c r="F670" s="59"/>
      <c r="H670" s="59"/>
      <c r="J670" s="59"/>
      <c r="L670" s="59"/>
      <c r="N670" s="59"/>
      <c r="P670" s="59"/>
      <c r="Q670" s="61"/>
    </row>
    <row r="671">
      <c r="B671" s="59"/>
      <c r="D671" s="59"/>
      <c r="F671" s="59"/>
      <c r="H671" s="59"/>
      <c r="J671" s="59"/>
      <c r="L671" s="59"/>
      <c r="N671" s="59"/>
      <c r="P671" s="59"/>
      <c r="Q671" s="61"/>
    </row>
    <row r="672">
      <c r="B672" s="59"/>
      <c r="D672" s="59"/>
      <c r="F672" s="59"/>
      <c r="H672" s="59"/>
      <c r="J672" s="59"/>
      <c r="L672" s="59"/>
      <c r="N672" s="59"/>
      <c r="P672" s="59"/>
      <c r="Q672" s="61"/>
    </row>
    <row r="673">
      <c r="B673" s="59"/>
      <c r="D673" s="59"/>
      <c r="F673" s="59"/>
      <c r="H673" s="59"/>
      <c r="J673" s="59"/>
      <c r="L673" s="59"/>
      <c r="N673" s="59"/>
      <c r="P673" s="59"/>
      <c r="Q673" s="61"/>
    </row>
    <row r="674">
      <c r="B674" s="59"/>
      <c r="D674" s="59"/>
      <c r="F674" s="59"/>
      <c r="H674" s="59"/>
      <c r="J674" s="59"/>
      <c r="L674" s="59"/>
      <c r="N674" s="59"/>
      <c r="P674" s="59"/>
      <c r="Q674" s="61"/>
    </row>
    <row r="675">
      <c r="B675" s="59"/>
      <c r="D675" s="59"/>
      <c r="F675" s="59"/>
      <c r="H675" s="59"/>
      <c r="J675" s="59"/>
      <c r="L675" s="59"/>
      <c r="N675" s="59"/>
      <c r="P675" s="59"/>
      <c r="Q675" s="61"/>
    </row>
    <row r="676">
      <c r="B676" s="59"/>
      <c r="D676" s="59"/>
      <c r="F676" s="59"/>
      <c r="H676" s="59"/>
      <c r="J676" s="59"/>
      <c r="L676" s="59"/>
      <c r="N676" s="59"/>
      <c r="P676" s="59"/>
      <c r="Q676" s="61"/>
    </row>
    <row r="677">
      <c r="B677" s="59"/>
      <c r="D677" s="59"/>
      <c r="F677" s="59"/>
      <c r="H677" s="59"/>
      <c r="J677" s="59"/>
      <c r="L677" s="59"/>
      <c r="N677" s="59"/>
      <c r="P677" s="59"/>
      <c r="Q677" s="61"/>
    </row>
    <row r="678">
      <c r="B678" s="59"/>
      <c r="D678" s="59"/>
      <c r="F678" s="59"/>
      <c r="H678" s="59"/>
      <c r="J678" s="59"/>
      <c r="L678" s="59"/>
      <c r="N678" s="59"/>
      <c r="P678" s="59"/>
      <c r="Q678" s="61"/>
    </row>
    <row r="679">
      <c r="B679" s="59"/>
      <c r="D679" s="59"/>
      <c r="F679" s="59"/>
      <c r="H679" s="59"/>
      <c r="J679" s="59"/>
      <c r="L679" s="59"/>
      <c r="N679" s="59"/>
      <c r="P679" s="59"/>
      <c r="Q679" s="61"/>
    </row>
    <row r="680">
      <c r="B680" s="59"/>
      <c r="D680" s="59"/>
      <c r="F680" s="59"/>
      <c r="H680" s="59"/>
      <c r="J680" s="59"/>
      <c r="L680" s="59"/>
      <c r="N680" s="59"/>
      <c r="P680" s="59"/>
      <c r="Q680" s="61"/>
    </row>
    <row r="681">
      <c r="B681" s="59"/>
      <c r="D681" s="59"/>
      <c r="F681" s="59"/>
      <c r="H681" s="59"/>
      <c r="J681" s="59"/>
      <c r="L681" s="59"/>
      <c r="N681" s="59"/>
      <c r="P681" s="59"/>
      <c r="Q681" s="61"/>
    </row>
    <row r="682">
      <c r="B682" s="59"/>
      <c r="D682" s="59"/>
      <c r="F682" s="59"/>
      <c r="H682" s="59"/>
      <c r="J682" s="59"/>
      <c r="L682" s="59"/>
      <c r="N682" s="59"/>
      <c r="P682" s="59"/>
      <c r="Q682" s="61"/>
    </row>
    <row r="683">
      <c r="B683" s="59"/>
      <c r="D683" s="59"/>
      <c r="F683" s="59"/>
      <c r="H683" s="59"/>
      <c r="J683" s="59"/>
      <c r="L683" s="59"/>
      <c r="N683" s="59"/>
      <c r="P683" s="59"/>
      <c r="Q683" s="61"/>
    </row>
    <row r="684">
      <c r="B684" s="59"/>
      <c r="D684" s="59"/>
      <c r="F684" s="59"/>
      <c r="H684" s="59"/>
      <c r="J684" s="59"/>
      <c r="L684" s="59"/>
      <c r="N684" s="59"/>
      <c r="P684" s="59"/>
      <c r="Q684" s="61"/>
    </row>
    <row r="685">
      <c r="B685" s="59"/>
      <c r="D685" s="59"/>
      <c r="F685" s="59"/>
      <c r="H685" s="59"/>
      <c r="J685" s="59"/>
      <c r="L685" s="59"/>
      <c r="N685" s="59"/>
      <c r="P685" s="59"/>
      <c r="Q685" s="61"/>
    </row>
    <row r="686">
      <c r="B686" s="59"/>
      <c r="D686" s="59"/>
      <c r="F686" s="59"/>
      <c r="H686" s="59"/>
      <c r="J686" s="59"/>
      <c r="L686" s="59"/>
      <c r="N686" s="59"/>
      <c r="P686" s="59"/>
      <c r="Q686" s="61"/>
    </row>
    <row r="687">
      <c r="B687" s="59"/>
      <c r="D687" s="59"/>
      <c r="F687" s="59"/>
      <c r="H687" s="59"/>
      <c r="J687" s="59"/>
      <c r="L687" s="59"/>
      <c r="N687" s="59"/>
      <c r="P687" s="59"/>
      <c r="Q687" s="61"/>
    </row>
    <row r="688">
      <c r="B688" s="59"/>
      <c r="D688" s="59"/>
      <c r="F688" s="59"/>
      <c r="H688" s="59"/>
      <c r="J688" s="59"/>
      <c r="L688" s="59"/>
      <c r="N688" s="59"/>
      <c r="P688" s="59"/>
      <c r="Q688" s="61"/>
    </row>
    <row r="689">
      <c r="B689" s="59"/>
      <c r="D689" s="59"/>
      <c r="F689" s="59"/>
      <c r="H689" s="59"/>
      <c r="J689" s="59"/>
      <c r="L689" s="59"/>
      <c r="N689" s="59"/>
      <c r="P689" s="59"/>
      <c r="Q689" s="61"/>
    </row>
    <row r="690">
      <c r="B690" s="59"/>
      <c r="D690" s="59"/>
      <c r="F690" s="59"/>
      <c r="H690" s="59"/>
      <c r="J690" s="59"/>
      <c r="L690" s="59"/>
      <c r="N690" s="59"/>
      <c r="P690" s="59"/>
      <c r="Q690" s="61"/>
    </row>
    <row r="691">
      <c r="B691" s="59"/>
      <c r="D691" s="59"/>
      <c r="F691" s="59"/>
      <c r="H691" s="59"/>
      <c r="J691" s="59"/>
      <c r="L691" s="59"/>
      <c r="N691" s="59"/>
      <c r="P691" s="59"/>
      <c r="Q691" s="61"/>
    </row>
    <row r="692">
      <c r="B692" s="59"/>
      <c r="D692" s="59"/>
      <c r="F692" s="59"/>
      <c r="H692" s="59"/>
      <c r="J692" s="59"/>
      <c r="L692" s="59"/>
      <c r="N692" s="59"/>
      <c r="P692" s="59"/>
      <c r="Q692" s="61"/>
    </row>
    <row r="693">
      <c r="B693" s="59"/>
      <c r="D693" s="59"/>
      <c r="F693" s="59"/>
      <c r="H693" s="59"/>
      <c r="J693" s="59"/>
      <c r="L693" s="59"/>
      <c r="N693" s="59"/>
      <c r="P693" s="59"/>
      <c r="Q693" s="61"/>
    </row>
    <row r="694">
      <c r="B694" s="59"/>
      <c r="D694" s="59"/>
      <c r="F694" s="59"/>
      <c r="H694" s="59"/>
      <c r="J694" s="59"/>
      <c r="L694" s="59"/>
      <c r="N694" s="59"/>
      <c r="P694" s="59"/>
      <c r="Q694" s="61"/>
    </row>
    <row r="695">
      <c r="B695" s="59"/>
      <c r="D695" s="59"/>
      <c r="F695" s="59"/>
      <c r="H695" s="59"/>
      <c r="J695" s="59"/>
      <c r="L695" s="59"/>
      <c r="N695" s="59"/>
      <c r="P695" s="59"/>
      <c r="Q695" s="61"/>
    </row>
    <row r="696">
      <c r="B696" s="59"/>
      <c r="D696" s="59"/>
      <c r="F696" s="59"/>
      <c r="H696" s="59"/>
      <c r="J696" s="59"/>
      <c r="L696" s="59"/>
      <c r="N696" s="59"/>
      <c r="P696" s="59"/>
      <c r="Q696" s="61"/>
    </row>
    <row r="697">
      <c r="B697" s="59"/>
      <c r="D697" s="59"/>
      <c r="F697" s="59"/>
      <c r="H697" s="59"/>
      <c r="J697" s="59"/>
      <c r="L697" s="59"/>
      <c r="N697" s="59"/>
      <c r="P697" s="59"/>
      <c r="Q697" s="61"/>
    </row>
    <row r="698">
      <c r="B698" s="59"/>
      <c r="D698" s="59"/>
      <c r="F698" s="59"/>
      <c r="H698" s="59"/>
      <c r="J698" s="59"/>
      <c r="L698" s="59"/>
      <c r="N698" s="59"/>
      <c r="P698" s="59"/>
      <c r="Q698" s="61"/>
    </row>
    <row r="699">
      <c r="B699" s="59"/>
      <c r="D699" s="59"/>
      <c r="F699" s="59"/>
      <c r="H699" s="59"/>
      <c r="J699" s="59"/>
      <c r="L699" s="59"/>
      <c r="N699" s="59"/>
      <c r="P699" s="59"/>
      <c r="Q699" s="61"/>
    </row>
    <row r="700">
      <c r="B700" s="59"/>
      <c r="D700" s="59"/>
      <c r="F700" s="59"/>
      <c r="H700" s="59"/>
      <c r="J700" s="59"/>
      <c r="L700" s="59"/>
      <c r="N700" s="59"/>
      <c r="P700" s="59"/>
      <c r="Q700" s="61"/>
    </row>
    <row r="701">
      <c r="B701" s="59"/>
      <c r="D701" s="59"/>
      <c r="F701" s="59"/>
      <c r="H701" s="59"/>
      <c r="J701" s="59"/>
      <c r="L701" s="59"/>
      <c r="N701" s="59"/>
      <c r="P701" s="59"/>
      <c r="Q701" s="61"/>
    </row>
    <row r="702">
      <c r="B702" s="59"/>
      <c r="D702" s="59"/>
      <c r="F702" s="59"/>
      <c r="H702" s="59"/>
      <c r="J702" s="59"/>
      <c r="L702" s="59"/>
      <c r="N702" s="59"/>
      <c r="P702" s="59"/>
      <c r="Q702" s="61"/>
    </row>
    <row r="703">
      <c r="B703" s="59"/>
      <c r="D703" s="59"/>
      <c r="F703" s="59"/>
      <c r="H703" s="59"/>
      <c r="J703" s="59"/>
      <c r="L703" s="59"/>
      <c r="N703" s="59"/>
      <c r="P703" s="59"/>
      <c r="Q703" s="61"/>
    </row>
    <row r="704">
      <c r="B704" s="59"/>
      <c r="D704" s="59"/>
      <c r="F704" s="59"/>
      <c r="H704" s="59"/>
      <c r="J704" s="59"/>
      <c r="L704" s="59"/>
      <c r="N704" s="59"/>
      <c r="P704" s="59"/>
      <c r="Q704" s="61"/>
    </row>
    <row r="705">
      <c r="B705" s="59"/>
      <c r="D705" s="59"/>
      <c r="F705" s="59"/>
      <c r="H705" s="59"/>
      <c r="J705" s="59"/>
      <c r="L705" s="59"/>
      <c r="N705" s="59"/>
      <c r="P705" s="59"/>
      <c r="Q705" s="61"/>
    </row>
    <row r="706">
      <c r="B706" s="59"/>
      <c r="D706" s="59"/>
      <c r="F706" s="59"/>
      <c r="H706" s="59"/>
      <c r="J706" s="59"/>
      <c r="L706" s="59"/>
      <c r="N706" s="59"/>
      <c r="P706" s="59"/>
      <c r="Q706" s="61"/>
    </row>
    <row r="707">
      <c r="B707" s="59"/>
      <c r="D707" s="59"/>
      <c r="F707" s="59"/>
      <c r="H707" s="59"/>
      <c r="J707" s="59"/>
      <c r="L707" s="59"/>
      <c r="N707" s="59"/>
      <c r="P707" s="59"/>
      <c r="Q707" s="61"/>
    </row>
    <row r="708">
      <c r="B708" s="59"/>
      <c r="D708" s="59"/>
      <c r="F708" s="59"/>
      <c r="H708" s="59"/>
      <c r="J708" s="59"/>
      <c r="L708" s="59"/>
      <c r="N708" s="59"/>
      <c r="P708" s="59"/>
      <c r="Q708" s="61"/>
    </row>
    <row r="709">
      <c r="B709" s="59"/>
      <c r="D709" s="59"/>
      <c r="F709" s="59"/>
      <c r="H709" s="59"/>
      <c r="J709" s="59"/>
      <c r="L709" s="59"/>
      <c r="N709" s="59"/>
      <c r="P709" s="59"/>
      <c r="Q709" s="61"/>
    </row>
    <row r="710">
      <c r="B710" s="59"/>
      <c r="D710" s="59"/>
      <c r="F710" s="59"/>
      <c r="H710" s="59"/>
      <c r="J710" s="59"/>
      <c r="L710" s="59"/>
      <c r="N710" s="59"/>
      <c r="P710" s="59"/>
      <c r="Q710" s="61"/>
    </row>
    <row r="711">
      <c r="B711" s="59"/>
      <c r="D711" s="59"/>
      <c r="F711" s="59"/>
      <c r="H711" s="59"/>
      <c r="J711" s="59"/>
      <c r="L711" s="59"/>
      <c r="N711" s="59"/>
      <c r="P711" s="59"/>
      <c r="Q711" s="61"/>
    </row>
    <row r="712">
      <c r="B712" s="59"/>
      <c r="D712" s="59"/>
      <c r="F712" s="59"/>
      <c r="H712" s="59"/>
      <c r="J712" s="59"/>
      <c r="L712" s="59"/>
      <c r="N712" s="59"/>
      <c r="P712" s="59"/>
      <c r="Q712" s="61"/>
    </row>
    <row r="713">
      <c r="B713" s="59"/>
      <c r="D713" s="59"/>
      <c r="F713" s="59"/>
      <c r="H713" s="59"/>
      <c r="J713" s="59"/>
      <c r="L713" s="59"/>
      <c r="N713" s="59"/>
      <c r="P713" s="59"/>
      <c r="Q713" s="61"/>
    </row>
    <row r="714">
      <c r="B714" s="59"/>
      <c r="D714" s="59"/>
      <c r="F714" s="59"/>
      <c r="H714" s="59"/>
      <c r="J714" s="59"/>
      <c r="L714" s="59"/>
      <c r="N714" s="59"/>
      <c r="P714" s="59"/>
      <c r="Q714" s="61"/>
    </row>
    <row r="715">
      <c r="B715" s="59"/>
      <c r="D715" s="59"/>
      <c r="F715" s="59"/>
      <c r="H715" s="59"/>
      <c r="J715" s="59"/>
      <c r="L715" s="59"/>
      <c r="N715" s="59"/>
      <c r="P715" s="59"/>
      <c r="Q715" s="61"/>
    </row>
    <row r="716">
      <c r="B716" s="59"/>
      <c r="D716" s="59"/>
      <c r="F716" s="59"/>
      <c r="H716" s="59"/>
      <c r="J716" s="59"/>
      <c r="L716" s="59"/>
      <c r="N716" s="59"/>
      <c r="P716" s="59"/>
      <c r="Q716" s="61"/>
    </row>
    <row r="717">
      <c r="B717" s="59"/>
      <c r="D717" s="59"/>
      <c r="F717" s="59"/>
      <c r="H717" s="59"/>
      <c r="J717" s="59"/>
      <c r="L717" s="59"/>
      <c r="N717" s="59"/>
      <c r="P717" s="59"/>
      <c r="Q717" s="61"/>
    </row>
    <row r="718">
      <c r="B718" s="59"/>
      <c r="D718" s="59"/>
      <c r="F718" s="59"/>
      <c r="H718" s="59"/>
      <c r="J718" s="59"/>
      <c r="L718" s="59"/>
      <c r="N718" s="59"/>
      <c r="P718" s="59"/>
      <c r="Q718" s="61"/>
    </row>
    <row r="719">
      <c r="B719" s="59"/>
      <c r="D719" s="59"/>
      <c r="F719" s="59"/>
      <c r="H719" s="59"/>
      <c r="J719" s="59"/>
      <c r="L719" s="59"/>
      <c r="N719" s="59"/>
      <c r="P719" s="59"/>
      <c r="Q719" s="61"/>
    </row>
    <row r="720">
      <c r="B720" s="59"/>
      <c r="D720" s="59"/>
      <c r="F720" s="59"/>
      <c r="H720" s="59"/>
      <c r="J720" s="59"/>
      <c r="L720" s="59"/>
      <c r="N720" s="59"/>
      <c r="P720" s="59"/>
      <c r="Q720" s="61"/>
    </row>
    <row r="721">
      <c r="B721" s="59"/>
      <c r="D721" s="59"/>
      <c r="F721" s="59"/>
      <c r="H721" s="59"/>
      <c r="J721" s="59"/>
      <c r="L721" s="59"/>
      <c r="N721" s="59"/>
      <c r="P721" s="59"/>
      <c r="Q721" s="61"/>
    </row>
    <row r="722">
      <c r="B722" s="59"/>
      <c r="D722" s="59"/>
      <c r="F722" s="59"/>
      <c r="H722" s="59"/>
      <c r="J722" s="59"/>
      <c r="L722" s="59"/>
      <c r="N722" s="59"/>
      <c r="P722" s="59"/>
      <c r="Q722" s="61"/>
    </row>
    <row r="723">
      <c r="B723" s="59"/>
      <c r="D723" s="59"/>
      <c r="F723" s="59"/>
      <c r="H723" s="59"/>
      <c r="J723" s="59"/>
      <c r="L723" s="59"/>
      <c r="N723" s="59"/>
      <c r="P723" s="59"/>
      <c r="Q723" s="61"/>
    </row>
    <row r="724">
      <c r="B724" s="59"/>
      <c r="D724" s="59"/>
      <c r="F724" s="59"/>
      <c r="H724" s="59"/>
      <c r="J724" s="59"/>
      <c r="L724" s="59"/>
      <c r="N724" s="59"/>
      <c r="P724" s="59"/>
      <c r="Q724" s="61"/>
    </row>
    <row r="725">
      <c r="B725" s="59"/>
      <c r="D725" s="59"/>
      <c r="F725" s="59"/>
      <c r="H725" s="59"/>
      <c r="J725" s="59"/>
      <c r="L725" s="59"/>
      <c r="N725" s="59"/>
      <c r="P725" s="59"/>
      <c r="Q725" s="61"/>
    </row>
    <row r="726">
      <c r="B726" s="59"/>
      <c r="D726" s="59"/>
      <c r="F726" s="59"/>
      <c r="H726" s="59"/>
      <c r="J726" s="59"/>
      <c r="L726" s="59"/>
      <c r="N726" s="59"/>
      <c r="P726" s="59"/>
      <c r="Q726" s="61"/>
    </row>
    <row r="727">
      <c r="B727" s="59"/>
      <c r="D727" s="59"/>
      <c r="F727" s="59"/>
      <c r="H727" s="59"/>
      <c r="J727" s="59"/>
      <c r="L727" s="59"/>
      <c r="N727" s="59"/>
      <c r="P727" s="59"/>
      <c r="Q727" s="61"/>
    </row>
    <row r="728">
      <c r="B728" s="59"/>
      <c r="D728" s="59"/>
      <c r="F728" s="59"/>
      <c r="H728" s="59"/>
      <c r="J728" s="59"/>
      <c r="L728" s="59"/>
      <c r="N728" s="59"/>
      <c r="P728" s="59"/>
      <c r="Q728" s="61"/>
    </row>
    <row r="729">
      <c r="B729" s="59"/>
      <c r="D729" s="59"/>
      <c r="F729" s="59"/>
      <c r="H729" s="59"/>
      <c r="J729" s="59"/>
      <c r="L729" s="59"/>
      <c r="N729" s="59"/>
      <c r="P729" s="59"/>
      <c r="Q729" s="61"/>
    </row>
    <row r="730">
      <c r="B730" s="59"/>
      <c r="D730" s="59"/>
      <c r="F730" s="59"/>
      <c r="H730" s="59"/>
      <c r="J730" s="59"/>
      <c r="L730" s="59"/>
      <c r="N730" s="59"/>
      <c r="P730" s="59"/>
      <c r="Q730" s="61"/>
    </row>
    <row r="731">
      <c r="B731" s="59"/>
      <c r="D731" s="59"/>
      <c r="F731" s="59"/>
      <c r="H731" s="59"/>
      <c r="J731" s="59"/>
      <c r="L731" s="59"/>
      <c r="N731" s="59"/>
      <c r="P731" s="59"/>
      <c r="Q731" s="61"/>
    </row>
    <row r="732">
      <c r="B732" s="59"/>
      <c r="D732" s="59"/>
      <c r="F732" s="59"/>
      <c r="H732" s="59"/>
      <c r="J732" s="59"/>
      <c r="L732" s="59"/>
      <c r="N732" s="59"/>
      <c r="P732" s="59"/>
      <c r="Q732" s="61"/>
    </row>
    <row r="733">
      <c r="B733" s="59"/>
      <c r="D733" s="59"/>
      <c r="F733" s="59"/>
      <c r="H733" s="59"/>
      <c r="J733" s="59"/>
      <c r="L733" s="59"/>
      <c r="N733" s="59"/>
      <c r="P733" s="59"/>
      <c r="Q733" s="61"/>
    </row>
    <row r="734">
      <c r="B734" s="59"/>
      <c r="D734" s="59"/>
      <c r="F734" s="59"/>
      <c r="H734" s="59"/>
      <c r="J734" s="59"/>
      <c r="L734" s="59"/>
      <c r="N734" s="59"/>
      <c r="P734" s="59"/>
      <c r="Q734" s="61"/>
    </row>
    <row r="735">
      <c r="B735" s="59"/>
      <c r="D735" s="59"/>
      <c r="F735" s="59"/>
      <c r="H735" s="59"/>
      <c r="J735" s="59"/>
      <c r="L735" s="59"/>
      <c r="N735" s="59"/>
      <c r="P735" s="59"/>
      <c r="Q735" s="61"/>
    </row>
    <row r="736">
      <c r="B736" s="59"/>
      <c r="D736" s="59"/>
      <c r="F736" s="59"/>
      <c r="H736" s="59"/>
      <c r="J736" s="59"/>
      <c r="L736" s="59"/>
      <c r="N736" s="59"/>
      <c r="P736" s="59"/>
      <c r="Q736" s="61"/>
    </row>
    <row r="737">
      <c r="B737" s="59"/>
      <c r="D737" s="59"/>
      <c r="F737" s="59"/>
      <c r="H737" s="59"/>
      <c r="J737" s="59"/>
      <c r="L737" s="59"/>
      <c r="N737" s="59"/>
      <c r="P737" s="59"/>
      <c r="Q737" s="61"/>
    </row>
    <row r="738">
      <c r="B738" s="59"/>
      <c r="D738" s="59"/>
      <c r="F738" s="59"/>
      <c r="H738" s="59"/>
      <c r="J738" s="59"/>
      <c r="L738" s="59"/>
      <c r="N738" s="59"/>
      <c r="P738" s="59"/>
      <c r="Q738" s="61"/>
    </row>
    <row r="739">
      <c r="B739" s="59"/>
      <c r="D739" s="59"/>
      <c r="F739" s="59"/>
      <c r="H739" s="59"/>
      <c r="J739" s="59"/>
      <c r="L739" s="59"/>
      <c r="N739" s="59"/>
      <c r="P739" s="59"/>
      <c r="Q739" s="61"/>
    </row>
    <row r="740">
      <c r="B740" s="59"/>
      <c r="D740" s="59"/>
      <c r="F740" s="59"/>
      <c r="H740" s="59"/>
      <c r="J740" s="59"/>
      <c r="L740" s="59"/>
      <c r="N740" s="59"/>
      <c r="P740" s="59"/>
      <c r="Q740" s="61"/>
    </row>
    <row r="741">
      <c r="B741" s="59"/>
      <c r="D741" s="59"/>
      <c r="F741" s="59"/>
      <c r="H741" s="59"/>
      <c r="J741" s="59"/>
      <c r="L741" s="59"/>
      <c r="N741" s="59"/>
      <c r="P741" s="59"/>
      <c r="Q741" s="61"/>
    </row>
    <row r="742">
      <c r="B742" s="59"/>
      <c r="D742" s="59"/>
      <c r="F742" s="59"/>
      <c r="H742" s="59"/>
      <c r="J742" s="59"/>
      <c r="L742" s="59"/>
      <c r="N742" s="59"/>
      <c r="P742" s="59"/>
      <c r="Q742" s="61"/>
    </row>
    <row r="743">
      <c r="B743" s="59"/>
      <c r="D743" s="59"/>
      <c r="F743" s="59"/>
      <c r="H743" s="59"/>
      <c r="J743" s="59"/>
      <c r="L743" s="59"/>
      <c r="N743" s="59"/>
      <c r="P743" s="59"/>
      <c r="Q743" s="61"/>
    </row>
    <row r="744">
      <c r="B744" s="59"/>
      <c r="D744" s="59"/>
      <c r="F744" s="59"/>
      <c r="H744" s="59"/>
      <c r="J744" s="59"/>
      <c r="L744" s="59"/>
      <c r="N744" s="59"/>
      <c r="P744" s="59"/>
      <c r="Q744" s="61"/>
    </row>
    <row r="745">
      <c r="B745" s="59"/>
      <c r="D745" s="59"/>
      <c r="F745" s="59"/>
      <c r="H745" s="59"/>
      <c r="J745" s="59"/>
      <c r="L745" s="59"/>
      <c r="N745" s="59"/>
      <c r="P745" s="59"/>
      <c r="Q745" s="61"/>
    </row>
    <row r="746">
      <c r="B746" s="59"/>
      <c r="D746" s="59"/>
      <c r="F746" s="59"/>
      <c r="H746" s="59"/>
      <c r="J746" s="59"/>
      <c r="L746" s="59"/>
      <c r="N746" s="59"/>
      <c r="P746" s="59"/>
      <c r="Q746" s="61"/>
    </row>
    <row r="747">
      <c r="B747" s="59"/>
      <c r="D747" s="59"/>
      <c r="F747" s="59"/>
      <c r="H747" s="59"/>
      <c r="J747" s="59"/>
      <c r="L747" s="59"/>
      <c r="N747" s="59"/>
      <c r="P747" s="59"/>
      <c r="Q747" s="61"/>
    </row>
    <row r="748">
      <c r="B748" s="59"/>
      <c r="D748" s="59"/>
      <c r="F748" s="59"/>
      <c r="H748" s="59"/>
      <c r="J748" s="59"/>
      <c r="L748" s="59"/>
      <c r="N748" s="59"/>
      <c r="P748" s="59"/>
      <c r="Q748" s="61"/>
    </row>
    <row r="749">
      <c r="B749" s="59"/>
      <c r="D749" s="59"/>
      <c r="F749" s="59"/>
      <c r="H749" s="59"/>
      <c r="J749" s="59"/>
      <c r="L749" s="59"/>
      <c r="N749" s="59"/>
      <c r="P749" s="59"/>
      <c r="Q749" s="61"/>
    </row>
    <row r="750">
      <c r="B750" s="59"/>
      <c r="D750" s="59"/>
      <c r="F750" s="59"/>
      <c r="H750" s="59"/>
      <c r="J750" s="59"/>
      <c r="L750" s="59"/>
      <c r="N750" s="59"/>
      <c r="P750" s="59"/>
      <c r="Q750" s="61"/>
    </row>
    <row r="751">
      <c r="B751" s="59"/>
      <c r="D751" s="59"/>
      <c r="F751" s="59"/>
      <c r="H751" s="59"/>
      <c r="J751" s="59"/>
      <c r="L751" s="59"/>
      <c r="N751" s="59"/>
      <c r="P751" s="59"/>
      <c r="Q751" s="61"/>
    </row>
    <row r="752">
      <c r="B752" s="59"/>
      <c r="D752" s="59"/>
      <c r="F752" s="59"/>
      <c r="H752" s="59"/>
      <c r="J752" s="59"/>
      <c r="L752" s="59"/>
      <c r="N752" s="59"/>
      <c r="P752" s="59"/>
      <c r="Q752" s="61"/>
    </row>
    <row r="753">
      <c r="B753" s="59"/>
      <c r="D753" s="59"/>
      <c r="F753" s="59"/>
      <c r="H753" s="59"/>
      <c r="J753" s="59"/>
      <c r="L753" s="59"/>
      <c r="N753" s="59"/>
      <c r="P753" s="59"/>
      <c r="Q753" s="61"/>
    </row>
    <row r="754">
      <c r="B754" s="59"/>
      <c r="D754" s="59"/>
      <c r="F754" s="59"/>
      <c r="H754" s="59"/>
      <c r="J754" s="59"/>
      <c r="L754" s="59"/>
      <c r="N754" s="59"/>
      <c r="P754" s="59"/>
      <c r="Q754" s="61"/>
    </row>
    <row r="755">
      <c r="B755" s="59"/>
      <c r="D755" s="59"/>
      <c r="F755" s="59"/>
      <c r="H755" s="59"/>
      <c r="J755" s="59"/>
      <c r="L755" s="59"/>
      <c r="N755" s="59"/>
      <c r="P755" s="59"/>
      <c r="Q755" s="61"/>
    </row>
    <row r="756">
      <c r="B756" s="59"/>
      <c r="D756" s="59"/>
      <c r="F756" s="59"/>
      <c r="H756" s="59"/>
      <c r="J756" s="59"/>
      <c r="L756" s="59"/>
      <c r="N756" s="59"/>
      <c r="P756" s="59"/>
      <c r="Q756" s="61"/>
    </row>
    <row r="757">
      <c r="B757" s="59"/>
      <c r="D757" s="59"/>
      <c r="F757" s="59"/>
      <c r="H757" s="59"/>
      <c r="J757" s="59"/>
      <c r="L757" s="59"/>
      <c r="N757" s="59"/>
      <c r="P757" s="59"/>
      <c r="Q757" s="61"/>
    </row>
    <row r="758">
      <c r="B758" s="59"/>
      <c r="D758" s="59"/>
      <c r="F758" s="59"/>
      <c r="H758" s="59"/>
      <c r="J758" s="59"/>
      <c r="L758" s="59"/>
      <c r="N758" s="59"/>
      <c r="P758" s="59"/>
      <c r="Q758" s="61"/>
    </row>
    <row r="759">
      <c r="B759" s="59"/>
      <c r="D759" s="59"/>
      <c r="F759" s="59"/>
      <c r="H759" s="59"/>
      <c r="J759" s="59"/>
      <c r="L759" s="59"/>
      <c r="N759" s="59"/>
      <c r="P759" s="59"/>
      <c r="Q759" s="61"/>
    </row>
    <row r="760">
      <c r="B760" s="59"/>
      <c r="D760" s="59"/>
      <c r="F760" s="59"/>
      <c r="H760" s="59"/>
      <c r="J760" s="59"/>
      <c r="L760" s="59"/>
      <c r="N760" s="59"/>
      <c r="P760" s="59"/>
      <c r="Q760" s="61"/>
    </row>
    <row r="761">
      <c r="B761" s="59"/>
      <c r="D761" s="59"/>
      <c r="F761" s="59"/>
      <c r="H761" s="59"/>
      <c r="J761" s="59"/>
      <c r="L761" s="59"/>
      <c r="N761" s="59"/>
      <c r="P761" s="59"/>
      <c r="Q761" s="61"/>
    </row>
    <row r="762">
      <c r="B762" s="59"/>
      <c r="D762" s="59"/>
      <c r="F762" s="59"/>
      <c r="H762" s="59"/>
      <c r="J762" s="59"/>
      <c r="L762" s="59"/>
      <c r="N762" s="59"/>
      <c r="P762" s="59"/>
      <c r="Q762" s="61"/>
    </row>
    <row r="763">
      <c r="B763" s="59"/>
      <c r="D763" s="59"/>
      <c r="F763" s="59"/>
      <c r="H763" s="59"/>
      <c r="J763" s="59"/>
      <c r="L763" s="59"/>
      <c r="N763" s="59"/>
      <c r="P763" s="59"/>
      <c r="Q763" s="61"/>
    </row>
    <row r="764">
      <c r="B764" s="59"/>
      <c r="D764" s="59"/>
      <c r="F764" s="59"/>
      <c r="H764" s="59"/>
      <c r="J764" s="59"/>
      <c r="L764" s="59"/>
      <c r="N764" s="59"/>
      <c r="P764" s="59"/>
      <c r="Q764" s="61"/>
    </row>
    <row r="765">
      <c r="B765" s="59"/>
      <c r="D765" s="59"/>
      <c r="F765" s="59"/>
      <c r="H765" s="59"/>
      <c r="J765" s="59"/>
      <c r="L765" s="59"/>
      <c r="N765" s="59"/>
      <c r="P765" s="59"/>
      <c r="Q765" s="61"/>
    </row>
    <row r="766">
      <c r="B766" s="59"/>
      <c r="D766" s="59"/>
      <c r="F766" s="59"/>
      <c r="H766" s="59"/>
      <c r="J766" s="59"/>
      <c r="L766" s="59"/>
      <c r="N766" s="59"/>
      <c r="P766" s="59"/>
      <c r="Q766" s="61"/>
    </row>
    <row r="767">
      <c r="B767" s="59"/>
      <c r="D767" s="59"/>
      <c r="F767" s="59"/>
      <c r="H767" s="59"/>
      <c r="J767" s="59"/>
      <c r="L767" s="59"/>
      <c r="N767" s="59"/>
      <c r="P767" s="59"/>
      <c r="Q767" s="61"/>
    </row>
    <row r="768">
      <c r="B768" s="59"/>
      <c r="D768" s="59"/>
      <c r="F768" s="59"/>
      <c r="H768" s="59"/>
      <c r="J768" s="59"/>
      <c r="L768" s="59"/>
      <c r="N768" s="59"/>
      <c r="P768" s="59"/>
      <c r="Q768" s="61"/>
    </row>
    <row r="769">
      <c r="B769" s="59"/>
      <c r="D769" s="59"/>
      <c r="F769" s="59"/>
      <c r="H769" s="59"/>
      <c r="J769" s="59"/>
      <c r="L769" s="59"/>
      <c r="N769" s="59"/>
      <c r="P769" s="59"/>
      <c r="Q769" s="61"/>
    </row>
    <row r="770">
      <c r="B770" s="59"/>
      <c r="D770" s="59"/>
      <c r="F770" s="59"/>
      <c r="H770" s="59"/>
      <c r="J770" s="59"/>
      <c r="L770" s="59"/>
      <c r="N770" s="59"/>
      <c r="P770" s="59"/>
      <c r="Q770" s="61"/>
    </row>
    <row r="771">
      <c r="B771" s="59"/>
      <c r="D771" s="59"/>
      <c r="F771" s="59"/>
      <c r="H771" s="59"/>
      <c r="J771" s="59"/>
      <c r="L771" s="59"/>
      <c r="N771" s="59"/>
      <c r="P771" s="59"/>
      <c r="Q771" s="61"/>
    </row>
    <row r="772">
      <c r="B772" s="59"/>
      <c r="D772" s="59"/>
      <c r="F772" s="59"/>
      <c r="H772" s="59"/>
      <c r="J772" s="59"/>
      <c r="L772" s="59"/>
      <c r="N772" s="59"/>
      <c r="P772" s="59"/>
      <c r="Q772" s="61"/>
    </row>
    <row r="773">
      <c r="B773" s="59"/>
      <c r="D773" s="59"/>
      <c r="F773" s="59"/>
      <c r="H773" s="59"/>
      <c r="J773" s="59"/>
      <c r="L773" s="59"/>
      <c r="N773" s="59"/>
      <c r="P773" s="59"/>
      <c r="Q773" s="61"/>
    </row>
    <row r="774">
      <c r="B774" s="59"/>
      <c r="D774" s="59"/>
      <c r="F774" s="59"/>
      <c r="H774" s="59"/>
      <c r="J774" s="59"/>
      <c r="L774" s="59"/>
      <c r="N774" s="59"/>
      <c r="P774" s="59"/>
      <c r="Q774" s="61"/>
    </row>
    <row r="775">
      <c r="B775" s="59"/>
      <c r="D775" s="59"/>
      <c r="F775" s="59"/>
      <c r="H775" s="59"/>
      <c r="J775" s="59"/>
      <c r="L775" s="59"/>
      <c r="N775" s="59"/>
      <c r="P775" s="59"/>
      <c r="Q775" s="61"/>
    </row>
    <row r="776">
      <c r="B776" s="59"/>
      <c r="D776" s="59"/>
      <c r="F776" s="59"/>
      <c r="H776" s="59"/>
      <c r="J776" s="59"/>
      <c r="L776" s="59"/>
      <c r="N776" s="59"/>
      <c r="P776" s="59"/>
      <c r="Q776" s="61"/>
    </row>
    <row r="777">
      <c r="B777" s="59"/>
      <c r="D777" s="59"/>
      <c r="F777" s="59"/>
      <c r="H777" s="59"/>
      <c r="J777" s="59"/>
      <c r="L777" s="59"/>
      <c r="N777" s="59"/>
      <c r="P777" s="59"/>
      <c r="Q777" s="61"/>
    </row>
    <row r="778">
      <c r="B778" s="59"/>
      <c r="D778" s="59"/>
      <c r="F778" s="59"/>
      <c r="H778" s="59"/>
      <c r="J778" s="59"/>
      <c r="L778" s="59"/>
      <c r="N778" s="59"/>
      <c r="P778" s="59"/>
      <c r="Q778" s="61"/>
    </row>
    <row r="779">
      <c r="B779" s="59"/>
      <c r="D779" s="59"/>
      <c r="F779" s="59"/>
      <c r="H779" s="59"/>
      <c r="J779" s="59"/>
      <c r="L779" s="59"/>
      <c r="N779" s="59"/>
      <c r="P779" s="59"/>
      <c r="Q779" s="61"/>
    </row>
    <row r="780">
      <c r="B780" s="59"/>
      <c r="D780" s="59"/>
      <c r="F780" s="59"/>
      <c r="H780" s="59"/>
      <c r="J780" s="59"/>
      <c r="L780" s="59"/>
      <c r="N780" s="59"/>
      <c r="P780" s="59"/>
      <c r="Q780" s="61"/>
    </row>
    <row r="781">
      <c r="B781" s="59"/>
      <c r="D781" s="59"/>
      <c r="F781" s="59"/>
      <c r="H781" s="59"/>
      <c r="J781" s="59"/>
      <c r="L781" s="59"/>
      <c r="N781" s="59"/>
      <c r="P781" s="59"/>
      <c r="Q781" s="61"/>
    </row>
    <row r="782">
      <c r="B782" s="59"/>
      <c r="D782" s="59"/>
      <c r="F782" s="59"/>
      <c r="H782" s="59"/>
      <c r="J782" s="59"/>
      <c r="L782" s="59"/>
      <c r="N782" s="59"/>
      <c r="P782" s="59"/>
      <c r="Q782" s="61"/>
    </row>
    <row r="783">
      <c r="B783" s="59"/>
      <c r="D783" s="59"/>
      <c r="F783" s="59"/>
      <c r="H783" s="59"/>
      <c r="J783" s="59"/>
      <c r="L783" s="59"/>
      <c r="N783" s="59"/>
      <c r="P783" s="59"/>
      <c r="Q783" s="61"/>
    </row>
    <row r="784">
      <c r="B784" s="59"/>
      <c r="D784" s="59"/>
      <c r="F784" s="59"/>
      <c r="H784" s="59"/>
      <c r="J784" s="59"/>
      <c r="L784" s="59"/>
      <c r="N784" s="59"/>
      <c r="P784" s="59"/>
      <c r="Q784" s="61"/>
    </row>
    <row r="785">
      <c r="B785" s="59"/>
      <c r="D785" s="59"/>
      <c r="F785" s="59"/>
      <c r="H785" s="59"/>
      <c r="J785" s="59"/>
      <c r="L785" s="59"/>
      <c r="N785" s="59"/>
      <c r="P785" s="59"/>
      <c r="Q785" s="61"/>
    </row>
    <row r="786">
      <c r="B786" s="59"/>
      <c r="D786" s="59"/>
      <c r="F786" s="59"/>
      <c r="H786" s="59"/>
      <c r="J786" s="59"/>
      <c r="L786" s="59"/>
      <c r="N786" s="59"/>
      <c r="P786" s="59"/>
      <c r="Q786" s="61"/>
    </row>
    <row r="787">
      <c r="B787" s="59"/>
      <c r="D787" s="59"/>
      <c r="F787" s="59"/>
      <c r="H787" s="59"/>
      <c r="J787" s="59"/>
      <c r="L787" s="59"/>
      <c r="N787" s="59"/>
      <c r="P787" s="59"/>
      <c r="Q787" s="61"/>
    </row>
    <row r="788">
      <c r="B788" s="59"/>
      <c r="D788" s="59"/>
      <c r="F788" s="59"/>
      <c r="H788" s="59"/>
      <c r="J788" s="59"/>
      <c r="L788" s="59"/>
      <c r="N788" s="59"/>
      <c r="P788" s="59"/>
      <c r="Q788" s="61"/>
    </row>
    <row r="789">
      <c r="B789" s="59"/>
      <c r="D789" s="59"/>
      <c r="F789" s="59"/>
      <c r="H789" s="59"/>
      <c r="J789" s="59"/>
      <c r="L789" s="59"/>
      <c r="N789" s="59"/>
      <c r="P789" s="59"/>
      <c r="Q789" s="61"/>
    </row>
    <row r="790">
      <c r="B790" s="59"/>
      <c r="D790" s="59"/>
      <c r="F790" s="59"/>
      <c r="H790" s="59"/>
      <c r="J790" s="59"/>
      <c r="L790" s="59"/>
      <c r="N790" s="59"/>
      <c r="P790" s="59"/>
      <c r="Q790" s="61"/>
    </row>
    <row r="791">
      <c r="B791" s="59"/>
      <c r="D791" s="59"/>
      <c r="F791" s="59"/>
      <c r="H791" s="59"/>
      <c r="J791" s="59"/>
      <c r="L791" s="59"/>
      <c r="N791" s="59"/>
      <c r="P791" s="59"/>
      <c r="Q791" s="61"/>
    </row>
    <row r="792">
      <c r="B792" s="59"/>
      <c r="D792" s="59"/>
      <c r="F792" s="59"/>
      <c r="H792" s="59"/>
      <c r="J792" s="59"/>
      <c r="L792" s="59"/>
      <c r="N792" s="59"/>
      <c r="P792" s="59"/>
      <c r="Q792" s="61"/>
    </row>
    <row r="793">
      <c r="B793" s="59"/>
      <c r="D793" s="59"/>
      <c r="F793" s="59"/>
      <c r="H793" s="59"/>
      <c r="J793" s="59"/>
      <c r="L793" s="59"/>
      <c r="N793" s="59"/>
      <c r="P793" s="59"/>
      <c r="Q793" s="61"/>
    </row>
    <row r="794">
      <c r="B794" s="59"/>
      <c r="D794" s="59"/>
      <c r="F794" s="59"/>
      <c r="H794" s="59"/>
      <c r="J794" s="59"/>
      <c r="L794" s="59"/>
      <c r="N794" s="59"/>
      <c r="P794" s="59"/>
      <c r="Q794" s="61"/>
    </row>
    <row r="795">
      <c r="B795" s="59"/>
      <c r="D795" s="59"/>
      <c r="F795" s="59"/>
      <c r="H795" s="59"/>
      <c r="J795" s="59"/>
      <c r="L795" s="59"/>
      <c r="N795" s="59"/>
      <c r="P795" s="59"/>
      <c r="Q795" s="61"/>
    </row>
    <row r="796">
      <c r="B796" s="59"/>
      <c r="D796" s="59"/>
      <c r="F796" s="59"/>
      <c r="H796" s="59"/>
      <c r="J796" s="59"/>
      <c r="L796" s="59"/>
      <c r="N796" s="59"/>
      <c r="P796" s="59"/>
      <c r="Q796" s="61"/>
    </row>
    <row r="797">
      <c r="B797" s="59"/>
      <c r="D797" s="59"/>
      <c r="F797" s="59"/>
      <c r="H797" s="59"/>
      <c r="J797" s="59"/>
      <c r="L797" s="59"/>
      <c r="N797" s="59"/>
      <c r="P797" s="59"/>
      <c r="Q797" s="61"/>
    </row>
    <row r="798">
      <c r="B798" s="59"/>
      <c r="D798" s="59"/>
      <c r="F798" s="59"/>
      <c r="H798" s="59"/>
      <c r="J798" s="59"/>
      <c r="L798" s="59"/>
      <c r="N798" s="59"/>
      <c r="P798" s="59"/>
      <c r="Q798" s="61"/>
    </row>
    <row r="799">
      <c r="B799" s="59"/>
      <c r="D799" s="59"/>
      <c r="F799" s="59"/>
      <c r="H799" s="59"/>
      <c r="J799" s="59"/>
      <c r="L799" s="59"/>
      <c r="N799" s="59"/>
      <c r="P799" s="59"/>
      <c r="Q799" s="61"/>
    </row>
    <row r="800">
      <c r="B800" s="59"/>
      <c r="D800" s="59"/>
      <c r="F800" s="59"/>
      <c r="H800" s="59"/>
      <c r="J800" s="59"/>
      <c r="L800" s="59"/>
      <c r="N800" s="59"/>
      <c r="P800" s="59"/>
      <c r="Q800" s="61"/>
    </row>
    <row r="801">
      <c r="B801" s="59"/>
      <c r="D801" s="59"/>
      <c r="F801" s="59"/>
      <c r="H801" s="59"/>
      <c r="J801" s="59"/>
      <c r="L801" s="59"/>
      <c r="N801" s="59"/>
      <c r="P801" s="59"/>
      <c r="Q801" s="61"/>
    </row>
    <row r="802">
      <c r="B802" s="59"/>
      <c r="D802" s="59"/>
      <c r="F802" s="59"/>
      <c r="H802" s="59"/>
      <c r="J802" s="59"/>
      <c r="L802" s="59"/>
      <c r="N802" s="59"/>
      <c r="P802" s="59"/>
      <c r="Q802" s="61"/>
    </row>
    <row r="803">
      <c r="B803" s="59"/>
      <c r="D803" s="59"/>
      <c r="F803" s="59"/>
      <c r="H803" s="59"/>
      <c r="J803" s="59"/>
      <c r="L803" s="59"/>
      <c r="N803" s="59"/>
      <c r="P803" s="59"/>
      <c r="Q803" s="61"/>
    </row>
    <row r="804">
      <c r="B804" s="59"/>
      <c r="D804" s="59"/>
      <c r="F804" s="59"/>
      <c r="H804" s="59"/>
      <c r="J804" s="59"/>
      <c r="L804" s="59"/>
      <c r="N804" s="59"/>
      <c r="P804" s="59"/>
      <c r="Q804" s="61"/>
    </row>
    <row r="805">
      <c r="B805" s="59"/>
      <c r="D805" s="59"/>
      <c r="F805" s="59"/>
      <c r="H805" s="59"/>
      <c r="J805" s="59"/>
      <c r="L805" s="59"/>
      <c r="N805" s="59"/>
      <c r="P805" s="59"/>
      <c r="Q805" s="61"/>
    </row>
    <row r="806">
      <c r="B806" s="59"/>
      <c r="D806" s="59"/>
      <c r="F806" s="59"/>
      <c r="H806" s="59"/>
      <c r="J806" s="59"/>
      <c r="L806" s="59"/>
      <c r="N806" s="59"/>
      <c r="P806" s="59"/>
      <c r="Q806" s="61"/>
    </row>
    <row r="807">
      <c r="B807" s="59"/>
      <c r="D807" s="59"/>
      <c r="F807" s="59"/>
      <c r="H807" s="59"/>
      <c r="J807" s="59"/>
      <c r="L807" s="59"/>
      <c r="N807" s="59"/>
      <c r="P807" s="59"/>
      <c r="Q807" s="61"/>
    </row>
    <row r="808">
      <c r="B808" s="59"/>
      <c r="D808" s="59"/>
      <c r="F808" s="59"/>
      <c r="H808" s="59"/>
      <c r="J808" s="59"/>
      <c r="L808" s="59"/>
      <c r="N808" s="59"/>
      <c r="P808" s="59"/>
      <c r="Q808" s="61"/>
    </row>
    <row r="809">
      <c r="B809" s="59"/>
      <c r="D809" s="59"/>
      <c r="F809" s="59"/>
      <c r="H809" s="59"/>
      <c r="J809" s="59"/>
      <c r="L809" s="59"/>
      <c r="N809" s="59"/>
      <c r="P809" s="59"/>
      <c r="Q809" s="61"/>
    </row>
    <row r="810">
      <c r="B810" s="59"/>
      <c r="D810" s="59"/>
      <c r="F810" s="59"/>
      <c r="H810" s="59"/>
      <c r="J810" s="59"/>
      <c r="L810" s="59"/>
      <c r="N810" s="59"/>
      <c r="P810" s="59"/>
      <c r="Q810" s="61"/>
    </row>
    <row r="811">
      <c r="B811" s="59"/>
      <c r="D811" s="59"/>
      <c r="F811" s="59"/>
      <c r="H811" s="59"/>
      <c r="J811" s="59"/>
      <c r="L811" s="59"/>
      <c r="N811" s="59"/>
      <c r="P811" s="59"/>
      <c r="Q811" s="61"/>
    </row>
    <row r="812">
      <c r="B812" s="59"/>
      <c r="D812" s="59"/>
      <c r="F812" s="59"/>
      <c r="H812" s="59"/>
      <c r="J812" s="59"/>
      <c r="L812" s="59"/>
      <c r="N812" s="59"/>
      <c r="P812" s="59"/>
      <c r="Q812" s="61"/>
    </row>
    <row r="813">
      <c r="B813" s="59"/>
      <c r="D813" s="59"/>
      <c r="F813" s="59"/>
      <c r="H813" s="59"/>
      <c r="J813" s="59"/>
      <c r="L813" s="59"/>
      <c r="N813" s="59"/>
      <c r="P813" s="59"/>
      <c r="Q813" s="61"/>
    </row>
    <row r="814">
      <c r="B814" s="59"/>
      <c r="D814" s="59"/>
      <c r="F814" s="59"/>
      <c r="H814" s="59"/>
      <c r="J814" s="59"/>
      <c r="L814" s="59"/>
      <c r="N814" s="59"/>
      <c r="P814" s="59"/>
      <c r="Q814" s="61"/>
    </row>
    <row r="815">
      <c r="B815" s="59"/>
      <c r="D815" s="59"/>
      <c r="F815" s="59"/>
      <c r="H815" s="59"/>
      <c r="J815" s="59"/>
      <c r="L815" s="59"/>
      <c r="N815" s="59"/>
      <c r="P815" s="59"/>
      <c r="Q815" s="61"/>
    </row>
    <row r="816">
      <c r="B816" s="59"/>
      <c r="D816" s="59"/>
      <c r="F816" s="59"/>
      <c r="H816" s="59"/>
      <c r="J816" s="59"/>
      <c r="L816" s="59"/>
      <c r="N816" s="59"/>
      <c r="P816" s="59"/>
      <c r="Q816" s="61"/>
    </row>
    <row r="817">
      <c r="B817" s="59"/>
      <c r="D817" s="59"/>
      <c r="F817" s="59"/>
      <c r="H817" s="59"/>
      <c r="J817" s="59"/>
      <c r="L817" s="59"/>
      <c r="N817" s="59"/>
      <c r="P817" s="59"/>
      <c r="Q817" s="61"/>
    </row>
    <row r="818">
      <c r="B818" s="59"/>
      <c r="D818" s="59"/>
      <c r="F818" s="59"/>
      <c r="H818" s="59"/>
      <c r="J818" s="59"/>
      <c r="L818" s="59"/>
      <c r="N818" s="59"/>
      <c r="P818" s="59"/>
      <c r="Q818" s="61"/>
    </row>
    <row r="819">
      <c r="B819" s="59"/>
      <c r="D819" s="59"/>
      <c r="F819" s="59"/>
      <c r="H819" s="59"/>
      <c r="J819" s="59"/>
      <c r="L819" s="59"/>
      <c r="N819" s="59"/>
      <c r="P819" s="59"/>
      <c r="Q819" s="61"/>
    </row>
    <row r="820">
      <c r="B820" s="59"/>
      <c r="D820" s="59"/>
      <c r="F820" s="59"/>
      <c r="H820" s="59"/>
      <c r="J820" s="59"/>
      <c r="L820" s="59"/>
      <c r="N820" s="59"/>
      <c r="P820" s="59"/>
      <c r="Q820" s="61"/>
    </row>
    <row r="821">
      <c r="B821" s="59"/>
      <c r="D821" s="59"/>
      <c r="F821" s="59"/>
      <c r="H821" s="59"/>
      <c r="J821" s="59"/>
      <c r="L821" s="59"/>
      <c r="N821" s="59"/>
      <c r="P821" s="59"/>
      <c r="Q821" s="61"/>
    </row>
    <row r="822">
      <c r="B822" s="59"/>
      <c r="D822" s="59"/>
      <c r="F822" s="59"/>
      <c r="H822" s="59"/>
      <c r="J822" s="59"/>
      <c r="L822" s="59"/>
      <c r="N822" s="59"/>
      <c r="P822" s="59"/>
      <c r="Q822" s="61"/>
    </row>
    <row r="823">
      <c r="B823" s="59"/>
      <c r="D823" s="59"/>
      <c r="F823" s="59"/>
      <c r="H823" s="59"/>
      <c r="J823" s="59"/>
      <c r="L823" s="59"/>
      <c r="N823" s="59"/>
      <c r="P823" s="59"/>
      <c r="Q823" s="61"/>
    </row>
    <row r="824">
      <c r="B824" s="59"/>
      <c r="D824" s="59"/>
      <c r="F824" s="59"/>
      <c r="H824" s="59"/>
      <c r="J824" s="59"/>
      <c r="L824" s="59"/>
      <c r="N824" s="59"/>
      <c r="P824" s="59"/>
      <c r="Q824" s="61"/>
    </row>
    <row r="825">
      <c r="B825" s="59"/>
      <c r="D825" s="59"/>
      <c r="F825" s="59"/>
      <c r="H825" s="59"/>
      <c r="J825" s="59"/>
      <c r="L825" s="59"/>
      <c r="N825" s="59"/>
      <c r="P825" s="59"/>
      <c r="Q825" s="61"/>
    </row>
    <row r="826">
      <c r="B826" s="59"/>
      <c r="D826" s="59"/>
      <c r="F826" s="59"/>
      <c r="H826" s="59"/>
      <c r="J826" s="59"/>
      <c r="L826" s="59"/>
      <c r="N826" s="59"/>
      <c r="P826" s="59"/>
      <c r="Q826" s="61"/>
    </row>
    <row r="827">
      <c r="B827" s="59"/>
      <c r="D827" s="59"/>
      <c r="F827" s="59"/>
      <c r="H827" s="59"/>
      <c r="J827" s="59"/>
      <c r="L827" s="59"/>
      <c r="N827" s="59"/>
      <c r="P827" s="59"/>
      <c r="Q827" s="61"/>
    </row>
    <row r="828">
      <c r="B828" s="59"/>
      <c r="D828" s="59"/>
      <c r="F828" s="59"/>
      <c r="H828" s="59"/>
      <c r="J828" s="59"/>
      <c r="L828" s="59"/>
      <c r="N828" s="59"/>
      <c r="P828" s="59"/>
      <c r="Q828" s="61"/>
    </row>
    <row r="829">
      <c r="B829" s="59"/>
      <c r="D829" s="59"/>
      <c r="F829" s="59"/>
      <c r="H829" s="59"/>
      <c r="J829" s="59"/>
      <c r="L829" s="59"/>
      <c r="N829" s="59"/>
      <c r="P829" s="59"/>
      <c r="Q829" s="61"/>
    </row>
    <row r="830">
      <c r="B830" s="59"/>
      <c r="D830" s="59"/>
      <c r="F830" s="59"/>
      <c r="H830" s="59"/>
      <c r="J830" s="59"/>
      <c r="L830" s="59"/>
      <c r="N830" s="59"/>
      <c r="P830" s="59"/>
      <c r="Q830" s="61"/>
    </row>
    <row r="831">
      <c r="B831" s="59"/>
      <c r="D831" s="59"/>
      <c r="F831" s="59"/>
      <c r="H831" s="59"/>
      <c r="J831" s="59"/>
      <c r="L831" s="59"/>
      <c r="N831" s="59"/>
      <c r="P831" s="59"/>
      <c r="Q831" s="61"/>
    </row>
    <row r="832">
      <c r="B832" s="59"/>
      <c r="D832" s="59"/>
      <c r="F832" s="59"/>
      <c r="H832" s="59"/>
      <c r="J832" s="59"/>
      <c r="L832" s="59"/>
      <c r="N832" s="59"/>
      <c r="P832" s="59"/>
      <c r="Q832" s="61"/>
    </row>
    <row r="833">
      <c r="B833" s="59"/>
      <c r="D833" s="59"/>
      <c r="F833" s="59"/>
      <c r="H833" s="59"/>
      <c r="J833" s="59"/>
      <c r="L833" s="59"/>
      <c r="N833" s="59"/>
      <c r="P833" s="59"/>
      <c r="Q833" s="61"/>
    </row>
    <row r="834">
      <c r="B834" s="59"/>
      <c r="D834" s="59"/>
      <c r="F834" s="59"/>
      <c r="H834" s="59"/>
      <c r="J834" s="59"/>
      <c r="L834" s="59"/>
      <c r="N834" s="59"/>
      <c r="P834" s="59"/>
      <c r="Q834" s="61"/>
    </row>
    <row r="835">
      <c r="B835" s="59"/>
      <c r="D835" s="59"/>
      <c r="F835" s="59"/>
      <c r="H835" s="59"/>
      <c r="J835" s="59"/>
      <c r="L835" s="59"/>
      <c r="N835" s="59"/>
      <c r="P835" s="59"/>
      <c r="Q835" s="61"/>
    </row>
    <row r="836">
      <c r="B836" s="59"/>
      <c r="D836" s="59"/>
      <c r="F836" s="59"/>
      <c r="H836" s="59"/>
      <c r="J836" s="59"/>
      <c r="L836" s="59"/>
      <c r="N836" s="59"/>
      <c r="P836" s="59"/>
      <c r="Q836" s="61"/>
    </row>
    <row r="837">
      <c r="B837" s="59"/>
      <c r="D837" s="59"/>
      <c r="F837" s="59"/>
      <c r="H837" s="59"/>
      <c r="J837" s="59"/>
      <c r="L837" s="59"/>
      <c r="N837" s="59"/>
      <c r="P837" s="59"/>
      <c r="Q837" s="61"/>
    </row>
    <row r="838">
      <c r="B838" s="59"/>
      <c r="D838" s="59"/>
      <c r="F838" s="59"/>
      <c r="H838" s="59"/>
      <c r="J838" s="59"/>
      <c r="L838" s="59"/>
      <c r="N838" s="59"/>
      <c r="P838" s="59"/>
      <c r="Q838" s="61"/>
    </row>
    <row r="839">
      <c r="B839" s="59"/>
      <c r="D839" s="59"/>
      <c r="F839" s="59"/>
      <c r="H839" s="59"/>
      <c r="J839" s="59"/>
      <c r="L839" s="59"/>
      <c r="N839" s="59"/>
      <c r="P839" s="59"/>
      <c r="Q839" s="61"/>
    </row>
    <row r="840">
      <c r="B840" s="59"/>
      <c r="D840" s="59"/>
      <c r="F840" s="59"/>
      <c r="H840" s="59"/>
      <c r="J840" s="59"/>
      <c r="L840" s="59"/>
      <c r="N840" s="59"/>
      <c r="P840" s="59"/>
      <c r="Q840" s="61"/>
    </row>
    <row r="841">
      <c r="B841" s="59"/>
      <c r="D841" s="59"/>
      <c r="F841" s="59"/>
      <c r="H841" s="59"/>
      <c r="J841" s="59"/>
      <c r="L841" s="59"/>
      <c r="N841" s="59"/>
      <c r="P841" s="59"/>
      <c r="Q841" s="61"/>
    </row>
    <row r="842">
      <c r="B842" s="59"/>
      <c r="D842" s="59"/>
      <c r="F842" s="59"/>
      <c r="H842" s="59"/>
      <c r="J842" s="59"/>
      <c r="L842" s="59"/>
      <c r="N842" s="59"/>
      <c r="P842" s="59"/>
      <c r="Q842" s="61"/>
    </row>
    <row r="843">
      <c r="B843" s="59"/>
      <c r="D843" s="59"/>
      <c r="F843" s="59"/>
      <c r="H843" s="59"/>
      <c r="J843" s="59"/>
      <c r="L843" s="59"/>
      <c r="N843" s="59"/>
      <c r="P843" s="59"/>
      <c r="Q843" s="61"/>
    </row>
    <row r="844">
      <c r="B844" s="59"/>
      <c r="D844" s="59"/>
      <c r="F844" s="59"/>
      <c r="H844" s="59"/>
      <c r="J844" s="59"/>
      <c r="L844" s="59"/>
      <c r="N844" s="59"/>
      <c r="P844" s="59"/>
      <c r="Q844" s="61"/>
    </row>
    <row r="845">
      <c r="B845" s="59"/>
      <c r="D845" s="59"/>
      <c r="F845" s="59"/>
      <c r="H845" s="59"/>
      <c r="J845" s="59"/>
      <c r="L845" s="59"/>
      <c r="N845" s="59"/>
      <c r="P845" s="59"/>
      <c r="Q845" s="61"/>
    </row>
    <row r="846">
      <c r="B846" s="59"/>
      <c r="D846" s="59"/>
      <c r="F846" s="59"/>
      <c r="H846" s="59"/>
      <c r="J846" s="59"/>
      <c r="L846" s="59"/>
      <c r="N846" s="59"/>
      <c r="P846" s="59"/>
      <c r="Q846" s="61"/>
    </row>
    <row r="847">
      <c r="B847" s="59"/>
      <c r="D847" s="59"/>
      <c r="F847" s="59"/>
      <c r="H847" s="59"/>
      <c r="J847" s="59"/>
      <c r="L847" s="59"/>
      <c r="N847" s="59"/>
      <c r="P847" s="59"/>
      <c r="Q847" s="61"/>
    </row>
    <row r="848">
      <c r="B848" s="59"/>
      <c r="D848" s="59"/>
      <c r="F848" s="59"/>
      <c r="H848" s="59"/>
      <c r="J848" s="59"/>
      <c r="L848" s="59"/>
      <c r="N848" s="59"/>
      <c r="P848" s="59"/>
      <c r="Q848" s="61"/>
    </row>
    <row r="849">
      <c r="B849" s="59"/>
      <c r="D849" s="59"/>
      <c r="F849" s="59"/>
      <c r="H849" s="59"/>
      <c r="J849" s="59"/>
      <c r="L849" s="59"/>
      <c r="N849" s="59"/>
      <c r="P849" s="59"/>
      <c r="Q849" s="61"/>
    </row>
    <row r="850">
      <c r="B850" s="59"/>
      <c r="D850" s="59"/>
      <c r="F850" s="59"/>
      <c r="H850" s="59"/>
      <c r="J850" s="59"/>
      <c r="L850" s="59"/>
      <c r="N850" s="59"/>
      <c r="P850" s="59"/>
      <c r="Q850" s="61"/>
    </row>
    <row r="851">
      <c r="B851" s="59"/>
      <c r="D851" s="59"/>
      <c r="F851" s="59"/>
      <c r="H851" s="59"/>
      <c r="J851" s="59"/>
      <c r="L851" s="59"/>
      <c r="N851" s="59"/>
      <c r="P851" s="59"/>
      <c r="Q851" s="61"/>
    </row>
    <row r="852">
      <c r="B852" s="59"/>
      <c r="D852" s="59"/>
      <c r="F852" s="59"/>
      <c r="H852" s="59"/>
      <c r="J852" s="59"/>
      <c r="L852" s="59"/>
      <c r="N852" s="59"/>
      <c r="P852" s="59"/>
      <c r="Q852" s="61"/>
    </row>
    <row r="853">
      <c r="B853" s="59"/>
      <c r="D853" s="59"/>
      <c r="F853" s="59"/>
      <c r="H853" s="59"/>
      <c r="J853" s="59"/>
      <c r="L853" s="59"/>
      <c r="N853" s="59"/>
      <c r="P853" s="59"/>
      <c r="Q853" s="61"/>
    </row>
    <row r="854">
      <c r="B854" s="59"/>
      <c r="D854" s="59"/>
      <c r="F854" s="59"/>
      <c r="H854" s="59"/>
      <c r="J854" s="59"/>
      <c r="L854" s="59"/>
      <c r="N854" s="59"/>
      <c r="P854" s="59"/>
      <c r="Q854" s="61"/>
    </row>
    <row r="855">
      <c r="B855" s="59"/>
      <c r="D855" s="59"/>
      <c r="F855" s="59"/>
      <c r="H855" s="59"/>
      <c r="J855" s="59"/>
      <c r="L855" s="59"/>
      <c r="N855" s="59"/>
      <c r="P855" s="59"/>
      <c r="Q855" s="61"/>
    </row>
    <row r="856">
      <c r="B856" s="59"/>
      <c r="D856" s="59"/>
      <c r="F856" s="59"/>
      <c r="H856" s="59"/>
      <c r="J856" s="59"/>
      <c r="L856" s="59"/>
      <c r="N856" s="59"/>
      <c r="P856" s="59"/>
      <c r="Q856" s="61"/>
    </row>
    <row r="857">
      <c r="B857" s="59"/>
      <c r="D857" s="59"/>
      <c r="F857" s="59"/>
      <c r="H857" s="59"/>
      <c r="J857" s="59"/>
      <c r="L857" s="59"/>
      <c r="N857" s="59"/>
      <c r="P857" s="59"/>
      <c r="Q857" s="61"/>
    </row>
    <row r="858">
      <c r="B858" s="59"/>
      <c r="D858" s="59"/>
      <c r="F858" s="59"/>
      <c r="H858" s="59"/>
      <c r="J858" s="59"/>
      <c r="L858" s="59"/>
      <c r="N858" s="59"/>
      <c r="P858" s="59"/>
      <c r="Q858" s="61"/>
    </row>
    <row r="859">
      <c r="B859" s="59"/>
      <c r="D859" s="59"/>
      <c r="F859" s="59"/>
      <c r="H859" s="59"/>
      <c r="J859" s="59"/>
      <c r="L859" s="59"/>
      <c r="N859" s="59"/>
      <c r="P859" s="59"/>
      <c r="Q859" s="61"/>
    </row>
    <row r="860">
      <c r="B860" s="59"/>
      <c r="D860" s="59"/>
      <c r="F860" s="59"/>
      <c r="H860" s="59"/>
      <c r="J860" s="59"/>
      <c r="L860" s="59"/>
      <c r="N860" s="59"/>
      <c r="P860" s="59"/>
      <c r="Q860" s="61"/>
    </row>
    <row r="861">
      <c r="B861" s="59"/>
      <c r="D861" s="59"/>
      <c r="F861" s="59"/>
      <c r="H861" s="59"/>
      <c r="J861" s="59"/>
      <c r="L861" s="59"/>
      <c r="N861" s="59"/>
      <c r="P861" s="59"/>
      <c r="Q861" s="61"/>
    </row>
    <row r="862">
      <c r="B862" s="59"/>
      <c r="D862" s="59"/>
      <c r="F862" s="59"/>
      <c r="H862" s="59"/>
      <c r="J862" s="59"/>
      <c r="L862" s="59"/>
      <c r="N862" s="59"/>
      <c r="P862" s="59"/>
      <c r="Q862" s="61"/>
    </row>
    <row r="863">
      <c r="B863" s="59"/>
      <c r="D863" s="59"/>
      <c r="F863" s="59"/>
      <c r="H863" s="59"/>
      <c r="J863" s="59"/>
      <c r="L863" s="59"/>
      <c r="N863" s="59"/>
      <c r="P863" s="59"/>
      <c r="Q863" s="61"/>
    </row>
    <row r="864">
      <c r="B864" s="59"/>
      <c r="D864" s="59"/>
      <c r="F864" s="59"/>
      <c r="H864" s="59"/>
      <c r="J864" s="59"/>
      <c r="L864" s="59"/>
      <c r="N864" s="59"/>
      <c r="P864" s="59"/>
      <c r="Q864" s="61"/>
    </row>
    <row r="865">
      <c r="B865" s="59"/>
      <c r="D865" s="59"/>
      <c r="F865" s="59"/>
      <c r="H865" s="59"/>
      <c r="J865" s="59"/>
      <c r="L865" s="59"/>
      <c r="N865" s="59"/>
      <c r="P865" s="59"/>
      <c r="Q865" s="61"/>
    </row>
    <row r="866">
      <c r="B866" s="59"/>
      <c r="D866" s="59"/>
      <c r="F866" s="59"/>
      <c r="H866" s="59"/>
      <c r="J866" s="59"/>
      <c r="L866" s="59"/>
      <c r="N866" s="59"/>
      <c r="P866" s="59"/>
      <c r="Q866" s="61"/>
    </row>
    <row r="867">
      <c r="B867" s="59"/>
      <c r="D867" s="59"/>
      <c r="F867" s="59"/>
      <c r="H867" s="59"/>
      <c r="J867" s="59"/>
      <c r="L867" s="59"/>
      <c r="N867" s="59"/>
      <c r="P867" s="59"/>
      <c r="Q867" s="61"/>
    </row>
    <row r="868">
      <c r="B868" s="59"/>
      <c r="D868" s="59"/>
      <c r="F868" s="59"/>
      <c r="H868" s="59"/>
      <c r="J868" s="59"/>
      <c r="L868" s="59"/>
      <c r="N868" s="59"/>
      <c r="P868" s="59"/>
      <c r="Q868" s="61"/>
    </row>
    <row r="869">
      <c r="B869" s="59"/>
      <c r="D869" s="59"/>
      <c r="F869" s="59"/>
      <c r="H869" s="59"/>
      <c r="J869" s="59"/>
      <c r="L869" s="59"/>
      <c r="N869" s="59"/>
      <c r="P869" s="59"/>
      <c r="Q869" s="61"/>
    </row>
    <row r="870">
      <c r="B870" s="59"/>
      <c r="D870" s="59"/>
      <c r="F870" s="59"/>
      <c r="H870" s="59"/>
      <c r="J870" s="59"/>
      <c r="L870" s="59"/>
      <c r="N870" s="59"/>
      <c r="P870" s="59"/>
      <c r="Q870" s="61"/>
    </row>
    <row r="871">
      <c r="B871" s="59"/>
      <c r="D871" s="59"/>
      <c r="F871" s="59"/>
      <c r="H871" s="59"/>
      <c r="J871" s="59"/>
      <c r="L871" s="59"/>
      <c r="N871" s="59"/>
      <c r="P871" s="59"/>
      <c r="Q871" s="61"/>
    </row>
    <row r="872">
      <c r="B872" s="59"/>
      <c r="D872" s="59"/>
      <c r="F872" s="59"/>
      <c r="H872" s="59"/>
      <c r="J872" s="59"/>
      <c r="L872" s="59"/>
      <c r="N872" s="59"/>
      <c r="P872" s="59"/>
      <c r="Q872" s="61"/>
    </row>
    <row r="873">
      <c r="B873" s="59"/>
      <c r="D873" s="59"/>
      <c r="F873" s="59"/>
      <c r="H873" s="59"/>
      <c r="J873" s="59"/>
      <c r="L873" s="59"/>
      <c r="N873" s="59"/>
      <c r="P873" s="59"/>
      <c r="Q873" s="61"/>
    </row>
    <row r="874">
      <c r="B874" s="59"/>
      <c r="D874" s="59"/>
      <c r="F874" s="59"/>
      <c r="H874" s="59"/>
      <c r="J874" s="59"/>
      <c r="L874" s="59"/>
      <c r="N874" s="59"/>
      <c r="P874" s="59"/>
      <c r="Q874" s="61"/>
    </row>
    <row r="875">
      <c r="B875" s="59"/>
      <c r="D875" s="59"/>
      <c r="F875" s="59"/>
      <c r="H875" s="59"/>
      <c r="J875" s="59"/>
      <c r="L875" s="59"/>
      <c r="N875" s="59"/>
      <c r="P875" s="59"/>
      <c r="Q875" s="61"/>
    </row>
    <row r="876">
      <c r="B876" s="59"/>
      <c r="D876" s="59"/>
      <c r="F876" s="59"/>
      <c r="H876" s="59"/>
      <c r="J876" s="59"/>
      <c r="L876" s="59"/>
      <c r="N876" s="59"/>
      <c r="P876" s="59"/>
      <c r="Q876" s="61"/>
    </row>
    <row r="877">
      <c r="B877" s="59"/>
      <c r="D877" s="59"/>
      <c r="F877" s="59"/>
      <c r="H877" s="59"/>
      <c r="J877" s="59"/>
      <c r="L877" s="59"/>
      <c r="N877" s="59"/>
      <c r="P877" s="59"/>
      <c r="Q877" s="61"/>
    </row>
    <row r="878">
      <c r="B878" s="59"/>
      <c r="D878" s="59"/>
      <c r="F878" s="59"/>
      <c r="H878" s="59"/>
      <c r="J878" s="59"/>
      <c r="L878" s="59"/>
      <c r="N878" s="59"/>
      <c r="P878" s="59"/>
      <c r="Q878" s="61"/>
    </row>
    <row r="879">
      <c r="B879" s="59"/>
      <c r="D879" s="59"/>
      <c r="F879" s="59"/>
      <c r="H879" s="59"/>
      <c r="J879" s="59"/>
      <c r="L879" s="59"/>
      <c r="N879" s="59"/>
      <c r="P879" s="59"/>
      <c r="Q879" s="61"/>
    </row>
    <row r="880">
      <c r="B880" s="59"/>
      <c r="D880" s="59"/>
      <c r="F880" s="59"/>
      <c r="H880" s="59"/>
      <c r="J880" s="59"/>
      <c r="L880" s="59"/>
      <c r="N880" s="59"/>
      <c r="P880" s="59"/>
      <c r="Q880" s="61"/>
    </row>
    <row r="881">
      <c r="B881" s="59"/>
      <c r="D881" s="59"/>
      <c r="F881" s="59"/>
      <c r="H881" s="59"/>
      <c r="J881" s="59"/>
      <c r="L881" s="59"/>
      <c r="N881" s="59"/>
      <c r="P881" s="59"/>
      <c r="Q881" s="61"/>
    </row>
    <row r="882">
      <c r="B882" s="59"/>
      <c r="D882" s="59"/>
      <c r="F882" s="59"/>
      <c r="H882" s="59"/>
      <c r="J882" s="59"/>
      <c r="L882" s="59"/>
      <c r="N882" s="59"/>
      <c r="P882" s="59"/>
      <c r="Q882" s="61"/>
    </row>
    <row r="883">
      <c r="B883" s="59"/>
      <c r="D883" s="59"/>
      <c r="F883" s="59"/>
      <c r="H883" s="59"/>
      <c r="J883" s="59"/>
      <c r="L883" s="59"/>
      <c r="N883" s="59"/>
      <c r="P883" s="59"/>
      <c r="Q883" s="61"/>
    </row>
    <row r="884">
      <c r="B884" s="59"/>
      <c r="D884" s="59"/>
      <c r="F884" s="59"/>
      <c r="H884" s="59"/>
      <c r="J884" s="59"/>
      <c r="L884" s="59"/>
      <c r="N884" s="59"/>
      <c r="P884" s="59"/>
      <c r="Q884" s="61"/>
    </row>
    <row r="885">
      <c r="B885" s="59"/>
      <c r="D885" s="59"/>
      <c r="F885" s="59"/>
      <c r="H885" s="59"/>
      <c r="J885" s="59"/>
      <c r="L885" s="59"/>
      <c r="N885" s="59"/>
      <c r="P885" s="59"/>
      <c r="Q885" s="61"/>
    </row>
    <row r="886">
      <c r="B886" s="59"/>
      <c r="D886" s="59"/>
      <c r="F886" s="59"/>
      <c r="H886" s="59"/>
      <c r="J886" s="59"/>
      <c r="L886" s="59"/>
      <c r="N886" s="59"/>
      <c r="P886" s="59"/>
      <c r="Q886" s="61"/>
    </row>
    <row r="887">
      <c r="B887" s="59"/>
      <c r="D887" s="59"/>
      <c r="F887" s="59"/>
      <c r="H887" s="59"/>
      <c r="J887" s="59"/>
      <c r="L887" s="59"/>
      <c r="N887" s="59"/>
      <c r="P887" s="59"/>
      <c r="Q887" s="61"/>
    </row>
    <row r="888">
      <c r="B888" s="59"/>
      <c r="D888" s="59"/>
      <c r="F888" s="59"/>
      <c r="H888" s="59"/>
      <c r="J888" s="59"/>
      <c r="L888" s="59"/>
      <c r="N888" s="59"/>
      <c r="P888" s="59"/>
      <c r="Q888" s="61"/>
    </row>
    <row r="889">
      <c r="B889" s="59"/>
      <c r="D889" s="59"/>
      <c r="F889" s="59"/>
      <c r="H889" s="59"/>
      <c r="J889" s="59"/>
      <c r="L889" s="59"/>
      <c r="N889" s="59"/>
      <c r="P889" s="59"/>
      <c r="Q889" s="61"/>
    </row>
    <row r="890">
      <c r="B890" s="59"/>
      <c r="D890" s="59"/>
      <c r="F890" s="59"/>
      <c r="H890" s="59"/>
      <c r="J890" s="59"/>
      <c r="L890" s="59"/>
      <c r="N890" s="59"/>
      <c r="P890" s="59"/>
      <c r="Q890" s="61"/>
    </row>
    <row r="891">
      <c r="B891" s="59"/>
      <c r="D891" s="59"/>
      <c r="F891" s="59"/>
      <c r="H891" s="59"/>
      <c r="J891" s="59"/>
      <c r="L891" s="59"/>
      <c r="N891" s="59"/>
      <c r="P891" s="59"/>
      <c r="Q891" s="61"/>
    </row>
    <row r="892">
      <c r="B892" s="59"/>
      <c r="D892" s="59"/>
      <c r="F892" s="59"/>
      <c r="H892" s="59"/>
      <c r="J892" s="59"/>
      <c r="L892" s="59"/>
      <c r="N892" s="59"/>
      <c r="P892" s="59"/>
      <c r="Q892" s="61"/>
    </row>
    <row r="893">
      <c r="B893" s="59"/>
      <c r="D893" s="59"/>
      <c r="F893" s="59"/>
      <c r="H893" s="59"/>
      <c r="J893" s="59"/>
      <c r="L893" s="59"/>
      <c r="N893" s="59"/>
      <c r="P893" s="59"/>
      <c r="Q893" s="61"/>
    </row>
    <row r="894">
      <c r="B894" s="59"/>
      <c r="D894" s="59"/>
      <c r="F894" s="59"/>
      <c r="H894" s="59"/>
      <c r="J894" s="59"/>
      <c r="L894" s="59"/>
      <c r="N894" s="59"/>
      <c r="P894" s="59"/>
      <c r="Q894" s="61"/>
    </row>
    <row r="895">
      <c r="B895" s="59"/>
      <c r="D895" s="59"/>
      <c r="F895" s="59"/>
      <c r="H895" s="59"/>
      <c r="J895" s="59"/>
      <c r="L895" s="59"/>
      <c r="N895" s="59"/>
      <c r="P895" s="59"/>
      <c r="Q895" s="61"/>
    </row>
    <row r="896">
      <c r="B896" s="59"/>
      <c r="D896" s="59"/>
      <c r="F896" s="59"/>
      <c r="H896" s="59"/>
      <c r="J896" s="59"/>
      <c r="L896" s="59"/>
      <c r="N896" s="59"/>
      <c r="P896" s="59"/>
      <c r="Q896" s="61"/>
    </row>
    <row r="897">
      <c r="B897" s="59"/>
      <c r="D897" s="59"/>
      <c r="F897" s="59"/>
      <c r="H897" s="59"/>
      <c r="J897" s="59"/>
      <c r="L897" s="59"/>
      <c r="N897" s="59"/>
      <c r="P897" s="59"/>
      <c r="Q897" s="61"/>
    </row>
    <row r="898">
      <c r="B898" s="59"/>
      <c r="D898" s="59"/>
      <c r="F898" s="59"/>
      <c r="H898" s="59"/>
      <c r="J898" s="59"/>
      <c r="L898" s="59"/>
      <c r="N898" s="59"/>
      <c r="P898" s="59"/>
      <c r="Q898" s="61"/>
    </row>
    <row r="899">
      <c r="B899" s="59"/>
      <c r="D899" s="59"/>
      <c r="F899" s="59"/>
      <c r="H899" s="59"/>
      <c r="J899" s="59"/>
      <c r="L899" s="59"/>
      <c r="N899" s="59"/>
      <c r="P899" s="59"/>
      <c r="Q899" s="61"/>
    </row>
    <row r="900">
      <c r="B900" s="59"/>
      <c r="D900" s="59"/>
      <c r="F900" s="59"/>
      <c r="H900" s="59"/>
      <c r="J900" s="59"/>
      <c r="L900" s="59"/>
      <c r="N900" s="59"/>
      <c r="P900" s="59"/>
      <c r="Q900" s="61"/>
    </row>
    <row r="901">
      <c r="B901" s="59"/>
      <c r="D901" s="59"/>
      <c r="F901" s="59"/>
      <c r="H901" s="59"/>
      <c r="J901" s="59"/>
      <c r="L901" s="59"/>
      <c r="N901" s="59"/>
      <c r="P901" s="59"/>
      <c r="Q901" s="61"/>
    </row>
    <row r="902">
      <c r="B902" s="59"/>
      <c r="D902" s="59"/>
      <c r="F902" s="59"/>
      <c r="H902" s="59"/>
      <c r="J902" s="59"/>
      <c r="L902" s="59"/>
      <c r="N902" s="59"/>
      <c r="P902" s="59"/>
      <c r="Q902" s="61"/>
    </row>
    <row r="903">
      <c r="B903" s="59"/>
      <c r="D903" s="59"/>
      <c r="F903" s="59"/>
      <c r="H903" s="59"/>
      <c r="J903" s="59"/>
      <c r="L903" s="59"/>
      <c r="N903" s="59"/>
      <c r="P903" s="59"/>
      <c r="Q903" s="61"/>
    </row>
    <row r="904">
      <c r="B904" s="59"/>
      <c r="D904" s="59"/>
      <c r="F904" s="59"/>
      <c r="H904" s="59"/>
      <c r="J904" s="59"/>
      <c r="L904" s="59"/>
      <c r="N904" s="59"/>
      <c r="P904" s="59"/>
      <c r="Q904" s="61"/>
    </row>
    <row r="905">
      <c r="B905" s="59"/>
      <c r="D905" s="59"/>
      <c r="F905" s="59"/>
      <c r="H905" s="59"/>
      <c r="J905" s="59"/>
      <c r="L905" s="59"/>
      <c r="N905" s="59"/>
      <c r="P905" s="59"/>
      <c r="Q905" s="61"/>
    </row>
    <row r="906">
      <c r="B906" s="59"/>
      <c r="D906" s="59"/>
      <c r="F906" s="59"/>
      <c r="H906" s="59"/>
      <c r="J906" s="59"/>
      <c r="L906" s="59"/>
      <c r="N906" s="59"/>
      <c r="P906" s="59"/>
      <c r="Q906" s="61"/>
    </row>
    <row r="907">
      <c r="B907" s="59"/>
      <c r="D907" s="59"/>
      <c r="F907" s="59"/>
      <c r="H907" s="59"/>
      <c r="J907" s="59"/>
      <c r="L907" s="59"/>
      <c r="N907" s="59"/>
      <c r="P907" s="59"/>
      <c r="Q907" s="61"/>
    </row>
    <row r="908">
      <c r="B908" s="59"/>
      <c r="D908" s="59"/>
      <c r="F908" s="59"/>
      <c r="H908" s="59"/>
      <c r="J908" s="59"/>
      <c r="L908" s="59"/>
      <c r="N908" s="59"/>
      <c r="P908" s="59"/>
      <c r="Q908" s="61"/>
    </row>
    <row r="909">
      <c r="B909" s="59"/>
      <c r="D909" s="59"/>
      <c r="F909" s="59"/>
      <c r="H909" s="59"/>
      <c r="J909" s="59"/>
      <c r="L909" s="59"/>
      <c r="N909" s="59"/>
      <c r="P909" s="59"/>
      <c r="Q909" s="61"/>
    </row>
    <row r="910">
      <c r="B910" s="59"/>
      <c r="D910" s="59"/>
      <c r="F910" s="59"/>
      <c r="H910" s="59"/>
      <c r="J910" s="59"/>
      <c r="L910" s="59"/>
      <c r="N910" s="59"/>
      <c r="P910" s="59"/>
      <c r="Q910" s="61"/>
    </row>
    <row r="911">
      <c r="B911" s="59"/>
      <c r="D911" s="59"/>
      <c r="F911" s="59"/>
      <c r="H911" s="59"/>
      <c r="J911" s="59"/>
      <c r="L911" s="59"/>
      <c r="N911" s="59"/>
      <c r="P911" s="59"/>
      <c r="Q911" s="61"/>
    </row>
    <row r="912">
      <c r="B912" s="59"/>
      <c r="D912" s="59"/>
      <c r="F912" s="59"/>
      <c r="H912" s="59"/>
      <c r="J912" s="59"/>
      <c r="L912" s="59"/>
      <c r="N912" s="59"/>
      <c r="P912" s="59"/>
      <c r="Q912" s="61"/>
    </row>
    <row r="913">
      <c r="B913" s="59"/>
      <c r="D913" s="59"/>
      <c r="F913" s="59"/>
      <c r="H913" s="59"/>
      <c r="J913" s="59"/>
      <c r="L913" s="59"/>
      <c r="N913" s="59"/>
      <c r="P913" s="59"/>
      <c r="Q913" s="61"/>
    </row>
    <row r="914">
      <c r="B914" s="59"/>
      <c r="D914" s="59"/>
      <c r="F914" s="59"/>
      <c r="H914" s="59"/>
      <c r="J914" s="59"/>
      <c r="L914" s="59"/>
      <c r="N914" s="59"/>
      <c r="P914" s="59"/>
      <c r="Q914" s="61"/>
    </row>
    <row r="915">
      <c r="B915" s="59"/>
      <c r="D915" s="59"/>
      <c r="F915" s="59"/>
      <c r="H915" s="59"/>
      <c r="J915" s="59"/>
      <c r="L915" s="59"/>
      <c r="N915" s="59"/>
      <c r="P915" s="59"/>
      <c r="Q915" s="61"/>
    </row>
    <row r="916">
      <c r="B916" s="59"/>
      <c r="D916" s="59"/>
      <c r="F916" s="59"/>
      <c r="H916" s="59"/>
      <c r="J916" s="59"/>
      <c r="L916" s="59"/>
      <c r="N916" s="59"/>
      <c r="P916" s="59"/>
      <c r="Q916" s="61"/>
    </row>
    <row r="917">
      <c r="B917" s="59"/>
      <c r="D917" s="59"/>
      <c r="F917" s="59"/>
      <c r="H917" s="59"/>
      <c r="J917" s="59"/>
      <c r="L917" s="59"/>
      <c r="N917" s="59"/>
      <c r="P917" s="59"/>
      <c r="Q917" s="61"/>
    </row>
    <row r="918">
      <c r="B918" s="59"/>
      <c r="D918" s="59"/>
      <c r="F918" s="59"/>
      <c r="H918" s="59"/>
      <c r="J918" s="59"/>
      <c r="L918" s="59"/>
      <c r="N918" s="59"/>
      <c r="P918" s="59"/>
      <c r="Q918" s="61"/>
    </row>
    <row r="919">
      <c r="B919" s="59"/>
      <c r="D919" s="59"/>
      <c r="F919" s="59"/>
      <c r="H919" s="59"/>
      <c r="J919" s="59"/>
      <c r="L919" s="59"/>
      <c r="N919" s="59"/>
      <c r="P919" s="59"/>
      <c r="Q919" s="61"/>
    </row>
    <row r="920">
      <c r="B920" s="59"/>
      <c r="D920" s="59"/>
      <c r="F920" s="59"/>
      <c r="H920" s="59"/>
      <c r="J920" s="59"/>
      <c r="L920" s="59"/>
      <c r="N920" s="59"/>
      <c r="P920" s="59"/>
      <c r="Q920" s="61"/>
    </row>
    <row r="921">
      <c r="B921" s="59"/>
      <c r="D921" s="59"/>
      <c r="F921" s="59"/>
      <c r="H921" s="59"/>
      <c r="J921" s="59"/>
      <c r="L921" s="59"/>
      <c r="N921" s="59"/>
      <c r="P921" s="59"/>
      <c r="Q921" s="61"/>
    </row>
    <row r="922">
      <c r="B922" s="59"/>
      <c r="D922" s="59"/>
      <c r="F922" s="59"/>
      <c r="H922" s="59"/>
      <c r="J922" s="59"/>
      <c r="L922" s="59"/>
      <c r="N922" s="59"/>
      <c r="P922" s="59"/>
      <c r="Q922" s="61"/>
    </row>
    <row r="923">
      <c r="B923" s="59"/>
      <c r="D923" s="59"/>
      <c r="F923" s="59"/>
      <c r="H923" s="59"/>
      <c r="J923" s="59"/>
      <c r="L923" s="59"/>
      <c r="N923" s="59"/>
      <c r="P923" s="59"/>
      <c r="Q923" s="61"/>
    </row>
    <row r="924">
      <c r="B924" s="59"/>
      <c r="D924" s="59"/>
      <c r="F924" s="59"/>
      <c r="H924" s="59"/>
      <c r="J924" s="59"/>
      <c r="L924" s="59"/>
      <c r="N924" s="59"/>
      <c r="P924" s="59"/>
      <c r="Q924" s="61"/>
    </row>
    <row r="925">
      <c r="B925" s="59"/>
      <c r="D925" s="59"/>
      <c r="F925" s="59"/>
      <c r="H925" s="59"/>
      <c r="J925" s="59"/>
      <c r="L925" s="59"/>
      <c r="N925" s="59"/>
      <c r="P925" s="59"/>
      <c r="Q925" s="61"/>
    </row>
    <row r="926">
      <c r="B926" s="59"/>
      <c r="D926" s="59"/>
      <c r="F926" s="59"/>
      <c r="H926" s="59"/>
      <c r="J926" s="59"/>
      <c r="L926" s="59"/>
      <c r="N926" s="59"/>
      <c r="P926" s="59"/>
      <c r="Q926" s="61"/>
    </row>
    <row r="927">
      <c r="B927" s="59"/>
      <c r="D927" s="59"/>
      <c r="F927" s="59"/>
      <c r="H927" s="59"/>
      <c r="J927" s="59"/>
      <c r="L927" s="59"/>
      <c r="N927" s="59"/>
      <c r="P927" s="59"/>
      <c r="Q927" s="61"/>
    </row>
    <row r="928">
      <c r="B928" s="59"/>
      <c r="D928" s="59"/>
      <c r="F928" s="59"/>
      <c r="H928" s="59"/>
      <c r="J928" s="59"/>
      <c r="L928" s="59"/>
      <c r="N928" s="59"/>
      <c r="P928" s="59"/>
      <c r="Q928" s="61"/>
    </row>
    <row r="929">
      <c r="B929" s="59"/>
      <c r="D929" s="59"/>
      <c r="F929" s="59"/>
      <c r="H929" s="59"/>
      <c r="J929" s="59"/>
      <c r="L929" s="59"/>
      <c r="N929" s="59"/>
      <c r="P929" s="59"/>
      <c r="Q929" s="61"/>
    </row>
    <row r="930">
      <c r="B930" s="59"/>
      <c r="D930" s="59"/>
      <c r="F930" s="59"/>
      <c r="H930" s="59"/>
      <c r="J930" s="59"/>
      <c r="L930" s="59"/>
      <c r="N930" s="59"/>
      <c r="P930" s="59"/>
      <c r="Q930" s="61"/>
    </row>
    <row r="931">
      <c r="B931" s="59"/>
      <c r="D931" s="59"/>
      <c r="F931" s="59"/>
      <c r="H931" s="59"/>
      <c r="J931" s="59"/>
      <c r="L931" s="59"/>
      <c r="N931" s="59"/>
      <c r="P931" s="59"/>
      <c r="Q931" s="61"/>
    </row>
    <row r="932">
      <c r="B932" s="59"/>
      <c r="D932" s="59"/>
      <c r="F932" s="59"/>
      <c r="H932" s="59"/>
      <c r="J932" s="59"/>
      <c r="L932" s="59"/>
      <c r="N932" s="59"/>
      <c r="P932" s="59"/>
      <c r="Q932" s="61"/>
    </row>
    <row r="933">
      <c r="B933" s="59"/>
      <c r="D933" s="59"/>
      <c r="F933" s="59"/>
      <c r="H933" s="59"/>
      <c r="J933" s="59"/>
      <c r="L933" s="59"/>
      <c r="N933" s="59"/>
      <c r="P933" s="59"/>
      <c r="Q933" s="61"/>
    </row>
    <row r="934">
      <c r="B934" s="59"/>
      <c r="D934" s="59"/>
      <c r="F934" s="59"/>
      <c r="H934" s="59"/>
      <c r="J934" s="59"/>
      <c r="L934" s="59"/>
      <c r="N934" s="59"/>
      <c r="P934" s="59"/>
      <c r="Q934" s="61"/>
    </row>
    <row r="935">
      <c r="B935" s="59"/>
      <c r="D935" s="59"/>
      <c r="F935" s="59"/>
      <c r="H935" s="59"/>
      <c r="J935" s="59"/>
      <c r="L935" s="59"/>
      <c r="N935" s="59"/>
      <c r="P935" s="59"/>
      <c r="Q935" s="61"/>
    </row>
    <row r="936">
      <c r="B936" s="59"/>
      <c r="D936" s="59"/>
      <c r="F936" s="59"/>
      <c r="H936" s="59"/>
      <c r="J936" s="59"/>
      <c r="L936" s="59"/>
      <c r="N936" s="59"/>
      <c r="P936" s="59"/>
      <c r="Q936" s="61"/>
    </row>
    <row r="937">
      <c r="B937" s="59"/>
      <c r="D937" s="59"/>
      <c r="F937" s="59"/>
      <c r="H937" s="59"/>
      <c r="J937" s="59"/>
      <c r="L937" s="59"/>
      <c r="N937" s="59"/>
      <c r="P937" s="59"/>
      <c r="Q937" s="61"/>
    </row>
    <row r="938">
      <c r="B938" s="59"/>
      <c r="D938" s="59"/>
      <c r="F938" s="59"/>
      <c r="H938" s="59"/>
      <c r="J938" s="59"/>
      <c r="L938" s="59"/>
      <c r="N938" s="59"/>
      <c r="P938" s="59"/>
      <c r="Q938" s="61"/>
    </row>
    <row r="939">
      <c r="B939" s="59"/>
      <c r="D939" s="59"/>
      <c r="F939" s="59"/>
      <c r="H939" s="59"/>
      <c r="J939" s="59"/>
      <c r="L939" s="59"/>
      <c r="N939" s="59"/>
      <c r="P939" s="59"/>
      <c r="Q939" s="61"/>
    </row>
    <row r="940">
      <c r="B940" s="59"/>
      <c r="D940" s="59"/>
      <c r="F940" s="59"/>
      <c r="H940" s="59"/>
      <c r="J940" s="59"/>
      <c r="L940" s="59"/>
      <c r="N940" s="59"/>
      <c r="P940" s="59"/>
      <c r="Q940" s="61"/>
    </row>
    <row r="941">
      <c r="B941" s="59"/>
      <c r="D941" s="59"/>
      <c r="F941" s="59"/>
      <c r="H941" s="59"/>
      <c r="J941" s="59"/>
      <c r="L941" s="59"/>
      <c r="N941" s="59"/>
      <c r="P941" s="59"/>
      <c r="Q941" s="61"/>
    </row>
    <row r="942">
      <c r="B942" s="59"/>
      <c r="D942" s="59"/>
      <c r="F942" s="59"/>
      <c r="H942" s="59"/>
      <c r="J942" s="59"/>
      <c r="L942" s="59"/>
      <c r="N942" s="59"/>
      <c r="P942" s="59"/>
      <c r="Q942" s="61"/>
    </row>
    <row r="943">
      <c r="B943" s="59"/>
      <c r="D943" s="59"/>
      <c r="F943" s="59"/>
      <c r="H943" s="59"/>
      <c r="J943" s="59"/>
      <c r="L943" s="59"/>
      <c r="N943" s="59"/>
      <c r="P943" s="59"/>
      <c r="Q943" s="61"/>
    </row>
    <row r="944">
      <c r="B944" s="59"/>
      <c r="D944" s="59"/>
      <c r="F944" s="59"/>
      <c r="H944" s="59"/>
      <c r="J944" s="59"/>
      <c r="L944" s="59"/>
      <c r="N944" s="59"/>
      <c r="P944" s="59"/>
      <c r="Q944" s="61"/>
    </row>
    <row r="945">
      <c r="B945" s="59"/>
      <c r="D945" s="59"/>
      <c r="F945" s="59"/>
      <c r="H945" s="59"/>
      <c r="J945" s="59"/>
      <c r="L945" s="59"/>
      <c r="N945" s="59"/>
      <c r="P945" s="59"/>
      <c r="Q945" s="61"/>
    </row>
    <row r="946">
      <c r="B946" s="59"/>
      <c r="D946" s="59"/>
      <c r="F946" s="59"/>
      <c r="H946" s="59"/>
      <c r="J946" s="59"/>
      <c r="L946" s="59"/>
      <c r="N946" s="59"/>
      <c r="P946" s="59"/>
      <c r="Q946" s="61"/>
    </row>
    <row r="947">
      <c r="B947" s="59"/>
      <c r="D947" s="59"/>
      <c r="F947" s="59"/>
      <c r="H947" s="59"/>
      <c r="J947" s="59"/>
      <c r="L947" s="59"/>
      <c r="N947" s="59"/>
      <c r="P947" s="59"/>
      <c r="Q947" s="61"/>
    </row>
    <row r="948">
      <c r="B948" s="59"/>
      <c r="D948" s="59"/>
      <c r="F948" s="59"/>
      <c r="H948" s="59"/>
      <c r="J948" s="59"/>
      <c r="L948" s="59"/>
      <c r="N948" s="59"/>
      <c r="P948" s="59"/>
      <c r="Q948" s="61"/>
    </row>
    <row r="949">
      <c r="B949" s="59"/>
      <c r="D949" s="59"/>
      <c r="F949" s="59"/>
      <c r="H949" s="59"/>
      <c r="J949" s="59"/>
      <c r="L949" s="59"/>
      <c r="N949" s="59"/>
      <c r="P949" s="59"/>
      <c r="Q949" s="61"/>
    </row>
    <row r="950">
      <c r="B950" s="59"/>
      <c r="D950" s="59"/>
      <c r="F950" s="59"/>
      <c r="H950" s="59"/>
      <c r="J950" s="59"/>
      <c r="L950" s="59"/>
      <c r="N950" s="59"/>
      <c r="P950" s="59"/>
      <c r="Q950" s="61"/>
    </row>
    <row r="951">
      <c r="B951" s="59"/>
      <c r="D951" s="59"/>
      <c r="F951" s="59"/>
      <c r="H951" s="59"/>
      <c r="J951" s="59"/>
      <c r="L951" s="59"/>
      <c r="N951" s="59"/>
      <c r="P951" s="59"/>
      <c r="Q951" s="61"/>
    </row>
    <row r="952">
      <c r="B952" s="59"/>
      <c r="D952" s="59"/>
      <c r="F952" s="59"/>
      <c r="H952" s="59"/>
      <c r="J952" s="59"/>
      <c r="L952" s="59"/>
      <c r="N952" s="59"/>
      <c r="P952" s="59"/>
      <c r="Q952" s="61"/>
    </row>
    <row r="953">
      <c r="B953" s="59"/>
      <c r="D953" s="59"/>
      <c r="F953" s="59"/>
      <c r="H953" s="59"/>
      <c r="J953" s="59"/>
      <c r="L953" s="59"/>
      <c r="N953" s="59"/>
      <c r="P953" s="59"/>
      <c r="Q953" s="61"/>
    </row>
    <row r="954">
      <c r="B954" s="59"/>
      <c r="D954" s="59"/>
      <c r="F954" s="59"/>
      <c r="H954" s="59"/>
      <c r="J954" s="59"/>
      <c r="L954" s="59"/>
      <c r="N954" s="59"/>
      <c r="P954" s="59"/>
      <c r="Q954" s="61"/>
    </row>
    <row r="955">
      <c r="B955" s="59"/>
      <c r="D955" s="59"/>
      <c r="F955" s="59"/>
      <c r="H955" s="59"/>
      <c r="J955" s="59"/>
      <c r="L955" s="59"/>
      <c r="N955" s="59"/>
      <c r="P955" s="59"/>
      <c r="Q955" s="61"/>
    </row>
    <row r="956">
      <c r="B956" s="59"/>
      <c r="D956" s="59"/>
      <c r="F956" s="59"/>
      <c r="H956" s="59"/>
      <c r="J956" s="59"/>
      <c r="L956" s="59"/>
      <c r="N956" s="59"/>
      <c r="P956" s="59"/>
      <c r="Q956" s="61"/>
    </row>
    <row r="957">
      <c r="B957" s="59"/>
      <c r="D957" s="59"/>
      <c r="F957" s="59"/>
      <c r="H957" s="59"/>
      <c r="J957" s="59"/>
      <c r="L957" s="59"/>
      <c r="N957" s="59"/>
      <c r="P957" s="59"/>
      <c r="Q957" s="61"/>
    </row>
    <row r="958">
      <c r="B958" s="59"/>
      <c r="D958" s="59"/>
      <c r="F958" s="59"/>
      <c r="H958" s="59"/>
      <c r="J958" s="59"/>
      <c r="L958" s="59"/>
      <c r="N958" s="59"/>
      <c r="P958" s="59"/>
      <c r="Q958" s="61"/>
    </row>
    <row r="959">
      <c r="B959" s="59"/>
      <c r="D959" s="59"/>
      <c r="F959" s="59"/>
      <c r="H959" s="59"/>
      <c r="J959" s="59"/>
      <c r="L959" s="59"/>
      <c r="N959" s="59"/>
      <c r="P959" s="59"/>
      <c r="Q959" s="61"/>
    </row>
    <row r="960">
      <c r="B960" s="59"/>
      <c r="D960" s="59"/>
      <c r="F960" s="59"/>
      <c r="H960" s="59"/>
      <c r="J960" s="59"/>
      <c r="L960" s="59"/>
      <c r="N960" s="59"/>
      <c r="P960" s="59"/>
      <c r="Q960" s="61"/>
    </row>
    <row r="961">
      <c r="B961" s="59"/>
      <c r="D961" s="59"/>
      <c r="F961" s="59"/>
      <c r="H961" s="59"/>
      <c r="J961" s="59"/>
      <c r="L961" s="59"/>
      <c r="N961" s="59"/>
      <c r="P961" s="59"/>
      <c r="Q961" s="61"/>
    </row>
    <row r="962">
      <c r="B962" s="59"/>
      <c r="D962" s="59"/>
      <c r="F962" s="59"/>
      <c r="H962" s="59"/>
      <c r="J962" s="59"/>
      <c r="L962" s="59"/>
      <c r="N962" s="59"/>
      <c r="P962" s="59"/>
      <c r="Q962" s="61"/>
    </row>
    <row r="963">
      <c r="B963" s="59"/>
      <c r="D963" s="59"/>
      <c r="F963" s="59"/>
      <c r="H963" s="59"/>
      <c r="J963" s="59"/>
      <c r="L963" s="59"/>
      <c r="N963" s="59"/>
      <c r="P963" s="59"/>
      <c r="Q963" s="61"/>
    </row>
    <row r="964">
      <c r="B964" s="59"/>
      <c r="D964" s="59"/>
      <c r="F964" s="59"/>
      <c r="H964" s="59"/>
      <c r="J964" s="59"/>
      <c r="L964" s="59"/>
      <c r="N964" s="59"/>
      <c r="P964" s="59"/>
      <c r="Q964" s="61"/>
    </row>
    <row r="965">
      <c r="B965" s="59"/>
      <c r="D965" s="59"/>
      <c r="F965" s="59"/>
      <c r="H965" s="59"/>
      <c r="J965" s="59"/>
      <c r="L965" s="59"/>
      <c r="N965" s="59"/>
      <c r="P965" s="59"/>
      <c r="Q965" s="61"/>
    </row>
    <row r="966">
      <c r="B966" s="59"/>
      <c r="D966" s="59"/>
      <c r="F966" s="59"/>
      <c r="H966" s="59"/>
      <c r="J966" s="59"/>
      <c r="L966" s="59"/>
      <c r="N966" s="59"/>
      <c r="P966" s="59"/>
      <c r="Q966" s="61"/>
    </row>
    <row r="967">
      <c r="B967" s="59"/>
      <c r="D967" s="59"/>
      <c r="F967" s="59"/>
      <c r="H967" s="59"/>
      <c r="J967" s="59"/>
      <c r="L967" s="59"/>
      <c r="N967" s="59"/>
      <c r="P967" s="59"/>
      <c r="Q967" s="61"/>
    </row>
    <row r="968">
      <c r="B968" s="59"/>
      <c r="D968" s="59"/>
      <c r="F968" s="59"/>
      <c r="H968" s="59"/>
      <c r="J968" s="59"/>
      <c r="L968" s="59"/>
      <c r="N968" s="59"/>
      <c r="P968" s="59"/>
      <c r="Q968" s="61"/>
    </row>
    <row r="969">
      <c r="B969" s="59"/>
      <c r="D969" s="59"/>
      <c r="F969" s="59"/>
      <c r="H969" s="59"/>
      <c r="J969" s="59"/>
      <c r="L969" s="59"/>
      <c r="N969" s="59"/>
      <c r="P969" s="59"/>
      <c r="Q969" s="61"/>
    </row>
    <row r="970">
      <c r="B970" s="59"/>
      <c r="D970" s="59"/>
      <c r="F970" s="59"/>
      <c r="H970" s="59"/>
      <c r="J970" s="59"/>
      <c r="L970" s="59"/>
      <c r="N970" s="59"/>
      <c r="P970" s="59"/>
      <c r="Q970" s="61"/>
    </row>
    <row r="971">
      <c r="B971" s="59"/>
      <c r="D971" s="59"/>
      <c r="F971" s="59"/>
      <c r="H971" s="59"/>
      <c r="J971" s="59"/>
      <c r="L971" s="59"/>
      <c r="N971" s="59"/>
      <c r="P971" s="59"/>
      <c r="Q971" s="61"/>
    </row>
    <row r="972">
      <c r="B972" s="59"/>
      <c r="D972" s="59"/>
      <c r="F972" s="59"/>
      <c r="H972" s="59"/>
      <c r="J972" s="59"/>
      <c r="L972" s="59"/>
      <c r="N972" s="59"/>
      <c r="P972" s="59"/>
      <c r="Q972" s="61"/>
    </row>
    <row r="973">
      <c r="B973" s="59"/>
      <c r="D973" s="59"/>
      <c r="F973" s="59"/>
      <c r="H973" s="59"/>
      <c r="J973" s="59"/>
      <c r="L973" s="59"/>
      <c r="N973" s="59"/>
      <c r="P973" s="59"/>
      <c r="Q973" s="61"/>
    </row>
    <row r="974">
      <c r="B974" s="59"/>
      <c r="D974" s="59"/>
      <c r="F974" s="59"/>
      <c r="H974" s="59"/>
      <c r="J974" s="59"/>
      <c r="L974" s="59"/>
      <c r="N974" s="59"/>
      <c r="P974" s="59"/>
      <c r="Q974" s="61"/>
    </row>
    <row r="975">
      <c r="B975" s="59"/>
      <c r="D975" s="59"/>
      <c r="F975" s="59"/>
      <c r="H975" s="59"/>
      <c r="J975" s="59"/>
      <c r="L975" s="59"/>
      <c r="N975" s="59"/>
      <c r="P975" s="59"/>
      <c r="Q975" s="61"/>
    </row>
    <row r="976">
      <c r="B976" s="59"/>
      <c r="D976" s="59"/>
      <c r="F976" s="59"/>
      <c r="H976" s="59"/>
      <c r="J976" s="59"/>
      <c r="L976" s="59"/>
      <c r="N976" s="59"/>
      <c r="P976" s="59"/>
      <c r="Q976" s="61"/>
    </row>
    <row r="977">
      <c r="B977" s="59"/>
      <c r="D977" s="59"/>
      <c r="F977" s="59"/>
      <c r="H977" s="59"/>
      <c r="J977" s="59"/>
      <c r="L977" s="59"/>
      <c r="N977" s="59"/>
      <c r="P977" s="59"/>
      <c r="Q977" s="61"/>
    </row>
    <row r="978">
      <c r="B978" s="59"/>
      <c r="D978" s="59"/>
      <c r="F978" s="59"/>
      <c r="H978" s="59"/>
      <c r="J978" s="59"/>
      <c r="L978" s="59"/>
      <c r="N978" s="59"/>
      <c r="P978" s="59"/>
      <c r="Q978" s="61"/>
    </row>
    <row r="979">
      <c r="B979" s="59"/>
      <c r="D979" s="59"/>
      <c r="F979" s="59"/>
      <c r="H979" s="59"/>
      <c r="J979" s="59"/>
      <c r="L979" s="59"/>
      <c r="N979" s="59"/>
      <c r="P979" s="59"/>
      <c r="Q979" s="61"/>
    </row>
    <row r="980">
      <c r="B980" s="59"/>
      <c r="D980" s="59"/>
      <c r="F980" s="59"/>
      <c r="H980" s="59"/>
      <c r="J980" s="59"/>
      <c r="L980" s="59"/>
      <c r="N980" s="59"/>
      <c r="P980" s="59"/>
      <c r="Q980" s="61"/>
    </row>
    <row r="981">
      <c r="B981" s="59"/>
      <c r="D981" s="59"/>
      <c r="F981" s="59"/>
      <c r="H981" s="59"/>
      <c r="J981" s="59"/>
      <c r="L981" s="59"/>
      <c r="N981" s="59"/>
      <c r="P981" s="59"/>
      <c r="Q981" s="61"/>
    </row>
    <row r="982">
      <c r="B982" s="59"/>
      <c r="D982" s="59"/>
      <c r="F982" s="59"/>
      <c r="H982" s="59"/>
      <c r="J982" s="59"/>
      <c r="L982" s="59"/>
      <c r="N982" s="59"/>
      <c r="P982" s="59"/>
      <c r="Q982" s="61"/>
    </row>
    <row r="983">
      <c r="B983" s="59"/>
      <c r="D983" s="59"/>
      <c r="F983" s="59"/>
      <c r="H983" s="59"/>
      <c r="J983" s="59"/>
      <c r="L983" s="59"/>
      <c r="N983" s="59"/>
      <c r="P983" s="59"/>
      <c r="Q983" s="61"/>
    </row>
    <row r="984">
      <c r="B984" s="59"/>
      <c r="D984" s="59"/>
      <c r="F984" s="59"/>
      <c r="H984" s="59"/>
      <c r="J984" s="59"/>
      <c r="L984" s="59"/>
      <c r="N984" s="59"/>
      <c r="P984" s="59"/>
      <c r="Q984" s="61"/>
    </row>
    <row r="985">
      <c r="B985" s="59"/>
      <c r="D985" s="59"/>
      <c r="F985" s="59"/>
      <c r="H985" s="59"/>
      <c r="J985" s="59"/>
      <c r="L985" s="59"/>
      <c r="N985" s="59"/>
      <c r="P985" s="59"/>
      <c r="Q985" s="61"/>
    </row>
    <row r="986">
      <c r="B986" s="59"/>
      <c r="D986" s="59"/>
      <c r="F986" s="59"/>
      <c r="H986" s="59"/>
      <c r="J986" s="59"/>
      <c r="L986" s="59"/>
      <c r="N986" s="59"/>
      <c r="P986" s="59"/>
      <c r="Q986" s="61"/>
    </row>
    <row r="987">
      <c r="B987" s="59"/>
      <c r="D987" s="59"/>
      <c r="F987" s="59"/>
      <c r="H987" s="59"/>
      <c r="J987" s="59"/>
      <c r="L987" s="59"/>
      <c r="N987" s="59"/>
      <c r="P987" s="59"/>
      <c r="Q987" s="61"/>
    </row>
    <row r="988">
      <c r="B988" s="59"/>
      <c r="D988" s="59"/>
      <c r="F988" s="59"/>
      <c r="H988" s="59"/>
      <c r="J988" s="59"/>
      <c r="L988" s="59"/>
      <c r="N988" s="59"/>
      <c r="P988" s="59"/>
      <c r="Q988" s="61"/>
    </row>
    <row r="989">
      <c r="B989" s="59"/>
      <c r="D989" s="59"/>
      <c r="F989" s="59"/>
      <c r="H989" s="59"/>
      <c r="J989" s="59"/>
      <c r="L989" s="59"/>
      <c r="N989" s="59"/>
      <c r="P989" s="59"/>
      <c r="Q989" s="61"/>
    </row>
    <row r="990">
      <c r="B990" s="59"/>
      <c r="D990" s="59"/>
      <c r="F990" s="59"/>
      <c r="H990" s="59"/>
      <c r="J990" s="59"/>
      <c r="L990" s="59"/>
      <c r="N990" s="59"/>
      <c r="P990" s="59"/>
      <c r="Q990" s="61"/>
    </row>
    <row r="991">
      <c r="B991" s="59"/>
      <c r="D991" s="59"/>
      <c r="F991" s="59"/>
      <c r="H991" s="59"/>
      <c r="J991" s="59"/>
      <c r="L991" s="59"/>
      <c r="N991" s="59"/>
      <c r="P991" s="59"/>
      <c r="Q991" s="61"/>
    </row>
    <row r="992">
      <c r="B992" s="59"/>
      <c r="D992" s="59"/>
      <c r="F992" s="59"/>
      <c r="H992" s="59"/>
      <c r="J992" s="59"/>
      <c r="L992" s="59"/>
      <c r="N992" s="59"/>
      <c r="P992" s="59"/>
      <c r="Q992" s="61"/>
    </row>
    <row r="993">
      <c r="B993" s="59"/>
      <c r="D993" s="59"/>
      <c r="F993" s="59"/>
      <c r="H993" s="59"/>
      <c r="J993" s="59"/>
      <c r="L993" s="59"/>
      <c r="N993" s="59"/>
      <c r="P993" s="59"/>
      <c r="Q993" s="61"/>
    </row>
    <row r="994">
      <c r="B994" s="59"/>
      <c r="D994" s="59"/>
      <c r="F994" s="59"/>
      <c r="H994" s="59"/>
      <c r="J994" s="59"/>
      <c r="L994" s="59"/>
      <c r="N994" s="59"/>
      <c r="P994" s="59"/>
      <c r="Q994" s="61"/>
    </row>
    <row r="995">
      <c r="B995" s="59"/>
      <c r="D995" s="59"/>
      <c r="F995" s="59"/>
      <c r="H995" s="59"/>
      <c r="J995" s="59"/>
      <c r="L995" s="59"/>
      <c r="N995" s="59"/>
      <c r="P995" s="59"/>
      <c r="Q995" s="61"/>
    </row>
    <row r="996">
      <c r="B996" s="59"/>
      <c r="D996" s="59"/>
      <c r="F996" s="59"/>
      <c r="H996" s="59"/>
      <c r="J996" s="59"/>
      <c r="L996" s="59"/>
      <c r="N996" s="59"/>
      <c r="P996" s="59"/>
      <c r="Q996" s="61"/>
    </row>
    <row r="997">
      <c r="B997" s="59"/>
      <c r="D997" s="59"/>
      <c r="F997" s="59"/>
      <c r="H997" s="59"/>
      <c r="J997" s="59"/>
      <c r="L997" s="59"/>
      <c r="N997" s="59"/>
      <c r="P997" s="59"/>
      <c r="Q997" s="61"/>
    </row>
    <row r="998">
      <c r="B998" s="59"/>
      <c r="D998" s="59"/>
      <c r="F998" s="59"/>
      <c r="H998" s="59"/>
      <c r="J998" s="59"/>
      <c r="L998" s="59"/>
      <c r="N998" s="59"/>
      <c r="P998" s="59"/>
      <c r="Q998" s="61"/>
    </row>
    <row r="999">
      <c r="B999" s="59"/>
      <c r="D999" s="59"/>
      <c r="F999" s="59"/>
      <c r="H999" s="59"/>
      <c r="J999" s="59"/>
      <c r="L999" s="59"/>
      <c r="N999" s="59"/>
      <c r="P999" s="59"/>
      <c r="Q999" s="61"/>
    </row>
    <row r="1000">
      <c r="B1000" s="59"/>
      <c r="D1000" s="59"/>
      <c r="F1000" s="59"/>
      <c r="H1000" s="59"/>
      <c r="J1000" s="59"/>
      <c r="L1000" s="59"/>
      <c r="N1000" s="59"/>
      <c r="P1000" s="59"/>
      <c r="Q1000" s="61"/>
    </row>
    <row r="1001">
      <c r="B1001" s="59"/>
      <c r="D1001" s="59"/>
      <c r="F1001" s="59"/>
      <c r="H1001" s="59"/>
      <c r="J1001" s="59"/>
      <c r="L1001" s="59"/>
      <c r="N1001" s="59"/>
      <c r="P1001" s="59"/>
      <c r="Q1001" s="61"/>
    </row>
    <row r="1002">
      <c r="B1002" s="59"/>
      <c r="D1002" s="59"/>
      <c r="F1002" s="59"/>
      <c r="H1002" s="59"/>
      <c r="J1002" s="59"/>
      <c r="L1002" s="59"/>
      <c r="N1002" s="59"/>
      <c r="P1002" s="59"/>
      <c r="Q1002" s="61"/>
    </row>
    <row r="1003">
      <c r="B1003" s="59"/>
      <c r="D1003" s="59"/>
      <c r="F1003" s="59"/>
      <c r="H1003" s="59"/>
      <c r="J1003" s="59"/>
      <c r="L1003" s="59"/>
      <c r="N1003" s="59"/>
      <c r="P1003" s="59"/>
      <c r="Q1003" s="61"/>
    </row>
    <row r="1004">
      <c r="B1004" s="59"/>
      <c r="D1004" s="59"/>
      <c r="F1004" s="59"/>
      <c r="H1004" s="59"/>
      <c r="J1004" s="59"/>
      <c r="L1004" s="59"/>
      <c r="N1004" s="59"/>
      <c r="P1004" s="59"/>
      <c r="Q1004" s="61"/>
    </row>
    <row r="1005">
      <c r="B1005" s="59"/>
      <c r="D1005" s="59"/>
      <c r="F1005" s="59"/>
      <c r="H1005" s="59"/>
      <c r="J1005" s="59"/>
      <c r="L1005" s="59"/>
      <c r="N1005" s="59"/>
      <c r="P1005" s="59"/>
      <c r="Q1005" s="61"/>
    </row>
    <row r="1006">
      <c r="B1006" s="59"/>
      <c r="D1006" s="59"/>
      <c r="F1006" s="59"/>
      <c r="H1006" s="59"/>
      <c r="J1006" s="59"/>
      <c r="L1006" s="59"/>
      <c r="N1006" s="59"/>
      <c r="P1006" s="59"/>
      <c r="Q1006" s="61"/>
    </row>
    <row r="1007">
      <c r="B1007" s="59"/>
      <c r="D1007" s="59"/>
      <c r="F1007" s="59"/>
      <c r="H1007" s="59"/>
      <c r="J1007" s="59"/>
      <c r="L1007" s="59"/>
      <c r="N1007" s="59"/>
      <c r="P1007" s="59"/>
      <c r="Q1007" s="61"/>
    </row>
    <row r="1008">
      <c r="B1008" s="59"/>
      <c r="D1008" s="59"/>
      <c r="F1008" s="59"/>
      <c r="H1008" s="59"/>
      <c r="J1008" s="59"/>
      <c r="L1008" s="59"/>
      <c r="N1008" s="59"/>
      <c r="P1008" s="59"/>
      <c r="Q1008" s="61"/>
    </row>
    <row r="1009">
      <c r="B1009" s="59"/>
      <c r="D1009" s="59"/>
      <c r="F1009" s="59"/>
      <c r="H1009" s="59"/>
      <c r="J1009" s="59"/>
      <c r="L1009" s="59"/>
      <c r="N1009" s="59"/>
      <c r="P1009" s="59"/>
      <c r="Q1009" s="61"/>
    </row>
    <row r="1010">
      <c r="B1010" s="59"/>
      <c r="D1010" s="59"/>
      <c r="F1010" s="59"/>
      <c r="H1010" s="59"/>
      <c r="J1010" s="59"/>
      <c r="L1010" s="59"/>
      <c r="N1010" s="59"/>
      <c r="P1010" s="59"/>
      <c r="Q1010" s="61"/>
    </row>
    <row r="1011">
      <c r="B1011" s="59"/>
      <c r="D1011" s="59"/>
      <c r="F1011" s="59"/>
      <c r="H1011" s="59"/>
      <c r="J1011" s="59"/>
      <c r="L1011" s="59"/>
      <c r="N1011" s="59"/>
      <c r="P1011" s="59"/>
      <c r="Q1011" s="61"/>
    </row>
    <row r="1012">
      <c r="B1012" s="59"/>
      <c r="D1012" s="59"/>
      <c r="F1012" s="59"/>
      <c r="H1012" s="59"/>
      <c r="J1012" s="59"/>
      <c r="L1012" s="59"/>
      <c r="N1012" s="59"/>
      <c r="P1012" s="59"/>
      <c r="Q1012" s="61"/>
    </row>
    <row r="1013">
      <c r="B1013" s="59"/>
      <c r="D1013" s="59"/>
      <c r="F1013" s="59"/>
      <c r="H1013" s="59"/>
      <c r="J1013" s="59"/>
      <c r="L1013" s="59"/>
      <c r="N1013" s="59"/>
      <c r="P1013" s="59"/>
      <c r="Q1013" s="61"/>
    </row>
    <row r="1014">
      <c r="B1014" s="59"/>
      <c r="D1014" s="59"/>
      <c r="F1014" s="59"/>
      <c r="H1014" s="59"/>
      <c r="J1014" s="59"/>
      <c r="L1014" s="59"/>
      <c r="N1014" s="59"/>
      <c r="P1014" s="59"/>
      <c r="Q1014" s="61"/>
    </row>
    <row r="1015">
      <c r="B1015" s="59"/>
      <c r="D1015" s="59"/>
      <c r="F1015" s="59"/>
      <c r="H1015" s="59"/>
      <c r="J1015" s="59"/>
      <c r="L1015" s="59"/>
      <c r="N1015" s="59"/>
      <c r="P1015" s="59"/>
      <c r="Q1015" s="61"/>
    </row>
    <row r="1016">
      <c r="B1016" s="59"/>
      <c r="D1016" s="59"/>
      <c r="F1016" s="59"/>
      <c r="H1016" s="59"/>
      <c r="J1016" s="59"/>
      <c r="L1016" s="59"/>
      <c r="N1016" s="59"/>
      <c r="P1016" s="59"/>
      <c r="Q1016" s="61"/>
    </row>
    <row r="1017">
      <c r="B1017" s="59"/>
      <c r="D1017" s="59"/>
      <c r="F1017" s="59"/>
      <c r="H1017" s="59"/>
      <c r="J1017" s="59"/>
      <c r="L1017" s="59"/>
      <c r="N1017" s="59"/>
      <c r="P1017" s="59"/>
      <c r="Q1017" s="61"/>
    </row>
    <row r="1018">
      <c r="B1018" s="59"/>
      <c r="D1018" s="59"/>
      <c r="F1018" s="59"/>
      <c r="H1018" s="59"/>
      <c r="J1018" s="59"/>
      <c r="L1018" s="59"/>
      <c r="N1018" s="59"/>
      <c r="P1018" s="59"/>
      <c r="Q1018" s="61"/>
    </row>
    <row r="1019">
      <c r="B1019" s="59"/>
      <c r="D1019" s="59"/>
      <c r="F1019" s="59"/>
      <c r="H1019" s="59"/>
      <c r="J1019" s="59"/>
      <c r="L1019" s="59"/>
      <c r="N1019" s="59"/>
      <c r="P1019" s="59"/>
      <c r="Q1019" s="61"/>
    </row>
    <row r="1020">
      <c r="B1020" s="59"/>
      <c r="D1020" s="59"/>
      <c r="F1020" s="59"/>
      <c r="H1020" s="59"/>
      <c r="J1020" s="59"/>
      <c r="L1020" s="59"/>
      <c r="N1020" s="59"/>
      <c r="P1020" s="59"/>
      <c r="Q1020" s="61"/>
    </row>
    <row r="1021">
      <c r="B1021" s="59"/>
      <c r="D1021" s="59"/>
      <c r="F1021" s="59"/>
      <c r="H1021" s="59"/>
      <c r="J1021" s="59"/>
      <c r="L1021" s="59"/>
      <c r="N1021" s="59"/>
      <c r="P1021" s="59"/>
      <c r="Q1021" s="61"/>
    </row>
    <row r="1022">
      <c r="B1022" s="59"/>
      <c r="D1022" s="59"/>
      <c r="F1022" s="59"/>
      <c r="H1022" s="59"/>
      <c r="J1022" s="59"/>
      <c r="L1022" s="59"/>
      <c r="N1022" s="59"/>
      <c r="P1022" s="59"/>
      <c r="Q1022" s="61"/>
    </row>
    <row r="1023">
      <c r="B1023" s="59"/>
      <c r="D1023" s="59"/>
      <c r="F1023" s="59"/>
      <c r="H1023" s="59"/>
      <c r="J1023" s="59"/>
      <c r="L1023" s="59"/>
      <c r="N1023" s="59"/>
      <c r="P1023" s="59"/>
      <c r="Q1023" s="61"/>
    </row>
    <row r="1024">
      <c r="B1024" s="59"/>
      <c r="D1024" s="59"/>
      <c r="F1024" s="59"/>
      <c r="H1024" s="59"/>
      <c r="J1024" s="59"/>
      <c r="L1024" s="59"/>
      <c r="N1024" s="59"/>
      <c r="P1024" s="59"/>
      <c r="Q1024" s="61"/>
    </row>
    <row r="1025">
      <c r="B1025" s="59"/>
      <c r="D1025" s="59"/>
      <c r="F1025" s="59"/>
      <c r="H1025" s="59"/>
      <c r="J1025" s="59"/>
      <c r="L1025" s="59"/>
      <c r="N1025" s="59"/>
      <c r="P1025" s="59"/>
      <c r="Q1025" s="61"/>
    </row>
    <row r="1026">
      <c r="B1026" s="59"/>
      <c r="D1026" s="59"/>
      <c r="F1026" s="59"/>
      <c r="H1026" s="59"/>
      <c r="J1026" s="59"/>
      <c r="L1026" s="59"/>
      <c r="N1026" s="59"/>
      <c r="P1026" s="59"/>
      <c r="Q1026" s="61"/>
    </row>
    <row r="1027">
      <c r="B1027" s="59"/>
      <c r="D1027" s="59"/>
      <c r="F1027" s="59"/>
      <c r="H1027" s="59"/>
      <c r="J1027" s="59"/>
      <c r="L1027" s="59"/>
      <c r="N1027" s="59"/>
      <c r="P1027" s="59"/>
      <c r="Q1027" s="61"/>
    </row>
    <row r="1028">
      <c r="B1028" s="59"/>
      <c r="D1028" s="59"/>
      <c r="F1028" s="59"/>
      <c r="H1028" s="59"/>
      <c r="J1028" s="59"/>
      <c r="L1028" s="59"/>
      <c r="N1028" s="59"/>
      <c r="P1028" s="59"/>
      <c r="Q1028" s="61"/>
    </row>
  </sheetData>
  <hyperlinks>
    <hyperlink r:id="rId2" ref="O14"/>
    <hyperlink r:id="rId3" ref="O18"/>
  </hyperlink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75"/>
    <col customWidth="1" min="5" max="5" width="20.75"/>
    <col customWidth="1" min="8" max="8" width="15.63"/>
    <col customWidth="1" min="13" max="13" width="56.0"/>
    <col customWidth="1" min="15" max="15" width="21.75"/>
  </cols>
  <sheetData>
    <row r="1">
      <c r="B1" s="30" t="s">
        <v>30</v>
      </c>
      <c r="C1" s="31" t="s">
        <v>31</v>
      </c>
      <c r="D1" s="30" t="s">
        <v>32</v>
      </c>
      <c r="E1" s="31" t="s">
        <v>33</v>
      </c>
      <c r="F1" s="30" t="s">
        <v>34</v>
      </c>
      <c r="G1" s="31" t="s">
        <v>35</v>
      </c>
      <c r="H1" s="32" t="s">
        <v>36</v>
      </c>
      <c r="I1" s="33" t="s">
        <v>37</v>
      </c>
      <c r="J1" s="30" t="s">
        <v>38</v>
      </c>
      <c r="K1" s="33" t="s">
        <v>39</v>
      </c>
      <c r="L1" s="30" t="s">
        <v>38</v>
      </c>
      <c r="M1" s="31" t="s">
        <v>40</v>
      </c>
      <c r="N1" s="30" t="s">
        <v>41</v>
      </c>
      <c r="O1" s="31" t="s">
        <v>42</v>
      </c>
      <c r="P1" s="34" t="s">
        <v>43</v>
      </c>
      <c r="Q1" s="35">
        <f>SUM(H2:H27)</f>
        <v>5162.1</v>
      </c>
    </row>
    <row r="2">
      <c r="A2" s="139" t="s">
        <v>349</v>
      </c>
      <c r="B2" s="140"/>
      <c r="C2" s="141" t="s">
        <v>350</v>
      </c>
      <c r="D2" s="142">
        <v>1.0</v>
      </c>
      <c r="E2" s="141" t="s">
        <v>351</v>
      </c>
      <c r="F2" s="142" t="s">
        <v>102</v>
      </c>
      <c r="G2" s="143">
        <v>159.9</v>
      </c>
      <c r="H2" s="16">
        <v>159.9</v>
      </c>
      <c r="I2" s="144" t="s">
        <v>352</v>
      </c>
      <c r="J2" s="142" t="s">
        <v>241</v>
      </c>
      <c r="K2" s="141" t="s">
        <v>353</v>
      </c>
      <c r="L2" s="142" t="s">
        <v>83</v>
      </c>
      <c r="M2" s="141" t="s">
        <v>354</v>
      </c>
      <c r="N2" s="145"/>
      <c r="O2" s="146" t="s">
        <v>355</v>
      </c>
      <c r="P2" s="145"/>
      <c r="Q2" s="147"/>
      <c r="R2" s="148"/>
      <c r="S2" s="148"/>
    </row>
    <row r="3">
      <c r="A3" s="141" t="s">
        <v>356</v>
      </c>
      <c r="B3" s="149" t="s">
        <v>357</v>
      </c>
      <c r="C3" s="141" t="s">
        <v>358</v>
      </c>
      <c r="D3" s="142">
        <v>1.0</v>
      </c>
      <c r="E3" s="141" t="s">
        <v>359</v>
      </c>
      <c r="F3" s="142" t="s">
        <v>91</v>
      </c>
      <c r="G3" s="143">
        <v>351.0</v>
      </c>
      <c r="H3" s="16">
        <v>351.0</v>
      </c>
      <c r="I3" s="144" t="s">
        <v>353</v>
      </c>
      <c r="J3" s="142" t="s">
        <v>360</v>
      </c>
      <c r="K3" s="141" t="s">
        <v>288</v>
      </c>
      <c r="L3" s="142" t="s">
        <v>83</v>
      </c>
      <c r="M3" s="141" t="s">
        <v>210</v>
      </c>
      <c r="N3" s="145"/>
      <c r="O3" s="148"/>
      <c r="P3" s="145"/>
      <c r="Q3" s="147"/>
      <c r="R3" s="148"/>
      <c r="S3" s="148"/>
    </row>
    <row r="4">
      <c r="A4" s="141" t="s">
        <v>361</v>
      </c>
      <c r="B4" s="150">
        <v>1.0649743E7</v>
      </c>
      <c r="C4" s="141" t="s">
        <v>362</v>
      </c>
      <c r="D4" s="142">
        <v>1.0</v>
      </c>
      <c r="E4" s="141" t="s">
        <v>85</v>
      </c>
      <c r="F4" s="142" t="s">
        <v>91</v>
      </c>
      <c r="G4" s="143">
        <v>146.13</v>
      </c>
      <c r="H4" s="16">
        <v>146.13</v>
      </c>
      <c r="I4" s="144" t="s">
        <v>363</v>
      </c>
      <c r="J4" s="142" t="s">
        <v>241</v>
      </c>
      <c r="K4" s="141" t="s">
        <v>299</v>
      </c>
      <c r="L4" s="142" t="s">
        <v>83</v>
      </c>
      <c r="M4" s="141" t="s">
        <v>364</v>
      </c>
      <c r="N4" s="145"/>
      <c r="O4" s="148"/>
      <c r="P4" s="145"/>
      <c r="Q4" s="147"/>
      <c r="R4" s="148"/>
      <c r="S4" s="148"/>
    </row>
    <row r="5">
      <c r="A5" s="141" t="s">
        <v>365</v>
      </c>
      <c r="B5" s="149">
        <v>561283.0</v>
      </c>
      <c r="C5" s="141" t="s">
        <v>366</v>
      </c>
      <c r="D5" s="142">
        <v>1.0</v>
      </c>
      <c r="E5" s="141" t="s">
        <v>367</v>
      </c>
      <c r="F5" s="142" t="s">
        <v>91</v>
      </c>
      <c r="G5" s="143">
        <v>194.67</v>
      </c>
      <c r="H5" s="16">
        <v>194.67</v>
      </c>
      <c r="I5" s="144" t="s">
        <v>368</v>
      </c>
      <c r="J5" s="142" t="s">
        <v>241</v>
      </c>
      <c r="K5" s="141" t="s">
        <v>240</v>
      </c>
      <c r="L5" s="142" t="s">
        <v>83</v>
      </c>
      <c r="M5" s="151" t="s">
        <v>369</v>
      </c>
      <c r="N5" s="145"/>
      <c r="O5" s="146" t="s">
        <v>370</v>
      </c>
      <c r="P5" s="145"/>
      <c r="Q5" s="147"/>
      <c r="R5" s="148"/>
      <c r="S5" s="148"/>
    </row>
    <row r="6">
      <c r="A6" s="141" t="s">
        <v>371</v>
      </c>
      <c r="B6" s="150">
        <v>557995.0</v>
      </c>
      <c r="C6" s="141" t="s">
        <v>372</v>
      </c>
      <c r="D6" s="142">
        <v>1.0</v>
      </c>
      <c r="E6" s="141" t="s">
        <v>367</v>
      </c>
      <c r="F6" s="142" t="s">
        <v>91</v>
      </c>
      <c r="G6" s="143">
        <v>294.66</v>
      </c>
      <c r="H6" s="16">
        <v>294.66</v>
      </c>
      <c r="I6" s="144" t="s">
        <v>373</v>
      </c>
      <c r="J6" s="142" t="s">
        <v>241</v>
      </c>
      <c r="K6" s="141" t="s">
        <v>240</v>
      </c>
      <c r="L6" s="142" t="s">
        <v>83</v>
      </c>
      <c r="M6" s="151" t="s">
        <v>369</v>
      </c>
      <c r="N6" s="145"/>
      <c r="O6" s="148"/>
      <c r="P6" s="145"/>
      <c r="Q6" s="147"/>
      <c r="R6" s="148"/>
      <c r="S6" s="148"/>
    </row>
    <row r="7">
      <c r="A7" s="141" t="s">
        <v>374</v>
      </c>
      <c r="B7" s="150" t="s">
        <v>375</v>
      </c>
      <c r="C7" s="141" t="s">
        <v>376</v>
      </c>
      <c r="D7" s="142">
        <v>1.0</v>
      </c>
      <c r="E7" s="141" t="s">
        <v>359</v>
      </c>
      <c r="F7" s="142" t="s">
        <v>91</v>
      </c>
      <c r="G7" s="143">
        <v>630.0</v>
      </c>
      <c r="H7" s="16">
        <v>630.0</v>
      </c>
      <c r="I7" s="144" t="s">
        <v>377</v>
      </c>
      <c r="J7" s="142" t="s">
        <v>241</v>
      </c>
      <c r="K7" s="141" t="s">
        <v>378</v>
      </c>
      <c r="L7" s="142" t="s">
        <v>83</v>
      </c>
      <c r="M7" s="151" t="s">
        <v>369</v>
      </c>
      <c r="N7" s="145"/>
      <c r="O7" s="148"/>
      <c r="P7" s="145"/>
      <c r="Q7" s="147"/>
      <c r="R7" s="148"/>
      <c r="S7" s="148"/>
    </row>
    <row r="8">
      <c r="A8" s="152" t="s">
        <v>379</v>
      </c>
      <c r="B8" s="150">
        <v>2.1620144E7</v>
      </c>
      <c r="C8" s="141" t="s">
        <v>376</v>
      </c>
      <c r="D8" s="142">
        <v>1.0</v>
      </c>
      <c r="E8" s="141" t="s">
        <v>380</v>
      </c>
      <c r="F8" s="142" t="s">
        <v>380</v>
      </c>
      <c r="G8" s="143">
        <v>69.0</v>
      </c>
      <c r="H8" s="16">
        <v>69.0</v>
      </c>
      <c r="I8" s="144" t="s">
        <v>368</v>
      </c>
      <c r="J8" s="142" t="s">
        <v>241</v>
      </c>
      <c r="K8" s="141" t="s">
        <v>381</v>
      </c>
      <c r="L8" s="142" t="s">
        <v>241</v>
      </c>
      <c r="M8" s="151" t="s">
        <v>369</v>
      </c>
      <c r="N8" s="145"/>
      <c r="O8" s="148"/>
      <c r="P8" s="145"/>
      <c r="Q8" s="147"/>
      <c r="R8" s="148"/>
      <c r="S8" s="148"/>
    </row>
    <row r="9">
      <c r="A9" s="141" t="s">
        <v>382</v>
      </c>
      <c r="B9" s="149" t="s">
        <v>383</v>
      </c>
      <c r="C9" s="141" t="s">
        <v>384</v>
      </c>
      <c r="D9" s="142">
        <v>1.0</v>
      </c>
      <c r="E9" s="141" t="s">
        <v>385</v>
      </c>
      <c r="F9" s="142" t="s">
        <v>91</v>
      </c>
      <c r="G9" s="143">
        <v>352.0</v>
      </c>
      <c r="H9" s="16">
        <v>352.0</v>
      </c>
      <c r="I9" s="144" t="s">
        <v>386</v>
      </c>
      <c r="J9" s="142" t="s">
        <v>241</v>
      </c>
      <c r="K9" s="141" t="s">
        <v>381</v>
      </c>
      <c r="L9" s="142" t="s">
        <v>83</v>
      </c>
      <c r="M9" s="141" t="s">
        <v>210</v>
      </c>
      <c r="N9" s="145"/>
      <c r="O9" s="148"/>
      <c r="P9" s="145"/>
      <c r="Q9" s="147"/>
      <c r="R9" s="148"/>
      <c r="S9" s="148"/>
    </row>
    <row r="10">
      <c r="A10" s="141" t="s">
        <v>387</v>
      </c>
      <c r="B10" s="149" t="s">
        <v>388</v>
      </c>
      <c r="C10" s="141" t="s">
        <v>389</v>
      </c>
      <c r="D10" s="142">
        <v>1.0</v>
      </c>
      <c r="E10" s="141" t="s">
        <v>385</v>
      </c>
      <c r="F10" s="142" t="s">
        <v>91</v>
      </c>
      <c r="G10" s="143">
        <v>333.45</v>
      </c>
      <c r="H10" s="16">
        <v>333.45</v>
      </c>
      <c r="I10" s="144">
        <v>22.52023</v>
      </c>
      <c r="J10" s="142" t="s">
        <v>241</v>
      </c>
      <c r="K10" s="141" t="s">
        <v>390</v>
      </c>
      <c r="L10" s="142" t="s">
        <v>83</v>
      </c>
      <c r="M10" s="141" t="s">
        <v>210</v>
      </c>
      <c r="N10" s="145"/>
      <c r="O10" s="148"/>
      <c r="P10" s="145"/>
      <c r="Q10" s="147"/>
      <c r="R10" s="148"/>
      <c r="S10" s="148"/>
    </row>
    <row r="11">
      <c r="A11" s="153" t="s">
        <v>391</v>
      </c>
      <c r="B11" s="150" t="s">
        <v>392</v>
      </c>
      <c r="C11" s="141" t="s">
        <v>393</v>
      </c>
      <c r="D11" s="142">
        <v>1.0</v>
      </c>
      <c r="E11" s="141" t="s">
        <v>394</v>
      </c>
      <c r="F11" s="142" t="s">
        <v>394</v>
      </c>
      <c r="G11" s="143">
        <v>146.0</v>
      </c>
      <c r="H11" s="16">
        <v>146.0</v>
      </c>
      <c r="I11" s="144" t="s">
        <v>240</v>
      </c>
      <c r="J11" s="142" t="s">
        <v>241</v>
      </c>
      <c r="K11" s="141" t="s">
        <v>395</v>
      </c>
      <c r="L11" s="142" t="s">
        <v>241</v>
      </c>
      <c r="M11" s="154" t="s">
        <v>396</v>
      </c>
      <c r="N11" s="145"/>
      <c r="O11" s="146" t="s">
        <v>397</v>
      </c>
      <c r="P11" s="145"/>
      <c r="Q11" s="147"/>
      <c r="R11" s="148"/>
      <c r="S11" s="148"/>
    </row>
    <row r="12">
      <c r="A12" s="141" t="s">
        <v>398</v>
      </c>
      <c r="B12" s="155" t="s">
        <v>399</v>
      </c>
      <c r="C12" s="141" t="s">
        <v>244</v>
      </c>
      <c r="D12" s="142">
        <v>1.0</v>
      </c>
      <c r="E12" s="141" t="s">
        <v>298</v>
      </c>
      <c r="F12" s="142" t="s">
        <v>298</v>
      </c>
      <c r="G12" s="143">
        <v>605.0</v>
      </c>
      <c r="H12" s="16">
        <v>605.0</v>
      </c>
      <c r="I12" s="141" t="s">
        <v>400</v>
      </c>
      <c r="J12" s="142" t="s">
        <v>241</v>
      </c>
      <c r="K12" s="141" t="s">
        <v>401</v>
      </c>
      <c r="L12" s="142" t="s">
        <v>241</v>
      </c>
      <c r="M12" s="141" t="s">
        <v>210</v>
      </c>
      <c r="N12" s="145"/>
      <c r="O12" s="148"/>
      <c r="P12" s="145"/>
      <c r="Q12" s="147"/>
      <c r="R12" s="148"/>
      <c r="S12" s="148"/>
    </row>
    <row r="13">
      <c r="A13" s="156" t="s">
        <v>402</v>
      </c>
      <c r="B13" s="157" t="s">
        <v>403</v>
      </c>
      <c r="C13" s="141" t="s">
        <v>404</v>
      </c>
      <c r="D13" s="142">
        <v>1.0</v>
      </c>
      <c r="E13" s="141" t="s">
        <v>298</v>
      </c>
      <c r="F13" s="142" t="s">
        <v>298</v>
      </c>
      <c r="G13" s="143">
        <v>595.0</v>
      </c>
      <c r="H13" s="16">
        <v>595.0</v>
      </c>
      <c r="I13" s="141" t="s">
        <v>401</v>
      </c>
      <c r="J13" s="142" t="s">
        <v>241</v>
      </c>
      <c r="K13" s="141" t="s">
        <v>405</v>
      </c>
      <c r="L13" s="142" t="s">
        <v>406</v>
      </c>
      <c r="M13" s="141" t="s">
        <v>210</v>
      </c>
      <c r="N13" s="145"/>
      <c r="O13" s="148"/>
      <c r="P13" s="145"/>
      <c r="Q13" s="147"/>
      <c r="R13" s="158">
        <v>2233363.0</v>
      </c>
      <c r="S13" s="148"/>
    </row>
    <row r="14">
      <c r="A14" s="141" t="s">
        <v>407</v>
      </c>
      <c r="B14" s="144" t="s">
        <v>408</v>
      </c>
      <c r="C14" s="141" t="s">
        <v>409</v>
      </c>
      <c r="D14" s="142">
        <v>1.0</v>
      </c>
      <c r="E14" s="141" t="s">
        <v>359</v>
      </c>
      <c r="F14" s="142" t="s">
        <v>410</v>
      </c>
      <c r="G14" s="143">
        <v>193.0</v>
      </c>
      <c r="H14" s="16">
        <v>193.0</v>
      </c>
      <c r="I14" s="141" t="s">
        <v>390</v>
      </c>
      <c r="J14" s="142" t="s">
        <v>241</v>
      </c>
      <c r="K14" s="141" t="s">
        <v>411</v>
      </c>
      <c r="L14" s="142" t="s">
        <v>241</v>
      </c>
      <c r="M14" s="151" t="s">
        <v>369</v>
      </c>
      <c r="N14" s="145"/>
      <c r="O14" s="146" t="s">
        <v>412</v>
      </c>
      <c r="P14" s="145"/>
      <c r="Q14" s="147"/>
      <c r="R14" s="148"/>
      <c r="S14" s="148"/>
    </row>
    <row r="15">
      <c r="A15" s="141" t="s">
        <v>104</v>
      </c>
      <c r="B15" s="149" t="s">
        <v>105</v>
      </c>
      <c r="C15" s="141" t="s">
        <v>393</v>
      </c>
      <c r="D15" s="142">
        <v>1.0</v>
      </c>
      <c r="E15" s="141" t="s">
        <v>413</v>
      </c>
      <c r="F15" s="142" t="s">
        <v>413</v>
      </c>
      <c r="G15" s="143">
        <v>694.0</v>
      </c>
      <c r="H15" s="16">
        <v>694.0</v>
      </c>
      <c r="I15" s="141" t="s">
        <v>390</v>
      </c>
      <c r="J15" s="142" t="s">
        <v>241</v>
      </c>
      <c r="K15" s="141" t="s">
        <v>414</v>
      </c>
      <c r="L15" s="142" t="s">
        <v>241</v>
      </c>
      <c r="M15" s="151" t="s">
        <v>369</v>
      </c>
      <c r="N15" s="145"/>
      <c r="O15" s="159" t="s">
        <v>415</v>
      </c>
      <c r="P15" s="145"/>
      <c r="Q15" s="147"/>
      <c r="R15" s="148"/>
      <c r="S15" s="148"/>
    </row>
    <row r="16">
      <c r="A16" s="148"/>
      <c r="B16" s="140"/>
      <c r="C16" s="148"/>
      <c r="D16" s="145"/>
      <c r="E16" s="148"/>
      <c r="F16" s="145"/>
      <c r="G16" s="143"/>
      <c r="H16" s="16"/>
      <c r="I16" s="148"/>
      <c r="J16" s="145"/>
      <c r="K16" s="148"/>
      <c r="L16" s="145"/>
      <c r="M16" s="148"/>
      <c r="N16" s="145"/>
      <c r="O16" s="148"/>
      <c r="P16" s="145"/>
      <c r="Q16" s="147"/>
      <c r="R16" s="148"/>
      <c r="S16" s="148"/>
    </row>
    <row r="17">
      <c r="A17" s="148"/>
      <c r="B17" s="140"/>
      <c r="C17" s="148"/>
      <c r="D17" s="145"/>
      <c r="E17" s="148"/>
      <c r="F17" s="145"/>
      <c r="G17" s="143"/>
      <c r="H17" s="16"/>
      <c r="I17" s="148"/>
      <c r="J17" s="145"/>
      <c r="K17" s="148"/>
      <c r="L17" s="145"/>
      <c r="M17" s="148"/>
      <c r="N17" s="145"/>
      <c r="O17" s="148"/>
      <c r="P17" s="145"/>
      <c r="Q17" s="147"/>
      <c r="R17" s="148"/>
      <c r="S17" s="148"/>
    </row>
    <row r="18">
      <c r="A18" s="160" t="s">
        <v>416</v>
      </c>
      <c r="B18" s="140"/>
      <c r="C18" s="148"/>
      <c r="D18" s="145"/>
      <c r="E18" s="148"/>
      <c r="F18" s="145"/>
      <c r="G18" s="143"/>
      <c r="H18" s="16"/>
      <c r="I18" s="148"/>
      <c r="J18" s="145"/>
      <c r="K18" s="148"/>
      <c r="L18" s="145"/>
      <c r="M18" s="148"/>
      <c r="N18" s="145"/>
      <c r="O18" s="148"/>
      <c r="P18" s="145"/>
      <c r="Q18" s="147"/>
      <c r="R18" s="148"/>
      <c r="S18" s="148"/>
    </row>
    <row r="19">
      <c r="A19" s="141" t="s">
        <v>417</v>
      </c>
      <c r="B19" s="140"/>
      <c r="C19" s="141" t="s">
        <v>418</v>
      </c>
      <c r="D19" s="142">
        <v>6.0</v>
      </c>
      <c r="E19" s="148"/>
      <c r="F19" s="142" t="s">
        <v>419</v>
      </c>
      <c r="G19" s="143">
        <v>93.3</v>
      </c>
      <c r="H19" s="16">
        <v>93.3</v>
      </c>
      <c r="I19" s="141" t="s">
        <v>420</v>
      </c>
      <c r="J19" s="142" t="s">
        <v>241</v>
      </c>
      <c r="K19" s="148"/>
      <c r="L19" s="142" t="s">
        <v>241</v>
      </c>
      <c r="M19" s="161" t="s">
        <v>334</v>
      </c>
      <c r="N19" s="145"/>
      <c r="O19" s="148"/>
      <c r="P19" s="145"/>
      <c r="Q19" s="147"/>
      <c r="R19" s="148"/>
      <c r="S19" s="148"/>
    </row>
    <row r="20">
      <c r="A20" s="162" t="s">
        <v>199</v>
      </c>
      <c r="B20" s="142" t="s">
        <v>192</v>
      </c>
      <c r="C20" s="142" t="s">
        <v>192</v>
      </c>
      <c r="D20" s="142" t="s">
        <v>192</v>
      </c>
      <c r="E20" s="142" t="s">
        <v>192</v>
      </c>
      <c r="F20" s="142" t="s">
        <v>192</v>
      </c>
      <c r="G20" s="143">
        <v>1.24</v>
      </c>
      <c r="H20" s="16">
        <v>1.24</v>
      </c>
      <c r="I20" s="141" t="s">
        <v>421</v>
      </c>
      <c r="J20" s="142" t="s">
        <v>241</v>
      </c>
      <c r="K20" s="148"/>
      <c r="L20" s="142" t="s">
        <v>241</v>
      </c>
      <c r="M20" s="141" t="s">
        <v>194</v>
      </c>
      <c r="N20" s="145"/>
      <c r="O20" s="148"/>
      <c r="P20" s="145"/>
      <c r="Q20" s="147"/>
      <c r="R20" s="148"/>
      <c r="S20" s="148"/>
    </row>
    <row r="21">
      <c r="A21" s="141" t="s">
        <v>422</v>
      </c>
      <c r="B21" s="142" t="s">
        <v>192</v>
      </c>
      <c r="C21" s="142" t="s">
        <v>192</v>
      </c>
      <c r="D21" s="142" t="s">
        <v>192</v>
      </c>
      <c r="E21" s="142" t="s">
        <v>192</v>
      </c>
      <c r="F21" s="142" t="s">
        <v>192</v>
      </c>
      <c r="G21" s="143">
        <v>44.86</v>
      </c>
      <c r="H21" s="16">
        <v>44.86</v>
      </c>
      <c r="I21" s="141" t="s">
        <v>421</v>
      </c>
      <c r="J21" s="142" t="s">
        <v>241</v>
      </c>
      <c r="K21" s="148"/>
      <c r="L21" s="145"/>
      <c r="M21" s="161" t="s">
        <v>334</v>
      </c>
      <c r="N21" s="145"/>
      <c r="O21" s="148"/>
      <c r="P21" s="145"/>
      <c r="Q21" s="147"/>
      <c r="R21" s="148"/>
      <c r="S21" s="148"/>
    </row>
    <row r="22">
      <c r="A22" s="141" t="s">
        <v>423</v>
      </c>
      <c r="B22" s="142" t="s">
        <v>192</v>
      </c>
      <c r="C22" s="142" t="s">
        <v>192</v>
      </c>
      <c r="D22" s="142" t="s">
        <v>192</v>
      </c>
      <c r="E22" s="142" t="s">
        <v>192</v>
      </c>
      <c r="F22" s="142" t="s">
        <v>192</v>
      </c>
      <c r="G22" s="143">
        <v>104.4</v>
      </c>
      <c r="H22" s="16">
        <v>104.4</v>
      </c>
      <c r="I22" s="141" t="s">
        <v>424</v>
      </c>
      <c r="J22" s="142" t="s">
        <v>360</v>
      </c>
      <c r="K22" s="148"/>
      <c r="L22" s="142" t="s">
        <v>360</v>
      </c>
      <c r="M22" s="161" t="s">
        <v>334</v>
      </c>
      <c r="N22" s="145"/>
      <c r="O22" s="148"/>
      <c r="P22" s="145"/>
      <c r="Q22" s="147"/>
      <c r="R22" s="148"/>
      <c r="S22" s="148"/>
    </row>
    <row r="23">
      <c r="A23" s="141" t="s">
        <v>417</v>
      </c>
      <c r="B23" s="142" t="s">
        <v>192</v>
      </c>
      <c r="C23" s="142" t="s">
        <v>418</v>
      </c>
      <c r="D23" s="142">
        <v>10.0</v>
      </c>
      <c r="E23" s="142" t="s">
        <v>192</v>
      </c>
      <c r="F23" s="142" t="s">
        <v>419</v>
      </c>
      <c r="G23" s="143">
        <v>133.0</v>
      </c>
      <c r="H23" s="16">
        <v>133.0</v>
      </c>
      <c r="I23" s="141" t="s">
        <v>219</v>
      </c>
      <c r="J23" s="142" t="s">
        <v>360</v>
      </c>
      <c r="K23" s="148"/>
      <c r="L23" s="142" t="s">
        <v>360</v>
      </c>
      <c r="M23" s="161" t="s">
        <v>334</v>
      </c>
      <c r="N23" s="145"/>
      <c r="O23" s="148"/>
      <c r="P23" s="145"/>
      <c r="Q23" s="147"/>
      <c r="R23" s="148"/>
      <c r="S23" s="148"/>
    </row>
    <row r="24">
      <c r="A24" s="141" t="s">
        <v>425</v>
      </c>
      <c r="B24" s="142" t="s">
        <v>192</v>
      </c>
      <c r="C24" s="142" t="s">
        <v>192</v>
      </c>
      <c r="D24" s="142" t="s">
        <v>192</v>
      </c>
      <c r="E24" s="142" t="s">
        <v>192</v>
      </c>
      <c r="F24" s="142" t="s">
        <v>192</v>
      </c>
      <c r="G24" s="143">
        <v>21.49</v>
      </c>
      <c r="H24" s="16">
        <v>21.49</v>
      </c>
      <c r="I24" s="141" t="s">
        <v>426</v>
      </c>
      <c r="J24" s="142" t="s">
        <v>360</v>
      </c>
      <c r="K24" s="148"/>
      <c r="L24" s="142" t="s">
        <v>241</v>
      </c>
      <c r="M24" s="161" t="s">
        <v>334</v>
      </c>
      <c r="N24" s="145"/>
      <c r="O24" s="148"/>
      <c r="P24" s="145"/>
      <c r="Q24" s="147"/>
      <c r="R24" s="148"/>
      <c r="S24" s="148"/>
    </row>
    <row r="25">
      <c r="A25" s="148"/>
      <c r="B25" s="140"/>
      <c r="C25" s="148"/>
      <c r="D25" s="145"/>
      <c r="E25" s="148"/>
      <c r="F25" s="145"/>
      <c r="G25" s="143"/>
      <c r="H25" s="16"/>
      <c r="I25" s="148"/>
      <c r="J25" s="145"/>
      <c r="K25" s="148"/>
      <c r="L25" s="145"/>
      <c r="M25" s="148"/>
      <c r="N25" s="145"/>
      <c r="O25" s="148"/>
      <c r="P25" s="145"/>
      <c r="Q25" s="147"/>
      <c r="R25" s="148"/>
      <c r="S25" s="148"/>
    </row>
    <row r="26">
      <c r="A26" s="148"/>
      <c r="B26" s="140"/>
      <c r="C26" s="148"/>
      <c r="D26" s="145"/>
      <c r="E26" s="148"/>
      <c r="F26" s="145"/>
      <c r="G26" s="143"/>
      <c r="H26" s="16"/>
      <c r="I26" s="148"/>
      <c r="J26" s="145"/>
      <c r="K26" s="148"/>
      <c r="L26" s="145"/>
      <c r="M26" s="148"/>
      <c r="N26" s="145"/>
      <c r="O26" s="148"/>
      <c r="P26" s="145"/>
      <c r="Q26" s="147"/>
      <c r="R26" s="148"/>
      <c r="S26" s="148"/>
    </row>
    <row r="27">
      <c r="B27" s="57"/>
      <c r="D27" s="59"/>
      <c r="F27" s="59"/>
      <c r="G27" s="163"/>
      <c r="H27" s="164"/>
      <c r="J27" s="59"/>
      <c r="L27" s="59"/>
      <c r="N27" s="59"/>
      <c r="P27" s="59"/>
      <c r="Q27" s="61"/>
    </row>
    <row r="28">
      <c r="B28" s="57"/>
      <c r="D28" s="59"/>
      <c r="F28" s="59"/>
      <c r="G28" s="163"/>
      <c r="H28" s="164"/>
      <c r="J28" s="59"/>
      <c r="L28" s="59"/>
      <c r="N28" s="59"/>
      <c r="P28" s="59"/>
      <c r="Q28" s="61"/>
    </row>
    <row r="29">
      <c r="B29" s="57"/>
      <c r="D29" s="59"/>
      <c r="F29" s="59"/>
      <c r="G29" s="163"/>
      <c r="H29" s="164"/>
      <c r="J29" s="59"/>
      <c r="L29" s="59"/>
      <c r="N29" s="59"/>
      <c r="P29" s="59"/>
      <c r="Q29" s="61"/>
    </row>
    <row r="30">
      <c r="B30" s="57"/>
      <c r="D30" s="59"/>
      <c r="F30" s="59"/>
      <c r="G30" s="163"/>
      <c r="H30" s="164"/>
      <c r="J30" s="59"/>
      <c r="L30" s="59"/>
      <c r="N30" s="59"/>
      <c r="P30" s="59"/>
      <c r="Q30" s="61"/>
    </row>
    <row r="31">
      <c r="B31" s="57"/>
      <c r="D31" s="59"/>
      <c r="F31" s="59"/>
      <c r="G31" s="163"/>
      <c r="H31" s="164"/>
      <c r="J31" s="59"/>
      <c r="L31" s="59"/>
      <c r="N31" s="59"/>
      <c r="P31" s="59"/>
      <c r="Q31" s="61"/>
    </row>
    <row r="32">
      <c r="B32" s="57"/>
      <c r="D32" s="59"/>
      <c r="F32" s="59"/>
      <c r="G32" s="163"/>
      <c r="H32" s="18"/>
      <c r="J32" s="59"/>
      <c r="L32" s="59"/>
      <c r="N32" s="59"/>
      <c r="P32" s="59"/>
      <c r="Q32" s="61"/>
    </row>
    <row r="33">
      <c r="B33" s="57"/>
      <c r="D33" s="59"/>
      <c r="F33" s="59"/>
      <c r="G33" s="163"/>
      <c r="H33" s="18"/>
      <c r="J33" s="59"/>
      <c r="L33" s="59"/>
      <c r="N33" s="59"/>
      <c r="P33" s="59"/>
      <c r="Q33" s="61"/>
    </row>
    <row r="34">
      <c r="B34" s="57"/>
      <c r="D34" s="59"/>
      <c r="F34" s="59"/>
      <c r="G34" s="163"/>
      <c r="H34" s="18"/>
      <c r="J34" s="59"/>
      <c r="L34" s="59"/>
      <c r="N34" s="59"/>
      <c r="P34" s="59"/>
      <c r="Q34" s="61"/>
    </row>
    <row r="35">
      <c r="B35" s="57"/>
      <c r="D35" s="59"/>
      <c r="F35" s="59"/>
      <c r="G35" s="163"/>
      <c r="H35" s="18"/>
      <c r="J35" s="59"/>
      <c r="L35" s="59"/>
      <c r="N35" s="59"/>
      <c r="P35" s="59"/>
      <c r="Q35" s="61"/>
    </row>
    <row r="36">
      <c r="B36" s="59"/>
      <c r="D36" s="59"/>
      <c r="F36" s="59"/>
      <c r="G36" s="163"/>
      <c r="H36" s="18"/>
      <c r="J36" s="59"/>
      <c r="L36" s="59"/>
      <c r="N36" s="59"/>
      <c r="P36" s="59"/>
      <c r="Q36" s="61"/>
    </row>
    <row r="37">
      <c r="B37" s="59"/>
      <c r="D37" s="59"/>
      <c r="F37" s="59"/>
      <c r="G37" s="22"/>
      <c r="H37" s="18"/>
      <c r="J37" s="59"/>
      <c r="L37" s="59"/>
      <c r="N37" s="59"/>
      <c r="P37" s="59"/>
      <c r="Q37" s="61"/>
    </row>
    <row r="38">
      <c r="B38" s="59"/>
      <c r="D38" s="59"/>
      <c r="F38" s="59"/>
      <c r="G38" s="22"/>
      <c r="H38" s="18"/>
      <c r="J38" s="59"/>
      <c r="L38" s="59"/>
      <c r="N38" s="59"/>
      <c r="P38" s="59"/>
      <c r="Q38" s="61"/>
    </row>
    <row r="39">
      <c r="B39" s="59"/>
      <c r="D39" s="59"/>
      <c r="F39" s="59"/>
      <c r="G39" s="22"/>
      <c r="H39" s="18"/>
      <c r="J39" s="59"/>
      <c r="L39" s="59"/>
      <c r="N39" s="59"/>
      <c r="P39" s="59"/>
      <c r="Q39" s="61"/>
    </row>
    <row r="40">
      <c r="B40" s="59"/>
      <c r="D40" s="59"/>
      <c r="F40" s="59"/>
      <c r="G40" s="22"/>
      <c r="H40" s="18"/>
      <c r="J40" s="59"/>
      <c r="L40" s="59"/>
      <c r="N40" s="59"/>
      <c r="P40" s="59"/>
      <c r="Q40" s="61"/>
    </row>
    <row r="41">
      <c r="B41" s="59"/>
      <c r="D41" s="59"/>
      <c r="F41" s="59"/>
      <c r="G41" s="22"/>
      <c r="H41" s="18"/>
      <c r="J41" s="59"/>
      <c r="L41" s="59"/>
      <c r="N41" s="59"/>
      <c r="P41" s="59"/>
      <c r="Q41" s="61"/>
    </row>
    <row r="42">
      <c r="B42" s="59"/>
      <c r="D42" s="59"/>
      <c r="F42" s="59"/>
      <c r="G42" s="22"/>
      <c r="H42" s="18"/>
      <c r="J42" s="59"/>
      <c r="L42" s="59"/>
      <c r="N42" s="59"/>
      <c r="P42" s="59"/>
      <c r="Q42" s="61"/>
    </row>
    <row r="43">
      <c r="B43" s="59"/>
      <c r="D43" s="59"/>
      <c r="F43" s="59"/>
      <c r="G43" s="22"/>
      <c r="H43" s="18"/>
      <c r="J43" s="59"/>
      <c r="L43" s="59"/>
      <c r="N43" s="59"/>
      <c r="P43" s="59"/>
      <c r="Q43" s="61"/>
    </row>
    <row r="44">
      <c r="B44" s="59"/>
      <c r="D44" s="59"/>
      <c r="F44" s="59"/>
      <c r="H44" s="18"/>
      <c r="J44" s="59"/>
      <c r="L44" s="59"/>
      <c r="N44" s="59"/>
      <c r="P44" s="59"/>
      <c r="Q44" s="61"/>
    </row>
    <row r="45">
      <c r="B45" s="59"/>
      <c r="D45" s="59"/>
      <c r="F45" s="59"/>
      <c r="H45" s="59"/>
      <c r="J45" s="59"/>
      <c r="L45" s="59"/>
      <c r="N45" s="59"/>
      <c r="P45" s="59"/>
      <c r="Q45" s="61"/>
    </row>
    <row r="46">
      <c r="B46" s="59"/>
      <c r="D46" s="59"/>
      <c r="F46" s="59"/>
      <c r="H46" s="59"/>
      <c r="J46" s="59"/>
      <c r="L46" s="59"/>
      <c r="N46" s="59"/>
      <c r="P46" s="59"/>
      <c r="Q46" s="61"/>
    </row>
    <row r="47">
      <c r="B47" s="59"/>
      <c r="D47" s="59"/>
      <c r="F47" s="59"/>
      <c r="H47" s="59"/>
      <c r="J47" s="59"/>
      <c r="L47" s="59"/>
      <c r="N47" s="59"/>
      <c r="P47" s="59"/>
      <c r="Q47" s="61"/>
    </row>
    <row r="48">
      <c r="B48" s="59"/>
      <c r="D48" s="59"/>
      <c r="F48" s="59"/>
      <c r="H48" s="59"/>
      <c r="J48" s="59"/>
      <c r="L48" s="59"/>
      <c r="N48" s="59"/>
      <c r="P48" s="59"/>
      <c r="Q48" s="61"/>
    </row>
    <row r="49">
      <c r="B49" s="59"/>
      <c r="D49" s="59"/>
      <c r="F49" s="59"/>
      <c r="H49" s="59"/>
      <c r="J49" s="59"/>
      <c r="L49" s="59"/>
      <c r="N49" s="59"/>
      <c r="P49" s="59"/>
      <c r="Q49" s="61"/>
    </row>
    <row r="50">
      <c r="B50" s="59"/>
      <c r="D50" s="59"/>
      <c r="F50" s="59"/>
      <c r="H50" s="59"/>
      <c r="J50" s="59"/>
      <c r="L50" s="59"/>
      <c r="N50" s="59"/>
      <c r="P50" s="59"/>
      <c r="Q50" s="61"/>
    </row>
    <row r="51">
      <c r="B51" s="59"/>
      <c r="D51" s="59"/>
      <c r="F51" s="59"/>
      <c r="H51" s="59"/>
      <c r="J51" s="59"/>
      <c r="L51" s="59"/>
      <c r="N51" s="59"/>
      <c r="P51" s="59"/>
      <c r="Q51" s="61"/>
    </row>
    <row r="52">
      <c r="B52" s="59"/>
      <c r="D52" s="59"/>
      <c r="F52" s="59"/>
      <c r="H52" s="59"/>
      <c r="J52" s="59"/>
      <c r="L52" s="59"/>
      <c r="N52" s="59"/>
      <c r="P52" s="59"/>
      <c r="Q52" s="61"/>
    </row>
    <row r="53">
      <c r="B53" s="59"/>
      <c r="D53" s="59"/>
      <c r="F53" s="59"/>
      <c r="H53" s="59"/>
      <c r="J53" s="59"/>
      <c r="L53" s="59"/>
      <c r="N53" s="59"/>
      <c r="P53" s="59"/>
      <c r="Q53" s="61"/>
    </row>
    <row r="54">
      <c r="B54" s="59"/>
      <c r="D54" s="59"/>
      <c r="F54" s="59"/>
      <c r="H54" s="59"/>
      <c r="J54" s="59"/>
      <c r="L54" s="59"/>
      <c r="N54" s="59"/>
      <c r="P54" s="59"/>
      <c r="Q54" s="61"/>
    </row>
    <row r="55">
      <c r="B55" s="59"/>
      <c r="D55" s="59"/>
      <c r="F55" s="59"/>
      <c r="H55" s="59"/>
      <c r="J55" s="59"/>
      <c r="L55" s="59"/>
      <c r="N55" s="59"/>
      <c r="P55" s="59"/>
      <c r="Q55" s="61"/>
    </row>
    <row r="56">
      <c r="B56" s="59"/>
      <c r="D56" s="59"/>
      <c r="F56" s="59"/>
      <c r="H56" s="59"/>
      <c r="J56" s="59"/>
      <c r="L56" s="59"/>
      <c r="N56" s="59"/>
      <c r="P56" s="59"/>
      <c r="Q56" s="61"/>
    </row>
    <row r="57">
      <c r="B57" s="59"/>
      <c r="D57" s="59"/>
      <c r="F57" s="59"/>
      <c r="H57" s="59"/>
      <c r="J57" s="59"/>
      <c r="L57" s="59"/>
      <c r="N57" s="59"/>
      <c r="P57" s="59"/>
      <c r="Q57" s="61"/>
    </row>
    <row r="58">
      <c r="B58" s="59"/>
      <c r="D58" s="59"/>
      <c r="F58" s="59"/>
      <c r="H58" s="59"/>
      <c r="J58" s="59"/>
      <c r="L58" s="59"/>
      <c r="N58" s="59"/>
      <c r="P58" s="59"/>
      <c r="Q58" s="61"/>
    </row>
    <row r="59">
      <c r="B59" s="59"/>
      <c r="D59" s="59"/>
      <c r="F59" s="59"/>
      <c r="H59" s="59"/>
      <c r="J59" s="59"/>
      <c r="L59" s="59"/>
      <c r="N59" s="59"/>
      <c r="P59" s="59"/>
      <c r="Q59" s="61"/>
    </row>
    <row r="60">
      <c r="B60" s="59"/>
      <c r="D60" s="59"/>
      <c r="F60" s="59"/>
      <c r="H60" s="59"/>
      <c r="J60" s="59"/>
      <c r="L60" s="59"/>
      <c r="N60" s="59"/>
      <c r="P60" s="59"/>
      <c r="Q60" s="61"/>
    </row>
    <row r="61">
      <c r="B61" s="59"/>
      <c r="D61" s="59"/>
      <c r="F61" s="59"/>
      <c r="H61" s="59"/>
      <c r="J61" s="59"/>
      <c r="L61" s="59"/>
      <c r="N61" s="59"/>
      <c r="P61" s="59"/>
      <c r="Q61" s="61"/>
    </row>
    <row r="62">
      <c r="B62" s="59"/>
      <c r="D62" s="59"/>
      <c r="F62" s="59"/>
      <c r="H62" s="59"/>
      <c r="J62" s="59"/>
      <c r="L62" s="59"/>
      <c r="N62" s="59"/>
      <c r="P62" s="59"/>
      <c r="Q62" s="61"/>
    </row>
    <row r="63">
      <c r="B63" s="59"/>
      <c r="D63" s="59"/>
      <c r="F63" s="59"/>
      <c r="H63" s="59"/>
      <c r="J63" s="59"/>
      <c r="L63" s="59"/>
      <c r="N63" s="59"/>
      <c r="P63" s="59"/>
      <c r="Q63" s="61"/>
    </row>
    <row r="64">
      <c r="B64" s="59"/>
      <c r="D64" s="59"/>
      <c r="F64" s="59"/>
      <c r="H64" s="59"/>
      <c r="J64" s="59"/>
      <c r="L64" s="59"/>
      <c r="N64" s="59"/>
      <c r="P64" s="59"/>
      <c r="Q64" s="61"/>
    </row>
    <row r="65">
      <c r="B65" s="59"/>
      <c r="D65" s="59"/>
      <c r="F65" s="59"/>
      <c r="H65" s="59"/>
      <c r="J65" s="59"/>
      <c r="L65" s="59"/>
      <c r="N65" s="59"/>
      <c r="P65" s="59"/>
      <c r="Q65" s="61"/>
    </row>
    <row r="66">
      <c r="B66" s="59"/>
      <c r="D66" s="59"/>
      <c r="F66" s="59"/>
      <c r="H66" s="59"/>
      <c r="J66" s="59"/>
      <c r="L66" s="59"/>
      <c r="N66" s="59"/>
      <c r="P66" s="59"/>
      <c r="Q66" s="61"/>
    </row>
    <row r="67">
      <c r="B67" s="59"/>
      <c r="D67" s="59"/>
      <c r="F67" s="59"/>
      <c r="H67" s="59"/>
      <c r="J67" s="59"/>
      <c r="L67" s="59"/>
      <c r="N67" s="59"/>
      <c r="P67" s="59"/>
      <c r="Q67" s="61"/>
    </row>
    <row r="68">
      <c r="B68" s="59"/>
      <c r="D68" s="59"/>
      <c r="F68" s="59"/>
      <c r="H68" s="59"/>
      <c r="J68" s="59"/>
      <c r="L68" s="59"/>
      <c r="N68" s="59"/>
      <c r="P68" s="59"/>
      <c r="Q68" s="61"/>
    </row>
    <row r="69">
      <c r="B69" s="59"/>
      <c r="D69" s="59"/>
      <c r="F69" s="59"/>
      <c r="H69" s="59"/>
      <c r="J69" s="59"/>
      <c r="L69" s="59"/>
      <c r="N69" s="59"/>
      <c r="P69" s="59"/>
      <c r="Q69" s="61"/>
    </row>
    <row r="70">
      <c r="B70" s="59"/>
      <c r="D70" s="59"/>
      <c r="F70" s="59"/>
      <c r="H70" s="59"/>
      <c r="J70" s="59"/>
      <c r="L70" s="59"/>
      <c r="N70" s="59"/>
      <c r="P70" s="59"/>
      <c r="Q70" s="61"/>
    </row>
    <row r="71">
      <c r="B71" s="59"/>
      <c r="D71" s="59"/>
      <c r="F71" s="59"/>
      <c r="H71" s="59"/>
      <c r="J71" s="59"/>
      <c r="L71" s="59"/>
      <c r="N71" s="59"/>
      <c r="P71" s="59"/>
      <c r="Q71" s="61"/>
    </row>
    <row r="72">
      <c r="B72" s="59"/>
      <c r="D72" s="59"/>
      <c r="F72" s="59"/>
      <c r="H72" s="59"/>
      <c r="J72" s="59"/>
      <c r="L72" s="59"/>
      <c r="N72" s="59"/>
      <c r="P72" s="59"/>
      <c r="Q72" s="61"/>
    </row>
    <row r="73">
      <c r="B73" s="59"/>
      <c r="D73" s="59"/>
      <c r="F73" s="59"/>
      <c r="H73" s="59"/>
      <c r="J73" s="59"/>
      <c r="L73" s="59"/>
      <c r="N73" s="59"/>
      <c r="P73" s="59"/>
      <c r="Q73" s="61"/>
    </row>
    <row r="74">
      <c r="B74" s="59"/>
      <c r="D74" s="59"/>
      <c r="F74" s="59"/>
      <c r="H74" s="59"/>
      <c r="J74" s="59"/>
      <c r="L74" s="59"/>
      <c r="N74" s="59"/>
      <c r="P74" s="59"/>
      <c r="Q74" s="61"/>
    </row>
    <row r="75">
      <c r="B75" s="59"/>
      <c r="D75" s="59"/>
      <c r="F75" s="59"/>
      <c r="H75" s="59"/>
      <c r="J75" s="59"/>
      <c r="L75" s="59"/>
      <c r="N75" s="59"/>
      <c r="P75" s="59"/>
      <c r="Q75" s="61"/>
    </row>
    <row r="76">
      <c r="B76" s="59"/>
      <c r="D76" s="59"/>
      <c r="F76" s="59"/>
      <c r="H76" s="59"/>
      <c r="J76" s="59"/>
      <c r="L76" s="59"/>
      <c r="N76" s="59"/>
      <c r="P76" s="59"/>
      <c r="Q76" s="61"/>
    </row>
    <row r="77">
      <c r="B77" s="59"/>
      <c r="D77" s="59"/>
      <c r="F77" s="59"/>
      <c r="H77" s="59"/>
      <c r="J77" s="59"/>
      <c r="L77" s="59"/>
      <c r="N77" s="59"/>
      <c r="P77" s="59"/>
      <c r="Q77" s="61"/>
    </row>
    <row r="78">
      <c r="B78" s="59"/>
      <c r="D78" s="59"/>
      <c r="F78" s="59"/>
      <c r="H78" s="59"/>
      <c r="J78" s="59"/>
      <c r="L78" s="59"/>
      <c r="N78" s="59"/>
      <c r="P78" s="59"/>
      <c r="Q78" s="61"/>
    </row>
    <row r="79">
      <c r="B79" s="59"/>
      <c r="D79" s="59"/>
      <c r="F79" s="59"/>
      <c r="H79" s="59"/>
      <c r="J79" s="59"/>
      <c r="L79" s="59"/>
      <c r="N79" s="59"/>
      <c r="P79" s="59"/>
      <c r="Q79" s="61"/>
    </row>
    <row r="80">
      <c r="B80" s="59"/>
      <c r="D80" s="59"/>
      <c r="F80" s="59"/>
      <c r="H80" s="59"/>
      <c r="J80" s="59"/>
      <c r="L80" s="59"/>
      <c r="N80" s="59"/>
      <c r="P80" s="59"/>
      <c r="Q80" s="61"/>
    </row>
    <row r="81">
      <c r="B81" s="59"/>
      <c r="D81" s="59"/>
      <c r="F81" s="59"/>
      <c r="H81" s="59"/>
      <c r="J81" s="59"/>
      <c r="L81" s="59"/>
      <c r="N81" s="59"/>
      <c r="P81" s="59"/>
      <c r="Q81" s="61"/>
    </row>
    <row r="82">
      <c r="B82" s="59"/>
      <c r="D82" s="59"/>
      <c r="F82" s="59"/>
      <c r="H82" s="59"/>
      <c r="J82" s="59"/>
      <c r="L82" s="59"/>
      <c r="N82" s="59"/>
      <c r="P82" s="59"/>
      <c r="Q82" s="61"/>
    </row>
    <row r="83">
      <c r="B83" s="59"/>
      <c r="D83" s="59"/>
      <c r="F83" s="59"/>
      <c r="H83" s="59"/>
      <c r="J83" s="59"/>
      <c r="L83" s="59"/>
      <c r="N83" s="59"/>
      <c r="P83" s="59"/>
      <c r="Q83" s="61"/>
    </row>
    <row r="84">
      <c r="B84" s="59"/>
      <c r="D84" s="59"/>
      <c r="F84" s="59"/>
      <c r="H84" s="59"/>
      <c r="J84" s="59"/>
      <c r="L84" s="59"/>
      <c r="N84" s="59"/>
      <c r="P84" s="59"/>
      <c r="Q84" s="61"/>
    </row>
    <row r="85">
      <c r="B85" s="59"/>
      <c r="D85" s="59"/>
      <c r="F85" s="59"/>
      <c r="H85" s="59"/>
      <c r="J85" s="59"/>
      <c r="L85" s="59"/>
      <c r="N85" s="59"/>
      <c r="P85" s="59"/>
      <c r="Q85" s="61"/>
    </row>
    <row r="86">
      <c r="B86" s="59"/>
      <c r="D86" s="59"/>
      <c r="F86" s="59"/>
      <c r="H86" s="59"/>
      <c r="J86" s="59"/>
      <c r="L86" s="59"/>
      <c r="N86" s="59"/>
      <c r="P86" s="59"/>
      <c r="Q86" s="61"/>
    </row>
    <row r="87">
      <c r="B87" s="59"/>
      <c r="D87" s="59"/>
      <c r="F87" s="59"/>
      <c r="H87" s="59"/>
      <c r="J87" s="59"/>
      <c r="L87" s="59"/>
      <c r="N87" s="59"/>
      <c r="P87" s="59"/>
      <c r="Q87" s="61"/>
    </row>
    <row r="88">
      <c r="B88" s="59"/>
      <c r="D88" s="59"/>
      <c r="F88" s="59"/>
      <c r="H88" s="59"/>
      <c r="J88" s="59"/>
      <c r="L88" s="59"/>
      <c r="N88" s="59"/>
      <c r="P88" s="59"/>
      <c r="Q88" s="61"/>
    </row>
    <row r="89">
      <c r="B89" s="59"/>
      <c r="D89" s="59"/>
      <c r="F89" s="59"/>
      <c r="H89" s="59"/>
      <c r="J89" s="59"/>
      <c r="L89" s="59"/>
      <c r="N89" s="59"/>
      <c r="P89" s="59"/>
      <c r="Q89" s="61"/>
    </row>
    <row r="90">
      <c r="B90" s="59"/>
      <c r="D90" s="59"/>
      <c r="F90" s="59"/>
      <c r="H90" s="59"/>
      <c r="J90" s="59"/>
      <c r="L90" s="59"/>
      <c r="N90" s="59"/>
      <c r="P90" s="59"/>
      <c r="Q90" s="61"/>
    </row>
    <row r="91">
      <c r="B91" s="59"/>
      <c r="D91" s="59"/>
      <c r="F91" s="59"/>
      <c r="H91" s="59"/>
      <c r="J91" s="59"/>
      <c r="L91" s="59"/>
      <c r="N91" s="59"/>
      <c r="P91" s="59"/>
      <c r="Q91" s="61"/>
    </row>
    <row r="92">
      <c r="B92" s="59"/>
      <c r="D92" s="59"/>
      <c r="F92" s="59"/>
      <c r="H92" s="59"/>
      <c r="J92" s="59"/>
      <c r="L92" s="59"/>
      <c r="N92" s="59"/>
      <c r="P92" s="59"/>
      <c r="Q92" s="61"/>
    </row>
    <row r="93">
      <c r="B93" s="59"/>
      <c r="D93" s="59"/>
      <c r="F93" s="59"/>
      <c r="H93" s="59"/>
      <c r="J93" s="59"/>
      <c r="L93" s="59"/>
      <c r="N93" s="59"/>
      <c r="P93" s="59"/>
      <c r="Q93" s="61"/>
    </row>
    <row r="94">
      <c r="B94" s="59"/>
      <c r="D94" s="59"/>
      <c r="F94" s="59"/>
      <c r="H94" s="59"/>
      <c r="J94" s="59"/>
      <c r="L94" s="59"/>
      <c r="N94" s="59"/>
      <c r="P94" s="59"/>
      <c r="Q94" s="61"/>
    </row>
    <row r="95">
      <c r="B95" s="59"/>
      <c r="D95" s="59"/>
      <c r="F95" s="59"/>
      <c r="H95" s="59"/>
      <c r="J95" s="59"/>
      <c r="L95" s="59"/>
      <c r="N95" s="59"/>
      <c r="P95" s="59"/>
      <c r="Q95" s="61"/>
    </row>
    <row r="96">
      <c r="B96" s="59"/>
      <c r="D96" s="59"/>
      <c r="F96" s="59"/>
      <c r="H96" s="59"/>
      <c r="J96" s="59"/>
      <c r="L96" s="59"/>
      <c r="N96" s="59"/>
      <c r="P96" s="59"/>
      <c r="Q96" s="61"/>
    </row>
    <row r="97">
      <c r="B97" s="59"/>
      <c r="D97" s="59"/>
      <c r="F97" s="59"/>
      <c r="H97" s="59"/>
      <c r="J97" s="59"/>
      <c r="L97" s="59"/>
      <c r="N97" s="59"/>
      <c r="P97" s="59"/>
      <c r="Q97" s="61"/>
    </row>
    <row r="98">
      <c r="B98" s="59"/>
      <c r="D98" s="59"/>
      <c r="F98" s="59"/>
      <c r="H98" s="59"/>
      <c r="J98" s="59"/>
      <c r="L98" s="59"/>
      <c r="N98" s="59"/>
      <c r="P98" s="59"/>
      <c r="Q98" s="61"/>
    </row>
    <row r="99">
      <c r="B99" s="59"/>
      <c r="D99" s="59"/>
      <c r="F99" s="59"/>
      <c r="H99" s="59"/>
      <c r="J99" s="59"/>
      <c r="L99" s="59"/>
      <c r="N99" s="59"/>
      <c r="P99" s="59"/>
      <c r="Q99" s="61"/>
    </row>
    <row r="100">
      <c r="B100" s="59"/>
      <c r="D100" s="59"/>
      <c r="F100" s="59"/>
      <c r="H100" s="59"/>
      <c r="J100" s="59"/>
      <c r="L100" s="59"/>
      <c r="N100" s="59"/>
      <c r="P100" s="59"/>
      <c r="Q100" s="61"/>
    </row>
    <row r="101">
      <c r="B101" s="59"/>
      <c r="D101" s="59"/>
      <c r="F101" s="59"/>
      <c r="H101" s="59"/>
      <c r="J101" s="59"/>
      <c r="L101" s="59"/>
      <c r="N101" s="59"/>
      <c r="P101" s="59"/>
      <c r="Q101" s="61"/>
    </row>
    <row r="102">
      <c r="B102" s="59"/>
      <c r="D102" s="59"/>
      <c r="F102" s="59"/>
      <c r="H102" s="59"/>
      <c r="J102" s="59"/>
      <c r="L102" s="59"/>
      <c r="N102" s="59"/>
      <c r="P102" s="59"/>
      <c r="Q102" s="61"/>
    </row>
    <row r="103">
      <c r="B103" s="59"/>
      <c r="D103" s="59"/>
      <c r="F103" s="59"/>
      <c r="H103" s="59"/>
      <c r="J103" s="59"/>
      <c r="L103" s="59"/>
      <c r="N103" s="59"/>
      <c r="P103" s="59"/>
      <c r="Q103" s="61"/>
    </row>
    <row r="104">
      <c r="B104" s="59"/>
      <c r="D104" s="59"/>
      <c r="F104" s="59"/>
      <c r="H104" s="59"/>
      <c r="J104" s="59"/>
      <c r="L104" s="59"/>
      <c r="N104" s="59"/>
      <c r="P104" s="59"/>
      <c r="Q104" s="61"/>
    </row>
    <row r="105">
      <c r="B105" s="59"/>
      <c r="D105" s="59"/>
      <c r="F105" s="59"/>
      <c r="H105" s="59"/>
      <c r="J105" s="59"/>
      <c r="L105" s="59"/>
      <c r="N105" s="59"/>
      <c r="P105" s="59"/>
      <c r="Q105" s="61"/>
    </row>
    <row r="106">
      <c r="B106" s="59"/>
      <c r="D106" s="59"/>
      <c r="F106" s="59"/>
      <c r="H106" s="59"/>
      <c r="J106" s="59"/>
      <c r="L106" s="59"/>
      <c r="N106" s="59"/>
      <c r="P106" s="59"/>
      <c r="Q106" s="61"/>
    </row>
    <row r="107">
      <c r="B107" s="59"/>
      <c r="D107" s="59"/>
      <c r="F107" s="59"/>
      <c r="H107" s="59"/>
      <c r="J107" s="59"/>
      <c r="L107" s="59"/>
      <c r="N107" s="59"/>
      <c r="P107" s="59"/>
      <c r="Q107" s="61"/>
    </row>
    <row r="108">
      <c r="B108" s="59"/>
      <c r="D108" s="59"/>
      <c r="F108" s="59"/>
      <c r="H108" s="59"/>
      <c r="J108" s="59"/>
      <c r="L108" s="59"/>
      <c r="N108" s="59"/>
      <c r="P108" s="59"/>
      <c r="Q108" s="61"/>
    </row>
    <row r="109">
      <c r="B109" s="59"/>
      <c r="D109" s="59"/>
      <c r="F109" s="59"/>
      <c r="H109" s="59"/>
      <c r="J109" s="59"/>
      <c r="L109" s="59"/>
      <c r="N109" s="59"/>
      <c r="P109" s="59"/>
      <c r="Q109" s="61"/>
    </row>
    <row r="110">
      <c r="B110" s="59"/>
      <c r="D110" s="59"/>
      <c r="F110" s="59"/>
      <c r="H110" s="59"/>
      <c r="J110" s="59"/>
      <c r="L110" s="59"/>
      <c r="N110" s="59"/>
      <c r="P110" s="59"/>
      <c r="Q110" s="61"/>
    </row>
    <row r="111">
      <c r="B111" s="59"/>
      <c r="D111" s="59"/>
      <c r="F111" s="59"/>
      <c r="H111" s="59"/>
      <c r="J111" s="59"/>
      <c r="L111" s="59"/>
      <c r="N111" s="59"/>
      <c r="P111" s="59"/>
      <c r="Q111" s="61"/>
    </row>
    <row r="112">
      <c r="B112" s="59"/>
      <c r="D112" s="59"/>
      <c r="F112" s="59"/>
      <c r="H112" s="59"/>
      <c r="J112" s="59"/>
      <c r="L112" s="59"/>
      <c r="N112" s="59"/>
      <c r="P112" s="59"/>
      <c r="Q112" s="61"/>
    </row>
    <row r="113">
      <c r="B113" s="59"/>
      <c r="D113" s="59"/>
      <c r="F113" s="59"/>
      <c r="H113" s="59"/>
      <c r="J113" s="59"/>
      <c r="L113" s="59"/>
      <c r="N113" s="59"/>
      <c r="P113" s="59"/>
      <c r="Q113" s="61"/>
    </row>
    <row r="114">
      <c r="B114" s="59"/>
      <c r="D114" s="59"/>
      <c r="F114" s="59"/>
      <c r="H114" s="59"/>
      <c r="J114" s="59"/>
      <c r="L114" s="59"/>
      <c r="N114" s="59"/>
      <c r="P114" s="59"/>
      <c r="Q114" s="61"/>
    </row>
    <row r="115">
      <c r="B115" s="59"/>
      <c r="D115" s="59"/>
      <c r="F115" s="59"/>
      <c r="H115" s="59"/>
      <c r="J115" s="59"/>
      <c r="L115" s="59"/>
      <c r="N115" s="59"/>
      <c r="P115" s="59"/>
      <c r="Q115" s="61"/>
    </row>
    <row r="116">
      <c r="B116" s="59"/>
      <c r="D116" s="59"/>
      <c r="F116" s="59"/>
      <c r="H116" s="59"/>
      <c r="J116" s="59"/>
      <c r="L116" s="59"/>
      <c r="N116" s="59"/>
      <c r="P116" s="59"/>
      <c r="Q116" s="61"/>
    </row>
    <row r="117">
      <c r="B117" s="59"/>
      <c r="D117" s="59"/>
      <c r="F117" s="59"/>
      <c r="H117" s="59"/>
      <c r="J117" s="59"/>
      <c r="L117" s="59"/>
      <c r="N117" s="59"/>
      <c r="P117" s="59"/>
      <c r="Q117" s="61"/>
    </row>
    <row r="118">
      <c r="B118" s="59"/>
      <c r="D118" s="59"/>
      <c r="F118" s="59"/>
      <c r="H118" s="59"/>
      <c r="J118" s="59"/>
      <c r="L118" s="59"/>
      <c r="N118" s="59"/>
      <c r="P118" s="59"/>
      <c r="Q118" s="61"/>
    </row>
    <row r="119">
      <c r="B119" s="59"/>
      <c r="D119" s="59"/>
      <c r="F119" s="59"/>
      <c r="H119" s="59"/>
      <c r="J119" s="59"/>
      <c r="L119" s="59"/>
      <c r="N119" s="59"/>
      <c r="P119" s="59"/>
      <c r="Q119" s="61"/>
    </row>
    <row r="120">
      <c r="B120" s="59"/>
      <c r="D120" s="59"/>
      <c r="F120" s="59"/>
      <c r="H120" s="59"/>
      <c r="J120" s="59"/>
      <c r="L120" s="59"/>
      <c r="N120" s="59"/>
      <c r="P120" s="59"/>
      <c r="Q120" s="61"/>
    </row>
    <row r="121">
      <c r="B121" s="59"/>
      <c r="D121" s="59"/>
      <c r="F121" s="59"/>
      <c r="H121" s="59"/>
      <c r="J121" s="59"/>
      <c r="L121" s="59"/>
      <c r="N121" s="59"/>
      <c r="P121" s="59"/>
      <c r="Q121" s="61"/>
    </row>
    <row r="122">
      <c r="B122" s="59"/>
      <c r="D122" s="59"/>
      <c r="F122" s="59"/>
      <c r="H122" s="59"/>
      <c r="J122" s="59"/>
      <c r="L122" s="59"/>
      <c r="N122" s="59"/>
      <c r="P122" s="59"/>
      <c r="Q122" s="61"/>
    </row>
    <row r="123">
      <c r="B123" s="59"/>
      <c r="D123" s="59"/>
      <c r="F123" s="59"/>
      <c r="H123" s="59"/>
      <c r="J123" s="59"/>
      <c r="L123" s="59"/>
      <c r="N123" s="59"/>
      <c r="P123" s="59"/>
      <c r="Q123" s="61"/>
    </row>
    <row r="124">
      <c r="B124" s="59"/>
      <c r="D124" s="59"/>
      <c r="F124" s="59"/>
      <c r="H124" s="59"/>
      <c r="J124" s="59"/>
      <c r="L124" s="59"/>
      <c r="N124" s="59"/>
      <c r="P124" s="59"/>
      <c r="Q124" s="61"/>
    </row>
    <row r="125">
      <c r="B125" s="59"/>
      <c r="D125" s="59"/>
      <c r="F125" s="59"/>
      <c r="H125" s="59"/>
      <c r="J125" s="59"/>
      <c r="L125" s="59"/>
      <c r="N125" s="59"/>
      <c r="P125" s="59"/>
      <c r="Q125" s="61"/>
    </row>
    <row r="126">
      <c r="B126" s="59"/>
      <c r="D126" s="59"/>
      <c r="F126" s="59"/>
      <c r="H126" s="59"/>
      <c r="J126" s="59"/>
      <c r="L126" s="59"/>
      <c r="N126" s="59"/>
      <c r="P126" s="59"/>
      <c r="Q126" s="61"/>
    </row>
    <row r="127">
      <c r="B127" s="59"/>
      <c r="D127" s="59"/>
      <c r="F127" s="59"/>
      <c r="H127" s="59"/>
      <c r="J127" s="59"/>
      <c r="L127" s="59"/>
      <c r="N127" s="59"/>
      <c r="P127" s="59"/>
      <c r="Q127" s="61"/>
    </row>
    <row r="128">
      <c r="B128" s="59"/>
      <c r="D128" s="59"/>
      <c r="F128" s="59"/>
      <c r="H128" s="59"/>
      <c r="J128" s="59"/>
      <c r="L128" s="59"/>
      <c r="N128" s="59"/>
      <c r="P128" s="59"/>
      <c r="Q128" s="61"/>
    </row>
    <row r="129">
      <c r="B129" s="59"/>
      <c r="D129" s="59"/>
      <c r="F129" s="59"/>
      <c r="H129" s="59"/>
      <c r="J129" s="59"/>
      <c r="L129" s="59"/>
      <c r="N129" s="59"/>
      <c r="P129" s="59"/>
      <c r="Q129" s="61"/>
    </row>
    <row r="130">
      <c r="B130" s="59"/>
      <c r="D130" s="59"/>
      <c r="F130" s="59"/>
      <c r="H130" s="59"/>
      <c r="J130" s="59"/>
      <c r="L130" s="59"/>
      <c r="N130" s="59"/>
      <c r="P130" s="59"/>
      <c r="Q130" s="61"/>
    </row>
    <row r="131">
      <c r="B131" s="59"/>
      <c r="D131" s="59"/>
      <c r="F131" s="59"/>
      <c r="H131" s="59"/>
      <c r="J131" s="59"/>
      <c r="L131" s="59"/>
      <c r="N131" s="59"/>
      <c r="P131" s="59"/>
      <c r="Q131" s="61"/>
    </row>
    <row r="132">
      <c r="B132" s="59"/>
      <c r="D132" s="59"/>
      <c r="F132" s="59"/>
      <c r="H132" s="59"/>
      <c r="J132" s="59"/>
      <c r="L132" s="59"/>
      <c r="N132" s="59"/>
      <c r="P132" s="59"/>
      <c r="Q132" s="61"/>
    </row>
    <row r="133">
      <c r="B133" s="59"/>
      <c r="D133" s="59"/>
      <c r="F133" s="59"/>
      <c r="H133" s="59"/>
      <c r="J133" s="59"/>
      <c r="L133" s="59"/>
      <c r="N133" s="59"/>
      <c r="P133" s="59"/>
      <c r="Q133" s="61"/>
    </row>
    <row r="134">
      <c r="B134" s="59"/>
      <c r="D134" s="59"/>
      <c r="F134" s="59"/>
      <c r="H134" s="59"/>
      <c r="J134" s="59"/>
      <c r="L134" s="59"/>
      <c r="N134" s="59"/>
      <c r="P134" s="59"/>
      <c r="Q134" s="61"/>
    </row>
    <row r="135">
      <c r="B135" s="59"/>
      <c r="D135" s="59"/>
      <c r="F135" s="59"/>
      <c r="H135" s="59"/>
      <c r="J135" s="59"/>
      <c r="L135" s="59"/>
      <c r="N135" s="59"/>
      <c r="P135" s="59"/>
      <c r="Q135" s="61"/>
    </row>
    <row r="136">
      <c r="B136" s="59"/>
      <c r="D136" s="59"/>
      <c r="F136" s="59"/>
      <c r="H136" s="59"/>
      <c r="J136" s="59"/>
      <c r="L136" s="59"/>
      <c r="N136" s="59"/>
      <c r="P136" s="59"/>
      <c r="Q136" s="61"/>
    </row>
    <row r="137">
      <c r="B137" s="59"/>
      <c r="D137" s="59"/>
      <c r="F137" s="59"/>
      <c r="H137" s="59"/>
      <c r="J137" s="59"/>
      <c r="L137" s="59"/>
      <c r="N137" s="59"/>
      <c r="P137" s="59"/>
      <c r="Q137" s="61"/>
    </row>
    <row r="138">
      <c r="B138" s="59"/>
      <c r="D138" s="59"/>
      <c r="F138" s="59"/>
      <c r="H138" s="59"/>
      <c r="J138" s="59"/>
      <c r="L138" s="59"/>
      <c r="N138" s="59"/>
      <c r="P138" s="59"/>
      <c r="Q138" s="61"/>
    </row>
    <row r="139">
      <c r="B139" s="59"/>
      <c r="D139" s="59"/>
      <c r="F139" s="59"/>
      <c r="H139" s="59"/>
      <c r="J139" s="59"/>
      <c r="L139" s="59"/>
      <c r="N139" s="59"/>
      <c r="P139" s="59"/>
      <c r="Q139" s="61"/>
    </row>
    <row r="140">
      <c r="B140" s="59"/>
      <c r="D140" s="59"/>
      <c r="F140" s="59"/>
      <c r="H140" s="59"/>
      <c r="J140" s="59"/>
      <c r="L140" s="59"/>
      <c r="N140" s="59"/>
      <c r="P140" s="59"/>
      <c r="Q140" s="61"/>
    </row>
    <row r="141">
      <c r="B141" s="59"/>
      <c r="D141" s="59"/>
      <c r="F141" s="59"/>
      <c r="H141" s="59"/>
      <c r="J141" s="59"/>
      <c r="L141" s="59"/>
      <c r="N141" s="59"/>
      <c r="P141" s="59"/>
      <c r="Q141" s="61"/>
    </row>
    <row r="142">
      <c r="B142" s="59"/>
      <c r="D142" s="59"/>
      <c r="F142" s="59"/>
      <c r="H142" s="59"/>
      <c r="J142" s="59"/>
      <c r="L142" s="59"/>
      <c r="N142" s="59"/>
      <c r="P142" s="59"/>
      <c r="Q142" s="61"/>
    </row>
    <row r="143">
      <c r="B143" s="59"/>
      <c r="D143" s="59"/>
      <c r="F143" s="59"/>
      <c r="H143" s="59"/>
      <c r="J143" s="59"/>
      <c r="L143" s="59"/>
      <c r="N143" s="59"/>
      <c r="P143" s="59"/>
      <c r="Q143" s="61"/>
    </row>
    <row r="144">
      <c r="B144" s="59"/>
      <c r="D144" s="59"/>
      <c r="F144" s="59"/>
      <c r="H144" s="59"/>
      <c r="J144" s="59"/>
      <c r="L144" s="59"/>
      <c r="N144" s="59"/>
      <c r="P144" s="59"/>
      <c r="Q144" s="61"/>
    </row>
    <row r="145">
      <c r="B145" s="59"/>
      <c r="D145" s="59"/>
      <c r="F145" s="59"/>
      <c r="H145" s="59"/>
      <c r="J145" s="59"/>
      <c r="L145" s="59"/>
      <c r="N145" s="59"/>
      <c r="P145" s="59"/>
      <c r="Q145" s="61"/>
    </row>
    <row r="146">
      <c r="B146" s="59"/>
      <c r="D146" s="59"/>
      <c r="F146" s="59"/>
      <c r="H146" s="59"/>
      <c r="J146" s="59"/>
      <c r="L146" s="59"/>
      <c r="N146" s="59"/>
      <c r="P146" s="59"/>
      <c r="Q146" s="61"/>
    </row>
    <row r="147">
      <c r="B147" s="59"/>
      <c r="D147" s="59"/>
      <c r="F147" s="59"/>
      <c r="H147" s="59"/>
      <c r="J147" s="59"/>
      <c r="L147" s="59"/>
      <c r="N147" s="59"/>
      <c r="P147" s="59"/>
      <c r="Q147" s="61"/>
    </row>
    <row r="148">
      <c r="B148" s="59"/>
      <c r="D148" s="59"/>
      <c r="F148" s="59"/>
      <c r="H148" s="59"/>
      <c r="J148" s="59"/>
      <c r="L148" s="59"/>
      <c r="N148" s="59"/>
      <c r="P148" s="59"/>
      <c r="Q148" s="61"/>
    </row>
    <row r="149">
      <c r="B149" s="59"/>
      <c r="D149" s="59"/>
      <c r="F149" s="59"/>
      <c r="H149" s="59"/>
      <c r="J149" s="59"/>
      <c r="L149" s="59"/>
      <c r="N149" s="59"/>
      <c r="P149" s="59"/>
      <c r="Q149" s="61"/>
    </row>
    <row r="150">
      <c r="B150" s="59"/>
      <c r="D150" s="59"/>
      <c r="F150" s="59"/>
      <c r="H150" s="59"/>
      <c r="J150" s="59"/>
      <c r="L150" s="59"/>
      <c r="N150" s="59"/>
      <c r="P150" s="59"/>
      <c r="Q150" s="61"/>
    </row>
    <row r="151">
      <c r="B151" s="59"/>
      <c r="D151" s="59"/>
      <c r="F151" s="59"/>
      <c r="H151" s="59"/>
      <c r="J151" s="59"/>
      <c r="L151" s="59"/>
      <c r="N151" s="59"/>
      <c r="P151" s="59"/>
      <c r="Q151" s="61"/>
    </row>
    <row r="152">
      <c r="B152" s="59"/>
      <c r="D152" s="59"/>
      <c r="F152" s="59"/>
      <c r="H152" s="59"/>
      <c r="J152" s="59"/>
      <c r="L152" s="59"/>
      <c r="N152" s="59"/>
      <c r="P152" s="59"/>
      <c r="Q152" s="61"/>
    </row>
    <row r="153">
      <c r="B153" s="59"/>
      <c r="D153" s="59"/>
      <c r="F153" s="59"/>
      <c r="H153" s="59"/>
      <c r="J153" s="59"/>
      <c r="L153" s="59"/>
      <c r="N153" s="59"/>
      <c r="P153" s="59"/>
      <c r="Q153" s="61"/>
    </row>
    <row r="154">
      <c r="B154" s="59"/>
      <c r="D154" s="59"/>
      <c r="F154" s="59"/>
      <c r="H154" s="59"/>
      <c r="J154" s="59"/>
      <c r="L154" s="59"/>
      <c r="N154" s="59"/>
      <c r="P154" s="59"/>
      <c r="Q154" s="61"/>
    </row>
    <row r="155">
      <c r="B155" s="59"/>
      <c r="D155" s="59"/>
      <c r="F155" s="59"/>
      <c r="H155" s="59"/>
      <c r="J155" s="59"/>
      <c r="L155" s="59"/>
      <c r="N155" s="59"/>
      <c r="P155" s="59"/>
      <c r="Q155" s="61"/>
    </row>
    <row r="156">
      <c r="B156" s="59"/>
      <c r="D156" s="59"/>
      <c r="F156" s="59"/>
      <c r="H156" s="59"/>
      <c r="J156" s="59"/>
      <c r="L156" s="59"/>
      <c r="N156" s="59"/>
      <c r="P156" s="59"/>
      <c r="Q156" s="61"/>
    </row>
    <row r="157">
      <c r="B157" s="59"/>
      <c r="D157" s="59"/>
      <c r="F157" s="59"/>
      <c r="H157" s="59"/>
      <c r="J157" s="59"/>
      <c r="L157" s="59"/>
      <c r="N157" s="59"/>
      <c r="P157" s="59"/>
      <c r="Q157" s="61"/>
    </row>
    <row r="158">
      <c r="B158" s="59"/>
      <c r="D158" s="59"/>
      <c r="F158" s="59"/>
      <c r="H158" s="59"/>
      <c r="J158" s="59"/>
      <c r="L158" s="59"/>
      <c r="N158" s="59"/>
      <c r="P158" s="59"/>
      <c r="Q158" s="61"/>
    </row>
    <row r="159">
      <c r="B159" s="59"/>
      <c r="D159" s="59"/>
      <c r="F159" s="59"/>
      <c r="H159" s="59"/>
      <c r="J159" s="59"/>
      <c r="L159" s="59"/>
      <c r="N159" s="59"/>
      <c r="P159" s="59"/>
      <c r="Q159" s="61"/>
    </row>
    <row r="160">
      <c r="B160" s="59"/>
      <c r="D160" s="59"/>
      <c r="F160" s="59"/>
      <c r="H160" s="59"/>
      <c r="J160" s="59"/>
      <c r="L160" s="59"/>
      <c r="N160" s="59"/>
      <c r="P160" s="59"/>
      <c r="Q160" s="61"/>
    </row>
    <row r="161">
      <c r="B161" s="59"/>
      <c r="D161" s="59"/>
      <c r="F161" s="59"/>
      <c r="H161" s="59"/>
      <c r="J161" s="59"/>
      <c r="L161" s="59"/>
      <c r="N161" s="59"/>
      <c r="P161" s="59"/>
      <c r="Q161" s="61"/>
    </row>
    <row r="162">
      <c r="B162" s="59"/>
      <c r="D162" s="59"/>
      <c r="F162" s="59"/>
      <c r="H162" s="59"/>
      <c r="J162" s="59"/>
      <c r="L162" s="59"/>
      <c r="N162" s="59"/>
      <c r="P162" s="59"/>
      <c r="Q162" s="61"/>
    </row>
    <row r="163">
      <c r="B163" s="59"/>
      <c r="D163" s="59"/>
      <c r="F163" s="59"/>
      <c r="H163" s="59"/>
      <c r="J163" s="59"/>
      <c r="L163" s="59"/>
      <c r="N163" s="59"/>
      <c r="P163" s="59"/>
      <c r="Q163" s="61"/>
    </row>
    <row r="164">
      <c r="B164" s="59"/>
      <c r="D164" s="59"/>
      <c r="F164" s="59"/>
      <c r="H164" s="59"/>
      <c r="J164" s="59"/>
      <c r="L164" s="59"/>
      <c r="N164" s="59"/>
      <c r="P164" s="59"/>
      <c r="Q164" s="61"/>
    </row>
    <row r="165">
      <c r="B165" s="59"/>
      <c r="D165" s="59"/>
      <c r="F165" s="59"/>
      <c r="H165" s="59"/>
      <c r="J165" s="59"/>
      <c r="L165" s="59"/>
      <c r="N165" s="59"/>
      <c r="P165" s="59"/>
      <c r="Q165" s="61"/>
    </row>
    <row r="166">
      <c r="B166" s="59"/>
      <c r="D166" s="59"/>
      <c r="F166" s="59"/>
      <c r="H166" s="59"/>
      <c r="J166" s="59"/>
      <c r="L166" s="59"/>
      <c r="N166" s="59"/>
      <c r="P166" s="59"/>
      <c r="Q166" s="61"/>
    </row>
    <row r="167">
      <c r="B167" s="59"/>
      <c r="D167" s="59"/>
      <c r="F167" s="59"/>
      <c r="H167" s="59"/>
      <c r="J167" s="59"/>
      <c r="L167" s="59"/>
      <c r="N167" s="59"/>
      <c r="P167" s="59"/>
      <c r="Q167" s="61"/>
    </row>
    <row r="168">
      <c r="B168" s="59"/>
      <c r="D168" s="59"/>
      <c r="F168" s="59"/>
      <c r="H168" s="59"/>
      <c r="J168" s="59"/>
      <c r="L168" s="59"/>
      <c r="N168" s="59"/>
      <c r="P168" s="59"/>
      <c r="Q168" s="61"/>
    </row>
    <row r="169">
      <c r="B169" s="59"/>
      <c r="D169" s="59"/>
      <c r="F169" s="59"/>
      <c r="H169" s="59"/>
      <c r="J169" s="59"/>
      <c r="L169" s="59"/>
      <c r="N169" s="59"/>
      <c r="P169" s="59"/>
      <c r="Q169" s="61"/>
    </row>
    <row r="170">
      <c r="B170" s="59"/>
      <c r="D170" s="59"/>
      <c r="F170" s="59"/>
      <c r="H170" s="59"/>
      <c r="J170" s="59"/>
      <c r="L170" s="59"/>
      <c r="N170" s="59"/>
      <c r="P170" s="59"/>
      <c r="Q170" s="61"/>
    </row>
    <row r="171">
      <c r="B171" s="59"/>
      <c r="D171" s="59"/>
      <c r="F171" s="59"/>
      <c r="H171" s="59"/>
      <c r="J171" s="59"/>
      <c r="L171" s="59"/>
      <c r="N171" s="59"/>
      <c r="P171" s="59"/>
      <c r="Q171" s="61"/>
    </row>
    <row r="172">
      <c r="B172" s="59"/>
      <c r="D172" s="59"/>
      <c r="F172" s="59"/>
      <c r="H172" s="59"/>
      <c r="J172" s="59"/>
      <c r="L172" s="59"/>
      <c r="N172" s="59"/>
      <c r="P172" s="59"/>
      <c r="Q172" s="61"/>
    </row>
    <row r="173">
      <c r="B173" s="59"/>
      <c r="D173" s="59"/>
      <c r="F173" s="59"/>
      <c r="H173" s="59"/>
      <c r="J173" s="59"/>
      <c r="L173" s="59"/>
      <c r="N173" s="59"/>
      <c r="P173" s="59"/>
      <c r="Q173" s="61"/>
    </row>
    <row r="174">
      <c r="B174" s="59"/>
      <c r="D174" s="59"/>
      <c r="F174" s="59"/>
      <c r="H174" s="59"/>
      <c r="J174" s="59"/>
      <c r="L174" s="59"/>
      <c r="N174" s="59"/>
      <c r="P174" s="59"/>
      <c r="Q174" s="61"/>
    </row>
    <row r="175">
      <c r="B175" s="59"/>
      <c r="D175" s="59"/>
      <c r="F175" s="59"/>
      <c r="H175" s="59"/>
      <c r="J175" s="59"/>
      <c r="L175" s="59"/>
      <c r="N175" s="59"/>
      <c r="P175" s="59"/>
      <c r="Q175" s="61"/>
    </row>
    <row r="176">
      <c r="B176" s="59"/>
      <c r="D176" s="59"/>
      <c r="F176" s="59"/>
      <c r="H176" s="59"/>
      <c r="J176" s="59"/>
      <c r="L176" s="59"/>
      <c r="N176" s="59"/>
      <c r="P176" s="59"/>
      <c r="Q176" s="61"/>
    </row>
    <row r="177">
      <c r="B177" s="59"/>
      <c r="D177" s="59"/>
      <c r="F177" s="59"/>
      <c r="H177" s="59"/>
      <c r="J177" s="59"/>
      <c r="L177" s="59"/>
      <c r="N177" s="59"/>
      <c r="P177" s="59"/>
      <c r="Q177" s="61"/>
    </row>
    <row r="178">
      <c r="B178" s="59"/>
      <c r="D178" s="59"/>
      <c r="F178" s="59"/>
      <c r="H178" s="59"/>
      <c r="J178" s="59"/>
      <c r="L178" s="59"/>
      <c r="N178" s="59"/>
      <c r="P178" s="59"/>
      <c r="Q178" s="61"/>
    </row>
    <row r="179">
      <c r="B179" s="59"/>
      <c r="D179" s="59"/>
      <c r="F179" s="59"/>
      <c r="H179" s="59"/>
      <c r="J179" s="59"/>
      <c r="L179" s="59"/>
      <c r="N179" s="59"/>
      <c r="P179" s="59"/>
      <c r="Q179" s="61"/>
    </row>
    <row r="180">
      <c r="B180" s="59"/>
      <c r="D180" s="59"/>
      <c r="F180" s="59"/>
      <c r="H180" s="59"/>
      <c r="J180" s="59"/>
      <c r="L180" s="59"/>
      <c r="N180" s="59"/>
      <c r="P180" s="59"/>
      <c r="Q180" s="61"/>
    </row>
    <row r="181">
      <c r="B181" s="59"/>
      <c r="D181" s="59"/>
      <c r="F181" s="59"/>
      <c r="H181" s="59"/>
      <c r="J181" s="59"/>
      <c r="L181" s="59"/>
      <c r="N181" s="59"/>
      <c r="P181" s="59"/>
      <c r="Q181" s="61"/>
    </row>
    <row r="182">
      <c r="B182" s="59"/>
      <c r="D182" s="59"/>
      <c r="F182" s="59"/>
      <c r="H182" s="59"/>
      <c r="J182" s="59"/>
      <c r="L182" s="59"/>
      <c r="N182" s="59"/>
      <c r="P182" s="59"/>
      <c r="Q182" s="61"/>
    </row>
    <row r="183">
      <c r="B183" s="59"/>
      <c r="D183" s="59"/>
      <c r="F183" s="59"/>
      <c r="H183" s="59"/>
      <c r="J183" s="59"/>
      <c r="L183" s="59"/>
      <c r="N183" s="59"/>
      <c r="P183" s="59"/>
      <c r="Q183" s="61"/>
    </row>
    <row r="184">
      <c r="B184" s="59"/>
      <c r="D184" s="59"/>
      <c r="F184" s="59"/>
      <c r="H184" s="59"/>
      <c r="J184" s="59"/>
      <c r="L184" s="59"/>
      <c r="N184" s="59"/>
      <c r="P184" s="59"/>
      <c r="Q184" s="61"/>
    </row>
    <row r="185">
      <c r="B185" s="59"/>
      <c r="D185" s="59"/>
      <c r="F185" s="59"/>
      <c r="H185" s="59"/>
      <c r="J185" s="59"/>
      <c r="L185" s="59"/>
      <c r="N185" s="59"/>
      <c r="P185" s="59"/>
      <c r="Q185" s="61"/>
    </row>
    <row r="186">
      <c r="B186" s="59"/>
      <c r="D186" s="59"/>
      <c r="F186" s="59"/>
      <c r="H186" s="59"/>
      <c r="J186" s="59"/>
      <c r="L186" s="59"/>
      <c r="N186" s="59"/>
      <c r="P186" s="59"/>
      <c r="Q186" s="61"/>
    </row>
    <row r="187">
      <c r="B187" s="59"/>
      <c r="D187" s="59"/>
      <c r="F187" s="59"/>
      <c r="H187" s="59"/>
      <c r="J187" s="59"/>
      <c r="L187" s="59"/>
      <c r="N187" s="59"/>
      <c r="P187" s="59"/>
      <c r="Q187" s="61"/>
    </row>
    <row r="188">
      <c r="B188" s="59"/>
      <c r="D188" s="59"/>
      <c r="F188" s="59"/>
      <c r="H188" s="59"/>
      <c r="J188" s="59"/>
      <c r="L188" s="59"/>
      <c r="N188" s="59"/>
      <c r="P188" s="59"/>
      <c r="Q188" s="61"/>
    </row>
    <row r="189">
      <c r="B189" s="59"/>
      <c r="D189" s="59"/>
      <c r="F189" s="59"/>
      <c r="H189" s="59"/>
      <c r="J189" s="59"/>
      <c r="L189" s="59"/>
      <c r="N189" s="59"/>
      <c r="P189" s="59"/>
      <c r="Q189" s="61"/>
    </row>
    <row r="190">
      <c r="B190" s="59"/>
      <c r="D190" s="59"/>
      <c r="F190" s="59"/>
      <c r="H190" s="59"/>
      <c r="J190" s="59"/>
      <c r="L190" s="59"/>
      <c r="N190" s="59"/>
      <c r="P190" s="59"/>
      <c r="Q190" s="61"/>
    </row>
    <row r="191">
      <c r="B191" s="59"/>
      <c r="D191" s="59"/>
      <c r="F191" s="59"/>
      <c r="H191" s="59"/>
      <c r="J191" s="59"/>
      <c r="L191" s="59"/>
      <c r="N191" s="59"/>
      <c r="P191" s="59"/>
      <c r="Q191" s="61"/>
    </row>
    <row r="192">
      <c r="B192" s="59"/>
      <c r="D192" s="59"/>
      <c r="F192" s="59"/>
      <c r="H192" s="59"/>
      <c r="J192" s="59"/>
      <c r="L192" s="59"/>
      <c r="N192" s="59"/>
      <c r="P192" s="59"/>
      <c r="Q192" s="61"/>
    </row>
    <row r="193">
      <c r="B193" s="59"/>
      <c r="D193" s="59"/>
      <c r="F193" s="59"/>
      <c r="H193" s="59"/>
      <c r="J193" s="59"/>
      <c r="L193" s="59"/>
      <c r="N193" s="59"/>
      <c r="P193" s="59"/>
      <c r="Q193" s="61"/>
    </row>
    <row r="194">
      <c r="B194" s="59"/>
      <c r="D194" s="59"/>
      <c r="F194" s="59"/>
      <c r="H194" s="59"/>
      <c r="J194" s="59"/>
      <c r="L194" s="59"/>
      <c r="N194" s="59"/>
      <c r="P194" s="59"/>
      <c r="Q194" s="61"/>
    </row>
    <row r="195">
      <c r="B195" s="59"/>
      <c r="D195" s="59"/>
      <c r="F195" s="59"/>
      <c r="H195" s="59"/>
      <c r="J195" s="59"/>
      <c r="L195" s="59"/>
      <c r="N195" s="59"/>
      <c r="P195" s="59"/>
      <c r="Q195" s="61"/>
    </row>
    <row r="196">
      <c r="B196" s="59"/>
      <c r="D196" s="59"/>
      <c r="F196" s="59"/>
      <c r="H196" s="59"/>
      <c r="J196" s="59"/>
      <c r="L196" s="59"/>
      <c r="N196" s="59"/>
      <c r="P196" s="59"/>
      <c r="Q196" s="61"/>
    </row>
    <row r="197">
      <c r="B197" s="59"/>
      <c r="D197" s="59"/>
      <c r="F197" s="59"/>
      <c r="H197" s="59"/>
      <c r="J197" s="59"/>
      <c r="L197" s="59"/>
      <c r="N197" s="59"/>
      <c r="P197" s="59"/>
      <c r="Q197" s="61"/>
    </row>
    <row r="198">
      <c r="B198" s="59"/>
      <c r="D198" s="59"/>
      <c r="F198" s="59"/>
      <c r="H198" s="59"/>
      <c r="J198" s="59"/>
      <c r="L198" s="59"/>
      <c r="N198" s="59"/>
      <c r="P198" s="59"/>
      <c r="Q198" s="61"/>
    </row>
    <row r="199">
      <c r="B199" s="59"/>
      <c r="D199" s="59"/>
      <c r="F199" s="59"/>
      <c r="H199" s="59"/>
      <c r="J199" s="59"/>
      <c r="L199" s="59"/>
      <c r="N199" s="59"/>
      <c r="P199" s="59"/>
      <c r="Q199" s="61"/>
    </row>
    <row r="200">
      <c r="B200" s="59"/>
      <c r="D200" s="59"/>
      <c r="F200" s="59"/>
      <c r="H200" s="59"/>
      <c r="J200" s="59"/>
      <c r="L200" s="59"/>
      <c r="N200" s="59"/>
      <c r="P200" s="59"/>
      <c r="Q200" s="61"/>
    </row>
    <row r="201">
      <c r="B201" s="59"/>
      <c r="D201" s="59"/>
      <c r="F201" s="59"/>
      <c r="H201" s="59"/>
      <c r="J201" s="59"/>
      <c r="L201" s="59"/>
      <c r="N201" s="59"/>
      <c r="P201" s="59"/>
      <c r="Q201" s="61"/>
    </row>
    <row r="202">
      <c r="B202" s="59"/>
      <c r="D202" s="59"/>
      <c r="F202" s="59"/>
      <c r="H202" s="59"/>
      <c r="J202" s="59"/>
      <c r="L202" s="59"/>
      <c r="N202" s="59"/>
      <c r="P202" s="59"/>
      <c r="Q202" s="61"/>
    </row>
    <row r="203">
      <c r="B203" s="59"/>
      <c r="D203" s="59"/>
      <c r="F203" s="59"/>
      <c r="H203" s="59"/>
      <c r="J203" s="59"/>
      <c r="L203" s="59"/>
      <c r="N203" s="59"/>
      <c r="P203" s="59"/>
      <c r="Q203" s="61"/>
    </row>
    <row r="204">
      <c r="B204" s="59"/>
      <c r="D204" s="59"/>
      <c r="F204" s="59"/>
      <c r="H204" s="59"/>
      <c r="J204" s="59"/>
      <c r="L204" s="59"/>
      <c r="N204" s="59"/>
      <c r="P204" s="59"/>
      <c r="Q204" s="61"/>
    </row>
    <row r="205">
      <c r="B205" s="59"/>
      <c r="D205" s="59"/>
      <c r="F205" s="59"/>
      <c r="H205" s="59"/>
      <c r="J205" s="59"/>
      <c r="L205" s="59"/>
      <c r="N205" s="59"/>
      <c r="P205" s="59"/>
      <c r="Q205" s="61"/>
    </row>
    <row r="206">
      <c r="B206" s="59"/>
      <c r="D206" s="59"/>
      <c r="F206" s="59"/>
      <c r="H206" s="59"/>
      <c r="J206" s="59"/>
      <c r="L206" s="59"/>
      <c r="N206" s="59"/>
      <c r="P206" s="59"/>
      <c r="Q206" s="61"/>
    </row>
    <row r="207">
      <c r="B207" s="59"/>
      <c r="D207" s="59"/>
      <c r="F207" s="59"/>
      <c r="H207" s="59"/>
      <c r="J207" s="59"/>
      <c r="L207" s="59"/>
      <c r="N207" s="59"/>
      <c r="P207" s="59"/>
      <c r="Q207" s="61"/>
    </row>
    <row r="208">
      <c r="B208" s="59"/>
      <c r="D208" s="59"/>
      <c r="F208" s="59"/>
      <c r="H208" s="59"/>
      <c r="J208" s="59"/>
      <c r="L208" s="59"/>
      <c r="N208" s="59"/>
      <c r="P208" s="59"/>
      <c r="Q208" s="61"/>
    </row>
    <row r="209">
      <c r="B209" s="59"/>
      <c r="D209" s="59"/>
      <c r="F209" s="59"/>
      <c r="H209" s="59"/>
      <c r="J209" s="59"/>
      <c r="L209" s="59"/>
      <c r="N209" s="59"/>
      <c r="P209" s="59"/>
      <c r="Q209" s="61"/>
    </row>
    <row r="210">
      <c r="B210" s="59"/>
      <c r="D210" s="59"/>
      <c r="F210" s="59"/>
      <c r="H210" s="59"/>
      <c r="J210" s="59"/>
      <c r="L210" s="59"/>
      <c r="N210" s="59"/>
      <c r="P210" s="59"/>
      <c r="Q210" s="61"/>
    </row>
    <row r="211">
      <c r="B211" s="59"/>
      <c r="D211" s="59"/>
      <c r="F211" s="59"/>
      <c r="H211" s="59"/>
      <c r="J211" s="59"/>
      <c r="L211" s="59"/>
      <c r="N211" s="59"/>
      <c r="P211" s="59"/>
      <c r="Q211" s="61"/>
    </row>
    <row r="212">
      <c r="B212" s="59"/>
      <c r="D212" s="59"/>
      <c r="F212" s="59"/>
      <c r="H212" s="59"/>
      <c r="J212" s="59"/>
      <c r="L212" s="59"/>
      <c r="N212" s="59"/>
      <c r="P212" s="59"/>
      <c r="Q212" s="61"/>
    </row>
    <row r="213">
      <c r="B213" s="59"/>
      <c r="D213" s="59"/>
      <c r="F213" s="59"/>
      <c r="H213" s="59"/>
      <c r="J213" s="59"/>
      <c r="L213" s="59"/>
      <c r="N213" s="59"/>
      <c r="P213" s="59"/>
      <c r="Q213" s="61"/>
    </row>
    <row r="214">
      <c r="B214" s="59"/>
      <c r="D214" s="59"/>
      <c r="F214" s="59"/>
      <c r="H214" s="59"/>
      <c r="J214" s="59"/>
      <c r="L214" s="59"/>
      <c r="N214" s="59"/>
      <c r="P214" s="59"/>
      <c r="Q214" s="61"/>
    </row>
    <row r="215">
      <c r="B215" s="59"/>
      <c r="D215" s="59"/>
      <c r="F215" s="59"/>
      <c r="H215" s="59"/>
      <c r="J215" s="59"/>
      <c r="L215" s="59"/>
      <c r="N215" s="59"/>
      <c r="P215" s="59"/>
      <c r="Q215" s="61"/>
    </row>
    <row r="216">
      <c r="B216" s="59"/>
      <c r="D216" s="59"/>
      <c r="F216" s="59"/>
      <c r="H216" s="59"/>
      <c r="J216" s="59"/>
      <c r="L216" s="59"/>
      <c r="N216" s="59"/>
      <c r="P216" s="59"/>
      <c r="Q216" s="61"/>
    </row>
    <row r="217">
      <c r="B217" s="59"/>
      <c r="D217" s="59"/>
      <c r="F217" s="59"/>
      <c r="H217" s="59"/>
      <c r="J217" s="59"/>
      <c r="L217" s="59"/>
      <c r="N217" s="59"/>
      <c r="P217" s="59"/>
      <c r="Q217" s="61"/>
    </row>
    <row r="218">
      <c r="B218" s="59"/>
      <c r="D218" s="59"/>
      <c r="F218" s="59"/>
      <c r="H218" s="59"/>
      <c r="J218" s="59"/>
      <c r="L218" s="59"/>
      <c r="N218" s="59"/>
      <c r="P218" s="59"/>
      <c r="Q218" s="61"/>
    </row>
    <row r="219">
      <c r="B219" s="59"/>
      <c r="D219" s="59"/>
      <c r="F219" s="59"/>
      <c r="H219" s="59"/>
      <c r="J219" s="59"/>
      <c r="L219" s="59"/>
      <c r="N219" s="59"/>
      <c r="P219" s="59"/>
      <c r="Q219" s="61"/>
    </row>
    <row r="220">
      <c r="B220" s="59"/>
      <c r="D220" s="59"/>
      <c r="F220" s="59"/>
      <c r="H220" s="59"/>
      <c r="J220" s="59"/>
      <c r="L220" s="59"/>
      <c r="N220" s="59"/>
      <c r="P220" s="59"/>
      <c r="Q220" s="61"/>
    </row>
    <row r="221">
      <c r="B221" s="59"/>
      <c r="D221" s="59"/>
      <c r="F221" s="59"/>
      <c r="H221" s="59"/>
      <c r="J221" s="59"/>
      <c r="L221" s="59"/>
      <c r="N221" s="59"/>
      <c r="P221" s="59"/>
      <c r="Q221" s="61"/>
    </row>
    <row r="222">
      <c r="B222" s="59"/>
      <c r="D222" s="59"/>
      <c r="F222" s="59"/>
      <c r="H222" s="59"/>
      <c r="J222" s="59"/>
      <c r="L222" s="59"/>
      <c r="N222" s="59"/>
      <c r="P222" s="59"/>
      <c r="Q222" s="61"/>
    </row>
    <row r="223">
      <c r="B223" s="59"/>
      <c r="D223" s="59"/>
      <c r="F223" s="59"/>
      <c r="H223" s="59"/>
      <c r="J223" s="59"/>
      <c r="L223" s="59"/>
      <c r="N223" s="59"/>
      <c r="P223" s="59"/>
      <c r="Q223" s="61"/>
    </row>
    <row r="224">
      <c r="B224" s="59"/>
      <c r="D224" s="59"/>
      <c r="F224" s="59"/>
      <c r="H224" s="59"/>
      <c r="J224" s="59"/>
      <c r="L224" s="59"/>
      <c r="N224" s="59"/>
      <c r="P224" s="59"/>
      <c r="Q224" s="61"/>
    </row>
    <row r="225">
      <c r="B225" s="59"/>
      <c r="D225" s="59"/>
      <c r="F225" s="59"/>
      <c r="H225" s="59"/>
      <c r="J225" s="59"/>
      <c r="L225" s="59"/>
      <c r="N225" s="59"/>
      <c r="P225" s="59"/>
      <c r="Q225" s="61"/>
    </row>
    <row r="226">
      <c r="B226" s="59"/>
      <c r="D226" s="59"/>
      <c r="F226" s="59"/>
      <c r="H226" s="59"/>
      <c r="J226" s="59"/>
      <c r="L226" s="59"/>
      <c r="N226" s="59"/>
      <c r="P226" s="59"/>
      <c r="Q226" s="61"/>
    </row>
    <row r="227">
      <c r="B227" s="59"/>
      <c r="D227" s="59"/>
      <c r="F227" s="59"/>
      <c r="H227" s="59"/>
      <c r="J227" s="59"/>
      <c r="L227" s="59"/>
      <c r="N227" s="59"/>
      <c r="P227" s="59"/>
      <c r="Q227" s="61"/>
    </row>
    <row r="228">
      <c r="B228" s="59"/>
      <c r="D228" s="59"/>
      <c r="F228" s="59"/>
      <c r="H228" s="59"/>
      <c r="J228" s="59"/>
      <c r="L228" s="59"/>
      <c r="N228" s="59"/>
      <c r="P228" s="59"/>
      <c r="Q228" s="61"/>
    </row>
    <row r="229">
      <c r="B229" s="59"/>
      <c r="D229" s="59"/>
      <c r="F229" s="59"/>
      <c r="H229" s="59"/>
      <c r="J229" s="59"/>
      <c r="L229" s="59"/>
      <c r="N229" s="59"/>
      <c r="P229" s="59"/>
      <c r="Q229" s="61"/>
    </row>
    <row r="230">
      <c r="B230" s="59"/>
      <c r="D230" s="59"/>
      <c r="F230" s="59"/>
      <c r="H230" s="59"/>
      <c r="J230" s="59"/>
      <c r="L230" s="59"/>
      <c r="N230" s="59"/>
      <c r="P230" s="59"/>
      <c r="Q230" s="61"/>
    </row>
    <row r="231">
      <c r="B231" s="59"/>
      <c r="D231" s="59"/>
      <c r="F231" s="59"/>
      <c r="H231" s="59"/>
      <c r="J231" s="59"/>
      <c r="L231" s="59"/>
      <c r="N231" s="59"/>
      <c r="P231" s="59"/>
      <c r="Q231" s="61"/>
    </row>
    <row r="232">
      <c r="B232" s="59"/>
      <c r="D232" s="59"/>
      <c r="F232" s="59"/>
      <c r="H232" s="59"/>
      <c r="J232" s="59"/>
      <c r="L232" s="59"/>
      <c r="N232" s="59"/>
      <c r="P232" s="59"/>
      <c r="Q232" s="61"/>
    </row>
    <row r="233">
      <c r="B233" s="59"/>
      <c r="D233" s="59"/>
      <c r="F233" s="59"/>
      <c r="H233" s="59"/>
      <c r="J233" s="59"/>
      <c r="L233" s="59"/>
      <c r="N233" s="59"/>
      <c r="P233" s="59"/>
      <c r="Q233" s="61"/>
    </row>
    <row r="234">
      <c r="B234" s="59"/>
      <c r="D234" s="59"/>
      <c r="F234" s="59"/>
      <c r="H234" s="59"/>
      <c r="J234" s="59"/>
      <c r="L234" s="59"/>
      <c r="N234" s="59"/>
      <c r="P234" s="59"/>
      <c r="Q234" s="61"/>
    </row>
    <row r="235">
      <c r="B235" s="59"/>
      <c r="D235" s="59"/>
      <c r="F235" s="59"/>
      <c r="H235" s="59"/>
      <c r="J235" s="59"/>
      <c r="L235" s="59"/>
      <c r="N235" s="59"/>
      <c r="P235" s="59"/>
      <c r="Q235" s="61"/>
    </row>
    <row r="236">
      <c r="B236" s="59"/>
      <c r="D236" s="59"/>
      <c r="F236" s="59"/>
      <c r="H236" s="59"/>
      <c r="J236" s="59"/>
      <c r="L236" s="59"/>
      <c r="N236" s="59"/>
      <c r="P236" s="59"/>
      <c r="Q236" s="61"/>
    </row>
    <row r="237">
      <c r="B237" s="59"/>
      <c r="D237" s="59"/>
      <c r="F237" s="59"/>
      <c r="H237" s="59"/>
      <c r="J237" s="59"/>
      <c r="L237" s="59"/>
      <c r="N237" s="59"/>
      <c r="P237" s="59"/>
      <c r="Q237" s="61"/>
    </row>
    <row r="238">
      <c r="B238" s="59"/>
      <c r="D238" s="59"/>
      <c r="F238" s="59"/>
      <c r="H238" s="59"/>
      <c r="J238" s="59"/>
      <c r="L238" s="59"/>
      <c r="N238" s="59"/>
      <c r="P238" s="59"/>
      <c r="Q238" s="61"/>
    </row>
    <row r="239">
      <c r="B239" s="59"/>
      <c r="D239" s="59"/>
      <c r="F239" s="59"/>
      <c r="H239" s="59"/>
      <c r="J239" s="59"/>
      <c r="L239" s="59"/>
      <c r="N239" s="59"/>
      <c r="P239" s="59"/>
      <c r="Q239" s="61"/>
    </row>
    <row r="240">
      <c r="B240" s="59"/>
      <c r="D240" s="59"/>
      <c r="F240" s="59"/>
      <c r="H240" s="59"/>
      <c r="J240" s="59"/>
      <c r="L240" s="59"/>
      <c r="N240" s="59"/>
      <c r="P240" s="59"/>
      <c r="Q240" s="61"/>
    </row>
    <row r="241">
      <c r="B241" s="59"/>
      <c r="D241" s="59"/>
      <c r="F241" s="59"/>
      <c r="H241" s="59"/>
      <c r="J241" s="59"/>
      <c r="L241" s="59"/>
      <c r="N241" s="59"/>
      <c r="P241" s="59"/>
      <c r="Q241" s="61"/>
    </row>
    <row r="242">
      <c r="B242" s="59"/>
      <c r="D242" s="59"/>
      <c r="F242" s="59"/>
      <c r="H242" s="59"/>
      <c r="J242" s="59"/>
      <c r="L242" s="59"/>
      <c r="N242" s="59"/>
      <c r="P242" s="59"/>
      <c r="Q242" s="61"/>
    </row>
    <row r="243">
      <c r="B243" s="59"/>
      <c r="D243" s="59"/>
      <c r="F243" s="59"/>
      <c r="H243" s="59"/>
      <c r="J243" s="59"/>
      <c r="L243" s="59"/>
      <c r="N243" s="59"/>
      <c r="P243" s="59"/>
      <c r="Q243" s="61"/>
    </row>
    <row r="244">
      <c r="B244" s="59"/>
      <c r="D244" s="59"/>
      <c r="F244" s="59"/>
      <c r="H244" s="59"/>
      <c r="J244" s="59"/>
      <c r="L244" s="59"/>
      <c r="N244" s="59"/>
      <c r="P244" s="59"/>
      <c r="Q244" s="61"/>
    </row>
    <row r="245">
      <c r="B245" s="59"/>
      <c r="D245" s="59"/>
      <c r="F245" s="59"/>
      <c r="H245" s="59"/>
      <c r="J245" s="59"/>
      <c r="L245" s="59"/>
      <c r="N245" s="59"/>
      <c r="P245" s="59"/>
      <c r="Q245" s="61"/>
    </row>
    <row r="246">
      <c r="B246" s="59"/>
      <c r="D246" s="59"/>
      <c r="F246" s="59"/>
      <c r="H246" s="59"/>
      <c r="J246" s="59"/>
      <c r="L246" s="59"/>
      <c r="N246" s="59"/>
      <c r="P246" s="59"/>
      <c r="Q246" s="61"/>
    </row>
    <row r="247">
      <c r="B247" s="59"/>
      <c r="D247" s="59"/>
      <c r="F247" s="59"/>
      <c r="H247" s="59"/>
      <c r="J247" s="59"/>
      <c r="L247" s="59"/>
      <c r="N247" s="59"/>
      <c r="P247" s="59"/>
      <c r="Q247" s="61"/>
    </row>
    <row r="248">
      <c r="B248" s="59"/>
      <c r="D248" s="59"/>
      <c r="F248" s="59"/>
      <c r="H248" s="59"/>
      <c r="J248" s="59"/>
      <c r="L248" s="59"/>
      <c r="N248" s="59"/>
      <c r="P248" s="59"/>
      <c r="Q248" s="61"/>
    </row>
    <row r="249">
      <c r="B249" s="59"/>
      <c r="D249" s="59"/>
      <c r="F249" s="59"/>
      <c r="H249" s="59"/>
      <c r="J249" s="59"/>
      <c r="L249" s="59"/>
      <c r="N249" s="59"/>
      <c r="P249" s="59"/>
      <c r="Q249" s="61"/>
    </row>
    <row r="250">
      <c r="B250" s="59"/>
      <c r="D250" s="59"/>
      <c r="F250" s="59"/>
      <c r="H250" s="59"/>
      <c r="J250" s="59"/>
      <c r="L250" s="59"/>
      <c r="N250" s="59"/>
      <c r="P250" s="59"/>
      <c r="Q250" s="61"/>
    </row>
    <row r="251">
      <c r="B251" s="59"/>
      <c r="D251" s="59"/>
      <c r="F251" s="59"/>
      <c r="H251" s="59"/>
      <c r="J251" s="59"/>
      <c r="L251" s="59"/>
      <c r="N251" s="59"/>
      <c r="P251" s="59"/>
      <c r="Q251" s="61"/>
    </row>
    <row r="252">
      <c r="B252" s="59"/>
      <c r="D252" s="59"/>
      <c r="F252" s="59"/>
      <c r="H252" s="59"/>
      <c r="J252" s="59"/>
      <c r="L252" s="59"/>
      <c r="N252" s="59"/>
      <c r="P252" s="59"/>
      <c r="Q252" s="61"/>
    </row>
    <row r="253">
      <c r="B253" s="59"/>
      <c r="D253" s="59"/>
      <c r="F253" s="59"/>
      <c r="H253" s="59"/>
      <c r="J253" s="59"/>
      <c r="L253" s="59"/>
      <c r="N253" s="59"/>
      <c r="P253" s="59"/>
      <c r="Q253" s="61"/>
    </row>
    <row r="254">
      <c r="B254" s="59"/>
      <c r="D254" s="59"/>
      <c r="F254" s="59"/>
      <c r="H254" s="59"/>
      <c r="J254" s="59"/>
      <c r="L254" s="59"/>
      <c r="N254" s="59"/>
      <c r="P254" s="59"/>
      <c r="Q254" s="61"/>
    </row>
    <row r="255">
      <c r="B255" s="59"/>
      <c r="D255" s="59"/>
      <c r="F255" s="59"/>
      <c r="H255" s="59"/>
      <c r="J255" s="59"/>
      <c r="L255" s="59"/>
      <c r="N255" s="59"/>
      <c r="P255" s="59"/>
      <c r="Q255" s="61"/>
    </row>
    <row r="256">
      <c r="B256" s="59"/>
      <c r="D256" s="59"/>
      <c r="F256" s="59"/>
      <c r="H256" s="59"/>
      <c r="J256" s="59"/>
      <c r="L256" s="59"/>
      <c r="N256" s="59"/>
      <c r="P256" s="59"/>
      <c r="Q256" s="61"/>
    </row>
    <row r="257">
      <c r="B257" s="59"/>
      <c r="D257" s="59"/>
      <c r="F257" s="59"/>
      <c r="H257" s="59"/>
      <c r="J257" s="59"/>
      <c r="L257" s="59"/>
      <c r="N257" s="59"/>
      <c r="P257" s="59"/>
      <c r="Q257" s="61"/>
    </row>
    <row r="258">
      <c r="B258" s="59"/>
      <c r="D258" s="59"/>
      <c r="F258" s="59"/>
      <c r="H258" s="59"/>
      <c r="J258" s="59"/>
      <c r="L258" s="59"/>
      <c r="N258" s="59"/>
      <c r="P258" s="59"/>
      <c r="Q258" s="61"/>
    </row>
    <row r="259">
      <c r="B259" s="59"/>
      <c r="D259" s="59"/>
      <c r="F259" s="59"/>
      <c r="H259" s="59"/>
      <c r="J259" s="59"/>
      <c r="L259" s="59"/>
      <c r="N259" s="59"/>
      <c r="P259" s="59"/>
      <c r="Q259" s="61"/>
    </row>
    <row r="260">
      <c r="B260" s="59"/>
      <c r="D260" s="59"/>
      <c r="F260" s="59"/>
      <c r="H260" s="59"/>
      <c r="J260" s="59"/>
      <c r="L260" s="59"/>
      <c r="N260" s="59"/>
      <c r="P260" s="59"/>
      <c r="Q260" s="61"/>
    </row>
    <row r="261">
      <c r="B261" s="59"/>
      <c r="D261" s="59"/>
      <c r="F261" s="59"/>
      <c r="H261" s="59"/>
      <c r="J261" s="59"/>
      <c r="L261" s="59"/>
      <c r="N261" s="59"/>
      <c r="P261" s="59"/>
      <c r="Q261" s="61"/>
    </row>
    <row r="262">
      <c r="B262" s="59"/>
      <c r="D262" s="59"/>
      <c r="F262" s="59"/>
      <c r="H262" s="59"/>
      <c r="J262" s="59"/>
      <c r="L262" s="59"/>
      <c r="N262" s="59"/>
      <c r="P262" s="59"/>
      <c r="Q262" s="61"/>
    </row>
    <row r="263">
      <c r="B263" s="59"/>
      <c r="D263" s="59"/>
      <c r="F263" s="59"/>
      <c r="H263" s="59"/>
      <c r="J263" s="59"/>
      <c r="L263" s="59"/>
      <c r="N263" s="59"/>
      <c r="P263" s="59"/>
      <c r="Q263" s="61"/>
    </row>
    <row r="264">
      <c r="B264" s="59"/>
      <c r="D264" s="59"/>
      <c r="F264" s="59"/>
      <c r="H264" s="59"/>
      <c r="J264" s="59"/>
      <c r="L264" s="59"/>
      <c r="N264" s="59"/>
      <c r="P264" s="59"/>
      <c r="Q264" s="61"/>
    </row>
    <row r="265">
      <c r="B265" s="59"/>
      <c r="D265" s="59"/>
      <c r="F265" s="59"/>
      <c r="H265" s="59"/>
      <c r="J265" s="59"/>
      <c r="L265" s="59"/>
      <c r="N265" s="59"/>
      <c r="P265" s="59"/>
      <c r="Q265" s="61"/>
    </row>
    <row r="266">
      <c r="B266" s="59"/>
      <c r="D266" s="59"/>
      <c r="F266" s="59"/>
      <c r="H266" s="59"/>
      <c r="J266" s="59"/>
      <c r="L266" s="59"/>
      <c r="N266" s="59"/>
      <c r="P266" s="59"/>
      <c r="Q266" s="61"/>
    </row>
    <row r="267">
      <c r="B267" s="59"/>
      <c r="D267" s="59"/>
      <c r="F267" s="59"/>
      <c r="H267" s="59"/>
      <c r="J267" s="59"/>
      <c r="L267" s="59"/>
      <c r="N267" s="59"/>
      <c r="P267" s="59"/>
      <c r="Q267" s="61"/>
    </row>
    <row r="268">
      <c r="B268" s="59"/>
      <c r="D268" s="59"/>
      <c r="F268" s="59"/>
      <c r="H268" s="59"/>
      <c r="J268" s="59"/>
      <c r="L268" s="59"/>
      <c r="N268" s="59"/>
      <c r="P268" s="59"/>
      <c r="Q268" s="61"/>
    </row>
    <row r="269">
      <c r="B269" s="59"/>
      <c r="D269" s="59"/>
      <c r="F269" s="59"/>
      <c r="H269" s="59"/>
      <c r="J269" s="59"/>
      <c r="L269" s="59"/>
      <c r="N269" s="59"/>
      <c r="P269" s="59"/>
      <c r="Q269" s="61"/>
    </row>
    <row r="270">
      <c r="B270" s="59"/>
      <c r="D270" s="59"/>
      <c r="F270" s="59"/>
      <c r="H270" s="59"/>
      <c r="J270" s="59"/>
      <c r="L270" s="59"/>
      <c r="N270" s="59"/>
      <c r="P270" s="59"/>
      <c r="Q270" s="61"/>
    </row>
    <row r="271">
      <c r="B271" s="59"/>
      <c r="D271" s="59"/>
      <c r="F271" s="59"/>
      <c r="H271" s="59"/>
      <c r="J271" s="59"/>
      <c r="L271" s="59"/>
      <c r="N271" s="59"/>
      <c r="P271" s="59"/>
      <c r="Q271" s="61"/>
    </row>
    <row r="272">
      <c r="B272" s="59"/>
      <c r="D272" s="59"/>
      <c r="F272" s="59"/>
      <c r="H272" s="59"/>
      <c r="J272" s="59"/>
      <c r="L272" s="59"/>
      <c r="N272" s="59"/>
      <c r="P272" s="59"/>
      <c r="Q272" s="61"/>
    </row>
    <row r="273">
      <c r="B273" s="59"/>
      <c r="D273" s="59"/>
      <c r="F273" s="59"/>
      <c r="H273" s="59"/>
      <c r="J273" s="59"/>
      <c r="L273" s="59"/>
      <c r="N273" s="59"/>
      <c r="P273" s="59"/>
      <c r="Q273" s="61"/>
    </row>
    <row r="274">
      <c r="B274" s="59"/>
      <c r="D274" s="59"/>
      <c r="F274" s="59"/>
      <c r="H274" s="59"/>
      <c r="J274" s="59"/>
      <c r="L274" s="59"/>
      <c r="N274" s="59"/>
      <c r="P274" s="59"/>
      <c r="Q274" s="61"/>
    </row>
    <row r="275">
      <c r="B275" s="59"/>
      <c r="D275" s="59"/>
      <c r="F275" s="59"/>
      <c r="H275" s="59"/>
      <c r="J275" s="59"/>
      <c r="L275" s="59"/>
      <c r="N275" s="59"/>
      <c r="P275" s="59"/>
      <c r="Q275" s="61"/>
    </row>
    <row r="276">
      <c r="B276" s="59"/>
      <c r="D276" s="59"/>
      <c r="F276" s="59"/>
      <c r="H276" s="59"/>
      <c r="J276" s="59"/>
      <c r="L276" s="59"/>
      <c r="N276" s="59"/>
      <c r="P276" s="59"/>
      <c r="Q276" s="61"/>
    </row>
    <row r="277">
      <c r="B277" s="59"/>
      <c r="D277" s="59"/>
      <c r="F277" s="59"/>
      <c r="H277" s="59"/>
      <c r="J277" s="59"/>
      <c r="L277" s="59"/>
      <c r="N277" s="59"/>
      <c r="P277" s="59"/>
      <c r="Q277" s="61"/>
    </row>
    <row r="278">
      <c r="B278" s="59"/>
      <c r="D278" s="59"/>
      <c r="F278" s="59"/>
      <c r="H278" s="59"/>
      <c r="J278" s="59"/>
      <c r="L278" s="59"/>
      <c r="N278" s="59"/>
      <c r="P278" s="59"/>
      <c r="Q278" s="61"/>
    </row>
    <row r="279">
      <c r="B279" s="59"/>
      <c r="D279" s="59"/>
      <c r="F279" s="59"/>
      <c r="H279" s="59"/>
      <c r="J279" s="59"/>
      <c r="L279" s="59"/>
      <c r="N279" s="59"/>
      <c r="P279" s="59"/>
      <c r="Q279" s="61"/>
    </row>
    <row r="280">
      <c r="B280" s="59"/>
      <c r="D280" s="59"/>
      <c r="F280" s="59"/>
      <c r="H280" s="59"/>
      <c r="J280" s="59"/>
      <c r="L280" s="59"/>
      <c r="N280" s="59"/>
      <c r="P280" s="59"/>
      <c r="Q280" s="61"/>
    </row>
    <row r="281">
      <c r="B281" s="59"/>
      <c r="D281" s="59"/>
      <c r="F281" s="59"/>
      <c r="H281" s="59"/>
      <c r="J281" s="59"/>
      <c r="L281" s="59"/>
      <c r="N281" s="59"/>
      <c r="P281" s="59"/>
      <c r="Q281" s="61"/>
    </row>
    <row r="282">
      <c r="B282" s="59"/>
      <c r="D282" s="59"/>
      <c r="F282" s="59"/>
      <c r="H282" s="59"/>
      <c r="J282" s="59"/>
      <c r="L282" s="59"/>
      <c r="N282" s="59"/>
      <c r="P282" s="59"/>
      <c r="Q282" s="61"/>
    </row>
    <row r="283">
      <c r="B283" s="59"/>
      <c r="D283" s="59"/>
      <c r="F283" s="59"/>
      <c r="H283" s="59"/>
      <c r="J283" s="59"/>
      <c r="L283" s="59"/>
      <c r="N283" s="59"/>
      <c r="P283" s="59"/>
      <c r="Q283" s="61"/>
    </row>
    <row r="284">
      <c r="B284" s="59"/>
      <c r="D284" s="59"/>
      <c r="F284" s="59"/>
      <c r="H284" s="59"/>
      <c r="J284" s="59"/>
      <c r="L284" s="59"/>
      <c r="N284" s="59"/>
      <c r="P284" s="59"/>
      <c r="Q284" s="61"/>
    </row>
    <row r="285">
      <c r="B285" s="59"/>
      <c r="D285" s="59"/>
      <c r="F285" s="59"/>
      <c r="H285" s="59"/>
      <c r="J285" s="59"/>
      <c r="L285" s="59"/>
      <c r="N285" s="59"/>
      <c r="P285" s="59"/>
      <c r="Q285" s="61"/>
    </row>
    <row r="286">
      <c r="B286" s="59"/>
      <c r="D286" s="59"/>
      <c r="F286" s="59"/>
      <c r="H286" s="59"/>
      <c r="J286" s="59"/>
      <c r="L286" s="59"/>
      <c r="N286" s="59"/>
      <c r="P286" s="59"/>
      <c r="Q286" s="61"/>
    </row>
    <row r="287">
      <c r="B287" s="59"/>
      <c r="D287" s="59"/>
      <c r="F287" s="59"/>
      <c r="H287" s="59"/>
      <c r="J287" s="59"/>
      <c r="L287" s="59"/>
      <c r="N287" s="59"/>
      <c r="P287" s="59"/>
      <c r="Q287" s="61"/>
    </row>
    <row r="288">
      <c r="B288" s="59"/>
      <c r="D288" s="59"/>
      <c r="F288" s="59"/>
      <c r="H288" s="59"/>
      <c r="J288" s="59"/>
      <c r="L288" s="59"/>
      <c r="N288" s="59"/>
      <c r="P288" s="59"/>
      <c r="Q288" s="61"/>
    </row>
    <row r="289">
      <c r="B289" s="59"/>
      <c r="D289" s="59"/>
      <c r="F289" s="59"/>
      <c r="H289" s="59"/>
      <c r="J289" s="59"/>
      <c r="L289" s="59"/>
      <c r="N289" s="59"/>
      <c r="P289" s="59"/>
      <c r="Q289" s="61"/>
    </row>
    <row r="290">
      <c r="B290" s="59"/>
      <c r="D290" s="59"/>
      <c r="F290" s="59"/>
      <c r="H290" s="59"/>
      <c r="J290" s="59"/>
      <c r="L290" s="59"/>
      <c r="N290" s="59"/>
      <c r="P290" s="59"/>
      <c r="Q290" s="61"/>
    </row>
    <row r="291">
      <c r="B291" s="59"/>
      <c r="D291" s="59"/>
      <c r="F291" s="59"/>
      <c r="H291" s="59"/>
      <c r="J291" s="59"/>
      <c r="L291" s="59"/>
      <c r="N291" s="59"/>
      <c r="P291" s="59"/>
      <c r="Q291" s="61"/>
    </row>
    <row r="292">
      <c r="B292" s="59"/>
      <c r="D292" s="59"/>
      <c r="F292" s="59"/>
      <c r="H292" s="59"/>
      <c r="J292" s="59"/>
      <c r="L292" s="59"/>
      <c r="N292" s="59"/>
      <c r="P292" s="59"/>
      <c r="Q292" s="61"/>
    </row>
    <row r="293">
      <c r="B293" s="59"/>
      <c r="D293" s="59"/>
      <c r="F293" s="59"/>
      <c r="H293" s="59"/>
      <c r="J293" s="59"/>
      <c r="L293" s="59"/>
      <c r="N293" s="59"/>
      <c r="P293" s="59"/>
      <c r="Q293" s="61"/>
    </row>
    <row r="294">
      <c r="B294" s="59"/>
      <c r="D294" s="59"/>
      <c r="F294" s="59"/>
      <c r="H294" s="59"/>
      <c r="J294" s="59"/>
      <c r="L294" s="59"/>
      <c r="N294" s="59"/>
      <c r="P294" s="59"/>
      <c r="Q294" s="61"/>
    </row>
    <row r="295">
      <c r="B295" s="59"/>
      <c r="D295" s="59"/>
      <c r="F295" s="59"/>
      <c r="H295" s="59"/>
      <c r="J295" s="59"/>
      <c r="L295" s="59"/>
      <c r="N295" s="59"/>
      <c r="P295" s="59"/>
      <c r="Q295" s="61"/>
    </row>
    <row r="296">
      <c r="B296" s="59"/>
      <c r="D296" s="59"/>
      <c r="F296" s="59"/>
      <c r="H296" s="59"/>
      <c r="J296" s="59"/>
      <c r="L296" s="59"/>
      <c r="N296" s="59"/>
      <c r="P296" s="59"/>
      <c r="Q296" s="61"/>
    </row>
    <row r="297">
      <c r="B297" s="59"/>
      <c r="D297" s="59"/>
      <c r="F297" s="59"/>
      <c r="H297" s="59"/>
      <c r="J297" s="59"/>
      <c r="L297" s="59"/>
      <c r="N297" s="59"/>
      <c r="P297" s="59"/>
      <c r="Q297" s="61"/>
    </row>
    <row r="298">
      <c r="B298" s="59"/>
      <c r="D298" s="59"/>
      <c r="F298" s="59"/>
      <c r="H298" s="59"/>
      <c r="J298" s="59"/>
      <c r="L298" s="59"/>
      <c r="N298" s="59"/>
      <c r="P298" s="59"/>
      <c r="Q298" s="61"/>
    </row>
    <row r="299">
      <c r="B299" s="59"/>
      <c r="D299" s="59"/>
      <c r="F299" s="59"/>
      <c r="H299" s="59"/>
      <c r="J299" s="59"/>
      <c r="L299" s="59"/>
      <c r="N299" s="59"/>
      <c r="P299" s="59"/>
      <c r="Q299" s="61"/>
    </row>
    <row r="300">
      <c r="B300" s="59"/>
      <c r="D300" s="59"/>
      <c r="F300" s="59"/>
      <c r="H300" s="59"/>
      <c r="J300" s="59"/>
      <c r="L300" s="59"/>
      <c r="N300" s="59"/>
      <c r="P300" s="59"/>
      <c r="Q300" s="61"/>
    </row>
    <row r="301">
      <c r="B301" s="59"/>
      <c r="D301" s="59"/>
      <c r="F301" s="59"/>
      <c r="H301" s="59"/>
      <c r="J301" s="59"/>
      <c r="L301" s="59"/>
      <c r="N301" s="59"/>
      <c r="P301" s="59"/>
      <c r="Q301" s="61"/>
    </row>
    <row r="302">
      <c r="B302" s="59"/>
      <c r="D302" s="59"/>
      <c r="F302" s="59"/>
      <c r="H302" s="59"/>
      <c r="J302" s="59"/>
      <c r="L302" s="59"/>
      <c r="N302" s="59"/>
      <c r="P302" s="59"/>
      <c r="Q302" s="61"/>
    </row>
    <row r="303">
      <c r="B303" s="59"/>
      <c r="D303" s="59"/>
      <c r="F303" s="59"/>
      <c r="H303" s="59"/>
      <c r="J303" s="59"/>
      <c r="L303" s="59"/>
      <c r="N303" s="59"/>
      <c r="P303" s="59"/>
      <c r="Q303" s="61"/>
    </row>
    <row r="304">
      <c r="B304" s="59"/>
      <c r="D304" s="59"/>
      <c r="F304" s="59"/>
      <c r="H304" s="59"/>
      <c r="J304" s="59"/>
      <c r="L304" s="59"/>
      <c r="N304" s="59"/>
      <c r="P304" s="59"/>
      <c r="Q304" s="61"/>
    </row>
    <row r="305">
      <c r="B305" s="59"/>
      <c r="D305" s="59"/>
      <c r="F305" s="59"/>
      <c r="H305" s="59"/>
      <c r="J305" s="59"/>
      <c r="L305" s="59"/>
      <c r="N305" s="59"/>
      <c r="P305" s="59"/>
      <c r="Q305" s="61"/>
    </row>
    <row r="306">
      <c r="B306" s="59"/>
      <c r="D306" s="59"/>
      <c r="F306" s="59"/>
      <c r="H306" s="59"/>
      <c r="J306" s="59"/>
      <c r="L306" s="59"/>
      <c r="N306" s="59"/>
      <c r="P306" s="59"/>
      <c r="Q306" s="61"/>
    </row>
    <row r="307">
      <c r="B307" s="59"/>
      <c r="D307" s="59"/>
      <c r="F307" s="59"/>
      <c r="H307" s="59"/>
      <c r="J307" s="59"/>
      <c r="L307" s="59"/>
      <c r="N307" s="59"/>
      <c r="P307" s="59"/>
      <c r="Q307" s="61"/>
    </row>
    <row r="308">
      <c r="B308" s="59"/>
      <c r="D308" s="59"/>
      <c r="F308" s="59"/>
      <c r="H308" s="59"/>
      <c r="J308" s="59"/>
      <c r="L308" s="59"/>
      <c r="N308" s="59"/>
      <c r="P308" s="59"/>
      <c r="Q308" s="61"/>
    </row>
    <row r="309">
      <c r="B309" s="59"/>
      <c r="D309" s="59"/>
      <c r="F309" s="59"/>
      <c r="H309" s="59"/>
      <c r="J309" s="59"/>
      <c r="L309" s="59"/>
      <c r="N309" s="59"/>
      <c r="P309" s="59"/>
      <c r="Q309" s="61"/>
    </row>
    <row r="310">
      <c r="B310" s="59"/>
      <c r="D310" s="59"/>
      <c r="F310" s="59"/>
      <c r="H310" s="59"/>
      <c r="J310" s="59"/>
      <c r="L310" s="59"/>
      <c r="N310" s="59"/>
      <c r="P310" s="59"/>
      <c r="Q310" s="61"/>
    </row>
    <row r="311">
      <c r="B311" s="59"/>
      <c r="D311" s="59"/>
      <c r="F311" s="59"/>
      <c r="H311" s="59"/>
      <c r="J311" s="59"/>
      <c r="L311" s="59"/>
      <c r="N311" s="59"/>
      <c r="P311" s="59"/>
      <c r="Q311" s="61"/>
    </row>
    <row r="312">
      <c r="B312" s="59"/>
      <c r="D312" s="59"/>
      <c r="F312" s="59"/>
      <c r="H312" s="59"/>
      <c r="J312" s="59"/>
      <c r="L312" s="59"/>
      <c r="N312" s="59"/>
      <c r="P312" s="59"/>
      <c r="Q312" s="61"/>
    </row>
    <row r="313">
      <c r="B313" s="59"/>
      <c r="D313" s="59"/>
      <c r="F313" s="59"/>
      <c r="H313" s="59"/>
      <c r="J313" s="59"/>
      <c r="L313" s="59"/>
      <c r="N313" s="59"/>
      <c r="P313" s="59"/>
      <c r="Q313" s="61"/>
    </row>
    <row r="314">
      <c r="B314" s="59"/>
      <c r="D314" s="59"/>
      <c r="F314" s="59"/>
      <c r="H314" s="59"/>
      <c r="J314" s="59"/>
      <c r="L314" s="59"/>
      <c r="N314" s="59"/>
      <c r="P314" s="59"/>
      <c r="Q314" s="61"/>
    </row>
    <row r="315">
      <c r="B315" s="59"/>
      <c r="D315" s="59"/>
      <c r="F315" s="59"/>
      <c r="H315" s="59"/>
      <c r="J315" s="59"/>
      <c r="L315" s="59"/>
      <c r="N315" s="59"/>
      <c r="P315" s="59"/>
      <c r="Q315" s="61"/>
    </row>
    <row r="316">
      <c r="B316" s="59"/>
      <c r="D316" s="59"/>
      <c r="F316" s="59"/>
      <c r="H316" s="59"/>
      <c r="J316" s="59"/>
      <c r="L316" s="59"/>
      <c r="N316" s="59"/>
      <c r="P316" s="59"/>
      <c r="Q316" s="61"/>
    </row>
    <row r="317">
      <c r="B317" s="59"/>
      <c r="D317" s="59"/>
      <c r="F317" s="59"/>
      <c r="H317" s="59"/>
      <c r="J317" s="59"/>
      <c r="L317" s="59"/>
      <c r="N317" s="59"/>
      <c r="P317" s="59"/>
      <c r="Q317" s="61"/>
    </row>
    <row r="318">
      <c r="B318" s="59"/>
      <c r="D318" s="59"/>
      <c r="F318" s="59"/>
      <c r="H318" s="59"/>
      <c r="J318" s="59"/>
      <c r="L318" s="59"/>
      <c r="N318" s="59"/>
      <c r="P318" s="59"/>
      <c r="Q318" s="61"/>
    </row>
    <row r="319">
      <c r="B319" s="59"/>
      <c r="D319" s="59"/>
      <c r="F319" s="59"/>
      <c r="H319" s="59"/>
      <c r="J319" s="59"/>
      <c r="L319" s="59"/>
      <c r="N319" s="59"/>
      <c r="P319" s="59"/>
      <c r="Q319" s="61"/>
    </row>
    <row r="320">
      <c r="B320" s="59"/>
      <c r="D320" s="59"/>
      <c r="F320" s="59"/>
      <c r="H320" s="59"/>
      <c r="J320" s="59"/>
      <c r="L320" s="59"/>
      <c r="N320" s="59"/>
      <c r="P320" s="59"/>
      <c r="Q320" s="61"/>
    </row>
    <row r="321">
      <c r="B321" s="59"/>
      <c r="D321" s="59"/>
      <c r="F321" s="59"/>
      <c r="H321" s="59"/>
      <c r="J321" s="59"/>
      <c r="L321" s="59"/>
      <c r="N321" s="59"/>
      <c r="P321" s="59"/>
      <c r="Q321" s="61"/>
    </row>
    <row r="322">
      <c r="B322" s="59"/>
      <c r="D322" s="59"/>
      <c r="F322" s="59"/>
      <c r="H322" s="59"/>
      <c r="J322" s="59"/>
      <c r="L322" s="59"/>
      <c r="N322" s="59"/>
      <c r="P322" s="59"/>
      <c r="Q322" s="61"/>
    </row>
    <row r="323">
      <c r="B323" s="59"/>
      <c r="D323" s="59"/>
      <c r="F323" s="59"/>
      <c r="H323" s="59"/>
      <c r="J323" s="59"/>
      <c r="L323" s="59"/>
      <c r="N323" s="59"/>
      <c r="P323" s="59"/>
      <c r="Q323" s="61"/>
    </row>
    <row r="324">
      <c r="B324" s="59"/>
      <c r="D324" s="59"/>
      <c r="F324" s="59"/>
      <c r="H324" s="59"/>
      <c r="J324" s="59"/>
      <c r="L324" s="59"/>
      <c r="N324" s="59"/>
      <c r="P324" s="59"/>
      <c r="Q324" s="61"/>
    </row>
    <row r="325">
      <c r="B325" s="59"/>
      <c r="D325" s="59"/>
      <c r="F325" s="59"/>
      <c r="H325" s="59"/>
      <c r="J325" s="59"/>
      <c r="L325" s="59"/>
      <c r="N325" s="59"/>
      <c r="P325" s="59"/>
      <c r="Q325" s="61"/>
    </row>
    <row r="326">
      <c r="B326" s="59"/>
      <c r="D326" s="59"/>
      <c r="F326" s="59"/>
      <c r="H326" s="59"/>
      <c r="J326" s="59"/>
      <c r="L326" s="59"/>
      <c r="N326" s="59"/>
      <c r="P326" s="59"/>
      <c r="Q326" s="61"/>
    </row>
    <row r="327">
      <c r="B327" s="59"/>
      <c r="D327" s="59"/>
      <c r="F327" s="59"/>
      <c r="H327" s="59"/>
      <c r="J327" s="59"/>
      <c r="L327" s="59"/>
      <c r="N327" s="59"/>
      <c r="P327" s="59"/>
      <c r="Q327" s="61"/>
    </row>
    <row r="328">
      <c r="B328" s="59"/>
      <c r="D328" s="59"/>
      <c r="F328" s="59"/>
      <c r="H328" s="59"/>
      <c r="J328" s="59"/>
      <c r="L328" s="59"/>
      <c r="N328" s="59"/>
      <c r="P328" s="59"/>
      <c r="Q328" s="61"/>
    </row>
    <row r="329">
      <c r="B329" s="59"/>
      <c r="D329" s="59"/>
      <c r="F329" s="59"/>
      <c r="H329" s="59"/>
      <c r="J329" s="59"/>
      <c r="L329" s="59"/>
      <c r="N329" s="59"/>
      <c r="P329" s="59"/>
      <c r="Q329" s="61"/>
    </row>
    <row r="330">
      <c r="B330" s="59"/>
      <c r="D330" s="59"/>
      <c r="F330" s="59"/>
      <c r="H330" s="59"/>
      <c r="J330" s="59"/>
      <c r="L330" s="59"/>
      <c r="N330" s="59"/>
      <c r="P330" s="59"/>
      <c r="Q330" s="61"/>
    </row>
    <row r="331">
      <c r="B331" s="59"/>
      <c r="D331" s="59"/>
      <c r="F331" s="59"/>
      <c r="H331" s="59"/>
      <c r="J331" s="59"/>
      <c r="L331" s="59"/>
      <c r="N331" s="59"/>
      <c r="P331" s="59"/>
      <c r="Q331" s="61"/>
    </row>
    <row r="332">
      <c r="B332" s="59"/>
      <c r="D332" s="59"/>
      <c r="F332" s="59"/>
      <c r="H332" s="59"/>
      <c r="J332" s="59"/>
      <c r="L332" s="59"/>
      <c r="N332" s="59"/>
      <c r="P332" s="59"/>
      <c r="Q332" s="61"/>
    </row>
    <row r="333">
      <c r="B333" s="59"/>
      <c r="D333" s="59"/>
      <c r="F333" s="59"/>
      <c r="H333" s="59"/>
      <c r="J333" s="59"/>
      <c r="L333" s="59"/>
      <c r="N333" s="59"/>
      <c r="P333" s="59"/>
      <c r="Q333" s="61"/>
    </row>
    <row r="334">
      <c r="B334" s="59"/>
      <c r="D334" s="59"/>
      <c r="F334" s="59"/>
      <c r="H334" s="59"/>
      <c r="J334" s="59"/>
      <c r="L334" s="59"/>
      <c r="N334" s="59"/>
      <c r="P334" s="59"/>
      <c r="Q334" s="61"/>
    </row>
    <row r="335">
      <c r="B335" s="59"/>
      <c r="D335" s="59"/>
      <c r="F335" s="59"/>
      <c r="H335" s="59"/>
      <c r="J335" s="59"/>
      <c r="L335" s="59"/>
      <c r="N335" s="59"/>
      <c r="P335" s="59"/>
      <c r="Q335" s="61"/>
    </row>
    <row r="336">
      <c r="B336" s="59"/>
      <c r="D336" s="59"/>
      <c r="F336" s="59"/>
      <c r="H336" s="59"/>
      <c r="J336" s="59"/>
      <c r="L336" s="59"/>
      <c r="N336" s="59"/>
      <c r="P336" s="59"/>
      <c r="Q336" s="61"/>
    </row>
    <row r="337">
      <c r="B337" s="59"/>
      <c r="D337" s="59"/>
      <c r="F337" s="59"/>
      <c r="H337" s="59"/>
      <c r="J337" s="59"/>
      <c r="L337" s="59"/>
      <c r="N337" s="59"/>
      <c r="P337" s="59"/>
      <c r="Q337" s="61"/>
    </row>
    <row r="338">
      <c r="B338" s="59"/>
      <c r="D338" s="59"/>
      <c r="F338" s="59"/>
      <c r="H338" s="59"/>
      <c r="J338" s="59"/>
      <c r="L338" s="59"/>
      <c r="N338" s="59"/>
      <c r="P338" s="59"/>
      <c r="Q338" s="61"/>
    </row>
    <row r="339">
      <c r="B339" s="59"/>
      <c r="D339" s="59"/>
      <c r="F339" s="59"/>
      <c r="H339" s="59"/>
      <c r="J339" s="59"/>
      <c r="L339" s="59"/>
      <c r="N339" s="59"/>
      <c r="P339" s="59"/>
      <c r="Q339" s="61"/>
    </row>
    <row r="340">
      <c r="B340" s="59"/>
      <c r="D340" s="59"/>
      <c r="F340" s="59"/>
      <c r="H340" s="59"/>
      <c r="J340" s="59"/>
      <c r="L340" s="59"/>
      <c r="N340" s="59"/>
      <c r="P340" s="59"/>
      <c r="Q340" s="61"/>
    </row>
    <row r="341">
      <c r="B341" s="59"/>
      <c r="D341" s="59"/>
      <c r="F341" s="59"/>
      <c r="H341" s="59"/>
      <c r="J341" s="59"/>
      <c r="L341" s="59"/>
      <c r="N341" s="59"/>
      <c r="P341" s="59"/>
      <c r="Q341" s="61"/>
    </row>
    <row r="342">
      <c r="B342" s="59"/>
      <c r="D342" s="59"/>
      <c r="F342" s="59"/>
      <c r="H342" s="59"/>
      <c r="J342" s="59"/>
      <c r="L342" s="59"/>
      <c r="N342" s="59"/>
      <c r="P342" s="59"/>
      <c r="Q342" s="61"/>
    </row>
    <row r="343">
      <c r="B343" s="59"/>
      <c r="D343" s="59"/>
      <c r="F343" s="59"/>
      <c r="H343" s="59"/>
      <c r="J343" s="59"/>
      <c r="L343" s="59"/>
      <c r="N343" s="59"/>
      <c r="P343" s="59"/>
      <c r="Q343" s="61"/>
    </row>
    <row r="344">
      <c r="B344" s="59"/>
      <c r="D344" s="59"/>
      <c r="F344" s="59"/>
      <c r="H344" s="59"/>
      <c r="J344" s="59"/>
      <c r="L344" s="59"/>
      <c r="N344" s="59"/>
      <c r="P344" s="59"/>
      <c r="Q344" s="61"/>
    </row>
    <row r="345">
      <c r="B345" s="59"/>
      <c r="D345" s="59"/>
      <c r="F345" s="59"/>
      <c r="H345" s="59"/>
      <c r="J345" s="59"/>
      <c r="L345" s="59"/>
      <c r="N345" s="59"/>
      <c r="P345" s="59"/>
      <c r="Q345" s="61"/>
    </row>
    <row r="346">
      <c r="B346" s="59"/>
      <c r="D346" s="59"/>
      <c r="F346" s="59"/>
      <c r="H346" s="59"/>
      <c r="J346" s="59"/>
      <c r="L346" s="59"/>
      <c r="N346" s="59"/>
      <c r="P346" s="59"/>
      <c r="Q346" s="61"/>
    </row>
    <row r="347">
      <c r="B347" s="59"/>
      <c r="D347" s="59"/>
      <c r="F347" s="59"/>
      <c r="H347" s="59"/>
      <c r="J347" s="59"/>
      <c r="L347" s="59"/>
      <c r="N347" s="59"/>
      <c r="P347" s="59"/>
      <c r="Q347" s="61"/>
    </row>
    <row r="348">
      <c r="B348" s="59"/>
      <c r="D348" s="59"/>
      <c r="F348" s="59"/>
      <c r="H348" s="59"/>
      <c r="J348" s="59"/>
      <c r="L348" s="59"/>
      <c r="N348" s="59"/>
      <c r="P348" s="59"/>
      <c r="Q348" s="61"/>
    </row>
    <row r="349">
      <c r="B349" s="59"/>
      <c r="D349" s="59"/>
      <c r="F349" s="59"/>
      <c r="H349" s="59"/>
      <c r="J349" s="59"/>
      <c r="L349" s="59"/>
      <c r="N349" s="59"/>
      <c r="P349" s="59"/>
      <c r="Q349" s="61"/>
    </row>
    <row r="350">
      <c r="B350" s="59"/>
      <c r="D350" s="59"/>
      <c r="F350" s="59"/>
      <c r="H350" s="59"/>
      <c r="J350" s="59"/>
      <c r="L350" s="59"/>
      <c r="N350" s="59"/>
      <c r="P350" s="59"/>
      <c r="Q350" s="61"/>
    </row>
    <row r="351">
      <c r="B351" s="59"/>
      <c r="D351" s="59"/>
      <c r="F351" s="59"/>
      <c r="H351" s="59"/>
      <c r="J351" s="59"/>
      <c r="L351" s="59"/>
      <c r="N351" s="59"/>
      <c r="P351" s="59"/>
      <c r="Q351" s="61"/>
    </row>
    <row r="352">
      <c r="B352" s="59"/>
      <c r="D352" s="59"/>
      <c r="F352" s="59"/>
      <c r="H352" s="59"/>
      <c r="J352" s="59"/>
      <c r="L352" s="59"/>
      <c r="N352" s="59"/>
      <c r="P352" s="59"/>
      <c r="Q352" s="61"/>
    </row>
    <row r="353">
      <c r="B353" s="59"/>
      <c r="D353" s="59"/>
      <c r="F353" s="59"/>
      <c r="H353" s="59"/>
      <c r="J353" s="59"/>
      <c r="L353" s="59"/>
      <c r="N353" s="59"/>
      <c r="P353" s="59"/>
      <c r="Q353" s="61"/>
    </row>
    <row r="354">
      <c r="B354" s="59"/>
      <c r="D354" s="59"/>
      <c r="F354" s="59"/>
      <c r="H354" s="59"/>
      <c r="J354" s="59"/>
      <c r="L354" s="59"/>
      <c r="N354" s="59"/>
      <c r="P354" s="59"/>
      <c r="Q354" s="61"/>
    </row>
    <row r="355">
      <c r="B355" s="59"/>
      <c r="D355" s="59"/>
      <c r="F355" s="59"/>
      <c r="H355" s="59"/>
      <c r="J355" s="59"/>
      <c r="L355" s="59"/>
      <c r="N355" s="59"/>
      <c r="P355" s="59"/>
      <c r="Q355" s="61"/>
    </row>
    <row r="356">
      <c r="B356" s="59"/>
      <c r="D356" s="59"/>
      <c r="F356" s="59"/>
      <c r="H356" s="59"/>
      <c r="J356" s="59"/>
      <c r="L356" s="59"/>
      <c r="N356" s="59"/>
      <c r="P356" s="59"/>
      <c r="Q356" s="61"/>
    </row>
    <row r="357">
      <c r="B357" s="59"/>
      <c r="D357" s="59"/>
      <c r="F357" s="59"/>
      <c r="H357" s="59"/>
      <c r="J357" s="59"/>
      <c r="L357" s="59"/>
      <c r="N357" s="59"/>
      <c r="P357" s="59"/>
      <c r="Q357" s="61"/>
    </row>
    <row r="358">
      <c r="B358" s="59"/>
      <c r="D358" s="59"/>
      <c r="F358" s="59"/>
      <c r="H358" s="59"/>
      <c r="J358" s="59"/>
      <c r="L358" s="59"/>
      <c r="N358" s="59"/>
      <c r="P358" s="59"/>
      <c r="Q358" s="61"/>
    </row>
    <row r="359">
      <c r="B359" s="59"/>
      <c r="D359" s="59"/>
      <c r="F359" s="59"/>
      <c r="H359" s="59"/>
      <c r="J359" s="59"/>
      <c r="L359" s="59"/>
      <c r="N359" s="59"/>
      <c r="P359" s="59"/>
      <c r="Q359" s="61"/>
    </row>
    <row r="360">
      <c r="B360" s="59"/>
      <c r="D360" s="59"/>
      <c r="F360" s="59"/>
      <c r="H360" s="59"/>
      <c r="J360" s="59"/>
      <c r="L360" s="59"/>
      <c r="N360" s="59"/>
      <c r="P360" s="59"/>
      <c r="Q360" s="61"/>
    </row>
    <row r="361">
      <c r="B361" s="59"/>
      <c r="D361" s="59"/>
      <c r="F361" s="59"/>
      <c r="H361" s="59"/>
      <c r="J361" s="59"/>
      <c r="L361" s="59"/>
      <c r="N361" s="59"/>
      <c r="P361" s="59"/>
      <c r="Q361" s="61"/>
    </row>
    <row r="362">
      <c r="B362" s="59"/>
      <c r="D362" s="59"/>
      <c r="F362" s="59"/>
      <c r="H362" s="59"/>
      <c r="J362" s="59"/>
      <c r="L362" s="59"/>
      <c r="N362" s="59"/>
      <c r="P362" s="59"/>
      <c r="Q362" s="61"/>
    </row>
    <row r="363">
      <c r="B363" s="59"/>
      <c r="D363" s="59"/>
      <c r="F363" s="59"/>
      <c r="H363" s="59"/>
      <c r="J363" s="59"/>
      <c r="L363" s="59"/>
      <c r="N363" s="59"/>
      <c r="P363" s="59"/>
      <c r="Q363" s="61"/>
    </row>
    <row r="364">
      <c r="B364" s="59"/>
      <c r="D364" s="59"/>
      <c r="F364" s="59"/>
      <c r="H364" s="59"/>
      <c r="J364" s="59"/>
      <c r="L364" s="59"/>
      <c r="N364" s="59"/>
      <c r="P364" s="59"/>
      <c r="Q364" s="61"/>
    </row>
    <row r="365">
      <c r="B365" s="59"/>
      <c r="D365" s="59"/>
      <c r="F365" s="59"/>
      <c r="H365" s="59"/>
      <c r="J365" s="59"/>
      <c r="L365" s="59"/>
      <c r="N365" s="59"/>
      <c r="P365" s="59"/>
      <c r="Q365" s="61"/>
    </row>
    <row r="366">
      <c r="B366" s="59"/>
      <c r="D366" s="59"/>
      <c r="F366" s="59"/>
      <c r="H366" s="59"/>
      <c r="J366" s="59"/>
      <c r="L366" s="59"/>
      <c r="N366" s="59"/>
      <c r="P366" s="59"/>
      <c r="Q366" s="61"/>
    </row>
    <row r="367">
      <c r="B367" s="59"/>
      <c r="D367" s="59"/>
      <c r="F367" s="59"/>
      <c r="H367" s="59"/>
      <c r="J367" s="59"/>
      <c r="L367" s="59"/>
      <c r="N367" s="59"/>
      <c r="P367" s="59"/>
      <c r="Q367" s="61"/>
    </row>
    <row r="368">
      <c r="B368" s="59"/>
      <c r="D368" s="59"/>
      <c r="F368" s="59"/>
      <c r="H368" s="59"/>
      <c r="J368" s="59"/>
      <c r="L368" s="59"/>
      <c r="N368" s="59"/>
      <c r="P368" s="59"/>
      <c r="Q368" s="61"/>
    </row>
    <row r="369">
      <c r="B369" s="59"/>
      <c r="D369" s="59"/>
      <c r="F369" s="59"/>
      <c r="H369" s="59"/>
      <c r="J369" s="59"/>
      <c r="L369" s="59"/>
      <c r="N369" s="59"/>
      <c r="P369" s="59"/>
      <c r="Q369" s="61"/>
    </row>
    <row r="370">
      <c r="B370" s="59"/>
      <c r="D370" s="59"/>
      <c r="F370" s="59"/>
      <c r="H370" s="59"/>
      <c r="J370" s="59"/>
      <c r="L370" s="59"/>
      <c r="N370" s="59"/>
      <c r="P370" s="59"/>
      <c r="Q370" s="61"/>
    </row>
    <row r="371">
      <c r="B371" s="59"/>
      <c r="D371" s="59"/>
      <c r="F371" s="59"/>
      <c r="H371" s="59"/>
      <c r="J371" s="59"/>
      <c r="L371" s="59"/>
      <c r="N371" s="59"/>
      <c r="P371" s="59"/>
      <c r="Q371" s="61"/>
    </row>
    <row r="372">
      <c r="B372" s="59"/>
      <c r="D372" s="59"/>
      <c r="F372" s="59"/>
      <c r="H372" s="59"/>
      <c r="J372" s="59"/>
      <c r="L372" s="59"/>
      <c r="N372" s="59"/>
      <c r="P372" s="59"/>
      <c r="Q372" s="61"/>
    </row>
    <row r="373">
      <c r="B373" s="59"/>
      <c r="D373" s="59"/>
      <c r="F373" s="59"/>
      <c r="H373" s="59"/>
      <c r="J373" s="59"/>
      <c r="L373" s="59"/>
      <c r="N373" s="59"/>
      <c r="P373" s="59"/>
      <c r="Q373" s="61"/>
    </row>
    <row r="374">
      <c r="B374" s="59"/>
      <c r="D374" s="59"/>
      <c r="F374" s="59"/>
      <c r="H374" s="59"/>
      <c r="J374" s="59"/>
      <c r="L374" s="59"/>
      <c r="N374" s="59"/>
      <c r="P374" s="59"/>
      <c r="Q374" s="61"/>
    </row>
    <row r="375">
      <c r="B375" s="59"/>
      <c r="D375" s="59"/>
      <c r="F375" s="59"/>
      <c r="H375" s="59"/>
      <c r="J375" s="59"/>
      <c r="L375" s="59"/>
      <c r="N375" s="59"/>
      <c r="P375" s="59"/>
      <c r="Q375" s="61"/>
    </row>
    <row r="376">
      <c r="B376" s="59"/>
      <c r="D376" s="59"/>
      <c r="F376" s="59"/>
      <c r="H376" s="59"/>
      <c r="J376" s="59"/>
      <c r="L376" s="59"/>
      <c r="N376" s="59"/>
      <c r="P376" s="59"/>
      <c r="Q376" s="61"/>
    </row>
    <row r="377">
      <c r="B377" s="59"/>
      <c r="D377" s="59"/>
      <c r="F377" s="59"/>
      <c r="H377" s="59"/>
      <c r="J377" s="59"/>
      <c r="L377" s="59"/>
      <c r="N377" s="59"/>
      <c r="P377" s="59"/>
      <c r="Q377" s="61"/>
    </row>
    <row r="378">
      <c r="B378" s="59"/>
      <c r="D378" s="59"/>
      <c r="F378" s="59"/>
      <c r="H378" s="59"/>
      <c r="J378" s="59"/>
      <c r="L378" s="59"/>
      <c r="N378" s="59"/>
      <c r="P378" s="59"/>
      <c r="Q378" s="61"/>
    </row>
    <row r="379">
      <c r="B379" s="59"/>
      <c r="D379" s="59"/>
      <c r="F379" s="59"/>
      <c r="H379" s="59"/>
      <c r="J379" s="59"/>
      <c r="L379" s="59"/>
      <c r="N379" s="59"/>
      <c r="P379" s="59"/>
      <c r="Q379" s="61"/>
    </row>
    <row r="380">
      <c r="B380" s="59"/>
      <c r="D380" s="59"/>
      <c r="F380" s="59"/>
      <c r="H380" s="59"/>
      <c r="J380" s="59"/>
      <c r="L380" s="59"/>
      <c r="N380" s="59"/>
      <c r="P380" s="59"/>
      <c r="Q380" s="61"/>
    </row>
    <row r="381">
      <c r="B381" s="59"/>
      <c r="D381" s="59"/>
      <c r="F381" s="59"/>
      <c r="H381" s="59"/>
      <c r="J381" s="59"/>
      <c r="L381" s="59"/>
      <c r="N381" s="59"/>
      <c r="P381" s="59"/>
      <c r="Q381" s="61"/>
    </row>
    <row r="382">
      <c r="B382" s="59"/>
      <c r="D382" s="59"/>
      <c r="F382" s="59"/>
      <c r="H382" s="59"/>
      <c r="J382" s="59"/>
      <c r="L382" s="59"/>
      <c r="N382" s="59"/>
      <c r="P382" s="59"/>
      <c r="Q382" s="61"/>
    </row>
    <row r="383">
      <c r="B383" s="59"/>
      <c r="D383" s="59"/>
      <c r="F383" s="59"/>
      <c r="H383" s="59"/>
      <c r="J383" s="59"/>
      <c r="L383" s="59"/>
      <c r="N383" s="59"/>
      <c r="P383" s="59"/>
      <c r="Q383" s="61"/>
    </row>
    <row r="384">
      <c r="B384" s="59"/>
      <c r="D384" s="59"/>
      <c r="F384" s="59"/>
      <c r="H384" s="59"/>
      <c r="J384" s="59"/>
      <c r="L384" s="59"/>
      <c r="N384" s="59"/>
      <c r="P384" s="59"/>
      <c r="Q384" s="61"/>
    </row>
    <row r="385">
      <c r="B385" s="59"/>
      <c r="D385" s="59"/>
      <c r="F385" s="59"/>
      <c r="H385" s="59"/>
      <c r="J385" s="59"/>
      <c r="L385" s="59"/>
      <c r="N385" s="59"/>
      <c r="P385" s="59"/>
      <c r="Q385" s="61"/>
    </row>
    <row r="386">
      <c r="B386" s="59"/>
      <c r="D386" s="59"/>
      <c r="F386" s="59"/>
      <c r="H386" s="59"/>
      <c r="J386" s="59"/>
      <c r="L386" s="59"/>
      <c r="N386" s="59"/>
      <c r="P386" s="59"/>
      <c r="Q386" s="61"/>
    </row>
    <row r="387">
      <c r="B387" s="59"/>
      <c r="D387" s="59"/>
      <c r="F387" s="59"/>
      <c r="H387" s="59"/>
      <c r="J387" s="59"/>
      <c r="L387" s="59"/>
      <c r="N387" s="59"/>
      <c r="P387" s="59"/>
      <c r="Q387" s="61"/>
    </row>
    <row r="388">
      <c r="B388" s="59"/>
      <c r="D388" s="59"/>
      <c r="F388" s="59"/>
      <c r="H388" s="59"/>
      <c r="J388" s="59"/>
      <c r="L388" s="59"/>
      <c r="N388" s="59"/>
      <c r="P388" s="59"/>
      <c r="Q388" s="61"/>
    </row>
    <row r="389">
      <c r="B389" s="59"/>
      <c r="D389" s="59"/>
      <c r="F389" s="59"/>
      <c r="H389" s="59"/>
      <c r="J389" s="59"/>
      <c r="L389" s="59"/>
      <c r="N389" s="59"/>
      <c r="P389" s="59"/>
      <c r="Q389" s="61"/>
    </row>
    <row r="390">
      <c r="B390" s="59"/>
      <c r="D390" s="59"/>
      <c r="F390" s="59"/>
      <c r="H390" s="59"/>
      <c r="J390" s="59"/>
      <c r="L390" s="59"/>
      <c r="N390" s="59"/>
      <c r="P390" s="59"/>
      <c r="Q390" s="61"/>
    </row>
    <row r="391">
      <c r="B391" s="59"/>
      <c r="D391" s="59"/>
      <c r="F391" s="59"/>
      <c r="H391" s="59"/>
      <c r="J391" s="59"/>
      <c r="L391" s="59"/>
      <c r="N391" s="59"/>
      <c r="P391" s="59"/>
      <c r="Q391" s="61"/>
    </row>
    <row r="392">
      <c r="B392" s="59"/>
      <c r="D392" s="59"/>
      <c r="F392" s="59"/>
      <c r="H392" s="59"/>
      <c r="J392" s="59"/>
      <c r="L392" s="59"/>
      <c r="N392" s="59"/>
      <c r="P392" s="59"/>
      <c r="Q392" s="61"/>
    </row>
    <row r="393">
      <c r="B393" s="59"/>
      <c r="D393" s="59"/>
      <c r="F393" s="59"/>
      <c r="H393" s="59"/>
      <c r="J393" s="59"/>
      <c r="L393" s="59"/>
      <c r="N393" s="59"/>
      <c r="P393" s="59"/>
      <c r="Q393" s="61"/>
    </row>
    <row r="394">
      <c r="B394" s="59"/>
      <c r="D394" s="59"/>
      <c r="F394" s="59"/>
      <c r="H394" s="59"/>
      <c r="J394" s="59"/>
      <c r="L394" s="59"/>
      <c r="N394" s="59"/>
      <c r="P394" s="59"/>
      <c r="Q394" s="61"/>
    </row>
    <row r="395">
      <c r="B395" s="59"/>
      <c r="D395" s="59"/>
      <c r="F395" s="59"/>
      <c r="H395" s="59"/>
      <c r="J395" s="59"/>
      <c r="L395" s="59"/>
      <c r="N395" s="59"/>
      <c r="P395" s="59"/>
      <c r="Q395" s="61"/>
    </row>
    <row r="396">
      <c r="B396" s="59"/>
      <c r="D396" s="59"/>
      <c r="F396" s="59"/>
      <c r="H396" s="59"/>
      <c r="J396" s="59"/>
      <c r="L396" s="59"/>
      <c r="N396" s="59"/>
      <c r="P396" s="59"/>
      <c r="Q396" s="61"/>
    </row>
    <row r="397">
      <c r="B397" s="59"/>
      <c r="D397" s="59"/>
      <c r="F397" s="59"/>
      <c r="H397" s="59"/>
      <c r="J397" s="59"/>
      <c r="L397" s="59"/>
      <c r="N397" s="59"/>
      <c r="P397" s="59"/>
      <c r="Q397" s="61"/>
    </row>
    <row r="398">
      <c r="B398" s="59"/>
      <c r="D398" s="59"/>
      <c r="F398" s="59"/>
      <c r="H398" s="59"/>
      <c r="J398" s="59"/>
      <c r="L398" s="59"/>
      <c r="N398" s="59"/>
      <c r="P398" s="59"/>
      <c r="Q398" s="61"/>
    </row>
    <row r="399">
      <c r="B399" s="59"/>
      <c r="D399" s="59"/>
      <c r="F399" s="59"/>
      <c r="H399" s="59"/>
      <c r="J399" s="59"/>
      <c r="L399" s="59"/>
      <c r="N399" s="59"/>
      <c r="P399" s="59"/>
      <c r="Q399" s="61"/>
    </row>
    <row r="400">
      <c r="B400" s="59"/>
      <c r="D400" s="59"/>
      <c r="F400" s="59"/>
      <c r="H400" s="59"/>
      <c r="J400" s="59"/>
      <c r="L400" s="59"/>
      <c r="N400" s="59"/>
      <c r="P400" s="59"/>
      <c r="Q400" s="61"/>
    </row>
    <row r="401">
      <c r="B401" s="59"/>
      <c r="D401" s="59"/>
      <c r="F401" s="59"/>
      <c r="H401" s="59"/>
      <c r="J401" s="59"/>
      <c r="L401" s="59"/>
      <c r="N401" s="59"/>
      <c r="P401" s="59"/>
      <c r="Q401" s="61"/>
    </row>
    <row r="402">
      <c r="B402" s="59"/>
      <c r="D402" s="59"/>
      <c r="F402" s="59"/>
      <c r="H402" s="59"/>
      <c r="J402" s="59"/>
      <c r="L402" s="59"/>
      <c r="N402" s="59"/>
      <c r="P402" s="59"/>
      <c r="Q402" s="61"/>
    </row>
    <row r="403">
      <c r="B403" s="59"/>
      <c r="D403" s="59"/>
      <c r="F403" s="59"/>
      <c r="H403" s="59"/>
      <c r="J403" s="59"/>
      <c r="L403" s="59"/>
      <c r="N403" s="59"/>
      <c r="P403" s="59"/>
      <c r="Q403" s="61"/>
    </row>
    <row r="404">
      <c r="B404" s="59"/>
      <c r="D404" s="59"/>
      <c r="F404" s="59"/>
      <c r="H404" s="59"/>
      <c r="J404" s="59"/>
      <c r="L404" s="59"/>
      <c r="N404" s="59"/>
      <c r="P404" s="59"/>
      <c r="Q404" s="61"/>
    </row>
    <row r="405">
      <c r="B405" s="59"/>
      <c r="D405" s="59"/>
      <c r="F405" s="59"/>
      <c r="H405" s="59"/>
      <c r="J405" s="59"/>
      <c r="L405" s="59"/>
      <c r="N405" s="59"/>
      <c r="P405" s="59"/>
      <c r="Q405" s="61"/>
    </row>
    <row r="406">
      <c r="B406" s="59"/>
      <c r="D406" s="59"/>
      <c r="F406" s="59"/>
      <c r="H406" s="59"/>
      <c r="J406" s="59"/>
      <c r="L406" s="59"/>
      <c r="N406" s="59"/>
      <c r="P406" s="59"/>
      <c r="Q406" s="61"/>
    </row>
    <row r="407">
      <c r="B407" s="59"/>
      <c r="D407" s="59"/>
      <c r="F407" s="59"/>
      <c r="H407" s="59"/>
      <c r="J407" s="59"/>
      <c r="L407" s="59"/>
      <c r="N407" s="59"/>
      <c r="P407" s="59"/>
      <c r="Q407" s="61"/>
    </row>
    <row r="408">
      <c r="B408" s="59"/>
      <c r="D408" s="59"/>
      <c r="F408" s="59"/>
      <c r="H408" s="59"/>
      <c r="J408" s="59"/>
      <c r="L408" s="59"/>
      <c r="N408" s="59"/>
      <c r="P408" s="59"/>
      <c r="Q408" s="61"/>
    </row>
    <row r="409">
      <c r="B409" s="59"/>
      <c r="D409" s="59"/>
      <c r="F409" s="59"/>
      <c r="H409" s="59"/>
      <c r="J409" s="59"/>
      <c r="L409" s="59"/>
      <c r="N409" s="59"/>
      <c r="P409" s="59"/>
      <c r="Q409" s="61"/>
    </row>
    <row r="410">
      <c r="B410" s="59"/>
      <c r="D410" s="59"/>
      <c r="F410" s="59"/>
      <c r="H410" s="59"/>
      <c r="J410" s="59"/>
      <c r="L410" s="59"/>
      <c r="N410" s="59"/>
      <c r="P410" s="59"/>
      <c r="Q410" s="61"/>
    </row>
    <row r="411">
      <c r="B411" s="59"/>
      <c r="D411" s="59"/>
      <c r="F411" s="59"/>
      <c r="H411" s="59"/>
      <c r="J411" s="59"/>
      <c r="L411" s="59"/>
      <c r="N411" s="59"/>
      <c r="P411" s="59"/>
      <c r="Q411" s="61"/>
    </row>
    <row r="412">
      <c r="B412" s="59"/>
      <c r="D412" s="59"/>
      <c r="F412" s="59"/>
      <c r="H412" s="59"/>
      <c r="J412" s="59"/>
      <c r="L412" s="59"/>
      <c r="N412" s="59"/>
      <c r="P412" s="59"/>
      <c r="Q412" s="61"/>
    </row>
    <row r="413">
      <c r="B413" s="59"/>
      <c r="D413" s="59"/>
      <c r="F413" s="59"/>
      <c r="H413" s="59"/>
      <c r="J413" s="59"/>
      <c r="L413" s="59"/>
      <c r="N413" s="59"/>
      <c r="P413" s="59"/>
      <c r="Q413" s="61"/>
    </row>
    <row r="414">
      <c r="B414" s="59"/>
      <c r="D414" s="59"/>
      <c r="F414" s="59"/>
      <c r="H414" s="59"/>
      <c r="J414" s="59"/>
      <c r="L414" s="59"/>
      <c r="N414" s="59"/>
      <c r="P414" s="59"/>
      <c r="Q414" s="61"/>
    </row>
    <row r="415">
      <c r="B415" s="59"/>
      <c r="D415" s="59"/>
      <c r="F415" s="59"/>
      <c r="H415" s="59"/>
      <c r="J415" s="59"/>
      <c r="L415" s="59"/>
      <c r="N415" s="59"/>
      <c r="P415" s="59"/>
      <c r="Q415" s="61"/>
    </row>
    <row r="416">
      <c r="B416" s="59"/>
      <c r="D416" s="59"/>
      <c r="F416" s="59"/>
      <c r="H416" s="59"/>
      <c r="J416" s="59"/>
      <c r="L416" s="59"/>
      <c r="N416" s="59"/>
      <c r="P416" s="59"/>
      <c r="Q416" s="61"/>
    </row>
    <row r="417">
      <c r="B417" s="59"/>
      <c r="D417" s="59"/>
      <c r="F417" s="59"/>
      <c r="H417" s="59"/>
      <c r="J417" s="59"/>
      <c r="L417" s="59"/>
      <c r="N417" s="59"/>
      <c r="P417" s="59"/>
      <c r="Q417" s="61"/>
    </row>
    <row r="418">
      <c r="B418" s="59"/>
      <c r="D418" s="59"/>
      <c r="F418" s="59"/>
      <c r="H418" s="59"/>
      <c r="J418" s="59"/>
      <c r="L418" s="59"/>
      <c r="N418" s="59"/>
      <c r="P418" s="59"/>
      <c r="Q418" s="61"/>
    </row>
    <row r="419">
      <c r="B419" s="59"/>
      <c r="D419" s="59"/>
      <c r="F419" s="59"/>
      <c r="H419" s="59"/>
      <c r="J419" s="59"/>
      <c r="L419" s="59"/>
      <c r="N419" s="59"/>
      <c r="P419" s="59"/>
      <c r="Q419" s="61"/>
    </row>
    <row r="420">
      <c r="B420" s="59"/>
      <c r="D420" s="59"/>
      <c r="F420" s="59"/>
      <c r="H420" s="59"/>
      <c r="J420" s="59"/>
      <c r="L420" s="59"/>
      <c r="N420" s="59"/>
      <c r="P420" s="59"/>
      <c r="Q420" s="61"/>
    </row>
    <row r="421">
      <c r="B421" s="59"/>
      <c r="D421" s="59"/>
      <c r="F421" s="59"/>
      <c r="H421" s="59"/>
      <c r="J421" s="59"/>
      <c r="L421" s="59"/>
      <c r="N421" s="59"/>
      <c r="P421" s="59"/>
      <c r="Q421" s="61"/>
    </row>
    <row r="422">
      <c r="B422" s="59"/>
      <c r="D422" s="59"/>
      <c r="F422" s="59"/>
      <c r="H422" s="59"/>
      <c r="J422" s="59"/>
      <c r="L422" s="59"/>
      <c r="N422" s="59"/>
      <c r="P422" s="59"/>
      <c r="Q422" s="61"/>
    </row>
    <row r="423">
      <c r="B423" s="59"/>
      <c r="D423" s="59"/>
      <c r="F423" s="59"/>
      <c r="H423" s="59"/>
      <c r="J423" s="59"/>
      <c r="L423" s="59"/>
      <c r="N423" s="59"/>
      <c r="P423" s="59"/>
      <c r="Q423" s="61"/>
    </row>
    <row r="424">
      <c r="B424" s="59"/>
      <c r="D424" s="59"/>
      <c r="F424" s="59"/>
      <c r="H424" s="59"/>
      <c r="J424" s="59"/>
      <c r="L424" s="59"/>
      <c r="N424" s="59"/>
      <c r="P424" s="59"/>
      <c r="Q424" s="61"/>
    </row>
    <row r="425">
      <c r="B425" s="59"/>
      <c r="D425" s="59"/>
      <c r="F425" s="59"/>
      <c r="H425" s="59"/>
      <c r="J425" s="59"/>
      <c r="L425" s="59"/>
      <c r="N425" s="59"/>
      <c r="P425" s="59"/>
      <c r="Q425" s="61"/>
    </row>
    <row r="426">
      <c r="B426" s="59"/>
      <c r="D426" s="59"/>
      <c r="F426" s="59"/>
      <c r="H426" s="59"/>
      <c r="J426" s="59"/>
      <c r="L426" s="59"/>
      <c r="N426" s="59"/>
      <c r="P426" s="59"/>
      <c r="Q426" s="61"/>
    </row>
    <row r="427">
      <c r="B427" s="59"/>
      <c r="D427" s="59"/>
      <c r="F427" s="59"/>
      <c r="H427" s="59"/>
      <c r="J427" s="59"/>
      <c r="L427" s="59"/>
      <c r="N427" s="59"/>
      <c r="P427" s="59"/>
      <c r="Q427" s="61"/>
    </row>
    <row r="428">
      <c r="B428" s="59"/>
      <c r="D428" s="59"/>
      <c r="F428" s="59"/>
      <c r="H428" s="59"/>
      <c r="J428" s="59"/>
      <c r="L428" s="59"/>
      <c r="N428" s="59"/>
      <c r="P428" s="59"/>
      <c r="Q428" s="61"/>
    </row>
    <row r="429">
      <c r="B429" s="59"/>
      <c r="D429" s="59"/>
      <c r="F429" s="59"/>
      <c r="H429" s="59"/>
      <c r="J429" s="59"/>
      <c r="L429" s="59"/>
      <c r="N429" s="59"/>
      <c r="P429" s="59"/>
      <c r="Q429" s="61"/>
    </row>
    <row r="430">
      <c r="B430" s="59"/>
      <c r="D430" s="59"/>
      <c r="F430" s="59"/>
      <c r="H430" s="59"/>
      <c r="J430" s="59"/>
      <c r="L430" s="59"/>
      <c r="N430" s="59"/>
      <c r="P430" s="59"/>
      <c r="Q430" s="61"/>
    </row>
    <row r="431">
      <c r="B431" s="59"/>
      <c r="D431" s="59"/>
      <c r="F431" s="59"/>
      <c r="H431" s="59"/>
      <c r="J431" s="59"/>
      <c r="L431" s="59"/>
      <c r="N431" s="59"/>
      <c r="P431" s="59"/>
      <c r="Q431" s="61"/>
    </row>
    <row r="432">
      <c r="B432" s="59"/>
      <c r="D432" s="59"/>
      <c r="F432" s="59"/>
      <c r="H432" s="59"/>
      <c r="J432" s="59"/>
      <c r="L432" s="59"/>
      <c r="N432" s="59"/>
      <c r="P432" s="59"/>
      <c r="Q432" s="61"/>
    </row>
    <row r="433">
      <c r="B433" s="59"/>
      <c r="D433" s="59"/>
      <c r="F433" s="59"/>
      <c r="H433" s="59"/>
      <c r="J433" s="59"/>
      <c r="L433" s="59"/>
      <c r="N433" s="59"/>
      <c r="P433" s="59"/>
      <c r="Q433" s="61"/>
    </row>
    <row r="434">
      <c r="B434" s="59"/>
      <c r="D434" s="59"/>
      <c r="F434" s="59"/>
      <c r="H434" s="59"/>
      <c r="J434" s="59"/>
      <c r="L434" s="59"/>
      <c r="N434" s="59"/>
      <c r="P434" s="59"/>
      <c r="Q434" s="61"/>
    </row>
    <row r="435">
      <c r="B435" s="59"/>
      <c r="D435" s="59"/>
      <c r="F435" s="59"/>
      <c r="H435" s="59"/>
      <c r="J435" s="59"/>
      <c r="L435" s="59"/>
      <c r="N435" s="59"/>
      <c r="P435" s="59"/>
      <c r="Q435" s="61"/>
    </row>
    <row r="436">
      <c r="B436" s="59"/>
      <c r="D436" s="59"/>
      <c r="F436" s="59"/>
      <c r="H436" s="59"/>
      <c r="J436" s="59"/>
      <c r="L436" s="59"/>
      <c r="N436" s="59"/>
      <c r="P436" s="59"/>
      <c r="Q436" s="61"/>
    </row>
    <row r="437">
      <c r="B437" s="59"/>
      <c r="D437" s="59"/>
      <c r="F437" s="59"/>
      <c r="H437" s="59"/>
      <c r="J437" s="59"/>
      <c r="L437" s="59"/>
      <c r="N437" s="59"/>
      <c r="P437" s="59"/>
      <c r="Q437" s="61"/>
    </row>
    <row r="438">
      <c r="B438" s="59"/>
      <c r="D438" s="59"/>
      <c r="F438" s="59"/>
      <c r="H438" s="59"/>
      <c r="J438" s="59"/>
      <c r="L438" s="59"/>
      <c r="N438" s="59"/>
      <c r="P438" s="59"/>
      <c r="Q438" s="61"/>
    </row>
    <row r="439">
      <c r="B439" s="59"/>
      <c r="D439" s="59"/>
      <c r="F439" s="59"/>
      <c r="H439" s="59"/>
      <c r="J439" s="59"/>
      <c r="L439" s="59"/>
      <c r="N439" s="59"/>
      <c r="P439" s="59"/>
      <c r="Q439" s="61"/>
    </row>
    <row r="440">
      <c r="B440" s="59"/>
      <c r="D440" s="59"/>
      <c r="F440" s="59"/>
      <c r="H440" s="59"/>
      <c r="J440" s="59"/>
      <c r="L440" s="59"/>
      <c r="N440" s="59"/>
      <c r="P440" s="59"/>
      <c r="Q440" s="61"/>
    </row>
    <row r="441">
      <c r="B441" s="59"/>
      <c r="D441" s="59"/>
      <c r="F441" s="59"/>
      <c r="H441" s="59"/>
      <c r="J441" s="59"/>
      <c r="L441" s="59"/>
      <c r="N441" s="59"/>
      <c r="P441" s="59"/>
      <c r="Q441" s="61"/>
    </row>
    <row r="442">
      <c r="B442" s="59"/>
      <c r="D442" s="59"/>
      <c r="F442" s="59"/>
      <c r="H442" s="59"/>
      <c r="J442" s="59"/>
      <c r="L442" s="59"/>
      <c r="N442" s="59"/>
      <c r="P442" s="59"/>
      <c r="Q442" s="61"/>
    </row>
    <row r="443">
      <c r="B443" s="59"/>
      <c r="D443" s="59"/>
      <c r="F443" s="59"/>
      <c r="H443" s="59"/>
      <c r="J443" s="59"/>
      <c r="L443" s="59"/>
      <c r="N443" s="59"/>
      <c r="P443" s="59"/>
      <c r="Q443" s="61"/>
    </row>
    <row r="444">
      <c r="B444" s="59"/>
      <c r="D444" s="59"/>
      <c r="F444" s="59"/>
      <c r="H444" s="59"/>
      <c r="J444" s="59"/>
      <c r="L444" s="59"/>
      <c r="N444" s="59"/>
      <c r="P444" s="59"/>
      <c r="Q444" s="61"/>
    </row>
    <row r="445">
      <c r="B445" s="59"/>
      <c r="D445" s="59"/>
      <c r="F445" s="59"/>
      <c r="H445" s="59"/>
      <c r="J445" s="59"/>
      <c r="L445" s="59"/>
      <c r="N445" s="59"/>
      <c r="P445" s="59"/>
      <c r="Q445" s="61"/>
    </row>
    <row r="446">
      <c r="B446" s="59"/>
      <c r="D446" s="59"/>
      <c r="F446" s="59"/>
      <c r="H446" s="59"/>
      <c r="J446" s="59"/>
      <c r="L446" s="59"/>
      <c r="N446" s="59"/>
      <c r="P446" s="59"/>
      <c r="Q446" s="61"/>
    </row>
    <row r="447">
      <c r="B447" s="59"/>
      <c r="D447" s="59"/>
      <c r="F447" s="59"/>
      <c r="H447" s="59"/>
      <c r="J447" s="59"/>
      <c r="L447" s="59"/>
      <c r="N447" s="59"/>
      <c r="P447" s="59"/>
      <c r="Q447" s="61"/>
    </row>
    <row r="448">
      <c r="B448" s="59"/>
      <c r="D448" s="59"/>
      <c r="F448" s="59"/>
      <c r="H448" s="59"/>
      <c r="J448" s="59"/>
      <c r="L448" s="59"/>
      <c r="N448" s="59"/>
      <c r="P448" s="59"/>
      <c r="Q448" s="61"/>
    </row>
    <row r="449">
      <c r="B449" s="59"/>
      <c r="D449" s="59"/>
      <c r="F449" s="59"/>
      <c r="H449" s="59"/>
      <c r="J449" s="59"/>
      <c r="L449" s="59"/>
      <c r="N449" s="59"/>
      <c r="P449" s="59"/>
      <c r="Q449" s="61"/>
    </row>
    <row r="450">
      <c r="B450" s="59"/>
      <c r="D450" s="59"/>
      <c r="F450" s="59"/>
      <c r="H450" s="59"/>
      <c r="J450" s="59"/>
      <c r="L450" s="59"/>
      <c r="N450" s="59"/>
      <c r="P450" s="59"/>
      <c r="Q450" s="61"/>
    </row>
    <row r="451">
      <c r="B451" s="59"/>
      <c r="D451" s="59"/>
      <c r="F451" s="59"/>
      <c r="H451" s="59"/>
      <c r="J451" s="59"/>
      <c r="L451" s="59"/>
      <c r="N451" s="59"/>
      <c r="P451" s="59"/>
      <c r="Q451" s="61"/>
    </row>
    <row r="452">
      <c r="B452" s="59"/>
      <c r="D452" s="59"/>
      <c r="F452" s="59"/>
      <c r="H452" s="59"/>
      <c r="J452" s="59"/>
      <c r="L452" s="59"/>
      <c r="N452" s="59"/>
      <c r="P452" s="59"/>
      <c r="Q452" s="61"/>
    </row>
    <row r="453">
      <c r="B453" s="59"/>
      <c r="D453" s="59"/>
      <c r="F453" s="59"/>
      <c r="H453" s="59"/>
      <c r="J453" s="59"/>
      <c r="L453" s="59"/>
      <c r="N453" s="59"/>
      <c r="P453" s="59"/>
      <c r="Q453" s="61"/>
    </row>
    <row r="454">
      <c r="B454" s="59"/>
      <c r="D454" s="59"/>
      <c r="F454" s="59"/>
      <c r="H454" s="59"/>
      <c r="J454" s="59"/>
      <c r="L454" s="59"/>
      <c r="N454" s="59"/>
      <c r="P454" s="59"/>
      <c r="Q454" s="61"/>
    </row>
    <row r="455">
      <c r="B455" s="59"/>
      <c r="D455" s="59"/>
      <c r="F455" s="59"/>
      <c r="H455" s="59"/>
      <c r="J455" s="59"/>
      <c r="L455" s="59"/>
      <c r="N455" s="59"/>
      <c r="P455" s="59"/>
      <c r="Q455" s="61"/>
    </row>
    <row r="456">
      <c r="B456" s="59"/>
      <c r="D456" s="59"/>
      <c r="F456" s="59"/>
      <c r="H456" s="59"/>
      <c r="J456" s="59"/>
      <c r="L456" s="59"/>
      <c r="N456" s="59"/>
      <c r="P456" s="59"/>
      <c r="Q456" s="61"/>
    </row>
    <row r="457">
      <c r="B457" s="59"/>
      <c r="D457" s="59"/>
      <c r="F457" s="59"/>
      <c r="H457" s="59"/>
      <c r="J457" s="59"/>
      <c r="L457" s="59"/>
      <c r="N457" s="59"/>
      <c r="P457" s="59"/>
      <c r="Q457" s="61"/>
    </row>
    <row r="458">
      <c r="B458" s="59"/>
      <c r="D458" s="59"/>
      <c r="F458" s="59"/>
      <c r="H458" s="59"/>
      <c r="J458" s="59"/>
      <c r="L458" s="59"/>
      <c r="N458" s="59"/>
      <c r="P458" s="59"/>
      <c r="Q458" s="61"/>
    </row>
    <row r="459">
      <c r="B459" s="59"/>
      <c r="D459" s="59"/>
      <c r="F459" s="59"/>
      <c r="H459" s="59"/>
      <c r="J459" s="59"/>
      <c r="L459" s="59"/>
      <c r="N459" s="59"/>
      <c r="P459" s="59"/>
      <c r="Q459" s="61"/>
    </row>
    <row r="460">
      <c r="B460" s="59"/>
      <c r="D460" s="59"/>
      <c r="F460" s="59"/>
      <c r="H460" s="59"/>
      <c r="J460" s="59"/>
      <c r="L460" s="59"/>
      <c r="N460" s="59"/>
      <c r="P460" s="59"/>
      <c r="Q460" s="61"/>
    </row>
    <row r="461">
      <c r="B461" s="59"/>
      <c r="D461" s="59"/>
      <c r="F461" s="59"/>
      <c r="H461" s="59"/>
      <c r="J461" s="59"/>
      <c r="L461" s="59"/>
      <c r="N461" s="59"/>
      <c r="P461" s="59"/>
      <c r="Q461" s="61"/>
    </row>
    <row r="462">
      <c r="B462" s="59"/>
      <c r="D462" s="59"/>
      <c r="F462" s="59"/>
      <c r="H462" s="59"/>
      <c r="J462" s="59"/>
      <c r="L462" s="59"/>
      <c r="N462" s="59"/>
      <c r="P462" s="59"/>
      <c r="Q462" s="61"/>
    </row>
    <row r="463">
      <c r="B463" s="59"/>
      <c r="D463" s="59"/>
      <c r="F463" s="59"/>
      <c r="H463" s="59"/>
      <c r="J463" s="59"/>
      <c r="L463" s="59"/>
      <c r="N463" s="59"/>
      <c r="P463" s="59"/>
      <c r="Q463" s="61"/>
    </row>
    <row r="464">
      <c r="B464" s="59"/>
      <c r="D464" s="59"/>
      <c r="F464" s="59"/>
      <c r="H464" s="59"/>
      <c r="J464" s="59"/>
      <c r="L464" s="59"/>
      <c r="N464" s="59"/>
      <c r="P464" s="59"/>
      <c r="Q464" s="61"/>
    </row>
    <row r="465">
      <c r="B465" s="59"/>
      <c r="D465" s="59"/>
      <c r="F465" s="59"/>
      <c r="H465" s="59"/>
      <c r="J465" s="59"/>
      <c r="L465" s="59"/>
      <c r="N465" s="59"/>
      <c r="P465" s="59"/>
      <c r="Q465" s="61"/>
    </row>
    <row r="466">
      <c r="B466" s="59"/>
      <c r="D466" s="59"/>
      <c r="F466" s="59"/>
      <c r="H466" s="59"/>
      <c r="J466" s="59"/>
      <c r="L466" s="59"/>
      <c r="N466" s="59"/>
      <c r="P466" s="59"/>
      <c r="Q466" s="61"/>
    </row>
    <row r="467">
      <c r="B467" s="59"/>
      <c r="D467" s="59"/>
      <c r="F467" s="59"/>
      <c r="H467" s="59"/>
      <c r="J467" s="59"/>
      <c r="L467" s="59"/>
      <c r="N467" s="59"/>
      <c r="P467" s="59"/>
      <c r="Q467" s="61"/>
    </row>
    <row r="468">
      <c r="B468" s="59"/>
      <c r="D468" s="59"/>
      <c r="F468" s="59"/>
      <c r="H468" s="59"/>
      <c r="J468" s="59"/>
      <c r="L468" s="59"/>
      <c r="N468" s="59"/>
      <c r="P468" s="59"/>
      <c r="Q468" s="61"/>
    </row>
    <row r="469">
      <c r="B469" s="59"/>
      <c r="D469" s="59"/>
      <c r="F469" s="59"/>
      <c r="H469" s="59"/>
      <c r="J469" s="59"/>
      <c r="L469" s="59"/>
      <c r="N469" s="59"/>
      <c r="P469" s="59"/>
      <c r="Q469" s="61"/>
    </row>
    <row r="470">
      <c r="B470" s="59"/>
      <c r="D470" s="59"/>
      <c r="F470" s="59"/>
      <c r="H470" s="59"/>
      <c r="J470" s="59"/>
      <c r="L470" s="59"/>
      <c r="N470" s="59"/>
      <c r="P470" s="59"/>
      <c r="Q470" s="61"/>
    </row>
    <row r="471">
      <c r="B471" s="59"/>
      <c r="D471" s="59"/>
      <c r="F471" s="59"/>
      <c r="H471" s="59"/>
      <c r="J471" s="59"/>
      <c r="L471" s="59"/>
      <c r="N471" s="59"/>
      <c r="P471" s="59"/>
      <c r="Q471" s="61"/>
    </row>
    <row r="472">
      <c r="B472" s="59"/>
      <c r="D472" s="59"/>
      <c r="F472" s="59"/>
      <c r="H472" s="59"/>
      <c r="J472" s="59"/>
      <c r="L472" s="59"/>
      <c r="N472" s="59"/>
      <c r="P472" s="59"/>
      <c r="Q472" s="61"/>
    </row>
    <row r="473">
      <c r="B473" s="59"/>
      <c r="D473" s="59"/>
      <c r="F473" s="59"/>
      <c r="H473" s="59"/>
      <c r="J473" s="59"/>
      <c r="L473" s="59"/>
      <c r="N473" s="59"/>
      <c r="P473" s="59"/>
      <c r="Q473" s="61"/>
    </row>
    <row r="474">
      <c r="B474" s="59"/>
      <c r="D474" s="59"/>
      <c r="F474" s="59"/>
      <c r="H474" s="59"/>
      <c r="J474" s="59"/>
      <c r="L474" s="59"/>
      <c r="N474" s="59"/>
      <c r="P474" s="59"/>
      <c r="Q474" s="61"/>
    </row>
    <row r="475">
      <c r="B475" s="59"/>
      <c r="D475" s="59"/>
      <c r="F475" s="59"/>
      <c r="H475" s="59"/>
      <c r="J475" s="59"/>
      <c r="L475" s="59"/>
      <c r="N475" s="59"/>
      <c r="P475" s="59"/>
      <c r="Q475" s="61"/>
    </row>
    <row r="476">
      <c r="B476" s="59"/>
      <c r="D476" s="59"/>
      <c r="F476" s="59"/>
      <c r="H476" s="59"/>
      <c r="J476" s="59"/>
      <c r="L476" s="59"/>
      <c r="N476" s="59"/>
      <c r="P476" s="59"/>
      <c r="Q476" s="61"/>
    </row>
    <row r="477">
      <c r="B477" s="59"/>
      <c r="D477" s="59"/>
      <c r="F477" s="59"/>
      <c r="H477" s="59"/>
      <c r="J477" s="59"/>
      <c r="L477" s="59"/>
      <c r="N477" s="59"/>
      <c r="P477" s="59"/>
      <c r="Q477" s="61"/>
    </row>
    <row r="478">
      <c r="B478" s="59"/>
      <c r="D478" s="59"/>
      <c r="F478" s="59"/>
      <c r="H478" s="59"/>
      <c r="J478" s="59"/>
      <c r="L478" s="59"/>
      <c r="N478" s="59"/>
      <c r="P478" s="59"/>
      <c r="Q478" s="61"/>
    </row>
    <row r="479">
      <c r="B479" s="59"/>
      <c r="D479" s="59"/>
      <c r="F479" s="59"/>
      <c r="H479" s="59"/>
      <c r="J479" s="59"/>
      <c r="L479" s="59"/>
      <c r="N479" s="59"/>
      <c r="P479" s="59"/>
      <c r="Q479" s="61"/>
    </row>
    <row r="480">
      <c r="B480" s="59"/>
      <c r="D480" s="59"/>
      <c r="F480" s="59"/>
      <c r="H480" s="59"/>
      <c r="J480" s="59"/>
      <c r="L480" s="59"/>
      <c r="N480" s="59"/>
      <c r="P480" s="59"/>
      <c r="Q480" s="61"/>
    </row>
    <row r="481">
      <c r="B481" s="59"/>
      <c r="D481" s="59"/>
      <c r="F481" s="59"/>
      <c r="H481" s="59"/>
      <c r="J481" s="59"/>
      <c r="L481" s="59"/>
      <c r="N481" s="59"/>
      <c r="P481" s="59"/>
      <c r="Q481" s="61"/>
    </row>
    <row r="482">
      <c r="B482" s="59"/>
      <c r="D482" s="59"/>
      <c r="F482" s="59"/>
      <c r="H482" s="59"/>
      <c r="J482" s="59"/>
      <c r="L482" s="59"/>
      <c r="N482" s="59"/>
      <c r="P482" s="59"/>
      <c r="Q482" s="61"/>
    </row>
    <row r="483">
      <c r="B483" s="59"/>
      <c r="D483" s="59"/>
      <c r="F483" s="59"/>
      <c r="H483" s="59"/>
      <c r="J483" s="59"/>
      <c r="L483" s="59"/>
      <c r="N483" s="59"/>
      <c r="P483" s="59"/>
      <c r="Q483" s="61"/>
    </row>
    <row r="484">
      <c r="B484" s="59"/>
      <c r="D484" s="59"/>
      <c r="F484" s="59"/>
      <c r="H484" s="59"/>
      <c r="J484" s="59"/>
      <c r="L484" s="59"/>
      <c r="N484" s="59"/>
      <c r="P484" s="59"/>
      <c r="Q484" s="61"/>
    </row>
    <row r="485">
      <c r="B485" s="59"/>
      <c r="D485" s="59"/>
      <c r="F485" s="59"/>
      <c r="H485" s="59"/>
      <c r="J485" s="59"/>
      <c r="L485" s="59"/>
      <c r="N485" s="59"/>
      <c r="P485" s="59"/>
      <c r="Q485" s="61"/>
    </row>
    <row r="486">
      <c r="B486" s="59"/>
      <c r="D486" s="59"/>
      <c r="F486" s="59"/>
      <c r="H486" s="59"/>
      <c r="J486" s="59"/>
      <c r="L486" s="59"/>
      <c r="N486" s="59"/>
      <c r="P486" s="59"/>
      <c r="Q486" s="61"/>
    </row>
    <row r="487">
      <c r="B487" s="59"/>
      <c r="D487" s="59"/>
      <c r="F487" s="59"/>
      <c r="H487" s="59"/>
      <c r="J487" s="59"/>
      <c r="L487" s="59"/>
      <c r="N487" s="59"/>
      <c r="P487" s="59"/>
      <c r="Q487" s="61"/>
    </row>
    <row r="488">
      <c r="B488" s="59"/>
      <c r="D488" s="59"/>
      <c r="F488" s="59"/>
      <c r="H488" s="59"/>
      <c r="J488" s="59"/>
      <c r="L488" s="59"/>
      <c r="N488" s="59"/>
      <c r="P488" s="59"/>
      <c r="Q488" s="61"/>
    </row>
    <row r="489">
      <c r="B489" s="59"/>
      <c r="D489" s="59"/>
      <c r="F489" s="59"/>
      <c r="H489" s="59"/>
      <c r="J489" s="59"/>
      <c r="L489" s="59"/>
      <c r="N489" s="59"/>
      <c r="P489" s="59"/>
      <c r="Q489" s="61"/>
    </row>
    <row r="490">
      <c r="B490" s="59"/>
      <c r="D490" s="59"/>
      <c r="F490" s="59"/>
      <c r="H490" s="59"/>
      <c r="J490" s="59"/>
      <c r="L490" s="59"/>
      <c r="N490" s="59"/>
      <c r="P490" s="59"/>
      <c r="Q490" s="61"/>
    </row>
    <row r="491">
      <c r="B491" s="59"/>
      <c r="D491" s="59"/>
      <c r="F491" s="59"/>
      <c r="H491" s="59"/>
      <c r="J491" s="59"/>
      <c r="L491" s="59"/>
      <c r="N491" s="59"/>
      <c r="P491" s="59"/>
      <c r="Q491" s="61"/>
    </row>
    <row r="492">
      <c r="B492" s="59"/>
      <c r="D492" s="59"/>
      <c r="F492" s="59"/>
      <c r="H492" s="59"/>
      <c r="J492" s="59"/>
      <c r="L492" s="59"/>
      <c r="N492" s="59"/>
      <c r="P492" s="59"/>
      <c r="Q492" s="61"/>
    </row>
    <row r="493">
      <c r="B493" s="59"/>
      <c r="D493" s="59"/>
      <c r="F493" s="59"/>
      <c r="H493" s="59"/>
      <c r="J493" s="59"/>
      <c r="L493" s="59"/>
      <c r="N493" s="59"/>
      <c r="P493" s="59"/>
      <c r="Q493" s="61"/>
    </row>
    <row r="494">
      <c r="B494" s="59"/>
      <c r="D494" s="59"/>
      <c r="F494" s="59"/>
      <c r="H494" s="59"/>
      <c r="J494" s="59"/>
      <c r="L494" s="59"/>
      <c r="N494" s="59"/>
      <c r="P494" s="59"/>
      <c r="Q494" s="61"/>
    </row>
    <row r="495">
      <c r="B495" s="59"/>
      <c r="D495" s="59"/>
      <c r="F495" s="59"/>
      <c r="H495" s="59"/>
      <c r="J495" s="59"/>
      <c r="L495" s="59"/>
      <c r="N495" s="59"/>
      <c r="P495" s="59"/>
      <c r="Q495" s="61"/>
    </row>
    <row r="496">
      <c r="B496" s="59"/>
      <c r="D496" s="59"/>
      <c r="F496" s="59"/>
      <c r="H496" s="59"/>
      <c r="J496" s="59"/>
      <c r="L496" s="59"/>
      <c r="N496" s="59"/>
      <c r="P496" s="59"/>
      <c r="Q496" s="61"/>
    </row>
    <row r="497">
      <c r="B497" s="59"/>
      <c r="D497" s="59"/>
      <c r="F497" s="59"/>
      <c r="H497" s="59"/>
      <c r="J497" s="59"/>
      <c r="L497" s="59"/>
      <c r="N497" s="59"/>
      <c r="P497" s="59"/>
      <c r="Q497" s="61"/>
    </row>
    <row r="498">
      <c r="B498" s="59"/>
      <c r="D498" s="59"/>
      <c r="F498" s="59"/>
      <c r="H498" s="59"/>
      <c r="J498" s="59"/>
      <c r="L498" s="59"/>
      <c r="N498" s="59"/>
      <c r="P498" s="59"/>
      <c r="Q498" s="61"/>
    </row>
    <row r="499">
      <c r="B499" s="59"/>
      <c r="D499" s="59"/>
      <c r="F499" s="59"/>
      <c r="H499" s="59"/>
      <c r="J499" s="59"/>
      <c r="L499" s="59"/>
      <c r="N499" s="59"/>
      <c r="P499" s="59"/>
      <c r="Q499" s="61"/>
    </row>
    <row r="500">
      <c r="B500" s="59"/>
      <c r="D500" s="59"/>
      <c r="F500" s="59"/>
      <c r="H500" s="59"/>
      <c r="J500" s="59"/>
      <c r="L500" s="59"/>
      <c r="N500" s="59"/>
      <c r="P500" s="59"/>
      <c r="Q500" s="61"/>
    </row>
    <row r="501">
      <c r="B501" s="59"/>
      <c r="D501" s="59"/>
      <c r="F501" s="59"/>
      <c r="H501" s="59"/>
      <c r="J501" s="59"/>
      <c r="L501" s="59"/>
      <c r="N501" s="59"/>
      <c r="P501" s="59"/>
      <c r="Q501" s="61"/>
    </row>
    <row r="502">
      <c r="B502" s="59"/>
      <c r="D502" s="59"/>
      <c r="F502" s="59"/>
      <c r="H502" s="59"/>
      <c r="J502" s="59"/>
      <c r="L502" s="59"/>
      <c r="N502" s="59"/>
      <c r="P502" s="59"/>
      <c r="Q502" s="61"/>
    </row>
    <row r="503">
      <c r="B503" s="59"/>
      <c r="D503" s="59"/>
      <c r="F503" s="59"/>
      <c r="H503" s="59"/>
      <c r="J503" s="59"/>
      <c r="L503" s="59"/>
      <c r="N503" s="59"/>
      <c r="P503" s="59"/>
      <c r="Q503" s="61"/>
    </row>
    <row r="504">
      <c r="B504" s="59"/>
      <c r="D504" s="59"/>
      <c r="F504" s="59"/>
      <c r="H504" s="59"/>
      <c r="J504" s="59"/>
      <c r="L504" s="59"/>
      <c r="N504" s="59"/>
      <c r="P504" s="59"/>
      <c r="Q504" s="61"/>
    </row>
    <row r="505">
      <c r="B505" s="59"/>
      <c r="D505" s="59"/>
      <c r="F505" s="59"/>
      <c r="H505" s="59"/>
      <c r="J505" s="59"/>
      <c r="L505" s="59"/>
      <c r="N505" s="59"/>
      <c r="P505" s="59"/>
      <c r="Q505" s="61"/>
    </row>
    <row r="506">
      <c r="B506" s="59"/>
      <c r="D506" s="59"/>
      <c r="F506" s="59"/>
      <c r="H506" s="59"/>
      <c r="J506" s="59"/>
      <c r="L506" s="59"/>
      <c r="N506" s="59"/>
      <c r="P506" s="59"/>
      <c r="Q506" s="61"/>
    </row>
    <row r="507">
      <c r="B507" s="59"/>
      <c r="D507" s="59"/>
      <c r="F507" s="59"/>
      <c r="H507" s="59"/>
      <c r="J507" s="59"/>
      <c r="L507" s="59"/>
      <c r="N507" s="59"/>
      <c r="P507" s="59"/>
      <c r="Q507" s="61"/>
    </row>
    <row r="508">
      <c r="B508" s="59"/>
      <c r="D508" s="59"/>
      <c r="F508" s="59"/>
      <c r="H508" s="59"/>
      <c r="J508" s="59"/>
      <c r="L508" s="59"/>
      <c r="N508" s="59"/>
      <c r="P508" s="59"/>
      <c r="Q508" s="61"/>
    </row>
    <row r="509">
      <c r="B509" s="59"/>
      <c r="D509" s="59"/>
      <c r="F509" s="59"/>
      <c r="H509" s="59"/>
      <c r="J509" s="59"/>
      <c r="L509" s="59"/>
      <c r="N509" s="59"/>
      <c r="P509" s="59"/>
      <c r="Q509" s="61"/>
    </row>
    <row r="510">
      <c r="B510" s="59"/>
      <c r="D510" s="59"/>
      <c r="F510" s="59"/>
      <c r="H510" s="59"/>
      <c r="J510" s="59"/>
      <c r="L510" s="59"/>
      <c r="N510" s="59"/>
      <c r="P510" s="59"/>
      <c r="Q510" s="61"/>
    </row>
    <row r="511">
      <c r="B511" s="59"/>
      <c r="D511" s="59"/>
      <c r="F511" s="59"/>
      <c r="H511" s="59"/>
      <c r="J511" s="59"/>
      <c r="L511" s="59"/>
      <c r="N511" s="59"/>
      <c r="P511" s="59"/>
      <c r="Q511" s="61"/>
    </row>
    <row r="512">
      <c r="B512" s="59"/>
      <c r="D512" s="59"/>
      <c r="F512" s="59"/>
      <c r="H512" s="59"/>
      <c r="J512" s="59"/>
      <c r="L512" s="59"/>
      <c r="N512" s="59"/>
      <c r="P512" s="59"/>
      <c r="Q512" s="61"/>
    </row>
    <row r="513">
      <c r="B513" s="59"/>
      <c r="D513" s="59"/>
      <c r="F513" s="59"/>
      <c r="H513" s="59"/>
      <c r="J513" s="59"/>
      <c r="L513" s="59"/>
      <c r="N513" s="59"/>
      <c r="P513" s="59"/>
      <c r="Q513" s="61"/>
    </row>
    <row r="514">
      <c r="B514" s="59"/>
      <c r="D514" s="59"/>
      <c r="F514" s="59"/>
      <c r="H514" s="59"/>
      <c r="J514" s="59"/>
      <c r="L514" s="59"/>
      <c r="N514" s="59"/>
      <c r="P514" s="59"/>
      <c r="Q514" s="61"/>
    </row>
    <row r="515">
      <c r="B515" s="59"/>
      <c r="D515" s="59"/>
      <c r="F515" s="59"/>
      <c r="H515" s="59"/>
      <c r="J515" s="59"/>
      <c r="L515" s="59"/>
      <c r="N515" s="59"/>
      <c r="P515" s="59"/>
      <c r="Q515" s="61"/>
    </row>
    <row r="516">
      <c r="B516" s="59"/>
      <c r="D516" s="59"/>
      <c r="F516" s="59"/>
      <c r="H516" s="59"/>
      <c r="J516" s="59"/>
      <c r="L516" s="59"/>
      <c r="N516" s="59"/>
      <c r="P516" s="59"/>
      <c r="Q516" s="61"/>
    </row>
    <row r="517">
      <c r="B517" s="59"/>
      <c r="D517" s="59"/>
      <c r="F517" s="59"/>
      <c r="H517" s="59"/>
      <c r="J517" s="59"/>
      <c r="L517" s="59"/>
      <c r="N517" s="59"/>
      <c r="P517" s="59"/>
      <c r="Q517" s="61"/>
    </row>
    <row r="518">
      <c r="B518" s="59"/>
      <c r="D518" s="59"/>
      <c r="F518" s="59"/>
      <c r="H518" s="59"/>
      <c r="J518" s="59"/>
      <c r="L518" s="59"/>
      <c r="N518" s="59"/>
      <c r="P518" s="59"/>
      <c r="Q518" s="61"/>
    </row>
    <row r="519">
      <c r="B519" s="59"/>
      <c r="D519" s="59"/>
      <c r="F519" s="59"/>
      <c r="H519" s="59"/>
      <c r="J519" s="59"/>
      <c r="L519" s="59"/>
      <c r="N519" s="59"/>
      <c r="P519" s="59"/>
      <c r="Q519" s="61"/>
    </row>
    <row r="520">
      <c r="B520" s="59"/>
      <c r="D520" s="59"/>
      <c r="F520" s="59"/>
      <c r="H520" s="59"/>
      <c r="J520" s="59"/>
      <c r="L520" s="59"/>
      <c r="N520" s="59"/>
      <c r="P520" s="59"/>
      <c r="Q520" s="61"/>
    </row>
    <row r="521">
      <c r="B521" s="59"/>
      <c r="D521" s="59"/>
      <c r="F521" s="59"/>
      <c r="H521" s="59"/>
      <c r="J521" s="59"/>
      <c r="L521" s="59"/>
      <c r="N521" s="59"/>
      <c r="P521" s="59"/>
      <c r="Q521" s="61"/>
    </row>
    <row r="522">
      <c r="B522" s="59"/>
      <c r="D522" s="59"/>
      <c r="F522" s="59"/>
      <c r="H522" s="59"/>
      <c r="J522" s="59"/>
      <c r="L522" s="59"/>
      <c r="N522" s="59"/>
      <c r="P522" s="59"/>
      <c r="Q522" s="61"/>
    </row>
    <row r="523">
      <c r="B523" s="59"/>
      <c r="D523" s="59"/>
      <c r="F523" s="59"/>
      <c r="H523" s="59"/>
      <c r="J523" s="59"/>
      <c r="L523" s="59"/>
      <c r="N523" s="59"/>
      <c r="P523" s="59"/>
      <c r="Q523" s="61"/>
    </row>
    <row r="524">
      <c r="B524" s="59"/>
      <c r="D524" s="59"/>
      <c r="F524" s="59"/>
      <c r="H524" s="59"/>
      <c r="J524" s="59"/>
      <c r="L524" s="59"/>
      <c r="N524" s="59"/>
      <c r="P524" s="59"/>
      <c r="Q524" s="61"/>
    </row>
    <row r="525">
      <c r="B525" s="59"/>
      <c r="D525" s="59"/>
      <c r="F525" s="59"/>
      <c r="H525" s="59"/>
      <c r="J525" s="59"/>
      <c r="L525" s="59"/>
      <c r="N525" s="59"/>
      <c r="P525" s="59"/>
      <c r="Q525" s="61"/>
    </row>
    <row r="526">
      <c r="B526" s="59"/>
      <c r="D526" s="59"/>
      <c r="F526" s="59"/>
      <c r="H526" s="59"/>
      <c r="J526" s="59"/>
      <c r="L526" s="59"/>
      <c r="N526" s="59"/>
      <c r="P526" s="59"/>
      <c r="Q526" s="61"/>
    </row>
    <row r="527">
      <c r="B527" s="59"/>
      <c r="D527" s="59"/>
      <c r="F527" s="59"/>
      <c r="H527" s="59"/>
      <c r="J527" s="59"/>
      <c r="L527" s="59"/>
      <c r="N527" s="59"/>
      <c r="P527" s="59"/>
      <c r="Q527" s="61"/>
    </row>
    <row r="528">
      <c r="B528" s="59"/>
      <c r="D528" s="59"/>
      <c r="F528" s="59"/>
      <c r="H528" s="59"/>
      <c r="J528" s="59"/>
      <c r="L528" s="59"/>
      <c r="N528" s="59"/>
      <c r="P528" s="59"/>
      <c r="Q528" s="61"/>
    </row>
    <row r="529">
      <c r="B529" s="59"/>
      <c r="D529" s="59"/>
      <c r="F529" s="59"/>
      <c r="H529" s="59"/>
      <c r="J529" s="59"/>
      <c r="L529" s="59"/>
      <c r="N529" s="59"/>
      <c r="P529" s="59"/>
      <c r="Q529" s="61"/>
    </row>
    <row r="530">
      <c r="B530" s="59"/>
      <c r="D530" s="59"/>
      <c r="F530" s="59"/>
      <c r="H530" s="59"/>
      <c r="J530" s="59"/>
      <c r="L530" s="59"/>
      <c r="N530" s="59"/>
      <c r="P530" s="59"/>
      <c r="Q530" s="61"/>
    </row>
    <row r="531">
      <c r="B531" s="59"/>
      <c r="D531" s="59"/>
      <c r="F531" s="59"/>
      <c r="H531" s="59"/>
      <c r="J531" s="59"/>
      <c r="L531" s="59"/>
      <c r="N531" s="59"/>
      <c r="P531" s="59"/>
      <c r="Q531" s="61"/>
    </row>
    <row r="532">
      <c r="B532" s="59"/>
      <c r="D532" s="59"/>
      <c r="F532" s="59"/>
      <c r="H532" s="59"/>
      <c r="J532" s="59"/>
      <c r="L532" s="59"/>
      <c r="N532" s="59"/>
      <c r="P532" s="59"/>
      <c r="Q532" s="61"/>
    </row>
    <row r="533">
      <c r="B533" s="59"/>
      <c r="D533" s="59"/>
      <c r="F533" s="59"/>
      <c r="H533" s="59"/>
      <c r="J533" s="59"/>
      <c r="L533" s="59"/>
      <c r="N533" s="59"/>
      <c r="P533" s="59"/>
      <c r="Q533" s="61"/>
    </row>
    <row r="534">
      <c r="B534" s="59"/>
      <c r="D534" s="59"/>
      <c r="F534" s="59"/>
      <c r="H534" s="59"/>
      <c r="J534" s="59"/>
      <c r="L534" s="59"/>
      <c r="N534" s="59"/>
      <c r="P534" s="59"/>
      <c r="Q534" s="61"/>
    </row>
    <row r="535">
      <c r="B535" s="59"/>
      <c r="D535" s="59"/>
      <c r="F535" s="59"/>
      <c r="H535" s="59"/>
      <c r="J535" s="59"/>
      <c r="L535" s="59"/>
      <c r="N535" s="59"/>
      <c r="P535" s="59"/>
      <c r="Q535" s="61"/>
    </row>
    <row r="536">
      <c r="B536" s="59"/>
      <c r="D536" s="59"/>
      <c r="F536" s="59"/>
      <c r="H536" s="59"/>
      <c r="J536" s="59"/>
      <c r="L536" s="59"/>
      <c r="N536" s="59"/>
      <c r="P536" s="59"/>
      <c r="Q536" s="61"/>
    </row>
    <row r="537">
      <c r="B537" s="59"/>
      <c r="D537" s="59"/>
      <c r="F537" s="59"/>
      <c r="H537" s="59"/>
      <c r="J537" s="59"/>
      <c r="L537" s="59"/>
      <c r="N537" s="59"/>
      <c r="P537" s="59"/>
      <c r="Q537" s="61"/>
    </row>
    <row r="538">
      <c r="B538" s="59"/>
      <c r="D538" s="59"/>
      <c r="F538" s="59"/>
      <c r="H538" s="59"/>
      <c r="J538" s="59"/>
      <c r="L538" s="59"/>
      <c r="N538" s="59"/>
      <c r="P538" s="59"/>
      <c r="Q538" s="61"/>
    </row>
    <row r="539">
      <c r="B539" s="59"/>
      <c r="D539" s="59"/>
      <c r="F539" s="59"/>
      <c r="H539" s="59"/>
      <c r="J539" s="59"/>
      <c r="L539" s="59"/>
      <c r="N539" s="59"/>
      <c r="P539" s="59"/>
      <c r="Q539" s="61"/>
    </row>
    <row r="540">
      <c r="B540" s="59"/>
      <c r="D540" s="59"/>
      <c r="F540" s="59"/>
      <c r="H540" s="59"/>
      <c r="J540" s="59"/>
      <c r="L540" s="59"/>
      <c r="N540" s="59"/>
      <c r="P540" s="59"/>
      <c r="Q540" s="61"/>
    </row>
    <row r="541">
      <c r="B541" s="59"/>
      <c r="D541" s="59"/>
      <c r="F541" s="59"/>
      <c r="H541" s="59"/>
      <c r="J541" s="59"/>
      <c r="L541" s="59"/>
      <c r="N541" s="59"/>
      <c r="P541" s="59"/>
      <c r="Q541" s="61"/>
    </row>
    <row r="542">
      <c r="B542" s="59"/>
      <c r="D542" s="59"/>
      <c r="F542" s="59"/>
      <c r="H542" s="59"/>
      <c r="J542" s="59"/>
      <c r="L542" s="59"/>
      <c r="N542" s="59"/>
      <c r="P542" s="59"/>
      <c r="Q542" s="61"/>
    </row>
    <row r="543">
      <c r="B543" s="59"/>
      <c r="D543" s="59"/>
      <c r="F543" s="59"/>
      <c r="H543" s="59"/>
      <c r="J543" s="59"/>
      <c r="L543" s="59"/>
      <c r="N543" s="59"/>
      <c r="P543" s="59"/>
      <c r="Q543" s="61"/>
    </row>
    <row r="544">
      <c r="B544" s="59"/>
      <c r="D544" s="59"/>
      <c r="F544" s="59"/>
      <c r="H544" s="59"/>
      <c r="J544" s="59"/>
      <c r="L544" s="59"/>
      <c r="N544" s="59"/>
      <c r="P544" s="59"/>
      <c r="Q544" s="61"/>
    </row>
    <row r="545">
      <c r="B545" s="59"/>
      <c r="D545" s="59"/>
      <c r="F545" s="59"/>
      <c r="H545" s="59"/>
      <c r="J545" s="59"/>
      <c r="L545" s="59"/>
      <c r="N545" s="59"/>
      <c r="P545" s="59"/>
      <c r="Q545" s="61"/>
    </row>
    <row r="546">
      <c r="B546" s="59"/>
      <c r="D546" s="59"/>
      <c r="F546" s="59"/>
      <c r="H546" s="59"/>
      <c r="J546" s="59"/>
      <c r="L546" s="59"/>
      <c r="N546" s="59"/>
      <c r="P546" s="59"/>
      <c r="Q546" s="61"/>
    </row>
    <row r="547">
      <c r="B547" s="59"/>
      <c r="D547" s="59"/>
      <c r="F547" s="59"/>
      <c r="H547" s="59"/>
      <c r="J547" s="59"/>
      <c r="L547" s="59"/>
      <c r="N547" s="59"/>
      <c r="P547" s="59"/>
      <c r="Q547" s="61"/>
    </row>
    <row r="548">
      <c r="B548" s="59"/>
      <c r="D548" s="59"/>
      <c r="F548" s="59"/>
      <c r="H548" s="59"/>
      <c r="J548" s="59"/>
      <c r="L548" s="59"/>
      <c r="N548" s="59"/>
      <c r="P548" s="59"/>
      <c r="Q548" s="61"/>
    </row>
    <row r="549">
      <c r="B549" s="59"/>
      <c r="D549" s="59"/>
      <c r="F549" s="59"/>
      <c r="H549" s="59"/>
      <c r="J549" s="59"/>
      <c r="L549" s="59"/>
      <c r="N549" s="59"/>
      <c r="P549" s="59"/>
      <c r="Q549" s="61"/>
    </row>
    <row r="550">
      <c r="B550" s="59"/>
      <c r="D550" s="59"/>
      <c r="F550" s="59"/>
      <c r="H550" s="59"/>
      <c r="J550" s="59"/>
      <c r="L550" s="59"/>
      <c r="N550" s="59"/>
      <c r="P550" s="59"/>
      <c r="Q550" s="61"/>
    </row>
    <row r="551">
      <c r="B551" s="59"/>
      <c r="D551" s="59"/>
      <c r="F551" s="59"/>
      <c r="H551" s="59"/>
      <c r="J551" s="59"/>
      <c r="L551" s="59"/>
      <c r="N551" s="59"/>
      <c r="P551" s="59"/>
      <c r="Q551" s="61"/>
    </row>
    <row r="552">
      <c r="B552" s="59"/>
      <c r="D552" s="59"/>
      <c r="F552" s="59"/>
      <c r="H552" s="59"/>
      <c r="J552" s="59"/>
      <c r="L552" s="59"/>
      <c r="N552" s="59"/>
      <c r="P552" s="59"/>
      <c r="Q552" s="61"/>
    </row>
    <row r="553">
      <c r="B553" s="59"/>
      <c r="D553" s="59"/>
      <c r="F553" s="59"/>
      <c r="H553" s="59"/>
      <c r="J553" s="59"/>
      <c r="L553" s="59"/>
      <c r="N553" s="59"/>
      <c r="P553" s="59"/>
      <c r="Q553" s="61"/>
    </row>
    <row r="554">
      <c r="B554" s="59"/>
      <c r="D554" s="59"/>
      <c r="F554" s="59"/>
      <c r="H554" s="59"/>
      <c r="J554" s="59"/>
      <c r="L554" s="59"/>
      <c r="N554" s="59"/>
      <c r="P554" s="59"/>
      <c r="Q554" s="61"/>
    </row>
    <row r="555">
      <c r="B555" s="59"/>
      <c r="D555" s="59"/>
      <c r="F555" s="59"/>
      <c r="H555" s="59"/>
      <c r="J555" s="59"/>
      <c r="L555" s="59"/>
      <c r="N555" s="59"/>
      <c r="P555" s="59"/>
      <c r="Q555" s="61"/>
    </row>
    <row r="556">
      <c r="B556" s="59"/>
      <c r="D556" s="59"/>
      <c r="F556" s="59"/>
      <c r="H556" s="59"/>
      <c r="J556" s="59"/>
      <c r="L556" s="59"/>
      <c r="N556" s="59"/>
      <c r="P556" s="59"/>
      <c r="Q556" s="61"/>
    </row>
    <row r="557">
      <c r="B557" s="59"/>
      <c r="D557" s="59"/>
      <c r="F557" s="59"/>
      <c r="H557" s="59"/>
      <c r="J557" s="59"/>
      <c r="L557" s="59"/>
      <c r="N557" s="59"/>
      <c r="P557" s="59"/>
      <c r="Q557" s="61"/>
    </row>
    <row r="558">
      <c r="B558" s="59"/>
      <c r="D558" s="59"/>
      <c r="F558" s="59"/>
      <c r="H558" s="59"/>
      <c r="J558" s="59"/>
      <c r="L558" s="59"/>
      <c r="N558" s="59"/>
      <c r="P558" s="59"/>
      <c r="Q558" s="61"/>
    </row>
    <row r="559">
      <c r="B559" s="59"/>
      <c r="D559" s="59"/>
      <c r="F559" s="59"/>
      <c r="H559" s="59"/>
      <c r="J559" s="59"/>
      <c r="L559" s="59"/>
      <c r="N559" s="59"/>
      <c r="P559" s="59"/>
      <c r="Q559" s="61"/>
    </row>
    <row r="560">
      <c r="B560" s="59"/>
      <c r="D560" s="59"/>
      <c r="F560" s="59"/>
      <c r="H560" s="59"/>
      <c r="J560" s="59"/>
      <c r="L560" s="59"/>
      <c r="N560" s="59"/>
      <c r="P560" s="59"/>
      <c r="Q560" s="61"/>
    </row>
    <row r="561">
      <c r="B561" s="59"/>
      <c r="D561" s="59"/>
      <c r="F561" s="59"/>
      <c r="H561" s="59"/>
      <c r="J561" s="59"/>
      <c r="L561" s="59"/>
      <c r="N561" s="59"/>
      <c r="P561" s="59"/>
      <c r="Q561" s="61"/>
    </row>
    <row r="562">
      <c r="B562" s="59"/>
      <c r="D562" s="59"/>
      <c r="F562" s="59"/>
      <c r="H562" s="59"/>
      <c r="J562" s="59"/>
      <c r="L562" s="59"/>
      <c r="N562" s="59"/>
      <c r="P562" s="59"/>
      <c r="Q562" s="61"/>
    </row>
    <row r="563">
      <c r="B563" s="59"/>
      <c r="D563" s="59"/>
      <c r="F563" s="59"/>
      <c r="H563" s="59"/>
      <c r="J563" s="59"/>
      <c r="L563" s="59"/>
      <c r="N563" s="59"/>
      <c r="P563" s="59"/>
      <c r="Q563" s="61"/>
    </row>
    <row r="564">
      <c r="B564" s="59"/>
      <c r="D564" s="59"/>
      <c r="F564" s="59"/>
      <c r="H564" s="59"/>
      <c r="J564" s="59"/>
      <c r="L564" s="59"/>
      <c r="N564" s="59"/>
      <c r="P564" s="59"/>
      <c r="Q564" s="61"/>
    </row>
    <row r="565">
      <c r="B565" s="59"/>
      <c r="D565" s="59"/>
      <c r="F565" s="59"/>
      <c r="H565" s="59"/>
      <c r="J565" s="59"/>
      <c r="L565" s="59"/>
      <c r="N565" s="59"/>
      <c r="P565" s="59"/>
      <c r="Q565" s="61"/>
    </row>
    <row r="566">
      <c r="B566" s="59"/>
      <c r="D566" s="59"/>
      <c r="F566" s="59"/>
      <c r="H566" s="59"/>
      <c r="J566" s="59"/>
      <c r="L566" s="59"/>
      <c r="N566" s="59"/>
      <c r="P566" s="59"/>
      <c r="Q566" s="61"/>
    </row>
    <row r="567">
      <c r="B567" s="59"/>
      <c r="D567" s="59"/>
      <c r="F567" s="59"/>
      <c r="H567" s="59"/>
      <c r="J567" s="59"/>
      <c r="L567" s="59"/>
      <c r="N567" s="59"/>
      <c r="P567" s="59"/>
      <c r="Q567" s="61"/>
    </row>
    <row r="568">
      <c r="B568" s="59"/>
      <c r="D568" s="59"/>
      <c r="F568" s="59"/>
      <c r="H568" s="59"/>
      <c r="J568" s="59"/>
      <c r="L568" s="59"/>
      <c r="N568" s="59"/>
      <c r="P568" s="59"/>
      <c r="Q568" s="61"/>
    </row>
    <row r="569">
      <c r="B569" s="59"/>
      <c r="D569" s="59"/>
      <c r="F569" s="59"/>
      <c r="H569" s="59"/>
      <c r="J569" s="59"/>
      <c r="L569" s="59"/>
      <c r="N569" s="59"/>
      <c r="P569" s="59"/>
      <c r="Q569" s="61"/>
    </row>
    <row r="570">
      <c r="B570" s="59"/>
      <c r="D570" s="59"/>
      <c r="F570" s="59"/>
      <c r="H570" s="59"/>
      <c r="J570" s="59"/>
      <c r="L570" s="59"/>
      <c r="N570" s="59"/>
      <c r="P570" s="59"/>
      <c r="Q570" s="61"/>
    </row>
    <row r="571">
      <c r="B571" s="59"/>
      <c r="D571" s="59"/>
      <c r="F571" s="59"/>
      <c r="H571" s="59"/>
      <c r="J571" s="59"/>
      <c r="L571" s="59"/>
      <c r="N571" s="59"/>
      <c r="P571" s="59"/>
      <c r="Q571" s="61"/>
    </row>
    <row r="572">
      <c r="B572" s="59"/>
      <c r="D572" s="59"/>
      <c r="F572" s="59"/>
      <c r="H572" s="59"/>
      <c r="J572" s="59"/>
      <c r="L572" s="59"/>
      <c r="N572" s="59"/>
      <c r="P572" s="59"/>
      <c r="Q572" s="61"/>
    </row>
    <row r="573">
      <c r="B573" s="59"/>
      <c r="D573" s="59"/>
      <c r="F573" s="59"/>
      <c r="H573" s="59"/>
      <c r="J573" s="59"/>
      <c r="L573" s="59"/>
      <c r="N573" s="59"/>
      <c r="P573" s="59"/>
      <c r="Q573" s="61"/>
    </row>
    <row r="574">
      <c r="B574" s="59"/>
      <c r="D574" s="59"/>
      <c r="F574" s="59"/>
      <c r="H574" s="59"/>
      <c r="J574" s="59"/>
      <c r="L574" s="59"/>
      <c r="N574" s="59"/>
      <c r="P574" s="59"/>
      <c r="Q574" s="61"/>
    </row>
    <row r="575">
      <c r="B575" s="59"/>
      <c r="D575" s="59"/>
      <c r="F575" s="59"/>
      <c r="H575" s="59"/>
      <c r="J575" s="59"/>
      <c r="L575" s="59"/>
      <c r="N575" s="59"/>
      <c r="P575" s="59"/>
      <c r="Q575" s="61"/>
    </row>
    <row r="576">
      <c r="B576" s="59"/>
      <c r="D576" s="59"/>
      <c r="F576" s="59"/>
      <c r="H576" s="59"/>
      <c r="J576" s="59"/>
      <c r="L576" s="59"/>
      <c r="N576" s="59"/>
      <c r="P576" s="59"/>
      <c r="Q576" s="61"/>
    </row>
    <row r="577">
      <c r="B577" s="59"/>
      <c r="D577" s="59"/>
      <c r="F577" s="59"/>
      <c r="H577" s="59"/>
      <c r="J577" s="59"/>
      <c r="L577" s="59"/>
      <c r="N577" s="59"/>
      <c r="P577" s="59"/>
      <c r="Q577" s="61"/>
    </row>
    <row r="578">
      <c r="B578" s="59"/>
      <c r="D578" s="59"/>
      <c r="F578" s="59"/>
      <c r="H578" s="59"/>
      <c r="J578" s="59"/>
      <c r="L578" s="59"/>
      <c r="N578" s="59"/>
      <c r="P578" s="59"/>
      <c r="Q578" s="61"/>
    </row>
    <row r="579">
      <c r="B579" s="59"/>
      <c r="D579" s="59"/>
      <c r="F579" s="59"/>
      <c r="H579" s="59"/>
      <c r="J579" s="59"/>
      <c r="L579" s="59"/>
      <c r="N579" s="59"/>
      <c r="P579" s="59"/>
      <c r="Q579" s="61"/>
    </row>
    <row r="580">
      <c r="B580" s="59"/>
      <c r="D580" s="59"/>
      <c r="F580" s="59"/>
      <c r="H580" s="59"/>
      <c r="J580" s="59"/>
      <c r="L580" s="59"/>
      <c r="N580" s="59"/>
      <c r="P580" s="59"/>
      <c r="Q580" s="61"/>
    </row>
    <row r="581">
      <c r="B581" s="59"/>
      <c r="D581" s="59"/>
      <c r="F581" s="59"/>
      <c r="H581" s="59"/>
      <c r="J581" s="59"/>
      <c r="L581" s="59"/>
      <c r="N581" s="59"/>
      <c r="P581" s="59"/>
      <c r="Q581" s="61"/>
    </row>
    <row r="582">
      <c r="B582" s="59"/>
      <c r="D582" s="59"/>
      <c r="F582" s="59"/>
      <c r="H582" s="59"/>
      <c r="J582" s="59"/>
      <c r="L582" s="59"/>
      <c r="N582" s="59"/>
      <c r="P582" s="59"/>
      <c r="Q582" s="61"/>
    </row>
    <row r="583">
      <c r="B583" s="59"/>
      <c r="D583" s="59"/>
      <c r="F583" s="59"/>
      <c r="H583" s="59"/>
      <c r="J583" s="59"/>
      <c r="L583" s="59"/>
      <c r="N583" s="59"/>
      <c r="P583" s="59"/>
      <c r="Q583" s="61"/>
    </row>
    <row r="584">
      <c r="B584" s="59"/>
      <c r="D584" s="59"/>
      <c r="F584" s="59"/>
      <c r="H584" s="59"/>
      <c r="J584" s="59"/>
      <c r="L584" s="59"/>
      <c r="N584" s="59"/>
      <c r="P584" s="59"/>
      <c r="Q584" s="61"/>
    </row>
    <row r="585">
      <c r="B585" s="59"/>
      <c r="D585" s="59"/>
      <c r="F585" s="59"/>
      <c r="H585" s="59"/>
      <c r="J585" s="59"/>
      <c r="L585" s="59"/>
      <c r="N585" s="59"/>
      <c r="P585" s="59"/>
      <c r="Q585" s="61"/>
    </row>
    <row r="586">
      <c r="B586" s="59"/>
      <c r="D586" s="59"/>
      <c r="F586" s="59"/>
      <c r="H586" s="59"/>
      <c r="J586" s="59"/>
      <c r="L586" s="59"/>
      <c r="N586" s="59"/>
      <c r="P586" s="59"/>
      <c r="Q586" s="61"/>
    </row>
    <row r="587">
      <c r="B587" s="59"/>
      <c r="D587" s="59"/>
      <c r="F587" s="59"/>
      <c r="H587" s="59"/>
      <c r="J587" s="59"/>
      <c r="L587" s="59"/>
      <c r="N587" s="59"/>
      <c r="P587" s="59"/>
      <c r="Q587" s="61"/>
    </row>
    <row r="588">
      <c r="B588" s="59"/>
      <c r="D588" s="59"/>
      <c r="F588" s="59"/>
      <c r="H588" s="59"/>
      <c r="J588" s="59"/>
      <c r="L588" s="59"/>
      <c r="N588" s="59"/>
      <c r="P588" s="59"/>
      <c r="Q588" s="61"/>
    </row>
    <row r="589">
      <c r="B589" s="59"/>
      <c r="D589" s="59"/>
      <c r="F589" s="59"/>
      <c r="H589" s="59"/>
      <c r="J589" s="59"/>
      <c r="L589" s="59"/>
      <c r="N589" s="59"/>
      <c r="P589" s="59"/>
      <c r="Q589" s="61"/>
    </row>
    <row r="590">
      <c r="B590" s="59"/>
      <c r="D590" s="59"/>
      <c r="F590" s="59"/>
      <c r="H590" s="59"/>
      <c r="J590" s="59"/>
      <c r="L590" s="59"/>
      <c r="N590" s="59"/>
      <c r="P590" s="59"/>
      <c r="Q590" s="61"/>
    </row>
    <row r="591">
      <c r="B591" s="59"/>
      <c r="D591" s="59"/>
      <c r="F591" s="59"/>
      <c r="H591" s="59"/>
      <c r="J591" s="59"/>
      <c r="L591" s="59"/>
      <c r="N591" s="59"/>
      <c r="P591" s="59"/>
      <c r="Q591" s="61"/>
    </row>
    <row r="592">
      <c r="B592" s="59"/>
      <c r="D592" s="59"/>
      <c r="F592" s="59"/>
      <c r="H592" s="59"/>
      <c r="J592" s="59"/>
      <c r="L592" s="59"/>
      <c r="N592" s="59"/>
      <c r="P592" s="59"/>
      <c r="Q592" s="61"/>
    </row>
    <row r="593">
      <c r="B593" s="59"/>
      <c r="D593" s="59"/>
      <c r="F593" s="59"/>
      <c r="H593" s="59"/>
      <c r="J593" s="59"/>
      <c r="L593" s="59"/>
      <c r="N593" s="59"/>
      <c r="P593" s="59"/>
      <c r="Q593" s="61"/>
    </row>
    <row r="594">
      <c r="B594" s="59"/>
      <c r="D594" s="59"/>
      <c r="F594" s="59"/>
      <c r="H594" s="59"/>
      <c r="J594" s="59"/>
      <c r="L594" s="59"/>
      <c r="N594" s="59"/>
      <c r="P594" s="59"/>
      <c r="Q594" s="61"/>
    </row>
    <row r="595">
      <c r="B595" s="59"/>
      <c r="D595" s="59"/>
      <c r="F595" s="59"/>
      <c r="H595" s="59"/>
      <c r="J595" s="59"/>
      <c r="L595" s="59"/>
      <c r="N595" s="59"/>
      <c r="P595" s="59"/>
      <c r="Q595" s="61"/>
    </row>
    <row r="596">
      <c r="B596" s="59"/>
      <c r="D596" s="59"/>
      <c r="F596" s="59"/>
      <c r="H596" s="59"/>
      <c r="J596" s="59"/>
      <c r="L596" s="59"/>
      <c r="N596" s="59"/>
      <c r="P596" s="59"/>
      <c r="Q596" s="61"/>
    </row>
    <row r="597">
      <c r="B597" s="59"/>
      <c r="D597" s="59"/>
      <c r="F597" s="59"/>
      <c r="H597" s="59"/>
      <c r="J597" s="59"/>
      <c r="L597" s="59"/>
      <c r="N597" s="59"/>
      <c r="P597" s="59"/>
      <c r="Q597" s="61"/>
    </row>
    <row r="598">
      <c r="B598" s="59"/>
      <c r="D598" s="59"/>
      <c r="F598" s="59"/>
      <c r="H598" s="59"/>
      <c r="J598" s="59"/>
      <c r="L598" s="59"/>
      <c r="N598" s="59"/>
      <c r="P598" s="59"/>
      <c r="Q598" s="61"/>
    </row>
    <row r="599">
      <c r="B599" s="59"/>
      <c r="D599" s="59"/>
      <c r="F599" s="59"/>
      <c r="H599" s="59"/>
      <c r="J599" s="59"/>
      <c r="L599" s="59"/>
      <c r="N599" s="59"/>
      <c r="P599" s="59"/>
      <c r="Q599" s="61"/>
    </row>
    <row r="600">
      <c r="B600" s="59"/>
      <c r="D600" s="59"/>
      <c r="F600" s="59"/>
      <c r="H600" s="59"/>
      <c r="J600" s="59"/>
      <c r="L600" s="59"/>
      <c r="N600" s="59"/>
      <c r="P600" s="59"/>
      <c r="Q600" s="61"/>
    </row>
    <row r="601">
      <c r="B601" s="59"/>
      <c r="D601" s="59"/>
      <c r="F601" s="59"/>
      <c r="H601" s="59"/>
      <c r="J601" s="59"/>
      <c r="L601" s="59"/>
      <c r="N601" s="59"/>
      <c r="P601" s="59"/>
      <c r="Q601" s="61"/>
    </row>
    <row r="602">
      <c r="B602" s="59"/>
      <c r="D602" s="59"/>
      <c r="F602" s="59"/>
      <c r="H602" s="59"/>
      <c r="J602" s="59"/>
      <c r="L602" s="59"/>
      <c r="N602" s="59"/>
      <c r="P602" s="59"/>
      <c r="Q602" s="61"/>
    </row>
    <row r="603">
      <c r="B603" s="59"/>
      <c r="D603" s="59"/>
      <c r="F603" s="59"/>
      <c r="H603" s="59"/>
      <c r="J603" s="59"/>
      <c r="L603" s="59"/>
      <c r="N603" s="59"/>
      <c r="P603" s="59"/>
      <c r="Q603" s="61"/>
    </row>
    <row r="604">
      <c r="B604" s="59"/>
      <c r="D604" s="59"/>
      <c r="F604" s="59"/>
      <c r="H604" s="59"/>
      <c r="J604" s="59"/>
      <c r="L604" s="59"/>
      <c r="N604" s="59"/>
      <c r="P604" s="59"/>
      <c r="Q604" s="61"/>
    </row>
    <row r="605">
      <c r="B605" s="59"/>
      <c r="D605" s="59"/>
      <c r="F605" s="59"/>
      <c r="H605" s="59"/>
      <c r="J605" s="59"/>
      <c r="L605" s="59"/>
      <c r="N605" s="59"/>
      <c r="P605" s="59"/>
      <c r="Q605" s="61"/>
    </row>
    <row r="606">
      <c r="B606" s="59"/>
      <c r="D606" s="59"/>
      <c r="F606" s="59"/>
      <c r="H606" s="59"/>
      <c r="J606" s="59"/>
      <c r="L606" s="59"/>
      <c r="N606" s="59"/>
      <c r="P606" s="59"/>
      <c r="Q606" s="61"/>
    </row>
    <row r="607">
      <c r="B607" s="59"/>
      <c r="D607" s="59"/>
      <c r="F607" s="59"/>
      <c r="H607" s="59"/>
      <c r="J607" s="59"/>
      <c r="L607" s="59"/>
      <c r="N607" s="59"/>
      <c r="P607" s="59"/>
      <c r="Q607" s="61"/>
    </row>
    <row r="608">
      <c r="B608" s="59"/>
      <c r="D608" s="59"/>
      <c r="F608" s="59"/>
      <c r="H608" s="59"/>
      <c r="J608" s="59"/>
      <c r="L608" s="59"/>
      <c r="N608" s="59"/>
      <c r="P608" s="59"/>
      <c r="Q608" s="61"/>
    </row>
    <row r="609">
      <c r="B609" s="59"/>
      <c r="D609" s="59"/>
      <c r="F609" s="59"/>
      <c r="H609" s="59"/>
      <c r="J609" s="59"/>
      <c r="L609" s="59"/>
      <c r="N609" s="59"/>
      <c r="P609" s="59"/>
      <c r="Q609" s="61"/>
    </row>
    <row r="610">
      <c r="B610" s="59"/>
      <c r="D610" s="59"/>
      <c r="F610" s="59"/>
      <c r="H610" s="59"/>
      <c r="J610" s="59"/>
      <c r="L610" s="59"/>
      <c r="N610" s="59"/>
      <c r="P610" s="59"/>
      <c r="Q610" s="61"/>
    </row>
    <row r="611">
      <c r="B611" s="59"/>
      <c r="D611" s="59"/>
      <c r="F611" s="59"/>
      <c r="H611" s="59"/>
      <c r="J611" s="59"/>
      <c r="L611" s="59"/>
      <c r="N611" s="59"/>
      <c r="P611" s="59"/>
      <c r="Q611" s="61"/>
    </row>
    <row r="612">
      <c r="B612" s="59"/>
      <c r="D612" s="59"/>
      <c r="F612" s="59"/>
      <c r="H612" s="59"/>
      <c r="J612" s="59"/>
      <c r="L612" s="59"/>
      <c r="N612" s="59"/>
      <c r="P612" s="59"/>
      <c r="Q612" s="61"/>
    </row>
    <row r="613">
      <c r="B613" s="59"/>
      <c r="D613" s="59"/>
      <c r="F613" s="59"/>
      <c r="H613" s="59"/>
      <c r="J613" s="59"/>
      <c r="L613" s="59"/>
      <c r="N613" s="59"/>
      <c r="P613" s="59"/>
      <c r="Q613" s="61"/>
    </row>
    <row r="614">
      <c r="B614" s="59"/>
      <c r="D614" s="59"/>
      <c r="F614" s="59"/>
      <c r="H614" s="59"/>
      <c r="J614" s="59"/>
      <c r="L614" s="59"/>
      <c r="N614" s="59"/>
      <c r="P614" s="59"/>
      <c r="Q614" s="61"/>
    </row>
    <row r="615">
      <c r="B615" s="59"/>
      <c r="D615" s="59"/>
      <c r="F615" s="59"/>
      <c r="H615" s="59"/>
      <c r="J615" s="59"/>
      <c r="L615" s="59"/>
      <c r="N615" s="59"/>
      <c r="P615" s="59"/>
      <c r="Q615" s="61"/>
    </row>
    <row r="616">
      <c r="B616" s="59"/>
      <c r="D616" s="59"/>
      <c r="F616" s="59"/>
      <c r="H616" s="59"/>
      <c r="J616" s="59"/>
      <c r="L616" s="59"/>
      <c r="N616" s="59"/>
      <c r="P616" s="59"/>
      <c r="Q616" s="61"/>
    </row>
    <row r="617">
      <c r="B617" s="59"/>
      <c r="D617" s="59"/>
      <c r="F617" s="59"/>
      <c r="H617" s="59"/>
      <c r="J617" s="59"/>
      <c r="L617" s="59"/>
      <c r="N617" s="59"/>
      <c r="P617" s="59"/>
      <c r="Q617" s="61"/>
    </row>
    <row r="618">
      <c r="B618" s="59"/>
      <c r="D618" s="59"/>
      <c r="F618" s="59"/>
      <c r="H618" s="59"/>
      <c r="J618" s="59"/>
      <c r="L618" s="59"/>
      <c r="N618" s="59"/>
      <c r="P618" s="59"/>
      <c r="Q618" s="61"/>
    </row>
    <row r="619">
      <c r="B619" s="59"/>
      <c r="D619" s="59"/>
      <c r="F619" s="59"/>
      <c r="H619" s="59"/>
      <c r="J619" s="59"/>
      <c r="L619" s="59"/>
      <c r="N619" s="59"/>
      <c r="P619" s="59"/>
      <c r="Q619" s="61"/>
    </row>
    <row r="620">
      <c r="B620" s="59"/>
      <c r="D620" s="59"/>
      <c r="F620" s="59"/>
      <c r="H620" s="59"/>
      <c r="J620" s="59"/>
      <c r="L620" s="59"/>
      <c r="N620" s="59"/>
      <c r="P620" s="59"/>
      <c r="Q620" s="61"/>
    </row>
    <row r="621">
      <c r="B621" s="59"/>
      <c r="D621" s="59"/>
      <c r="F621" s="59"/>
      <c r="H621" s="59"/>
      <c r="J621" s="59"/>
      <c r="L621" s="59"/>
      <c r="N621" s="59"/>
      <c r="P621" s="59"/>
      <c r="Q621" s="61"/>
    </row>
    <row r="622">
      <c r="B622" s="59"/>
      <c r="D622" s="59"/>
      <c r="F622" s="59"/>
      <c r="H622" s="59"/>
      <c r="J622" s="59"/>
      <c r="L622" s="59"/>
      <c r="N622" s="59"/>
      <c r="P622" s="59"/>
      <c r="Q622" s="61"/>
    </row>
    <row r="623">
      <c r="B623" s="59"/>
      <c r="D623" s="59"/>
      <c r="F623" s="59"/>
      <c r="H623" s="59"/>
      <c r="J623" s="59"/>
      <c r="L623" s="59"/>
      <c r="N623" s="59"/>
      <c r="P623" s="59"/>
      <c r="Q623" s="61"/>
    </row>
    <row r="624">
      <c r="B624" s="59"/>
      <c r="D624" s="59"/>
      <c r="F624" s="59"/>
      <c r="H624" s="59"/>
      <c r="J624" s="59"/>
      <c r="L624" s="59"/>
      <c r="N624" s="59"/>
      <c r="P624" s="59"/>
      <c r="Q624" s="61"/>
    </row>
    <row r="625">
      <c r="B625" s="59"/>
      <c r="D625" s="59"/>
      <c r="F625" s="59"/>
      <c r="H625" s="59"/>
      <c r="J625" s="59"/>
      <c r="L625" s="59"/>
      <c r="N625" s="59"/>
      <c r="P625" s="59"/>
      <c r="Q625" s="61"/>
    </row>
    <row r="626">
      <c r="B626" s="59"/>
      <c r="D626" s="59"/>
      <c r="F626" s="59"/>
      <c r="H626" s="59"/>
      <c r="J626" s="59"/>
      <c r="L626" s="59"/>
      <c r="N626" s="59"/>
      <c r="P626" s="59"/>
      <c r="Q626" s="61"/>
    </row>
    <row r="627">
      <c r="B627" s="59"/>
      <c r="D627" s="59"/>
      <c r="F627" s="59"/>
      <c r="H627" s="59"/>
      <c r="J627" s="59"/>
      <c r="L627" s="59"/>
      <c r="N627" s="59"/>
      <c r="P627" s="59"/>
      <c r="Q627" s="61"/>
    </row>
    <row r="628">
      <c r="B628" s="59"/>
      <c r="D628" s="59"/>
      <c r="F628" s="59"/>
      <c r="H628" s="59"/>
      <c r="J628" s="59"/>
      <c r="L628" s="59"/>
      <c r="N628" s="59"/>
      <c r="P628" s="59"/>
      <c r="Q628" s="61"/>
    </row>
    <row r="629">
      <c r="B629" s="59"/>
      <c r="D629" s="59"/>
      <c r="F629" s="59"/>
      <c r="H629" s="59"/>
      <c r="J629" s="59"/>
      <c r="L629" s="59"/>
      <c r="N629" s="59"/>
      <c r="P629" s="59"/>
      <c r="Q629" s="61"/>
    </row>
    <row r="630">
      <c r="B630" s="59"/>
      <c r="D630" s="59"/>
      <c r="F630" s="59"/>
      <c r="H630" s="59"/>
      <c r="J630" s="59"/>
      <c r="L630" s="59"/>
      <c r="N630" s="59"/>
      <c r="P630" s="59"/>
      <c r="Q630" s="61"/>
    </row>
    <row r="631">
      <c r="B631" s="59"/>
      <c r="D631" s="59"/>
      <c r="F631" s="59"/>
      <c r="H631" s="59"/>
      <c r="J631" s="59"/>
      <c r="L631" s="59"/>
      <c r="N631" s="59"/>
      <c r="P631" s="59"/>
      <c r="Q631" s="61"/>
    </row>
    <row r="632">
      <c r="B632" s="59"/>
      <c r="D632" s="59"/>
      <c r="F632" s="59"/>
      <c r="H632" s="59"/>
      <c r="J632" s="59"/>
      <c r="L632" s="59"/>
      <c r="N632" s="59"/>
      <c r="P632" s="59"/>
      <c r="Q632" s="61"/>
    </row>
    <row r="633">
      <c r="B633" s="59"/>
      <c r="D633" s="59"/>
      <c r="F633" s="59"/>
      <c r="H633" s="59"/>
      <c r="J633" s="59"/>
      <c r="L633" s="59"/>
      <c r="N633" s="59"/>
      <c r="P633" s="59"/>
      <c r="Q633" s="61"/>
    </row>
    <row r="634">
      <c r="B634" s="59"/>
      <c r="D634" s="59"/>
      <c r="F634" s="59"/>
      <c r="H634" s="59"/>
      <c r="J634" s="59"/>
      <c r="L634" s="59"/>
      <c r="N634" s="59"/>
      <c r="P634" s="59"/>
      <c r="Q634" s="61"/>
    </row>
    <row r="635">
      <c r="B635" s="59"/>
      <c r="D635" s="59"/>
      <c r="F635" s="59"/>
      <c r="H635" s="59"/>
      <c r="J635" s="59"/>
      <c r="L635" s="59"/>
      <c r="N635" s="59"/>
      <c r="P635" s="59"/>
      <c r="Q635" s="61"/>
    </row>
    <row r="636">
      <c r="B636" s="59"/>
      <c r="D636" s="59"/>
      <c r="F636" s="59"/>
      <c r="H636" s="59"/>
      <c r="J636" s="59"/>
      <c r="L636" s="59"/>
      <c r="N636" s="59"/>
      <c r="P636" s="59"/>
      <c r="Q636" s="61"/>
    </row>
    <row r="637">
      <c r="B637" s="59"/>
      <c r="D637" s="59"/>
      <c r="F637" s="59"/>
      <c r="H637" s="59"/>
      <c r="J637" s="59"/>
      <c r="L637" s="59"/>
      <c r="N637" s="59"/>
      <c r="P637" s="59"/>
      <c r="Q637" s="61"/>
    </row>
    <row r="638">
      <c r="B638" s="59"/>
      <c r="D638" s="59"/>
      <c r="F638" s="59"/>
      <c r="H638" s="59"/>
      <c r="J638" s="59"/>
      <c r="L638" s="59"/>
      <c r="N638" s="59"/>
      <c r="P638" s="59"/>
      <c r="Q638" s="61"/>
    </row>
    <row r="639">
      <c r="B639" s="59"/>
      <c r="D639" s="59"/>
      <c r="F639" s="59"/>
      <c r="H639" s="59"/>
      <c r="J639" s="59"/>
      <c r="L639" s="59"/>
      <c r="N639" s="59"/>
      <c r="P639" s="59"/>
      <c r="Q639" s="61"/>
    </row>
    <row r="640">
      <c r="B640" s="59"/>
      <c r="D640" s="59"/>
      <c r="F640" s="59"/>
      <c r="H640" s="59"/>
      <c r="J640" s="59"/>
      <c r="L640" s="59"/>
      <c r="N640" s="59"/>
      <c r="P640" s="59"/>
      <c r="Q640" s="61"/>
    </row>
    <row r="641">
      <c r="B641" s="59"/>
      <c r="D641" s="59"/>
      <c r="F641" s="59"/>
      <c r="H641" s="59"/>
      <c r="J641" s="59"/>
      <c r="L641" s="59"/>
      <c r="N641" s="59"/>
      <c r="P641" s="59"/>
      <c r="Q641" s="61"/>
    </row>
    <row r="642">
      <c r="B642" s="59"/>
      <c r="D642" s="59"/>
      <c r="F642" s="59"/>
      <c r="H642" s="59"/>
      <c r="J642" s="59"/>
      <c r="L642" s="59"/>
      <c r="N642" s="59"/>
      <c r="P642" s="59"/>
      <c r="Q642" s="61"/>
    </row>
    <row r="643">
      <c r="B643" s="59"/>
      <c r="D643" s="59"/>
      <c r="F643" s="59"/>
      <c r="H643" s="59"/>
      <c r="J643" s="59"/>
      <c r="L643" s="59"/>
      <c r="N643" s="59"/>
      <c r="P643" s="59"/>
      <c r="Q643" s="61"/>
    </row>
    <row r="644">
      <c r="B644" s="59"/>
      <c r="D644" s="59"/>
      <c r="F644" s="59"/>
      <c r="H644" s="59"/>
      <c r="J644" s="59"/>
      <c r="L644" s="59"/>
      <c r="N644" s="59"/>
      <c r="P644" s="59"/>
      <c r="Q644" s="61"/>
    </row>
    <row r="645">
      <c r="B645" s="59"/>
      <c r="D645" s="59"/>
      <c r="F645" s="59"/>
      <c r="H645" s="59"/>
      <c r="J645" s="59"/>
      <c r="L645" s="59"/>
      <c r="N645" s="59"/>
      <c r="P645" s="59"/>
      <c r="Q645" s="61"/>
    </row>
    <row r="646">
      <c r="B646" s="59"/>
      <c r="D646" s="59"/>
      <c r="F646" s="59"/>
      <c r="H646" s="59"/>
      <c r="J646" s="59"/>
      <c r="L646" s="59"/>
      <c r="N646" s="59"/>
      <c r="P646" s="59"/>
      <c r="Q646" s="61"/>
    </row>
    <row r="647">
      <c r="B647" s="59"/>
      <c r="D647" s="59"/>
      <c r="F647" s="59"/>
      <c r="H647" s="59"/>
      <c r="J647" s="59"/>
      <c r="L647" s="59"/>
      <c r="N647" s="59"/>
      <c r="P647" s="59"/>
      <c r="Q647" s="61"/>
    </row>
    <row r="648">
      <c r="B648" s="59"/>
      <c r="D648" s="59"/>
      <c r="F648" s="59"/>
      <c r="H648" s="59"/>
      <c r="J648" s="59"/>
      <c r="L648" s="59"/>
      <c r="N648" s="59"/>
      <c r="P648" s="59"/>
      <c r="Q648" s="61"/>
    </row>
    <row r="649">
      <c r="B649" s="59"/>
      <c r="D649" s="59"/>
      <c r="F649" s="59"/>
      <c r="H649" s="59"/>
      <c r="J649" s="59"/>
      <c r="L649" s="59"/>
      <c r="N649" s="59"/>
      <c r="P649" s="59"/>
      <c r="Q649" s="61"/>
    </row>
    <row r="650">
      <c r="B650" s="59"/>
      <c r="D650" s="59"/>
      <c r="F650" s="59"/>
      <c r="H650" s="59"/>
      <c r="J650" s="59"/>
      <c r="L650" s="59"/>
      <c r="N650" s="59"/>
      <c r="P650" s="59"/>
      <c r="Q650" s="61"/>
    </row>
    <row r="651">
      <c r="B651" s="59"/>
      <c r="D651" s="59"/>
      <c r="F651" s="59"/>
      <c r="H651" s="59"/>
      <c r="J651" s="59"/>
      <c r="L651" s="59"/>
      <c r="N651" s="59"/>
      <c r="P651" s="59"/>
      <c r="Q651" s="61"/>
    </row>
    <row r="652">
      <c r="B652" s="59"/>
      <c r="D652" s="59"/>
      <c r="F652" s="59"/>
      <c r="H652" s="59"/>
      <c r="J652" s="59"/>
      <c r="L652" s="59"/>
      <c r="N652" s="59"/>
      <c r="P652" s="59"/>
      <c r="Q652" s="61"/>
    </row>
    <row r="653">
      <c r="B653" s="59"/>
      <c r="D653" s="59"/>
      <c r="F653" s="59"/>
      <c r="H653" s="59"/>
      <c r="J653" s="59"/>
      <c r="L653" s="59"/>
      <c r="N653" s="59"/>
      <c r="P653" s="59"/>
      <c r="Q653" s="61"/>
    </row>
    <row r="654">
      <c r="B654" s="59"/>
      <c r="D654" s="59"/>
      <c r="F654" s="59"/>
      <c r="H654" s="59"/>
      <c r="J654" s="59"/>
      <c r="L654" s="59"/>
      <c r="N654" s="59"/>
      <c r="P654" s="59"/>
      <c r="Q654" s="61"/>
    </row>
    <row r="655">
      <c r="B655" s="59"/>
      <c r="D655" s="59"/>
      <c r="F655" s="59"/>
      <c r="H655" s="59"/>
      <c r="J655" s="59"/>
      <c r="L655" s="59"/>
      <c r="N655" s="59"/>
      <c r="P655" s="59"/>
      <c r="Q655" s="61"/>
    </row>
    <row r="656">
      <c r="B656" s="59"/>
      <c r="D656" s="59"/>
      <c r="F656" s="59"/>
      <c r="H656" s="59"/>
      <c r="J656" s="59"/>
      <c r="L656" s="59"/>
      <c r="N656" s="59"/>
      <c r="P656" s="59"/>
      <c r="Q656" s="61"/>
    </row>
    <row r="657">
      <c r="B657" s="59"/>
      <c r="D657" s="59"/>
      <c r="F657" s="59"/>
      <c r="H657" s="59"/>
      <c r="J657" s="59"/>
      <c r="L657" s="59"/>
      <c r="N657" s="59"/>
      <c r="P657" s="59"/>
      <c r="Q657" s="61"/>
    </row>
    <row r="658">
      <c r="B658" s="59"/>
      <c r="D658" s="59"/>
      <c r="F658" s="59"/>
      <c r="H658" s="59"/>
      <c r="J658" s="59"/>
      <c r="L658" s="59"/>
      <c r="N658" s="59"/>
      <c r="P658" s="59"/>
      <c r="Q658" s="61"/>
    </row>
    <row r="659">
      <c r="B659" s="59"/>
      <c r="D659" s="59"/>
      <c r="F659" s="59"/>
      <c r="H659" s="59"/>
      <c r="J659" s="59"/>
      <c r="L659" s="59"/>
      <c r="N659" s="59"/>
      <c r="P659" s="59"/>
      <c r="Q659" s="61"/>
    </row>
    <row r="660">
      <c r="B660" s="59"/>
      <c r="D660" s="59"/>
      <c r="F660" s="59"/>
      <c r="H660" s="59"/>
      <c r="J660" s="59"/>
      <c r="L660" s="59"/>
      <c r="N660" s="59"/>
      <c r="P660" s="59"/>
      <c r="Q660" s="61"/>
    </row>
    <row r="661">
      <c r="B661" s="59"/>
      <c r="D661" s="59"/>
      <c r="F661" s="59"/>
      <c r="H661" s="59"/>
      <c r="J661" s="59"/>
      <c r="L661" s="59"/>
      <c r="N661" s="59"/>
      <c r="P661" s="59"/>
      <c r="Q661" s="61"/>
    </row>
    <row r="662">
      <c r="B662" s="59"/>
      <c r="D662" s="59"/>
      <c r="F662" s="59"/>
      <c r="H662" s="59"/>
      <c r="J662" s="59"/>
      <c r="L662" s="59"/>
      <c r="N662" s="59"/>
      <c r="P662" s="59"/>
      <c r="Q662" s="61"/>
    </row>
    <row r="663">
      <c r="B663" s="59"/>
      <c r="D663" s="59"/>
      <c r="F663" s="59"/>
      <c r="H663" s="59"/>
      <c r="J663" s="59"/>
      <c r="L663" s="59"/>
      <c r="N663" s="59"/>
      <c r="P663" s="59"/>
      <c r="Q663" s="61"/>
    </row>
    <row r="664">
      <c r="B664" s="59"/>
      <c r="D664" s="59"/>
      <c r="F664" s="59"/>
      <c r="H664" s="59"/>
      <c r="J664" s="59"/>
      <c r="L664" s="59"/>
      <c r="N664" s="59"/>
      <c r="P664" s="59"/>
      <c r="Q664" s="61"/>
    </row>
    <row r="665">
      <c r="B665" s="59"/>
      <c r="D665" s="59"/>
      <c r="F665" s="59"/>
      <c r="H665" s="59"/>
      <c r="J665" s="59"/>
      <c r="L665" s="59"/>
      <c r="N665" s="59"/>
      <c r="P665" s="59"/>
      <c r="Q665" s="61"/>
    </row>
    <row r="666">
      <c r="B666" s="59"/>
      <c r="D666" s="59"/>
      <c r="F666" s="59"/>
      <c r="H666" s="59"/>
      <c r="J666" s="59"/>
      <c r="L666" s="59"/>
      <c r="N666" s="59"/>
      <c r="P666" s="59"/>
      <c r="Q666" s="61"/>
    </row>
    <row r="667">
      <c r="B667" s="59"/>
      <c r="D667" s="59"/>
      <c r="F667" s="59"/>
      <c r="H667" s="59"/>
      <c r="J667" s="59"/>
      <c r="L667" s="59"/>
      <c r="N667" s="59"/>
      <c r="P667" s="59"/>
      <c r="Q667" s="61"/>
    </row>
    <row r="668">
      <c r="B668" s="59"/>
      <c r="D668" s="59"/>
      <c r="F668" s="59"/>
      <c r="H668" s="59"/>
      <c r="J668" s="59"/>
      <c r="L668" s="59"/>
      <c r="N668" s="59"/>
      <c r="P668" s="59"/>
      <c r="Q668" s="61"/>
    </row>
    <row r="669">
      <c r="B669" s="59"/>
      <c r="D669" s="59"/>
      <c r="F669" s="59"/>
      <c r="H669" s="59"/>
      <c r="J669" s="59"/>
      <c r="L669" s="59"/>
      <c r="N669" s="59"/>
      <c r="P669" s="59"/>
      <c r="Q669" s="61"/>
    </row>
    <row r="670">
      <c r="B670" s="59"/>
      <c r="D670" s="59"/>
      <c r="F670" s="59"/>
      <c r="H670" s="59"/>
      <c r="J670" s="59"/>
      <c r="L670" s="59"/>
      <c r="N670" s="59"/>
      <c r="P670" s="59"/>
      <c r="Q670" s="61"/>
    </row>
    <row r="671">
      <c r="B671" s="59"/>
      <c r="D671" s="59"/>
      <c r="F671" s="59"/>
      <c r="H671" s="59"/>
      <c r="J671" s="59"/>
      <c r="L671" s="59"/>
      <c r="N671" s="59"/>
      <c r="P671" s="59"/>
      <c r="Q671" s="61"/>
    </row>
    <row r="672">
      <c r="B672" s="59"/>
      <c r="D672" s="59"/>
      <c r="F672" s="59"/>
      <c r="H672" s="59"/>
      <c r="J672" s="59"/>
      <c r="L672" s="59"/>
      <c r="N672" s="59"/>
      <c r="P672" s="59"/>
      <c r="Q672" s="61"/>
    </row>
    <row r="673">
      <c r="B673" s="59"/>
      <c r="D673" s="59"/>
      <c r="F673" s="59"/>
      <c r="H673" s="59"/>
      <c r="J673" s="59"/>
      <c r="L673" s="59"/>
      <c r="N673" s="59"/>
      <c r="P673" s="59"/>
      <c r="Q673" s="61"/>
    </row>
    <row r="674">
      <c r="B674" s="59"/>
      <c r="D674" s="59"/>
      <c r="F674" s="59"/>
      <c r="H674" s="59"/>
      <c r="J674" s="59"/>
      <c r="L674" s="59"/>
      <c r="N674" s="59"/>
      <c r="P674" s="59"/>
      <c r="Q674" s="61"/>
    </row>
    <row r="675">
      <c r="B675" s="59"/>
      <c r="D675" s="59"/>
      <c r="F675" s="59"/>
      <c r="H675" s="59"/>
      <c r="J675" s="59"/>
      <c r="L675" s="59"/>
      <c r="N675" s="59"/>
      <c r="P675" s="59"/>
      <c r="Q675" s="61"/>
    </row>
    <row r="676">
      <c r="B676" s="59"/>
      <c r="D676" s="59"/>
      <c r="F676" s="59"/>
      <c r="H676" s="59"/>
      <c r="J676" s="59"/>
      <c r="L676" s="59"/>
      <c r="N676" s="59"/>
      <c r="P676" s="59"/>
      <c r="Q676" s="61"/>
    </row>
    <row r="677">
      <c r="B677" s="59"/>
      <c r="D677" s="59"/>
      <c r="F677" s="59"/>
      <c r="H677" s="59"/>
      <c r="J677" s="59"/>
      <c r="L677" s="59"/>
      <c r="N677" s="59"/>
      <c r="P677" s="59"/>
      <c r="Q677" s="61"/>
    </row>
    <row r="678">
      <c r="B678" s="59"/>
      <c r="D678" s="59"/>
      <c r="F678" s="59"/>
      <c r="H678" s="59"/>
      <c r="J678" s="59"/>
      <c r="L678" s="59"/>
      <c r="N678" s="59"/>
      <c r="P678" s="59"/>
      <c r="Q678" s="61"/>
    </row>
    <row r="679">
      <c r="B679" s="59"/>
      <c r="D679" s="59"/>
      <c r="F679" s="59"/>
      <c r="H679" s="59"/>
      <c r="J679" s="59"/>
      <c r="L679" s="59"/>
      <c r="N679" s="59"/>
      <c r="P679" s="59"/>
      <c r="Q679" s="61"/>
    </row>
    <row r="680">
      <c r="B680" s="59"/>
      <c r="D680" s="59"/>
      <c r="F680" s="59"/>
      <c r="H680" s="59"/>
      <c r="J680" s="59"/>
      <c r="L680" s="59"/>
      <c r="N680" s="59"/>
      <c r="P680" s="59"/>
      <c r="Q680" s="61"/>
    </row>
    <row r="681">
      <c r="B681" s="59"/>
      <c r="D681" s="59"/>
      <c r="F681" s="59"/>
      <c r="H681" s="59"/>
      <c r="J681" s="59"/>
      <c r="L681" s="59"/>
      <c r="N681" s="59"/>
      <c r="P681" s="59"/>
      <c r="Q681" s="61"/>
    </row>
    <row r="682">
      <c r="B682" s="59"/>
      <c r="D682" s="59"/>
      <c r="F682" s="59"/>
      <c r="H682" s="59"/>
      <c r="J682" s="59"/>
      <c r="L682" s="59"/>
      <c r="N682" s="59"/>
      <c r="P682" s="59"/>
      <c r="Q682" s="61"/>
    </row>
    <row r="683">
      <c r="B683" s="59"/>
      <c r="D683" s="59"/>
      <c r="F683" s="59"/>
      <c r="H683" s="59"/>
      <c r="J683" s="59"/>
      <c r="L683" s="59"/>
      <c r="N683" s="59"/>
      <c r="P683" s="59"/>
      <c r="Q683" s="61"/>
    </row>
    <row r="684">
      <c r="B684" s="59"/>
      <c r="D684" s="59"/>
      <c r="F684" s="59"/>
      <c r="H684" s="59"/>
      <c r="J684" s="59"/>
      <c r="L684" s="59"/>
      <c r="N684" s="59"/>
      <c r="P684" s="59"/>
      <c r="Q684" s="61"/>
    </row>
    <row r="685">
      <c r="B685" s="59"/>
      <c r="D685" s="59"/>
      <c r="F685" s="59"/>
      <c r="H685" s="59"/>
      <c r="J685" s="59"/>
      <c r="L685" s="59"/>
      <c r="N685" s="59"/>
      <c r="P685" s="59"/>
      <c r="Q685" s="61"/>
    </row>
    <row r="686">
      <c r="B686" s="59"/>
      <c r="D686" s="59"/>
      <c r="F686" s="59"/>
      <c r="H686" s="59"/>
      <c r="J686" s="59"/>
      <c r="L686" s="59"/>
      <c r="N686" s="59"/>
      <c r="P686" s="59"/>
      <c r="Q686" s="61"/>
    </row>
    <row r="687">
      <c r="B687" s="59"/>
      <c r="D687" s="59"/>
      <c r="F687" s="59"/>
      <c r="H687" s="59"/>
      <c r="J687" s="59"/>
      <c r="L687" s="59"/>
      <c r="N687" s="59"/>
      <c r="P687" s="59"/>
      <c r="Q687" s="61"/>
    </row>
    <row r="688">
      <c r="B688" s="59"/>
      <c r="D688" s="59"/>
      <c r="F688" s="59"/>
      <c r="H688" s="59"/>
      <c r="J688" s="59"/>
      <c r="L688" s="59"/>
      <c r="N688" s="59"/>
      <c r="P688" s="59"/>
      <c r="Q688" s="61"/>
    </row>
    <row r="689">
      <c r="B689" s="59"/>
      <c r="D689" s="59"/>
      <c r="F689" s="59"/>
      <c r="H689" s="59"/>
      <c r="J689" s="59"/>
      <c r="L689" s="59"/>
      <c r="N689" s="59"/>
      <c r="P689" s="59"/>
      <c r="Q689" s="61"/>
    </row>
    <row r="690">
      <c r="B690" s="59"/>
      <c r="D690" s="59"/>
      <c r="F690" s="59"/>
      <c r="H690" s="59"/>
      <c r="J690" s="59"/>
      <c r="L690" s="59"/>
      <c r="N690" s="59"/>
      <c r="P690" s="59"/>
      <c r="Q690" s="61"/>
    </row>
    <row r="691">
      <c r="B691" s="59"/>
      <c r="D691" s="59"/>
      <c r="F691" s="59"/>
      <c r="H691" s="59"/>
      <c r="J691" s="59"/>
      <c r="L691" s="59"/>
      <c r="N691" s="59"/>
      <c r="P691" s="59"/>
      <c r="Q691" s="61"/>
    </row>
    <row r="692">
      <c r="B692" s="59"/>
      <c r="D692" s="59"/>
      <c r="F692" s="59"/>
      <c r="H692" s="59"/>
      <c r="J692" s="59"/>
      <c r="L692" s="59"/>
      <c r="N692" s="59"/>
      <c r="P692" s="59"/>
      <c r="Q692" s="61"/>
    </row>
    <row r="693">
      <c r="B693" s="59"/>
      <c r="D693" s="59"/>
      <c r="F693" s="59"/>
      <c r="H693" s="59"/>
      <c r="J693" s="59"/>
      <c r="L693" s="59"/>
      <c r="N693" s="59"/>
      <c r="P693" s="59"/>
      <c r="Q693" s="61"/>
    </row>
    <row r="694">
      <c r="B694" s="59"/>
      <c r="D694" s="59"/>
      <c r="F694" s="59"/>
      <c r="H694" s="59"/>
      <c r="J694" s="59"/>
      <c r="L694" s="59"/>
      <c r="N694" s="59"/>
      <c r="P694" s="59"/>
      <c r="Q694" s="61"/>
    </row>
    <row r="695">
      <c r="B695" s="59"/>
      <c r="D695" s="59"/>
      <c r="F695" s="59"/>
      <c r="H695" s="59"/>
      <c r="J695" s="59"/>
      <c r="L695" s="59"/>
      <c r="N695" s="59"/>
      <c r="P695" s="59"/>
      <c r="Q695" s="61"/>
    </row>
    <row r="696">
      <c r="B696" s="59"/>
      <c r="D696" s="59"/>
      <c r="F696" s="59"/>
      <c r="H696" s="59"/>
      <c r="J696" s="59"/>
      <c r="L696" s="59"/>
      <c r="N696" s="59"/>
      <c r="P696" s="59"/>
      <c r="Q696" s="61"/>
    </row>
    <row r="697">
      <c r="B697" s="59"/>
      <c r="D697" s="59"/>
      <c r="F697" s="59"/>
      <c r="H697" s="59"/>
      <c r="J697" s="59"/>
      <c r="L697" s="59"/>
      <c r="N697" s="59"/>
      <c r="P697" s="59"/>
      <c r="Q697" s="61"/>
    </row>
    <row r="698">
      <c r="B698" s="59"/>
      <c r="D698" s="59"/>
      <c r="F698" s="59"/>
      <c r="H698" s="59"/>
      <c r="J698" s="59"/>
      <c r="L698" s="59"/>
      <c r="N698" s="59"/>
      <c r="P698" s="59"/>
      <c r="Q698" s="61"/>
    </row>
    <row r="699">
      <c r="B699" s="59"/>
      <c r="D699" s="59"/>
      <c r="F699" s="59"/>
      <c r="H699" s="59"/>
      <c r="J699" s="59"/>
      <c r="L699" s="59"/>
      <c r="N699" s="59"/>
      <c r="P699" s="59"/>
      <c r="Q699" s="61"/>
    </row>
    <row r="700">
      <c r="B700" s="59"/>
      <c r="D700" s="59"/>
      <c r="F700" s="59"/>
      <c r="H700" s="59"/>
      <c r="J700" s="59"/>
      <c r="L700" s="59"/>
      <c r="N700" s="59"/>
      <c r="P700" s="59"/>
      <c r="Q700" s="61"/>
    </row>
    <row r="701">
      <c r="B701" s="59"/>
      <c r="D701" s="59"/>
      <c r="F701" s="59"/>
      <c r="H701" s="59"/>
      <c r="J701" s="59"/>
      <c r="L701" s="59"/>
      <c r="N701" s="59"/>
      <c r="P701" s="59"/>
      <c r="Q701" s="61"/>
    </row>
    <row r="702">
      <c r="B702" s="59"/>
      <c r="D702" s="59"/>
      <c r="F702" s="59"/>
      <c r="H702" s="59"/>
      <c r="J702" s="59"/>
      <c r="L702" s="59"/>
      <c r="N702" s="59"/>
      <c r="P702" s="59"/>
      <c r="Q702" s="61"/>
    </row>
    <row r="703">
      <c r="B703" s="59"/>
      <c r="D703" s="59"/>
      <c r="F703" s="59"/>
      <c r="H703" s="59"/>
      <c r="J703" s="59"/>
      <c r="L703" s="59"/>
      <c r="N703" s="59"/>
      <c r="P703" s="59"/>
      <c r="Q703" s="61"/>
    </row>
    <row r="704">
      <c r="B704" s="59"/>
      <c r="D704" s="59"/>
      <c r="F704" s="59"/>
      <c r="H704" s="59"/>
      <c r="J704" s="59"/>
      <c r="L704" s="59"/>
      <c r="N704" s="59"/>
      <c r="P704" s="59"/>
      <c r="Q704" s="61"/>
    </row>
    <row r="705">
      <c r="B705" s="59"/>
      <c r="D705" s="59"/>
      <c r="F705" s="59"/>
      <c r="H705" s="59"/>
      <c r="J705" s="59"/>
      <c r="L705" s="59"/>
      <c r="N705" s="59"/>
      <c r="P705" s="59"/>
      <c r="Q705" s="61"/>
    </row>
    <row r="706">
      <c r="B706" s="59"/>
      <c r="D706" s="59"/>
      <c r="F706" s="59"/>
      <c r="H706" s="59"/>
      <c r="J706" s="59"/>
      <c r="L706" s="59"/>
      <c r="N706" s="59"/>
      <c r="P706" s="59"/>
      <c r="Q706" s="61"/>
    </row>
    <row r="707">
      <c r="B707" s="59"/>
      <c r="D707" s="59"/>
      <c r="F707" s="59"/>
      <c r="H707" s="59"/>
      <c r="J707" s="59"/>
      <c r="L707" s="59"/>
      <c r="N707" s="59"/>
      <c r="P707" s="59"/>
      <c r="Q707" s="61"/>
    </row>
    <row r="708">
      <c r="B708" s="59"/>
      <c r="D708" s="59"/>
      <c r="F708" s="59"/>
      <c r="H708" s="59"/>
      <c r="J708" s="59"/>
      <c r="L708" s="59"/>
      <c r="N708" s="59"/>
      <c r="P708" s="59"/>
      <c r="Q708" s="61"/>
    </row>
    <row r="709">
      <c r="B709" s="59"/>
      <c r="D709" s="59"/>
      <c r="F709" s="59"/>
      <c r="H709" s="59"/>
      <c r="J709" s="59"/>
      <c r="L709" s="59"/>
      <c r="N709" s="59"/>
      <c r="P709" s="59"/>
      <c r="Q709" s="61"/>
    </row>
    <row r="710">
      <c r="B710" s="59"/>
      <c r="D710" s="59"/>
      <c r="F710" s="59"/>
      <c r="H710" s="59"/>
      <c r="J710" s="59"/>
      <c r="L710" s="59"/>
      <c r="N710" s="59"/>
      <c r="P710" s="59"/>
      <c r="Q710" s="61"/>
    </row>
    <row r="711">
      <c r="B711" s="59"/>
      <c r="D711" s="59"/>
      <c r="F711" s="59"/>
      <c r="H711" s="59"/>
      <c r="J711" s="59"/>
      <c r="L711" s="59"/>
      <c r="N711" s="59"/>
      <c r="P711" s="59"/>
      <c r="Q711" s="61"/>
    </row>
    <row r="712">
      <c r="B712" s="59"/>
      <c r="D712" s="59"/>
      <c r="F712" s="59"/>
      <c r="H712" s="59"/>
      <c r="J712" s="59"/>
      <c r="L712" s="59"/>
      <c r="N712" s="59"/>
      <c r="P712" s="59"/>
      <c r="Q712" s="61"/>
    </row>
    <row r="713">
      <c r="B713" s="59"/>
      <c r="D713" s="59"/>
      <c r="F713" s="59"/>
      <c r="H713" s="59"/>
      <c r="J713" s="59"/>
      <c r="L713" s="59"/>
      <c r="N713" s="59"/>
      <c r="P713" s="59"/>
      <c r="Q713" s="61"/>
    </row>
    <row r="714">
      <c r="B714" s="59"/>
      <c r="D714" s="59"/>
      <c r="F714" s="59"/>
      <c r="H714" s="59"/>
      <c r="J714" s="59"/>
      <c r="L714" s="59"/>
      <c r="N714" s="59"/>
      <c r="P714" s="59"/>
      <c r="Q714" s="61"/>
    </row>
    <row r="715">
      <c r="B715" s="59"/>
      <c r="D715" s="59"/>
      <c r="F715" s="59"/>
      <c r="H715" s="59"/>
      <c r="J715" s="59"/>
      <c r="L715" s="59"/>
      <c r="N715" s="59"/>
      <c r="P715" s="59"/>
      <c r="Q715" s="61"/>
    </row>
    <row r="716">
      <c r="B716" s="59"/>
      <c r="D716" s="59"/>
      <c r="F716" s="59"/>
      <c r="H716" s="59"/>
      <c r="J716" s="59"/>
      <c r="L716" s="59"/>
      <c r="N716" s="59"/>
      <c r="P716" s="59"/>
      <c r="Q716" s="61"/>
    </row>
    <row r="717">
      <c r="B717" s="59"/>
      <c r="D717" s="59"/>
      <c r="F717" s="59"/>
      <c r="H717" s="59"/>
      <c r="J717" s="59"/>
      <c r="L717" s="59"/>
      <c r="N717" s="59"/>
      <c r="P717" s="59"/>
      <c r="Q717" s="61"/>
    </row>
    <row r="718">
      <c r="B718" s="59"/>
      <c r="D718" s="59"/>
      <c r="F718" s="59"/>
      <c r="H718" s="59"/>
      <c r="J718" s="59"/>
      <c r="L718" s="59"/>
      <c r="N718" s="59"/>
      <c r="P718" s="59"/>
      <c r="Q718" s="61"/>
    </row>
    <row r="719">
      <c r="B719" s="59"/>
      <c r="D719" s="59"/>
      <c r="F719" s="59"/>
      <c r="H719" s="59"/>
      <c r="J719" s="59"/>
      <c r="L719" s="59"/>
      <c r="N719" s="59"/>
      <c r="P719" s="59"/>
      <c r="Q719" s="61"/>
    </row>
    <row r="720">
      <c r="B720" s="59"/>
      <c r="D720" s="59"/>
      <c r="F720" s="59"/>
      <c r="H720" s="59"/>
      <c r="J720" s="59"/>
      <c r="L720" s="59"/>
      <c r="N720" s="59"/>
      <c r="P720" s="59"/>
      <c r="Q720" s="61"/>
    </row>
    <row r="721">
      <c r="B721" s="59"/>
      <c r="D721" s="59"/>
      <c r="F721" s="59"/>
      <c r="H721" s="59"/>
      <c r="J721" s="59"/>
      <c r="L721" s="59"/>
      <c r="N721" s="59"/>
      <c r="P721" s="59"/>
      <c r="Q721" s="61"/>
    </row>
    <row r="722">
      <c r="B722" s="59"/>
      <c r="D722" s="59"/>
      <c r="F722" s="59"/>
      <c r="H722" s="59"/>
      <c r="J722" s="59"/>
      <c r="L722" s="59"/>
      <c r="N722" s="59"/>
      <c r="P722" s="59"/>
      <c r="Q722" s="61"/>
    </row>
    <row r="723">
      <c r="B723" s="59"/>
      <c r="D723" s="59"/>
      <c r="F723" s="59"/>
      <c r="H723" s="59"/>
      <c r="J723" s="59"/>
      <c r="L723" s="59"/>
      <c r="N723" s="59"/>
      <c r="P723" s="59"/>
      <c r="Q723" s="61"/>
    </row>
    <row r="724">
      <c r="B724" s="59"/>
      <c r="D724" s="59"/>
      <c r="F724" s="59"/>
      <c r="H724" s="59"/>
      <c r="J724" s="59"/>
      <c r="L724" s="59"/>
      <c r="N724" s="59"/>
      <c r="P724" s="59"/>
      <c r="Q724" s="61"/>
    </row>
    <row r="725">
      <c r="B725" s="59"/>
      <c r="D725" s="59"/>
      <c r="F725" s="59"/>
      <c r="H725" s="59"/>
      <c r="J725" s="59"/>
      <c r="L725" s="59"/>
      <c r="N725" s="59"/>
      <c r="P725" s="59"/>
      <c r="Q725" s="61"/>
    </row>
    <row r="726">
      <c r="B726" s="59"/>
      <c r="D726" s="59"/>
      <c r="F726" s="59"/>
      <c r="H726" s="59"/>
      <c r="J726" s="59"/>
      <c r="L726" s="59"/>
      <c r="N726" s="59"/>
      <c r="P726" s="59"/>
      <c r="Q726" s="61"/>
    </row>
    <row r="727">
      <c r="B727" s="59"/>
      <c r="D727" s="59"/>
      <c r="F727" s="59"/>
      <c r="H727" s="59"/>
      <c r="J727" s="59"/>
      <c r="L727" s="59"/>
      <c r="N727" s="59"/>
      <c r="P727" s="59"/>
      <c r="Q727" s="61"/>
    </row>
    <row r="728">
      <c r="B728" s="59"/>
      <c r="D728" s="59"/>
      <c r="F728" s="59"/>
      <c r="H728" s="59"/>
      <c r="J728" s="59"/>
      <c r="L728" s="59"/>
      <c r="N728" s="59"/>
      <c r="P728" s="59"/>
      <c r="Q728" s="61"/>
    </row>
    <row r="729">
      <c r="B729" s="59"/>
      <c r="D729" s="59"/>
      <c r="F729" s="59"/>
      <c r="H729" s="59"/>
      <c r="J729" s="59"/>
      <c r="L729" s="59"/>
      <c r="N729" s="59"/>
      <c r="P729" s="59"/>
      <c r="Q729" s="61"/>
    </row>
    <row r="730">
      <c r="B730" s="59"/>
      <c r="D730" s="59"/>
      <c r="F730" s="59"/>
      <c r="H730" s="59"/>
      <c r="J730" s="59"/>
      <c r="L730" s="59"/>
      <c r="N730" s="59"/>
      <c r="P730" s="59"/>
      <c r="Q730" s="61"/>
    </row>
    <row r="731">
      <c r="B731" s="59"/>
      <c r="D731" s="59"/>
      <c r="F731" s="59"/>
      <c r="H731" s="59"/>
      <c r="J731" s="59"/>
      <c r="L731" s="59"/>
      <c r="N731" s="59"/>
      <c r="P731" s="59"/>
      <c r="Q731" s="61"/>
    </row>
    <row r="732">
      <c r="B732" s="59"/>
      <c r="D732" s="59"/>
      <c r="F732" s="59"/>
      <c r="H732" s="59"/>
      <c r="J732" s="59"/>
      <c r="L732" s="59"/>
      <c r="N732" s="59"/>
      <c r="P732" s="59"/>
      <c r="Q732" s="61"/>
    </row>
    <row r="733">
      <c r="B733" s="59"/>
      <c r="D733" s="59"/>
      <c r="F733" s="59"/>
      <c r="H733" s="59"/>
      <c r="J733" s="59"/>
      <c r="L733" s="59"/>
      <c r="N733" s="59"/>
      <c r="P733" s="59"/>
      <c r="Q733" s="61"/>
    </row>
    <row r="734">
      <c r="B734" s="59"/>
      <c r="D734" s="59"/>
      <c r="F734" s="59"/>
      <c r="H734" s="59"/>
      <c r="J734" s="59"/>
      <c r="L734" s="59"/>
      <c r="N734" s="59"/>
      <c r="P734" s="59"/>
      <c r="Q734" s="61"/>
    </row>
    <row r="735">
      <c r="B735" s="59"/>
      <c r="D735" s="59"/>
      <c r="F735" s="59"/>
      <c r="H735" s="59"/>
      <c r="J735" s="59"/>
      <c r="L735" s="59"/>
      <c r="N735" s="59"/>
      <c r="P735" s="59"/>
      <c r="Q735" s="61"/>
    </row>
    <row r="736">
      <c r="B736" s="59"/>
      <c r="D736" s="59"/>
      <c r="F736" s="59"/>
      <c r="H736" s="59"/>
      <c r="J736" s="59"/>
      <c r="L736" s="59"/>
      <c r="N736" s="59"/>
      <c r="P736" s="59"/>
      <c r="Q736" s="61"/>
    </row>
    <row r="737">
      <c r="B737" s="59"/>
      <c r="D737" s="59"/>
      <c r="F737" s="59"/>
      <c r="H737" s="59"/>
      <c r="J737" s="59"/>
      <c r="L737" s="59"/>
      <c r="N737" s="59"/>
      <c r="P737" s="59"/>
      <c r="Q737" s="61"/>
    </row>
    <row r="738">
      <c r="B738" s="59"/>
      <c r="D738" s="59"/>
      <c r="F738" s="59"/>
      <c r="H738" s="59"/>
      <c r="J738" s="59"/>
      <c r="L738" s="59"/>
      <c r="N738" s="59"/>
      <c r="P738" s="59"/>
      <c r="Q738" s="61"/>
    </row>
    <row r="739">
      <c r="B739" s="59"/>
      <c r="D739" s="59"/>
      <c r="F739" s="59"/>
      <c r="H739" s="59"/>
      <c r="J739" s="59"/>
      <c r="L739" s="59"/>
      <c r="N739" s="59"/>
      <c r="P739" s="59"/>
      <c r="Q739" s="61"/>
    </row>
    <row r="740">
      <c r="B740" s="59"/>
      <c r="D740" s="59"/>
      <c r="F740" s="59"/>
      <c r="H740" s="59"/>
      <c r="J740" s="59"/>
      <c r="L740" s="59"/>
      <c r="N740" s="59"/>
      <c r="P740" s="59"/>
      <c r="Q740" s="61"/>
    </row>
    <row r="741">
      <c r="B741" s="59"/>
      <c r="D741" s="59"/>
      <c r="F741" s="59"/>
      <c r="H741" s="59"/>
      <c r="J741" s="59"/>
      <c r="L741" s="59"/>
      <c r="N741" s="59"/>
      <c r="P741" s="59"/>
      <c r="Q741" s="61"/>
    </row>
    <row r="742">
      <c r="B742" s="59"/>
      <c r="D742" s="59"/>
      <c r="F742" s="59"/>
      <c r="H742" s="59"/>
      <c r="J742" s="59"/>
      <c r="L742" s="59"/>
      <c r="N742" s="59"/>
      <c r="P742" s="59"/>
      <c r="Q742" s="61"/>
    </row>
    <row r="743">
      <c r="B743" s="59"/>
      <c r="D743" s="59"/>
      <c r="F743" s="59"/>
      <c r="H743" s="59"/>
      <c r="J743" s="59"/>
      <c r="L743" s="59"/>
      <c r="N743" s="59"/>
      <c r="P743" s="59"/>
      <c r="Q743" s="61"/>
    </row>
    <row r="744">
      <c r="B744" s="59"/>
      <c r="D744" s="59"/>
      <c r="F744" s="59"/>
      <c r="H744" s="59"/>
      <c r="J744" s="59"/>
      <c r="L744" s="59"/>
      <c r="N744" s="59"/>
      <c r="P744" s="59"/>
      <c r="Q744" s="61"/>
    </row>
    <row r="745">
      <c r="B745" s="59"/>
      <c r="D745" s="59"/>
      <c r="F745" s="59"/>
      <c r="H745" s="59"/>
      <c r="J745" s="59"/>
      <c r="L745" s="59"/>
      <c r="N745" s="59"/>
      <c r="P745" s="59"/>
      <c r="Q745" s="61"/>
    </row>
    <row r="746">
      <c r="B746" s="59"/>
      <c r="D746" s="59"/>
      <c r="F746" s="59"/>
      <c r="H746" s="59"/>
      <c r="J746" s="59"/>
      <c r="L746" s="59"/>
      <c r="N746" s="59"/>
      <c r="P746" s="59"/>
      <c r="Q746" s="61"/>
    </row>
    <row r="747">
      <c r="B747" s="59"/>
      <c r="D747" s="59"/>
      <c r="F747" s="59"/>
      <c r="H747" s="59"/>
      <c r="J747" s="59"/>
      <c r="L747" s="59"/>
      <c r="N747" s="59"/>
      <c r="P747" s="59"/>
      <c r="Q747" s="61"/>
    </row>
    <row r="748">
      <c r="B748" s="59"/>
      <c r="D748" s="59"/>
      <c r="F748" s="59"/>
      <c r="H748" s="59"/>
      <c r="J748" s="59"/>
      <c r="L748" s="59"/>
      <c r="N748" s="59"/>
      <c r="P748" s="59"/>
      <c r="Q748" s="61"/>
    </row>
    <row r="749">
      <c r="B749" s="59"/>
      <c r="D749" s="59"/>
      <c r="F749" s="59"/>
      <c r="H749" s="59"/>
      <c r="J749" s="59"/>
      <c r="L749" s="59"/>
      <c r="N749" s="59"/>
      <c r="P749" s="59"/>
      <c r="Q749" s="61"/>
    </row>
    <row r="750">
      <c r="B750" s="59"/>
      <c r="D750" s="59"/>
      <c r="F750" s="59"/>
      <c r="H750" s="59"/>
      <c r="J750" s="59"/>
      <c r="L750" s="59"/>
      <c r="N750" s="59"/>
      <c r="P750" s="59"/>
      <c r="Q750" s="61"/>
    </row>
    <row r="751">
      <c r="B751" s="59"/>
      <c r="D751" s="59"/>
      <c r="F751" s="59"/>
      <c r="H751" s="59"/>
      <c r="J751" s="59"/>
      <c r="L751" s="59"/>
      <c r="N751" s="59"/>
      <c r="P751" s="59"/>
      <c r="Q751" s="61"/>
    </row>
    <row r="752">
      <c r="B752" s="59"/>
      <c r="D752" s="59"/>
      <c r="F752" s="59"/>
      <c r="H752" s="59"/>
      <c r="J752" s="59"/>
      <c r="L752" s="59"/>
      <c r="N752" s="59"/>
      <c r="P752" s="59"/>
      <c r="Q752" s="61"/>
    </row>
    <row r="753">
      <c r="B753" s="59"/>
      <c r="D753" s="59"/>
      <c r="F753" s="59"/>
      <c r="H753" s="59"/>
      <c r="J753" s="59"/>
      <c r="L753" s="59"/>
      <c r="N753" s="59"/>
      <c r="P753" s="59"/>
      <c r="Q753" s="61"/>
    </row>
    <row r="754">
      <c r="B754" s="59"/>
      <c r="D754" s="59"/>
      <c r="F754" s="59"/>
      <c r="H754" s="59"/>
      <c r="J754" s="59"/>
      <c r="L754" s="59"/>
      <c r="N754" s="59"/>
      <c r="P754" s="59"/>
      <c r="Q754" s="61"/>
    </row>
    <row r="755">
      <c r="B755" s="59"/>
      <c r="D755" s="59"/>
      <c r="F755" s="59"/>
      <c r="H755" s="59"/>
      <c r="J755" s="59"/>
      <c r="L755" s="59"/>
      <c r="N755" s="59"/>
      <c r="P755" s="59"/>
      <c r="Q755" s="61"/>
    </row>
    <row r="756">
      <c r="B756" s="59"/>
      <c r="D756" s="59"/>
      <c r="F756" s="59"/>
      <c r="H756" s="59"/>
      <c r="J756" s="59"/>
      <c r="L756" s="59"/>
      <c r="N756" s="59"/>
      <c r="P756" s="59"/>
      <c r="Q756" s="61"/>
    </row>
    <row r="757">
      <c r="B757" s="59"/>
      <c r="D757" s="59"/>
      <c r="F757" s="59"/>
      <c r="H757" s="59"/>
      <c r="J757" s="59"/>
      <c r="L757" s="59"/>
      <c r="N757" s="59"/>
      <c r="P757" s="59"/>
      <c r="Q757" s="61"/>
    </row>
    <row r="758">
      <c r="B758" s="59"/>
      <c r="D758" s="59"/>
      <c r="F758" s="59"/>
      <c r="H758" s="59"/>
      <c r="J758" s="59"/>
      <c r="L758" s="59"/>
      <c r="N758" s="59"/>
      <c r="P758" s="59"/>
      <c r="Q758" s="61"/>
    </row>
    <row r="759">
      <c r="B759" s="59"/>
      <c r="D759" s="59"/>
      <c r="F759" s="59"/>
      <c r="H759" s="59"/>
      <c r="J759" s="59"/>
      <c r="L759" s="59"/>
      <c r="N759" s="59"/>
      <c r="P759" s="59"/>
      <c r="Q759" s="61"/>
    </row>
    <row r="760">
      <c r="B760" s="59"/>
      <c r="D760" s="59"/>
      <c r="F760" s="59"/>
      <c r="H760" s="59"/>
      <c r="J760" s="59"/>
      <c r="L760" s="59"/>
      <c r="N760" s="59"/>
      <c r="P760" s="59"/>
      <c r="Q760" s="61"/>
    </row>
    <row r="761">
      <c r="B761" s="59"/>
      <c r="D761" s="59"/>
      <c r="F761" s="59"/>
      <c r="H761" s="59"/>
      <c r="J761" s="59"/>
      <c r="L761" s="59"/>
      <c r="N761" s="59"/>
      <c r="P761" s="59"/>
      <c r="Q761" s="61"/>
    </row>
    <row r="762">
      <c r="B762" s="59"/>
      <c r="D762" s="59"/>
      <c r="F762" s="59"/>
      <c r="H762" s="59"/>
      <c r="J762" s="59"/>
      <c r="L762" s="59"/>
      <c r="N762" s="59"/>
      <c r="P762" s="59"/>
      <c r="Q762" s="61"/>
    </row>
    <row r="763">
      <c r="B763" s="59"/>
      <c r="D763" s="59"/>
      <c r="F763" s="59"/>
      <c r="H763" s="59"/>
      <c r="J763" s="59"/>
      <c r="L763" s="59"/>
      <c r="N763" s="59"/>
      <c r="P763" s="59"/>
      <c r="Q763" s="61"/>
    </row>
    <row r="764">
      <c r="B764" s="59"/>
      <c r="D764" s="59"/>
      <c r="F764" s="59"/>
      <c r="H764" s="59"/>
      <c r="J764" s="59"/>
      <c r="L764" s="59"/>
      <c r="N764" s="59"/>
      <c r="P764" s="59"/>
      <c r="Q764" s="61"/>
    </row>
    <row r="765">
      <c r="B765" s="59"/>
      <c r="D765" s="59"/>
      <c r="F765" s="59"/>
      <c r="H765" s="59"/>
      <c r="J765" s="59"/>
      <c r="L765" s="59"/>
      <c r="N765" s="59"/>
      <c r="P765" s="59"/>
      <c r="Q765" s="61"/>
    </row>
    <row r="766">
      <c r="B766" s="59"/>
      <c r="D766" s="59"/>
      <c r="F766" s="59"/>
      <c r="H766" s="59"/>
      <c r="J766" s="59"/>
      <c r="L766" s="59"/>
      <c r="N766" s="59"/>
      <c r="P766" s="59"/>
      <c r="Q766" s="61"/>
    </row>
    <row r="767">
      <c r="B767" s="59"/>
      <c r="D767" s="59"/>
      <c r="F767" s="59"/>
      <c r="H767" s="59"/>
      <c r="J767" s="59"/>
      <c r="L767" s="59"/>
      <c r="N767" s="59"/>
      <c r="P767" s="59"/>
      <c r="Q767" s="61"/>
    </row>
    <row r="768">
      <c r="B768" s="59"/>
      <c r="D768" s="59"/>
      <c r="F768" s="59"/>
      <c r="H768" s="59"/>
      <c r="J768" s="59"/>
      <c r="L768" s="59"/>
      <c r="N768" s="59"/>
      <c r="P768" s="59"/>
      <c r="Q768" s="61"/>
    </row>
    <row r="769">
      <c r="B769" s="59"/>
      <c r="D769" s="59"/>
      <c r="F769" s="59"/>
      <c r="H769" s="59"/>
      <c r="J769" s="59"/>
      <c r="L769" s="59"/>
      <c r="N769" s="59"/>
      <c r="P769" s="59"/>
      <c r="Q769" s="61"/>
    </row>
    <row r="770">
      <c r="B770" s="59"/>
      <c r="D770" s="59"/>
      <c r="F770" s="59"/>
      <c r="H770" s="59"/>
      <c r="J770" s="59"/>
      <c r="L770" s="59"/>
      <c r="N770" s="59"/>
      <c r="P770" s="59"/>
      <c r="Q770" s="61"/>
    </row>
    <row r="771">
      <c r="B771" s="59"/>
      <c r="D771" s="59"/>
      <c r="F771" s="59"/>
      <c r="H771" s="59"/>
      <c r="J771" s="59"/>
      <c r="L771" s="59"/>
      <c r="N771" s="59"/>
      <c r="P771" s="59"/>
      <c r="Q771" s="61"/>
    </row>
    <row r="772">
      <c r="B772" s="59"/>
      <c r="D772" s="59"/>
      <c r="F772" s="59"/>
      <c r="H772" s="59"/>
      <c r="J772" s="59"/>
      <c r="L772" s="59"/>
      <c r="N772" s="59"/>
      <c r="P772" s="59"/>
      <c r="Q772" s="61"/>
    </row>
    <row r="773">
      <c r="B773" s="59"/>
      <c r="D773" s="59"/>
      <c r="F773" s="59"/>
      <c r="H773" s="59"/>
      <c r="J773" s="59"/>
      <c r="L773" s="59"/>
      <c r="N773" s="59"/>
      <c r="P773" s="59"/>
      <c r="Q773" s="61"/>
    </row>
    <row r="774">
      <c r="B774" s="59"/>
      <c r="D774" s="59"/>
      <c r="F774" s="59"/>
      <c r="H774" s="59"/>
      <c r="J774" s="59"/>
      <c r="L774" s="59"/>
      <c r="N774" s="59"/>
      <c r="P774" s="59"/>
      <c r="Q774" s="61"/>
    </row>
    <row r="775">
      <c r="B775" s="59"/>
      <c r="D775" s="59"/>
      <c r="F775" s="59"/>
      <c r="H775" s="59"/>
      <c r="J775" s="59"/>
      <c r="L775" s="59"/>
      <c r="N775" s="59"/>
      <c r="P775" s="59"/>
      <c r="Q775" s="61"/>
    </row>
    <row r="776">
      <c r="B776" s="59"/>
      <c r="D776" s="59"/>
      <c r="F776" s="59"/>
      <c r="H776" s="59"/>
      <c r="J776" s="59"/>
      <c r="L776" s="59"/>
      <c r="N776" s="59"/>
      <c r="P776" s="59"/>
      <c r="Q776" s="61"/>
    </row>
    <row r="777">
      <c r="B777" s="59"/>
      <c r="D777" s="59"/>
      <c r="F777" s="59"/>
      <c r="H777" s="59"/>
      <c r="J777" s="59"/>
      <c r="L777" s="59"/>
      <c r="N777" s="59"/>
      <c r="P777" s="59"/>
      <c r="Q777" s="61"/>
    </row>
    <row r="778">
      <c r="B778" s="59"/>
      <c r="D778" s="59"/>
      <c r="F778" s="59"/>
      <c r="H778" s="59"/>
      <c r="J778" s="59"/>
      <c r="L778" s="59"/>
      <c r="N778" s="59"/>
      <c r="P778" s="59"/>
      <c r="Q778" s="61"/>
    </row>
    <row r="779">
      <c r="B779" s="59"/>
      <c r="D779" s="59"/>
      <c r="F779" s="59"/>
      <c r="H779" s="59"/>
      <c r="J779" s="59"/>
      <c r="L779" s="59"/>
      <c r="N779" s="59"/>
      <c r="P779" s="59"/>
      <c r="Q779" s="61"/>
    </row>
    <row r="780">
      <c r="B780" s="59"/>
      <c r="D780" s="59"/>
      <c r="F780" s="59"/>
      <c r="H780" s="59"/>
      <c r="J780" s="59"/>
      <c r="L780" s="59"/>
      <c r="N780" s="59"/>
      <c r="P780" s="59"/>
      <c r="Q780" s="61"/>
    </row>
    <row r="781">
      <c r="B781" s="59"/>
      <c r="D781" s="59"/>
      <c r="F781" s="59"/>
      <c r="H781" s="59"/>
      <c r="J781" s="59"/>
      <c r="L781" s="59"/>
      <c r="N781" s="59"/>
      <c r="P781" s="59"/>
      <c r="Q781" s="61"/>
    </row>
    <row r="782">
      <c r="B782" s="59"/>
      <c r="D782" s="59"/>
      <c r="F782" s="59"/>
      <c r="H782" s="59"/>
      <c r="J782" s="59"/>
      <c r="L782" s="59"/>
      <c r="N782" s="59"/>
      <c r="P782" s="59"/>
      <c r="Q782" s="61"/>
    </row>
    <row r="783">
      <c r="B783" s="59"/>
      <c r="D783" s="59"/>
      <c r="F783" s="59"/>
      <c r="H783" s="59"/>
      <c r="J783" s="59"/>
      <c r="L783" s="59"/>
      <c r="N783" s="59"/>
      <c r="P783" s="59"/>
      <c r="Q783" s="61"/>
    </row>
    <row r="784">
      <c r="B784" s="59"/>
      <c r="D784" s="59"/>
      <c r="F784" s="59"/>
      <c r="H784" s="59"/>
      <c r="J784" s="59"/>
      <c r="L784" s="59"/>
      <c r="N784" s="59"/>
      <c r="P784" s="59"/>
      <c r="Q784" s="61"/>
    </row>
    <row r="785">
      <c r="B785" s="59"/>
      <c r="D785" s="59"/>
      <c r="F785" s="59"/>
      <c r="H785" s="59"/>
      <c r="J785" s="59"/>
      <c r="L785" s="59"/>
      <c r="N785" s="59"/>
      <c r="P785" s="59"/>
      <c r="Q785" s="61"/>
    </row>
    <row r="786">
      <c r="B786" s="59"/>
      <c r="D786" s="59"/>
      <c r="F786" s="59"/>
      <c r="H786" s="59"/>
      <c r="J786" s="59"/>
      <c r="L786" s="59"/>
      <c r="N786" s="59"/>
      <c r="P786" s="59"/>
      <c r="Q786" s="61"/>
    </row>
    <row r="787">
      <c r="B787" s="59"/>
      <c r="D787" s="59"/>
      <c r="F787" s="59"/>
      <c r="H787" s="59"/>
      <c r="J787" s="59"/>
      <c r="L787" s="59"/>
      <c r="N787" s="59"/>
      <c r="P787" s="59"/>
      <c r="Q787" s="61"/>
    </row>
    <row r="788">
      <c r="B788" s="59"/>
      <c r="D788" s="59"/>
      <c r="F788" s="59"/>
      <c r="H788" s="59"/>
      <c r="J788" s="59"/>
      <c r="L788" s="59"/>
      <c r="N788" s="59"/>
      <c r="P788" s="59"/>
      <c r="Q788" s="61"/>
    </row>
    <row r="789">
      <c r="B789" s="59"/>
      <c r="D789" s="59"/>
      <c r="F789" s="59"/>
      <c r="H789" s="59"/>
      <c r="J789" s="59"/>
      <c r="L789" s="59"/>
      <c r="N789" s="59"/>
      <c r="P789" s="59"/>
      <c r="Q789" s="61"/>
    </row>
    <row r="790">
      <c r="B790" s="59"/>
      <c r="D790" s="59"/>
      <c r="F790" s="59"/>
      <c r="H790" s="59"/>
      <c r="J790" s="59"/>
      <c r="L790" s="59"/>
      <c r="N790" s="59"/>
      <c r="P790" s="59"/>
      <c r="Q790" s="61"/>
    </row>
    <row r="791">
      <c r="B791" s="59"/>
      <c r="D791" s="59"/>
      <c r="F791" s="59"/>
      <c r="H791" s="59"/>
      <c r="J791" s="59"/>
      <c r="L791" s="59"/>
      <c r="N791" s="59"/>
      <c r="P791" s="59"/>
      <c r="Q791" s="61"/>
    </row>
    <row r="792">
      <c r="B792" s="59"/>
      <c r="D792" s="59"/>
      <c r="F792" s="59"/>
      <c r="H792" s="59"/>
      <c r="J792" s="59"/>
      <c r="L792" s="59"/>
      <c r="N792" s="59"/>
      <c r="P792" s="59"/>
      <c r="Q792" s="61"/>
    </row>
    <row r="793">
      <c r="B793" s="59"/>
      <c r="D793" s="59"/>
      <c r="F793" s="59"/>
      <c r="H793" s="59"/>
      <c r="J793" s="59"/>
      <c r="L793" s="59"/>
      <c r="N793" s="59"/>
      <c r="P793" s="59"/>
      <c r="Q793" s="61"/>
    </row>
    <row r="794">
      <c r="B794" s="59"/>
      <c r="D794" s="59"/>
      <c r="F794" s="59"/>
      <c r="H794" s="59"/>
      <c r="J794" s="59"/>
      <c r="L794" s="59"/>
      <c r="N794" s="59"/>
      <c r="P794" s="59"/>
      <c r="Q794" s="61"/>
    </row>
    <row r="795">
      <c r="B795" s="59"/>
      <c r="D795" s="59"/>
      <c r="F795" s="59"/>
      <c r="H795" s="59"/>
      <c r="J795" s="59"/>
      <c r="L795" s="59"/>
      <c r="N795" s="59"/>
      <c r="P795" s="59"/>
      <c r="Q795" s="61"/>
    </row>
    <row r="796">
      <c r="B796" s="59"/>
      <c r="D796" s="59"/>
      <c r="F796" s="59"/>
      <c r="H796" s="59"/>
      <c r="J796" s="59"/>
      <c r="L796" s="59"/>
      <c r="N796" s="59"/>
      <c r="P796" s="59"/>
      <c r="Q796" s="61"/>
    </row>
    <row r="797">
      <c r="B797" s="59"/>
      <c r="D797" s="59"/>
      <c r="F797" s="59"/>
      <c r="H797" s="59"/>
      <c r="J797" s="59"/>
      <c r="L797" s="59"/>
      <c r="N797" s="59"/>
      <c r="P797" s="59"/>
      <c r="Q797" s="61"/>
    </row>
    <row r="798">
      <c r="B798" s="59"/>
      <c r="D798" s="59"/>
      <c r="F798" s="59"/>
      <c r="H798" s="59"/>
      <c r="J798" s="59"/>
      <c r="L798" s="59"/>
      <c r="N798" s="59"/>
      <c r="P798" s="59"/>
      <c r="Q798" s="61"/>
    </row>
    <row r="799">
      <c r="B799" s="59"/>
      <c r="D799" s="59"/>
      <c r="F799" s="59"/>
      <c r="H799" s="59"/>
      <c r="J799" s="59"/>
      <c r="L799" s="59"/>
      <c r="N799" s="59"/>
      <c r="P799" s="59"/>
      <c r="Q799" s="61"/>
    </row>
    <row r="800">
      <c r="B800" s="59"/>
      <c r="D800" s="59"/>
      <c r="F800" s="59"/>
      <c r="H800" s="59"/>
      <c r="J800" s="59"/>
      <c r="L800" s="59"/>
      <c r="N800" s="59"/>
      <c r="P800" s="59"/>
      <c r="Q800" s="61"/>
    </row>
    <row r="801">
      <c r="B801" s="59"/>
      <c r="D801" s="59"/>
      <c r="F801" s="59"/>
      <c r="H801" s="59"/>
      <c r="J801" s="59"/>
      <c r="L801" s="59"/>
      <c r="N801" s="59"/>
      <c r="P801" s="59"/>
      <c r="Q801" s="61"/>
    </row>
    <row r="802">
      <c r="B802" s="59"/>
      <c r="D802" s="59"/>
      <c r="F802" s="59"/>
      <c r="H802" s="59"/>
      <c r="J802" s="59"/>
      <c r="L802" s="59"/>
      <c r="N802" s="59"/>
      <c r="P802" s="59"/>
      <c r="Q802" s="61"/>
    </row>
    <row r="803">
      <c r="B803" s="59"/>
      <c r="D803" s="59"/>
      <c r="F803" s="59"/>
      <c r="H803" s="59"/>
      <c r="J803" s="59"/>
      <c r="L803" s="59"/>
      <c r="N803" s="59"/>
      <c r="P803" s="59"/>
      <c r="Q803" s="61"/>
    </row>
    <row r="804">
      <c r="B804" s="59"/>
      <c r="D804" s="59"/>
      <c r="F804" s="59"/>
      <c r="H804" s="59"/>
      <c r="J804" s="59"/>
      <c r="L804" s="59"/>
      <c r="N804" s="59"/>
      <c r="P804" s="59"/>
      <c r="Q804" s="61"/>
    </row>
    <row r="805">
      <c r="B805" s="59"/>
      <c r="D805" s="59"/>
      <c r="F805" s="59"/>
      <c r="H805" s="59"/>
      <c r="J805" s="59"/>
      <c r="L805" s="59"/>
      <c r="N805" s="59"/>
      <c r="P805" s="59"/>
      <c r="Q805" s="61"/>
    </row>
    <row r="806">
      <c r="B806" s="59"/>
      <c r="D806" s="59"/>
      <c r="F806" s="59"/>
      <c r="H806" s="59"/>
      <c r="J806" s="59"/>
      <c r="L806" s="59"/>
      <c r="N806" s="59"/>
      <c r="P806" s="59"/>
      <c r="Q806" s="61"/>
    </row>
    <row r="807">
      <c r="B807" s="59"/>
      <c r="D807" s="59"/>
      <c r="F807" s="59"/>
      <c r="H807" s="59"/>
      <c r="J807" s="59"/>
      <c r="L807" s="59"/>
      <c r="N807" s="59"/>
      <c r="P807" s="59"/>
      <c r="Q807" s="61"/>
    </row>
    <row r="808">
      <c r="B808" s="59"/>
      <c r="D808" s="59"/>
      <c r="F808" s="59"/>
      <c r="H808" s="59"/>
      <c r="J808" s="59"/>
      <c r="L808" s="59"/>
      <c r="N808" s="59"/>
      <c r="P808" s="59"/>
      <c r="Q808" s="61"/>
    </row>
    <row r="809">
      <c r="B809" s="59"/>
      <c r="D809" s="59"/>
      <c r="F809" s="59"/>
      <c r="H809" s="59"/>
      <c r="J809" s="59"/>
      <c r="L809" s="59"/>
      <c r="N809" s="59"/>
      <c r="P809" s="59"/>
      <c r="Q809" s="61"/>
    </row>
    <row r="810">
      <c r="B810" s="59"/>
      <c r="D810" s="59"/>
      <c r="F810" s="59"/>
      <c r="H810" s="59"/>
      <c r="J810" s="59"/>
      <c r="L810" s="59"/>
      <c r="N810" s="59"/>
      <c r="P810" s="59"/>
      <c r="Q810" s="61"/>
    </row>
    <row r="811">
      <c r="B811" s="59"/>
      <c r="D811" s="59"/>
      <c r="F811" s="59"/>
      <c r="H811" s="59"/>
      <c r="J811" s="59"/>
      <c r="L811" s="59"/>
      <c r="N811" s="59"/>
      <c r="P811" s="59"/>
      <c r="Q811" s="61"/>
    </row>
    <row r="812">
      <c r="B812" s="59"/>
      <c r="D812" s="59"/>
      <c r="F812" s="59"/>
      <c r="H812" s="59"/>
      <c r="J812" s="59"/>
      <c r="L812" s="59"/>
      <c r="N812" s="59"/>
      <c r="P812" s="59"/>
      <c r="Q812" s="61"/>
    </row>
    <row r="813">
      <c r="B813" s="59"/>
      <c r="D813" s="59"/>
      <c r="F813" s="59"/>
      <c r="H813" s="59"/>
      <c r="J813" s="59"/>
      <c r="L813" s="59"/>
      <c r="N813" s="59"/>
      <c r="P813" s="59"/>
      <c r="Q813" s="61"/>
    </row>
    <row r="814">
      <c r="B814" s="59"/>
      <c r="D814" s="59"/>
      <c r="F814" s="59"/>
      <c r="H814" s="59"/>
      <c r="J814" s="59"/>
      <c r="L814" s="59"/>
      <c r="N814" s="59"/>
      <c r="P814" s="59"/>
      <c r="Q814" s="61"/>
    </row>
    <row r="815">
      <c r="B815" s="59"/>
      <c r="D815" s="59"/>
      <c r="F815" s="59"/>
      <c r="H815" s="59"/>
      <c r="J815" s="59"/>
      <c r="L815" s="59"/>
      <c r="N815" s="59"/>
      <c r="P815" s="59"/>
      <c r="Q815" s="61"/>
    </row>
    <row r="816">
      <c r="B816" s="59"/>
      <c r="D816" s="59"/>
      <c r="F816" s="59"/>
      <c r="H816" s="59"/>
      <c r="J816" s="59"/>
      <c r="L816" s="59"/>
      <c r="N816" s="59"/>
      <c r="P816" s="59"/>
      <c r="Q816" s="61"/>
    </row>
    <row r="817">
      <c r="B817" s="59"/>
      <c r="D817" s="59"/>
      <c r="F817" s="59"/>
      <c r="H817" s="59"/>
      <c r="J817" s="59"/>
      <c r="L817" s="59"/>
      <c r="N817" s="59"/>
      <c r="P817" s="59"/>
      <c r="Q817" s="61"/>
    </row>
    <row r="818">
      <c r="B818" s="59"/>
      <c r="D818" s="59"/>
      <c r="F818" s="59"/>
      <c r="H818" s="59"/>
      <c r="J818" s="59"/>
      <c r="L818" s="59"/>
      <c r="N818" s="59"/>
      <c r="P818" s="59"/>
      <c r="Q818" s="61"/>
    </row>
    <row r="819">
      <c r="B819" s="59"/>
      <c r="D819" s="59"/>
      <c r="F819" s="59"/>
      <c r="H819" s="59"/>
      <c r="J819" s="59"/>
      <c r="L819" s="59"/>
      <c r="N819" s="59"/>
      <c r="P819" s="59"/>
      <c r="Q819" s="61"/>
    </row>
    <row r="820">
      <c r="B820" s="59"/>
      <c r="D820" s="59"/>
      <c r="F820" s="59"/>
      <c r="H820" s="59"/>
      <c r="J820" s="59"/>
      <c r="L820" s="59"/>
      <c r="N820" s="59"/>
      <c r="P820" s="59"/>
      <c r="Q820" s="61"/>
    </row>
    <row r="821">
      <c r="B821" s="59"/>
      <c r="D821" s="59"/>
      <c r="F821" s="59"/>
      <c r="H821" s="59"/>
      <c r="J821" s="59"/>
      <c r="L821" s="59"/>
      <c r="N821" s="59"/>
      <c r="P821" s="59"/>
      <c r="Q821" s="61"/>
    </row>
    <row r="822">
      <c r="B822" s="59"/>
      <c r="D822" s="59"/>
      <c r="F822" s="59"/>
      <c r="H822" s="59"/>
      <c r="J822" s="59"/>
      <c r="L822" s="59"/>
      <c r="N822" s="59"/>
      <c r="P822" s="59"/>
      <c r="Q822" s="61"/>
    </row>
    <row r="823">
      <c r="B823" s="59"/>
      <c r="D823" s="59"/>
      <c r="F823" s="59"/>
      <c r="H823" s="59"/>
      <c r="J823" s="59"/>
      <c r="L823" s="59"/>
      <c r="N823" s="59"/>
      <c r="P823" s="59"/>
      <c r="Q823" s="61"/>
    </row>
    <row r="824">
      <c r="B824" s="59"/>
      <c r="D824" s="59"/>
      <c r="F824" s="59"/>
      <c r="H824" s="59"/>
      <c r="J824" s="59"/>
      <c r="L824" s="59"/>
      <c r="N824" s="59"/>
      <c r="P824" s="59"/>
      <c r="Q824" s="61"/>
    </row>
    <row r="825">
      <c r="B825" s="59"/>
      <c r="D825" s="59"/>
      <c r="F825" s="59"/>
      <c r="H825" s="59"/>
      <c r="J825" s="59"/>
      <c r="L825" s="59"/>
      <c r="N825" s="59"/>
      <c r="P825" s="59"/>
      <c r="Q825" s="61"/>
    </row>
    <row r="826">
      <c r="B826" s="59"/>
      <c r="D826" s="59"/>
      <c r="F826" s="59"/>
      <c r="H826" s="59"/>
      <c r="J826" s="59"/>
      <c r="L826" s="59"/>
      <c r="N826" s="59"/>
      <c r="P826" s="59"/>
      <c r="Q826" s="61"/>
    </row>
    <row r="827">
      <c r="B827" s="59"/>
      <c r="D827" s="59"/>
      <c r="F827" s="59"/>
      <c r="H827" s="59"/>
      <c r="J827" s="59"/>
      <c r="L827" s="59"/>
      <c r="N827" s="59"/>
      <c r="P827" s="59"/>
      <c r="Q827" s="61"/>
    </row>
    <row r="828">
      <c r="B828" s="59"/>
      <c r="D828" s="59"/>
      <c r="F828" s="59"/>
      <c r="H828" s="59"/>
      <c r="J828" s="59"/>
      <c r="L828" s="59"/>
      <c r="N828" s="59"/>
      <c r="P828" s="59"/>
      <c r="Q828" s="61"/>
    </row>
    <row r="829">
      <c r="B829" s="59"/>
      <c r="D829" s="59"/>
      <c r="F829" s="59"/>
      <c r="H829" s="59"/>
      <c r="J829" s="59"/>
      <c r="L829" s="59"/>
      <c r="N829" s="59"/>
      <c r="P829" s="59"/>
      <c r="Q829" s="61"/>
    </row>
    <row r="830">
      <c r="B830" s="59"/>
      <c r="D830" s="59"/>
      <c r="F830" s="59"/>
      <c r="H830" s="59"/>
      <c r="J830" s="59"/>
      <c r="L830" s="59"/>
      <c r="N830" s="59"/>
      <c r="P830" s="59"/>
      <c r="Q830" s="61"/>
    </row>
    <row r="831">
      <c r="B831" s="59"/>
      <c r="D831" s="59"/>
      <c r="F831" s="59"/>
      <c r="H831" s="59"/>
      <c r="J831" s="59"/>
      <c r="L831" s="59"/>
      <c r="N831" s="59"/>
      <c r="P831" s="59"/>
      <c r="Q831" s="61"/>
    </row>
    <row r="832">
      <c r="B832" s="59"/>
      <c r="D832" s="59"/>
      <c r="F832" s="59"/>
      <c r="H832" s="59"/>
      <c r="J832" s="59"/>
      <c r="L832" s="59"/>
      <c r="N832" s="59"/>
      <c r="P832" s="59"/>
      <c r="Q832" s="61"/>
    </row>
    <row r="833">
      <c r="B833" s="59"/>
      <c r="D833" s="59"/>
      <c r="F833" s="59"/>
      <c r="H833" s="59"/>
      <c r="J833" s="59"/>
      <c r="L833" s="59"/>
      <c r="N833" s="59"/>
      <c r="P833" s="59"/>
      <c r="Q833" s="61"/>
    </row>
    <row r="834">
      <c r="B834" s="59"/>
      <c r="D834" s="59"/>
      <c r="F834" s="59"/>
      <c r="H834" s="59"/>
      <c r="J834" s="59"/>
      <c r="L834" s="59"/>
      <c r="N834" s="59"/>
      <c r="P834" s="59"/>
      <c r="Q834" s="61"/>
    </row>
    <row r="835">
      <c r="B835" s="59"/>
      <c r="D835" s="59"/>
      <c r="F835" s="59"/>
      <c r="H835" s="59"/>
      <c r="J835" s="59"/>
      <c r="L835" s="59"/>
      <c r="N835" s="59"/>
      <c r="P835" s="59"/>
      <c r="Q835" s="61"/>
    </row>
    <row r="836">
      <c r="B836" s="59"/>
      <c r="D836" s="59"/>
      <c r="F836" s="59"/>
      <c r="H836" s="59"/>
      <c r="J836" s="59"/>
      <c r="L836" s="59"/>
      <c r="N836" s="59"/>
      <c r="P836" s="59"/>
      <c r="Q836" s="61"/>
    </row>
    <row r="837">
      <c r="B837" s="59"/>
      <c r="D837" s="59"/>
      <c r="F837" s="59"/>
      <c r="H837" s="59"/>
      <c r="J837" s="59"/>
      <c r="L837" s="59"/>
      <c r="N837" s="59"/>
      <c r="P837" s="59"/>
      <c r="Q837" s="61"/>
    </row>
    <row r="838">
      <c r="B838" s="59"/>
      <c r="D838" s="59"/>
      <c r="F838" s="59"/>
      <c r="H838" s="59"/>
      <c r="J838" s="59"/>
      <c r="L838" s="59"/>
      <c r="N838" s="59"/>
      <c r="P838" s="59"/>
      <c r="Q838" s="61"/>
    </row>
    <row r="839">
      <c r="B839" s="59"/>
      <c r="D839" s="59"/>
      <c r="F839" s="59"/>
      <c r="H839" s="59"/>
      <c r="J839" s="59"/>
      <c r="L839" s="59"/>
      <c r="N839" s="59"/>
      <c r="P839" s="59"/>
      <c r="Q839" s="61"/>
    </row>
    <row r="840">
      <c r="B840" s="59"/>
      <c r="D840" s="59"/>
      <c r="F840" s="59"/>
      <c r="H840" s="59"/>
      <c r="J840" s="59"/>
      <c r="L840" s="59"/>
      <c r="N840" s="59"/>
      <c r="P840" s="59"/>
      <c r="Q840" s="61"/>
    </row>
    <row r="841">
      <c r="B841" s="59"/>
      <c r="D841" s="59"/>
      <c r="F841" s="59"/>
      <c r="H841" s="59"/>
      <c r="J841" s="59"/>
      <c r="L841" s="59"/>
      <c r="N841" s="59"/>
      <c r="P841" s="59"/>
      <c r="Q841" s="61"/>
    </row>
    <row r="842">
      <c r="B842" s="59"/>
      <c r="D842" s="59"/>
      <c r="F842" s="59"/>
      <c r="H842" s="59"/>
      <c r="J842" s="59"/>
      <c r="L842" s="59"/>
      <c r="N842" s="59"/>
      <c r="P842" s="59"/>
      <c r="Q842" s="61"/>
    </row>
    <row r="843">
      <c r="B843" s="59"/>
      <c r="D843" s="59"/>
      <c r="F843" s="59"/>
      <c r="H843" s="59"/>
      <c r="J843" s="59"/>
      <c r="L843" s="59"/>
      <c r="N843" s="59"/>
      <c r="P843" s="59"/>
      <c r="Q843" s="61"/>
    </row>
    <row r="844">
      <c r="B844" s="59"/>
      <c r="D844" s="59"/>
      <c r="F844" s="59"/>
      <c r="H844" s="59"/>
      <c r="J844" s="59"/>
      <c r="L844" s="59"/>
      <c r="N844" s="59"/>
      <c r="P844" s="59"/>
      <c r="Q844" s="61"/>
    </row>
    <row r="845">
      <c r="B845" s="59"/>
      <c r="D845" s="59"/>
      <c r="F845" s="59"/>
      <c r="H845" s="59"/>
      <c r="J845" s="59"/>
      <c r="L845" s="59"/>
      <c r="N845" s="59"/>
      <c r="P845" s="59"/>
      <c r="Q845" s="61"/>
    </row>
    <row r="846">
      <c r="B846" s="59"/>
      <c r="D846" s="59"/>
      <c r="F846" s="59"/>
      <c r="H846" s="59"/>
      <c r="J846" s="59"/>
      <c r="L846" s="59"/>
      <c r="N846" s="59"/>
      <c r="P846" s="59"/>
      <c r="Q846" s="61"/>
    </row>
    <row r="847">
      <c r="B847" s="59"/>
      <c r="D847" s="59"/>
      <c r="F847" s="59"/>
      <c r="H847" s="59"/>
      <c r="J847" s="59"/>
      <c r="L847" s="59"/>
      <c r="N847" s="59"/>
      <c r="P847" s="59"/>
      <c r="Q847" s="61"/>
    </row>
    <row r="848">
      <c r="B848" s="59"/>
      <c r="D848" s="59"/>
      <c r="F848" s="59"/>
      <c r="H848" s="59"/>
      <c r="J848" s="59"/>
      <c r="L848" s="59"/>
      <c r="N848" s="59"/>
      <c r="P848" s="59"/>
      <c r="Q848" s="61"/>
    </row>
    <row r="849">
      <c r="B849" s="59"/>
      <c r="D849" s="59"/>
      <c r="F849" s="59"/>
      <c r="H849" s="59"/>
      <c r="J849" s="59"/>
      <c r="L849" s="59"/>
      <c r="N849" s="59"/>
      <c r="P849" s="59"/>
      <c r="Q849" s="61"/>
    </row>
    <row r="850">
      <c r="B850" s="59"/>
      <c r="D850" s="59"/>
      <c r="F850" s="59"/>
      <c r="H850" s="59"/>
      <c r="J850" s="59"/>
      <c r="L850" s="59"/>
      <c r="N850" s="59"/>
      <c r="P850" s="59"/>
      <c r="Q850" s="61"/>
    </row>
    <row r="851">
      <c r="B851" s="59"/>
      <c r="D851" s="59"/>
      <c r="F851" s="59"/>
      <c r="H851" s="59"/>
      <c r="J851" s="59"/>
      <c r="L851" s="59"/>
      <c r="N851" s="59"/>
      <c r="P851" s="59"/>
      <c r="Q851" s="61"/>
    </row>
    <row r="852">
      <c r="B852" s="59"/>
      <c r="D852" s="59"/>
      <c r="F852" s="59"/>
      <c r="H852" s="59"/>
      <c r="J852" s="59"/>
      <c r="L852" s="59"/>
      <c r="N852" s="59"/>
      <c r="P852" s="59"/>
      <c r="Q852" s="61"/>
    </row>
    <row r="853">
      <c r="B853" s="59"/>
      <c r="D853" s="59"/>
      <c r="F853" s="59"/>
      <c r="H853" s="59"/>
      <c r="J853" s="59"/>
      <c r="L853" s="59"/>
      <c r="N853" s="59"/>
      <c r="P853" s="59"/>
      <c r="Q853" s="61"/>
    </row>
    <row r="854">
      <c r="B854" s="59"/>
      <c r="D854" s="59"/>
      <c r="F854" s="59"/>
      <c r="H854" s="59"/>
      <c r="J854" s="59"/>
      <c r="L854" s="59"/>
      <c r="N854" s="59"/>
      <c r="P854" s="59"/>
      <c r="Q854" s="61"/>
    </row>
    <row r="855">
      <c r="B855" s="59"/>
      <c r="D855" s="59"/>
      <c r="F855" s="59"/>
      <c r="H855" s="59"/>
      <c r="J855" s="59"/>
      <c r="L855" s="59"/>
      <c r="N855" s="59"/>
      <c r="P855" s="59"/>
      <c r="Q855" s="61"/>
    </row>
    <row r="856">
      <c r="B856" s="59"/>
      <c r="D856" s="59"/>
      <c r="F856" s="59"/>
      <c r="H856" s="59"/>
      <c r="J856" s="59"/>
      <c r="L856" s="59"/>
      <c r="N856" s="59"/>
      <c r="P856" s="59"/>
      <c r="Q856" s="61"/>
    </row>
    <row r="857">
      <c r="B857" s="59"/>
      <c r="D857" s="59"/>
      <c r="F857" s="59"/>
      <c r="H857" s="59"/>
      <c r="J857" s="59"/>
      <c r="L857" s="59"/>
      <c r="N857" s="59"/>
      <c r="P857" s="59"/>
      <c r="Q857" s="61"/>
    </row>
    <row r="858">
      <c r="B858" s="59"/>
      <c r="D858" s="59"/>
      <c r="F858" s="59"/>
      <c r="H858" s="59"/>
      <c r="J858" s="59"/>
      <c r="L858" s="59"/>
      <c r="N858" s="59"/>
      <c r="P858" s="59"/>
      <c r="Q858" s="61"/>
    </row>
    <row r="859">
      <c r="B859" s="59"/>
      <c r="D859" s="59"/>
      <c r="F859" s="59"/>
      <c r="H859" s="59"/>
      <c r="J859" s="59"/>
      <c r="L859" s="59"/>
      <c r="N859" s="59"/>
      <c r="P859" s="59"/>
      <c r="Q859" s="61"/>
    </row>
    <row r="860">
      <c r="B860" s="59"/>
      <c r="D860" s="59"/>
      <c r="F860" s="59"/>
      <c r="H860" s="59"/>
      <c r="J860" s="59"/>
      <c r="L860" s="59"/>
      <c r="N860" s="59"/>
      <c r="P860" s="59"/>
      <c r="Q860" s="61"/>
    </row>
    <row r="861">
      <c r="B861" s="59"/>
      <c r="D861" s="59"/>
      <c r="F861" s="59"/>
      <c r="H861" s="59"/>
      <c r="J861" s="59"/>
      <c r="L861" s="59"/>
      <c r="N861" s="59"/>
      <c r="P861" s="59"/>
      <c r="Q861" s="61"/>
    </row>
    <row r="862">
      <c r="B862" s="59"/>
      <c r="D862" s="59"/>
      <c r="F862" s="59"/>
      <c r="H862" s="59"/>
      <c r="J862" s="59"/>
      <c r="L862" s="59"/>
      <c r="N862" s="59"/>
      <c r="P862" s="59"/>
      <c r="Q862" s="61"/>
    </row>
    <row r="863">
      <c r="B863" s="59"/>
      <c r="D863" s="59"/>
      <c r="F863" s="59"/>
      <c r="H863" s="59"/>
      <c r="J863" s="59"/>
      <c r="L863" s="59"/>
      <c r="N863" s="59"/>
      <c r="P863" s="59"/>
      <c r="Q863" s="61"/>
    </row>
    <row r="864">
      <c r="B864" s="59"/>
      <c r="D864" s="59"/>
      <c r="F864" s="59"/>
      <c r="H864" s="59"/>
      <c r="J864" s="59"/>
      <c r="L864" s="59"/>
      <c r="N864" s="59"/>
      <c r="P864" s="59"/>
      <c r="Q864" s="61"/>
    </row>
    <row r="865">
      <c r="B865" s="59"/>
      <c r="D865" s="59"/>
      <c r="F865" s="59"/>
      <c r="H865" s="59"/>
      <c r="J865" s="59"/>
      <c r="L865" s="59"/>
      <c r="N865" s="59"/>
      <c r="P865" s="59"/>
      <c r="Q865" s="61"/>
    </row>
    <row r="866">
      <c r="B866" s="59"/>
      <c r="D866" s="59"/>
      <c r="F866" s="59"/>
      <c r="H866" s="59"/>
      <c r="J866" s="59"/>
      <c r="L866" s="59"/>
      <c r="N866" s="59"/>
      <c r="P866" s="59"/>
      <c r="Q866" s="61"/>
    </row>
    <row r="867">
      <c r="B867" s="59"/>
      <c r="D867" s="59"/>
      <c r="F867" s="59"/>
      <c r="H867" s="59"/>
      <c r="J867" s="59"/>
      <c r="L867" s="59"/>
      <c r="N867" s="59"/>
      <c r="P867" s="59"/>
      <c r="Q867" s="61"/>
    </row>
    <row r="868">
      <c r="B868" s="59"/>
      <c r="D868" s="59"/>
      <c r="F868" s="59"/>
      <c r="H868" s="59"/>
      <c r="J868" s="59"/>
      <c r="L868" s="59"/>
      <c r="N868" s="59"/>
      <c r="P868" s="59"/>
      <c r="Q868" s="61"/>
    </row>
    <row r="869">
      <c r="B869" s="59"/>
      <c r="D869" s="59"/>
      <c r="F869" s="59"/>
      <c r="H869" s="59"/>
      <c r="J869" s="59"/>
      <c r="L869" s="59"/>
      <c r="N869" s="59"/>
      <c r="P869" s="59"/>
      <c r="Q869" s="61"/>
    </row>
    <row r="870">
      <c r="B870" s="59"/>
      <c r="D870" s="59"/>
      <c r="F870" s="59"/>
      <c r="H870" s="59"/>
      <c r="J870" s="59"/>
      <c r="L870" s="59"/>
      <c r="N870" s="59"/>
      <c r="P870" s="59"/>
      <c r="Q870" s="61"/>
    </row>
    <row r="871">
      <c r="B871" s="59"/>
      <c r="D871" s="59"/>
      <c r="F871" s="59"/>
      <c r="H871" s="59"/>
      <c r="J871" s="59"/>
      <c r="L871" s="59"/>
      <c r="N871" s="59"/>
      <c r="P871" s="59"/>
      <c r="Q871" s="61"/>
    </row>
    <row r="872">
      <c r="B872" s="59"/>
      <c r="D872" s="59"/>
      <c r="F872" s="59"/>
      <c r="H872" s="59"/>
      <c r="J872" s="59"/>
      <c r="L872" s="59"/>
      <c r="N872" s="59"/>
      <c r="P872" s="59"/>
      <c r="Q872" s="61"/>
    </row>
    <row r="873">
      <c r="B873" s="59"/>
      <c r="D873" s="59"/>
      <c r="F873" s="59"/>
      <c r="H873" s="59"/>
      <c r="J873" s="59"/>
      <c r="L873" s="59"/>
      <c r="N873" s="59"/>
      <c r="P873" s="59"/>
      <c r="Q873" s="61"/>
    </row>
    <row r="874">
      <c r="B874" s="59"/>
      <c r="D874" s="59"/>
      <c r="F874" s="59"/>
      <c r="H874" s="59"/>
      <c r="J874" s="59"/>
      <c r="L874" s="59"/>
      <c r="N874" s="59"/>
      <c r="P874" s="59"/>
      <c r="Q874" s="61"/>
    </row>
    <row r="875">
      <c r="B875" s="59"/>
      <c r="D875" s="59"/>
      <c r="F875" s="59"/>
      <c r="H875" s="59"/>
      <c r="J875" s="59"/>
      <c r="L875" s="59"/>
      <c r="N875" s="59"/>
      <c r="P875" s="59"/>
      <c r="Q875" s="61"/>
    </row>
    <row r="876">
      <c r="B876" s="59"/>
      <c r="D876" s="59"/>
      <c r="F876" s="59"/>
      <c r="H876" s="59"/>
      <c r="J876" s="59"/>
      <c r="L876" s="59"/>
      <c r="N876" s="59"/>
      <c r="P876" s="59"/>
      <c r="Q876" s="61"/>
    </row>
    <row r="877">
      <c r="B877" s="59"/>
      <c r="D877" s="59"/>
      <c r="F877" s="59"/>
      <c r="H877" s="59"/>
      <c r="J877" s="59"/>
      <c r="L877" s="59"/>
      <c r="N877" s="59"/>
      <c r="P877" s="59"/>
      <c r="Q877" s="61"/>
    </row>
    <row r="878">
      <c r="B878" s="59"/>
      <c r="D878" s="59"/>
      <c r="F878" s="59"/>
      <c r="H878" s="59"/>
      <c r="J878" s="59"/>
      <c r="L878" s="59"/>
      <c r="N878" s="59"/>
      <c r="P878" s="59"/>
      <c r="Q878" s="61"/>
    </row>
    <row r="879">
      <c r="B879" s="59"/>
      <c r="D879" s="59"/>
      <c r="F879" s="59"/>
      <c r="H879" s="59"/>
      <c r="J879" s="59"/>
      <c r="L879" s="59"/>
      <c r="N879" s="59"/>
      <c r="P879" s="59"/>
      <c r="Q879" s="61"/>
    </row>
    <row r="880">
      <c r="B880" s="59"/>
      <c r="D880" s="59"/>
      <c r="F880" s="59"/>
      <c r="H880" s="59"/>
      <c r="J880" s="59"/>
      <c r="L880" s="59"/>
      <c r="N880" s="59"/>
      <c r="P880" s="59"/>
      <c r="Q880" s="61"/>
    </row>
    <row r="881">
      <c r="B881" s="59"/>
      <c r="D881" s="59"/>
      <c r="F881" s="59"/>
      <c r="H881" s="59"/>
      <c r="J881" s="59"/>
      <c r="L881" s="59"/>
      <c r="N881" s="59"/>
      <c r="P881" s="59"/>
      <c r="Q881" s="61"/>
    </row>
    <row r="882">
      <c r="B882" s="59"/>
      <c r="D882" s="59"/>
      <c r="F882" s="59"/>
      <c r="H882" s="59"/>
      <c r="J882" s="59"/>
      <c r="L882" s="59"/>
      <c r="N882" s="59"/>
      <c r="P882" s="59"/>
      <c r="Q882" s="61"/>
    </row>
    <row r="883">
      <c r="B883" s="59"/>
      <c r="D883" s="59"/>
      <c r="F883" s="59"/>
      <c r="H883" s="59"/>
      <c r="J883" s="59"/>
      <c r="L883" s="59"/>
      <c r="N883" s="59"/>
      <c r="P883" s="59"/>
      <c r="Q883" s="61"/>
    </row>
    <row r="884">
      <c r="B884" s="59"/>
      <c r="D884" s="59"/>
      <c r="F884" s="59"/>
      <c r="H884" s="59"/>
      <c r="J884" s="59"/>
      <c r="L884" s="59"/>
      <c r="N884" s="59"/>
      <c r="P884" s="59"/>
      <c r="Q884" s="61"/>
    </row>
    <row r="885">
      <c r="B885" s="59"/>
      <c r="D885" s="59"/>
      <c r="F885" s="59"/>
      <c r="H885" s="59"/>
      <c r="J885" s="59"/>
      <c r="L885" s="59"/>
      <c r="N885" s="59"/>
      <c r="P885" s="59"/>
      <c r="Q885" s="61"/>
    </row>
    <row r="886">
      <c r="B886" s="59"/>
      <c r="D886" s="59"/>
      <c r="F886" s="59"/>
      <c r="H886" s="59"/>
      <c r="J886" s="59"/>
      <c r="L886" s="59"/>
      <c r="N886" s="59"/>
      <c r="P886" s="59"/>
      <c r="Q886" s="61"/>
    </row>
    <row r="887">
      <c r="B887" s="59"/>
      <c r="D887" s="59"/>
      <c r="F887" s="59"/>
      <c r="H887" s="59"/>
      <c r="J887" s="59"/>
      <c r="L887" s="59"/>
      <c r="N887" s="59"/>
      <c r="P887" s="59"/>
      <c r="Q887" s="61"/>
    </row>
    <row r="888">
      <c r="B888" s="59"/>
      <c r="D888" s="59"/>
      <c r="F888" s="59"/>
      <c r="H888" s="59"/>
      <c r="J888" s="59"/>
      <c r="L888" s="59"/>
      <c r="N888" s="59"/>
      <c r="P888" s="59"/>
      <c r="Q888" s="61"/>
    </row>
    <row r="889">
      <c r="B889" s="59"/>
      <c r="D889" s="59"/>
      <c r="F889" s="59"/>
      <c r="H889" s="59"/>
      <c r="J889" s="59"/>
      <c r="L889" s="59"/>
      <c r="N889" s="59"/>
      <c r="P889" s="59"/>
      <c r="Q889" s="61"/>
    </row>
    <row r="890">
      <c r="B890" s="59"/>
      <c r="D890" s="59"/>
      <c r="F890" s="59"/>
      <c r="H890" s="59"/>
      <c r="J890" s="59"/>
      <c r="L890" s="59"/>
      <c r="N890" s="59"/>
      <c r="P890" s="59"/>
      <c r="Q890" s="61"/>
    </row>
    <row r="891">
      <c r="B891" s="59"/>
      <c r="D891" s="59"/>
      <c r="F891" s="59"/>
      <c r="H891" s="59"/>
      <c r="J891" s="59"/>
      <c r="L891" s="59"/>
      <c r="N891" s="59"/>
      <c r="P891" s="59"/>
      <c r="Q891" s="61"/>
    </row>
    <row r="892">
      <c r="B892" s="59"/>
      <c r="D892" s="59"/>
      <c r="F892" s="59"/>
      <c r="H892" s="59"/>
      <c r="J892" s="59"/>
      <c r="L892" s="59"/>
      <c r="N892" s="59"/>
      <c r="P892" s="59"/>
      <c r="Q892" s="61"/>
    </row>
    <row r="893">
      <c r="B893" s="59"/>
      <c r="D893" s="59"/>
      <c r="F893" s="59"/>
      <c r="H893" s="59"/>
      <c r="J893" s="59"/>
      <c r="L893" s="59"/>
      <c r="N893" s="59"/>
      <c r="P893" s="59"/>
      <c r="Q893" s="61"/>
    </row>
    <row r="894">
      <c r="B894" s="59"/>
      <c r="D894" s="59"/>
      <c r="F894" s="59"/>
      <c r="H894" s="59"/>
      <c r="J894" s="59"/>
      <c r="L894" s="59"/>
      <c r="N894" s="59"/>
      <c r="P894" s="59"/>
      <c r="Q894" s="61"/>
    </row>
    <row r="895">
      <c r="B895" s="59"/>
      <c r="D895" s="59"/>
      <c r="F895" s="59"/>
      <c r="H895" s="59"/>
      <c r="J895" s="59"/>
      <c r="L895" s="59"/>
      <c r="N895" s="59"/>
      <c r="P895" s="59"/>
      <c r="Q895" s="61"/>
    </row>
    <row r="896">
      <c r="B896" s="59"/>
      <c r="D896" s="59"/>
      <c r="F896" s="59"/>
      <c r="H896" s="59"/>
      <c r="J896" s="59"/>
      <c r="L896" s="59"/>
      <c r="N896" s="59"/>
      <c r="P896" s="59"/>
      <c r="Q896" s="61"/>
    </row>
    <row r="897">
      <c r="B897" s="59"/>
      <c r="D897" s="59"/>
      <c r="F897" s="59"/>
      <c r="H897" s="59"/>
      <c r="J897" s="59"/>
      <c r="L897" s="59"/>
      <c r="N897" s="59"/>
      <c r="P897" s="59"/>
      <c r="Q897" s="61"/>
    </row>
    <row r="898">
      <c r="B898" s="59"/>
      <c r="D898" s="59"/>
      <c r="F898" s="59"/>
      <c r="H898" s="59"/>
      <c r="J898" s="59"/>
      <c r="L898" s="59"/>
      <c r="N898" s="59"/>
      <c r="P898" s="59"/>
      <c r="Q898" s="61"/>
    </row>
    <row r="899">
      <c r="B899" s="59"/>
      <c r="D899" s="59"/>
      <c r="F899" s="59"/>
      <c r="H899" s="59"/>
      <c r="J899" s="59"/>
      <c r="L899" s="59"/>
      <c r="N899" s="59"/>
      <c r="P899" s="59"/>
      <c r="Q899" s="61"/>
    </row>
    <row r="900">
      <c r="B900" s="59"/>
      <c r="D900" s="59"/>
      <c r="F900" s="59"/>
      <c r="H900" s="59"/>
      <c r="J900" s="59"/>
      <c r="L900" s="59"/>
      <c r="N900" s="59"/>
      <c r="P900" s="59"/>
      <c r="Q900" s="61"/>
    </row>
    <row r="901">
      <c r="B901" s="59"/>
      <c r="D901" s="59"/>
      <c r="F901" s="59"/>
      <c r="H901" s="59"/>
      <c r="J901" s="59"/>
      <c r="L901" s="59"/>
      <c r="N901" s="59"/>
      <c r="P901" s="59"/>
      <c r="Q901" s="61"/>
    </row>
    <row r="902">
      <c r="B902" s="59"/>
      <c r="D902" s="59"/>
      <c r="F902" s="59"/>
      <c r="H902" s="59"/>
      <c r="J902" s="59"/>
      <c r="L902" s="59"/>
      <c r="N902" s="59"/>
      <c r="P902" s="59"/>
      <c r="Q902" s="61"/>
    </row>
    <row r="903">
      <c r="B903" s="59"/>
      <c r="D903" s="59"/>
      <c r="F903" s="59"/>
      <c r="H903" s="59"/>
      <c r="J903" s="59"/>
      <c r="L903" s="59"/>
      <c r="N903" s="59"/>
      <c r="P903" s="59"/>
      <c r="Q903" s="61"/>
    </row>
    <row r="904">
      <c r="B904" s="59"/>
      <c r="D904" s="59"/>
      <c r="F904" s="59"/>
      <c r="H904" s="59"/>
      <c r="J904" s="59"/>
      <c r="L904" s="59"/>
      <c r="N904" s="59"/>
      <c r="P904" s="59"/>
      <c r="Q904" s="61"/>
    </row>
    <row r="905">
      <c r="B905" s="59"/>
      <c r="D905" s="59"/>
      <c r="F905" s="59"/>
      <c r="H905" s="59"/>
      <c r="J905" s="59"/>
      <c r="L905" s="59"/>
      <c r="N905" s="59"/>
      <c r="P905" s="59"/>
      <c r="Q905" s="61"/>
    </row>
    <row r="906">
      <c r="B906" s="59"/>
      <c r="D906" s="59"/>
      <c r="F906" s="59"/>
      <c r="H906" s="59"/>
      <c r="J906" s="59"/>
      <c r="L906" s="59"/>
      <c r="N906" s="59"/>
      <c r="P906" s="59"/>
      <c r="Q906" s="61"/>
    </row>
    <row r="907">
      <c r="B907" s="59"/>
      <c r="D907" s="59"/>
      <c r="F907" s="59"/>
      <c r="H907" s="59"/>
      <c r="J907" s="59"/>
      <c r="L907" s="59"/>
      <c r="N907" s="59"/>
      <c r="P907" s="59"/>
      <c r="Q907" s="61"/>
    </row>
    <row r="908">
      <c r="B908" s="59"/>
      <c r="D908" s="59"/>
      <c r="F908" s="59"/>
      <c r="H908" s="59"/>
      <c r="J908" s="59"/>
      <c r="L908" s="59"/>
      <c r="N908" s="59"/>
      <c r="P908" s="59"/>
      <c r="Q908" s="61"/>
    </row>
    <row r="909">
      <c r="B909" s="59"/>
      <c r="D909" s="59"/>
      <c r="F909" s="59"/>
      <c r="H909" s="59"/>
      <c r="J909" s="59"/>
      <c r="L909" s="59"/>
      <c r="N909" s="59"/>
      <c r="P909" s="59"/>
      <c r="Q909" s="61"/>
    </row>
    <row r="910">
      <c r="B910" s="59"/>
      <c r="D910" s="59"/>
      <c r="F910" s="59"/>
      <c r="H910" s="59"/>
      <c r="J910" s="59"/>
      <c r="L910" s="59"/>
      <c r="N910" s="59"/>
      <c r="P910" s="59"/>
      <c r="Q910" s="61"/>
    </row>
    <row r="911">
      <c r="B911" s="59"/>
      <c r="D911" s="59"/>
      <c r="F911" s="59"/>
      <c r="H911" s="59"/>
      <c r="J911" s="59"/>
      <c r="L911" s="59"/>
      <c r="N911" s="59"/>
      <c r="P911" s="59"/>
      <c r="Q911" s="61"/>
    </row>
    <row r="912">
      <c r="B912" s="59"/>
      <c r="D912" s="59"/>
      <c r="F912" s="59"/>
      <c r="H912" s="59"/>
      <c r="J912" s="59"/>
      <c r="L912" s="59"/>
      <c r="N912" s="59"/>
      <c r="P912" s="59"/>
      <c r="Q912" s="61"/>
    </row>
    <row r="913">
      <c r="B913" s="59"/>
      <c r="D913" s="59"/>
      <c r="F913" s="59"/>
      <c r="H913" s="59"/>
      <c r="J913" s="59"/>
      <c r="L913" s="59"/>
      <c r="N913" s="59"/>
      <c r="P913" s="59"/>
      <c r="Q913" s="61"/>
    </row>
    <row r="914">
      <c r="B914" s="59"/>
      <c r="D914" s="59"/>
      <c r="F914" s="59"/>
      <c r="H914" s="59"/>
      <c r="J914" s="59"/>
      <c r="L914" s="59"/>
      <c r="N914" s="59"/>
      <c r="P914" s="59"/>
      <c r="Q914" s="61"/>
    </row>
    <row r="915">
      <c r="B915" s="59"/>
      <c r="D915" s="59"/>
      <c r="F915" s="59"/>
      <c r="H915" s="59"/>
      <c r="J915" s="59"/>
      <c r="L915" s="59"/>
      <c r="N915" s="59"/>
      <c r="P915" s="59"/>
      <c r="Q915" s="61"/>
    </row>
    <row r="916">
      <c r="B916" s="59"/>
      <c r="D916" s="59"/>
      <c r="F916" s="59"/>
      <c r="H916" s="59"/>
      <c r="J916" s="59"/>
      <c r="L916" s="59"/>
      <c r="N916" s="59"/>
      <c r="P916" s="59"/>
      <c r="Q916" s="61"/>
    </row>
    <row r="917">
      <c r="B917" s="59"/>
      <c r="D917" s="59"/>
      <c r="F917" s="59"/>
      <c r="H917" s="59"/>
      <c r="J917" s="59"/>
      <c r="L917" s="59"/>
      <c r="N917" s="59"/>
      <c r="P917" s="59"/>
      <c r="Q917" s="61"/>
    </row>
    <row r="918">
      <c r="B918" s="59"/>
      <c r="D918" s="59"/>
      <c r="F918" s="59"/>
      <c r="H918" s="59"/>
      <c r="J918" s="59"/>
      <c r="L918" s="59"/>
      <c r="N918" s="59"/>
      <c r="P918" s="59"/>
      <c r="Q918" s="61"/>
    </row>
    <row r="919">
      <c r="B919" s="59"/>
      <c r="D919" s="59"/>
      <c r="F919" s="59"/>
      <c r="H919" s="59"/>
      <c r="J919" s="59"/>
      <c r="L919" s="59"/>
      <c r="N919" s="59"/>
      <c r="P919" s="59"/>
      <c r="Q919" s="61"/>
    </row>
    <row r="920">
      <c r="B920" s="59"/>
      <c r="D920" s="59"/>
      <c r="F920" s="59"/>
      <c r="H920" s="59"/>
      <c r="J920" s="59"/>
      <c r="L920" s="59"/>
      <c r="N920" s="59"/>
      <c r="P920" s="59"/>
      <c r="Q920" s="61"/>
    </row>
    <row r="921">
      <c r="B921" s="59"/>
      <c r="D921" s="59"/>
      <c r="F921" s="59"/>
      <c r="H921" s="59"/>
      <c r="J921" s="59"/>
      <c r="L921" s="59"/>
      <c r="N921" s="59"/>
      <c r="P921" s="59"/>
      <c r="Q921" s="61"/>
    </row>
    <row r="922">
      <c r="B922" s="59"/>
      <c r="D922" s="59"/>
      <c r="F922" s="59"/>
      <c r="H922" s="59"/>
      <c r="J922" s="59"/>
      <c r="L922" s="59"/>
      <c r="N922" s="59"/>
      <c r="P922" s="59"/>
      <c r="Q922" s="61"/>
    </row>
    <row r="923">
      <c r="B923" s="59"/>
      <c r="D923" s="59"/>
      <c r="F923" s="59"/>
      <c r="H923" s="59"/>
      <c r="J923" s="59"/>
      <c r="L923" s="59"/>
      <c r="N923" s="59"/>
      <c r="P923" s="59"/>
      <c r="Q923" s="61"/>
    </row>
    <row r="924">
      <c r="B924" s="59"/>
      <c r="D924" s="59"/>
      <c r="F924" s="59"/>
      <c r="H924" s="59"/>
      <c r="J924" s="59"/>
      <c r="L924" s="59"/>
      <c r="N924" s="59"/>
      <c r="P924" s="59"/>
      <c r="Q924" s="61"/>
    </row>
    <row r="925">
      <c r="B925" s="59"/>
      <c r="D925" s="59"/>
      <c r="F925" s="59"/>
      <c r="H925" s="59"/>
      <c r="J925" s="59"/>
      <c r="L925" s="59"/>
      <c r="N925" s="59"/>
      <c r="P925" s="59"/>
      <c r="Q925" s="61"/>
    </row>
    <row r="926">
      <c r="B926" s="59"/>
      <c r="D926" s="59"/>
      <c r="F926" s="59"/>
      <c r="H926" s="59"/>
      <c r="J926" s="59"/>
      <c r="L926" s="59"/>
      <c r="N926" s="59"/>
      <c r="P926" s="59"/>
      <c r="Q926" s="61"/>
    </row>
    <row r="927">
      <c r="B927" s="59"/>
      <c r="D927" s="59"/>
      <c r="F927" s="59"/>
      <c r="H927" s="59"/>
      <c r="J927" s="59"/>
      <c r="L927" s="59"/>
      <c r="N927" s="59"/>
      <c r="P927" s="59"/>
      <c r="Q927" s="61"/>
    </row>
    <row r="928">
      <c r="B928" s="59"/>
      <c r="D928" s="59"/>
      <c r="F928" s="59"/>
      <c r="H928" s="59"/>
      <c r="J928" s="59"/>
      <c r="L928" s="59"/>
      <c r="N928" s="59"/>
      <c r="P928" s="59"/>
      <c r="Q928" s="61"/>
    </row>
    <row r="929">
      <c r="B929" s="59"/>
      <c r="D929" s="59"/>
      <c r="F929" s="59"/>
      <c r="H929" s="59"/>
      <c r="J929" s="59"/>
      <c r="L929" s="59"/>
      <c r="N929" s="59"/>
      <c r="P929" s="59"/>
      <c r="Q929" s="61"/>
    </row>
    <row r="930">
      <c r="B930" s="59"/>
      <c r="D930" s="59"/>
      <c r="F930" s="59"/>
      <c r="H930" s="59"/>
      <c r="J930" s="59"/>
      <c r="L930" s="59"/>
      <c r="N930" s="59"/>
      <c r="P930" s="59"/>
      <c r="Q930" s="61"/>
    </row>
    <row r="931">
      <c r="B931" s="59"/>
      <c r="D931" s="59"/>
      <c r="F931" s="59"/>
      <c r="H931" s="59"/>
      <c r="J931" s="59"/>
      <c r="L931" s="59"/>
      <c r="N931" s="59"/>
      <c r="P931" s="59"/>
      <c r="Q931" s="61"/>
    </row>
    <row r="932">
      <c r="B932" s="59"/>
      <c r="D932" s="59"/>
      <c r="F932" s="59"/>
      <c r="H932" s="59"/>
      <c r="J932" s="59"/>
      <c r="L932" s="59"/>
      <c r="N932" s="59"/>
      <c r="P932" s="59"/>
      <c r="Q932" s="61"/>
    </row>
    <row r="933">
      <c r="B933" s="59"/>
      <c r="D933" s="59"/>
      <c r="F933" s="59"/>
      <c r="H933" s="59"/>
      <c r="J933" s="59"/>
      <c r="L933" s="59"/>
      <c r="N933" s="59"/>
      <c r="P933" s="59"/>
      <c r="Q933" s="61"/>
    </row>
    <row r="934">
      <c r="B934" s="59"/>
      <c r="D934" s="59"/>
      <c r="F934" s="59"/>
      <c r="H934" s="59"/>
      <c r="J934" s="59"/>
      <c r="L934" s="59"/>
      <c r="N934" s="59"/>
      <c r="P934" s="59"/>
      <c r="Q934" s="61"/>
    </row>
    <row r="935">
      <c r="B935" s="59"/>
      <c r="D935" s="59"/>
      <c r="F935" s="59"/>
      <c r="H935" s="59"/>
      <c r="J935" s="59"/>
      <c r="L935" s="59"/>
      <c r="N935" s="59"/>
      <c r="P935" s="59"/>
      <c r="Q935" s="61"/>
    </row>
    <row r="936">
      <c r="B936" s="59"/>
      <c r="D936" s="59"/>
      <c r="F936" s="59"/>
      <c r="H936" s="59"/>
      <c r="J936" s="59"/>
      <c r="L936" s="59"/>
      <c r="N936" s="59"/>
      <c r="P936" s="59"/>
      <c r="Q936" s="61"/>
    </row>
    <row r="937">
      <c r="B937" s="59"/>
      <c r="D937" s="59"/>
      <c r="F937" s="59"/>
      <c r="H937" s="59"/>
      <c r="J937" s="59"/>
      <c r="L937" s="59"/>
      <c r="N937" s="59"/>
      <c r="P937" s="59"/>
      <c r="Q937" s="61"/>
    </row>
    <row r="938">
      <c r="B938" s="59"/>
      <c r="D938" s="59"/>
      <c r="F938" s="59"/>
      <c r="H938" s="59"/>
      <c r="J938" s="59"/>
      <c r="L938" s="59"/>
      <c r="N938" s="59"/>
      <c r="P938" s="59"/>
      <c r="Q938" s="61"/>
    </row>
    <row r="939">
      <c r="B939" s="59"/>
      <c r="D939" s="59"/>
      <c r="F939" s="59"/>
      <c r="H939" s="59"/>
      <c r="J939" s="59"/>
      <c r="L939" s="59"/>
      <c r="N939" s="59"/>
      <c r="P939" s="59"/>
      <c r="Q939" s="61"/>
    </row>
    <row r="940">
      <c r="B940" s="59"/>
      <c r="D940" s="59"/>
      <c r="F940" s="59"/>
      <c r="H940" s="59"/>
      <c r="J940" s="59"/>
      <c r="L940" s="59"/>
      <c r="N940" s="59"/>
      <c r="P940" s="59"/>
      <c r="Q940" s="61"/>
    </row>
    <row r="941">
      <c r="B941" s="59"/>
      <c r="D941" s="59"/>
      <c r="F941" s="59"/>
      <c r="H941" s="59"/>
      <c r="J941" s="59"/>
      <c r="L941" s="59"/>
      <c r="N941" s="59"/>
      <c r="P941" s="59"/>
      <c r="Q941" s="61"/>
    </row>
    <row r="942">
      <c r="B942" s="59"/>
      <c r="D942" s="59"/>
      <c r="F942" s="59"/>
      <c r="H942" s="59"/>
      <c r="J942" s="59"/>
      <c r="L942" s="59"/>
      <c r="N942" s="59"/>
      <c r="P942" s="59"/>
      <c r="Q942" s="61"/>
    </row>
    <row r="943">
      <c r="B943" s="59"/>
      <c r="D943" s="59"/>
      <c r="F943" s="59"/>
      <c r="H943" s="59"/>
      <c r="J943" s="59"/>
      <c r="L943" s="59"/>
      <c r="N943" s="59"/>
      <c r="P943" s="59"/>
      <c r="Q943" s="61"/>
    </row>
    <row r="944">
      <c r="B944" s="59"/>
      <c r="D944" s="59"/>
      <c r="F944" s="59"/>
      <c r="H944" s="59"/>
      <c r="J944" s="59"/>
      <c r="L944" s="59"/>
      <c r="N944" s="59"/>
      <c r="P944" s="59"/>
      <c r="Q944" s="61"/>
    </row>
    <row r="945">
      <c r="B945" s="59"/>
      <c r="D945" s="59"/>
      <c r="F945" s="59"/>
      <c r="H945" s="59"/>
      <c r="J945" s="59"/>
      <c r="L945" s="59"/>
      <c r="N945" s="59"/>
      <c r="P945" s="59"/>
      <c r="Q945" s="61"/>
    </row>
    <row r="946">
      <c r="B946" s="59"/>
      <c r="D946" s="59"/>
      <c r="F946" s="59"/>
      <c r="H946" s="59"/>
      <c r="J946" s="59"/>
      <c r="L946" s="59"/>
      <c r="N946" s="59"/>
      <c r="P946" s="59"/>
      <c r="Q946" s="61"/>
    </row>
    <row r="947">
      <c r="B947" s="59"/>
      <c r="D947" s="59"/>
      <c r="F947" s="59"/>
      <c r="H947" s="59"/>
      <c r="J947" s="59"/>
      <c r="L947" s="59"/>
      <c r="N947" s="59"/>
      <c r="P947" s="59"/>
      <c r="Q947" s="61"/>
    </row>
    <row r="948">
      <c r="B948" s="59"/>
      <c r="D948" s="59"/>
      <c r="F948" s="59"/>
      <c r="H948" s="59"/>
      <c r="J948" s="59"/>
      <c r="L948" s="59"/>
      <c r="N948" s="59"/>
      <c r="P948" s="59"/>
      <c r="Q948" s="61"/>
    </row>
    <row r="949">
      <c r="B949" s="59"/>
      <c r="D949" s="59"/>
      <c r="F949" s="59"/>
      <c r="H949" s="59"/>
      <c r="J949" s="59"/>
      <c r="L949" s="59"/>
      <c r="N949" s="59"/>
      <c r="P949" s="59"/>
      <c r="Q949" s="61"/>
    </row>
    <row r="950">
      <c r="B950" s="59"/>
      <c r="D950" s="59"/>
      <c r="F950" s="59"/>
      <c r="H950" s="59"/>
      <c r="J950" s="59"/>
      <c r="L950" s="59"/>
      <c r="N950" s="59"/>
      <c r="P950" s="59"/>
      <c r="Q950" s="61"/>
    </row>
    <row r="951">
      <c r="B951" s="59"/>
      <c r="D951" s="59"/>
      <c r="F951" s="59"/>
      <c r="H951" s="59"/>
      <c r="J951" s="59"/>
      <c r="L951" s="59"/>
      <c r="N951" s="59"/>
      <c r="P951" s="59"/>
      <c r="Q951" s="61"/>
    </row>
    <row r="952">
      <c r="B952" s="59"/>
      <c r="D952" s="59"/>
      <c r="F952" s="59"/>
      <c r="H952" s="59"/>
      <c r="J952" s="59"/>
      <c r="L952" s="59"/>
      <c r="N952" s="59"/>
      <c r="P952" s="59"/>
      <c r="Q952" s="61"/>
    </row>
    <row r="953">
      <c r="B953" s="59"/>
      <c r="D953" s="59"/>
      <c r="F953" s="59"/>
      <c r="H953" s="59"/>
      <c r="J953" s="59"/>
      <c r="L953" s="59"/>
      <c r="N953" s="59"/>
      <c r="P953" s="59"/>
      <c r="Q953" s="61"/>
    </row>
    <row r="954">
      <c r="B954" s="59"/>
      <c r="D954" s="59"/>
      <c r="F954" s="59"/>
      <c r="H954" s="59"/>
      <c r="J954" s="59"/>
      <c r="L954" s="59"/>
      <c r="N954" s="59"/>
      <c r="P954" s="59"/>
      <c r="Q954" s="61"/>
    </row>
    <row r="955">
      <c r="B955" s="59"/>
      <c r="D955" s="59"/>
      <c r="F955" s="59"/>
      <c r="H955" s="59"/>
      <c r="J955" s="59"/>
      <c r="L955" s="59"/>
      <c r="N955" s="59"/>
      <c r="P955" s="59"/>
      <c r="Q955" s="61"/>
    </row>
    <row r="956">
      <c r="B956" s="59"/>
      <c r="D956" s="59"/>
      <c r="F956" s="59"/>
      <c r="H956" s="59"/>
      <c r="J956" s="59"/>
      <c r="L956" s="59"/>
      <c r="N956" s="59"/>
      <c r="P956" s="59"/>
      <c r="Q956" s="61"/>
    </row>
    <row r="957">
      <c r="B957" s="59"/>
      <c r="D957" s="59"/>
      <c r="F957" s="59"/>
      <c r="H957" s="59"/>
      <c r="J957" s="59"/>
      <c r="L957" s="59"/>
      <c r="N957" s="59"/>
      <c r="P957" s="59"/>
      <c r="Q957" s="61"/>
    </row>
    <row r="958">
      <c r="B958" s="59"/>
      <c r="D958" s="59"/>
      <c r="F958" s="59"/>
      <c r="H958" s="59"/>
      <c r="J958" s="59"/>
      <c r="L958" s="59"/>
      <c r="N958" s="59"/>
      <c r="P958" s="59"/>
      <c r="Q958" s="61"/>
    </row>
    <row r="959">
      <c r="B959" s="59"/>
      <c r="D959" s="59"/>
      <c r="F959" s="59"/>
      <c r="H959" s="59"/>
      <c r="J959" s="59"/>
      <c r="L959" s="59"/>
      <c r="N959" s="59"/>
      <c r="P959" s="59"/>
      <c r="Q959" s="61"/>
    </row>
    <row r="960">
      <c r="B960" s="59"/>
      <c r="D960" s="59"/>
      <c r="F960" s="59"/>
      <c r="H960" s="59"/>
      <c r="J960" s="59"/>
      <c r="L960" s="59"/>
      <c r="N960" s="59"/>
      <c r="P960" s="59"/>
      <c r="Q960" s="61"/>
    </row>
    <row r="961">
      <c r="B961" s="59"/>
      <c r="D961" s="59"/>
      <c r="F961" s="59"/>
      <c r="H961" s="59"/>
      <c r="J961" s="59"/>
      <c r="L961" s="59"/>
      <c r="N961" s="59"/>
      <c r="P961" s="59"/>
      <c r="Q961" s="61"/>
    </row>
    <row r="962">
      <c r="B962" s="59"/>
      <c r="D962" s="59"/>
      <c r="F962" s="59"/>
      <c r="H962" s="59"/>
      <c r="J962" s="59"/>
      <c r="L962" s="59"/>
      <c r="N962" s="59"/>
      <c r="P962" s="59"/>
      <c r="Q962" s="61"/>
    </row>
    <row r="963">
      <c r="B963" s="59"/>
      <c r="D963" s="59"/>
      <c r="F963" s="59"/>
      <c r="H963" s="59"/>
      <c r="J963" s="59"/>
      <c r="L963" s="59"/>
      <c r="N963" s="59"/>
      <c r="P963" s="59"/>
      <c r="Q963" s="61"/>
    </row>
    <row r="964">
      <c r="B964" s="59"/>
      <c r="D964" s="59"/>
      <c r="F964" s="59"/>
      <c r="H964" s="59"/>
      <c r="J964" s="59"/>
      <c r="L964" s="59"/>
      <c r="N964" s="59"/>
      <c r="P964" s="59"/>
      <c r="Q964" s="61"/>
    </row>
    <row r="965">
      <c r="B965" s="59"/>
      <c r="D965" s="59"/>
      <c r="F965" s="59"/>
      <c r="H965" s="59"/>
      <c r="J965" s="59"/>
      <c r="L965" s="59"/>
      <c r="N965" s="59"/>
      <c r="P965" s="59"/>
      <c r="Q965" s="61"/>
    </row>
    <row r="966">
      <c r="B966" s="59"/>
      <c r="D966" s="59"/>
      <c r="F966" s="59"/>
      <c r="H966" s="59"/>
      <c r="J966" s="59"/>
      <c r="L966" s="59"/>
      <c r="N966" s="59"/>
      <c r="P966" s="59"/>
      <c r="Q966" s="61"/>
    </row>
    <row r="967">
      <c r="B967" s="59"/>
      <c r="D967" s="59"/>
      <c r="F967" s="59"/>
      <c r="H967" s="59"/>
      <c r="J967" s="59"/>
      <c r="L967" s="59"/>
      <c r="N967" s="59"/>
      <c r="P967" s="59"/>
      <c r="Q967" s="61"/>
    </row>
    <row r="968">
      <c r="B968" s="59"/>
      <c r="D968" s="59"/>
      <c r="F968" s="59"/>
      <c r="H968" s="59"/>
      <c r="J968" s="59"/>
      <c r="L968" s="59"/>
      <c r="N968" s="59"/>
      <c r="P968" s="59"/>
      <c r="Q968" s="61"/>
    </row>
    <row r="969">
      <c r="B969" s="59"/>
      <c r="D969" s="59"/>
      <c r="F969" s="59"/>
      <c r="H969" s="59"/>
      <c r="J969" s="59"/>
      <c r="L969" s="59"/>
      <c r="N969" s="59"/>
      <c r="P969" s="59"/>
      <c r="Q969" s="61"/>
    </row>
    <row r="970">
      <c r="B970" s="59"/>
      <c r="D970" s="59"/>
      <c r="F970" s="59"/>
      <c r="H970" s="59"/>
      <c r="J970" s="59"/>
      <c r="L970" s="59"/>
      <c r="N970" s="59"/>
      <c r="P970" s="59"/>
      <c r="Q970" s="61"/>
    </row>
    <row r="971">
      <c r="B971" s="59"/>
      <c r="D971" s="59"/>
      <c r="F971" s="59"/>
      <c r="H971" s="59"/>
      <c r="J971" s="59"/>
      <c r="L971" s="59"/>
      <c r="N971" s="59"/>
      <c r="P971" s="59"/>
      <c r="Q971" s="61"/>
    </row>
    <row r="972">
      <c r="B972" s="59"/>
      <c r="D972" s="59"/>
      <c r="F972" s="59"/>
      <c r="H972" s="59"/>
      <c r="J972" s="59"/>
      <c r="L972" s="59"/>
      <c r="N972" s="59"/>
      <c r="P972" s="59"/>
      <c r="Q972" s="61"/>
    </row>
    <row r="973">
      <c r="B973" s="59"/>
      <c r="D973" s="59"/>
      <c r="F973" s="59"/>
      <c r="H973" s="59"/>
      <c r="J973" s="59"/>
      <c r="L973" s="59"/>
      <c r="N973" s="59"/>
      <c r="P973" s="59"/>
      <c r="Q973" s="61"/>
    </row>
    <row r="974">
      <c r="B974" s="59"/>
      <c r="D974" s="59"/>
      <c r="F974" s="59"/>
      <c r="H974" s="59"/>
      <c r="J974" s="59"/>
      <c r="L974" s="59"/>
      <c r="N974" s="59"/>
      <c r="P974" s="59"/>
      <c r="Q974" s="61"/>
    </row>
    <row r="975">
      <c r="B975" s="59"/>
      <c r="D975" s="59"/>
      <c r="F975" s="59"/>
      <c r="H975" s="59"/>
      <c r="J975" s="59"/>
      <c r="L975" s="59"/>
      <c r="N975" s="59"/>
      <c r="P975" s="59"/>
      <c r="Q975" s="61"/>
    </row>
    <row r="976">
      <c r="B976" s="59"/>
      <c r="D976" s="59"/>
      <c r="F976" s="59"/>
      <c r="H976" s="59"/>
      <c r="J976" s="59"/>
      <c r="L976" s="59"/>
      <c r="N976" s="59"/>
      <c r="P976" s="59"/>
      <c r="Q976" s="61"/>
    </row>
    <row r="977">
      <c r="B977" s="59"/>
      <c r="D977" s="59"/>
      <c r="F977" s="59"/>
      <c r="H977" s="59"/>
      <c r="J977" s="59"/>
      <c r="L977" s="59"/>
      <c r="N977" s="59"/>
      <c r="P977" s="59"/>
      <c r="Q977" s="61"/>
    </row>
    <row r="978">
      <c r="B978" s="59"/>
      <c r="D978" s="59"/>
      <c r="F978" s="59"/>
      <c r="H978" s="59"/>
      <c r="J978" s="59"/>
      <c r="L978" s="59"/>
      <c r="N978" s="59"/>
      <c r="P978" s="59"/>
      <c r="Q978" s="61"/>
    </row>
    <row r="979">
      <c r="B979" s="59"/>
      <c r="D979" s="59"/>
      <c r="F979" s="59"/>
      <c r="H979" s="59"/>
      <c r="J979" s="59"/>
      <c r="L979" s="59"/>
      <c r="N979" s="59"/>
      <c r="P979" s="59"/>
      <c r="Q979" s="61"/>
    </row>
    <row r="980">
      <c r="B980" s="59"/>
      <c r="D980" s="59"/>
      <c r="F980" s="59"/>
      <c r="H980" s="59"/>
      <c r="J980" s="59"/>
      <c r="L980" s="59"/>
      <c r="N980" s="59"/>
      <c r="P980" s="59"/>
      <c r="Q980" s="61"/>
    </row>
    <row r="981">
      <c r="B981" s="59"/>
      <c r="D981" s="59"/>
      <c r="F981" s="59"/>
      <c r="H981" s="59"/>
      <c r="J981" s="59"/>
      <c r="L981" s="59"/>
      <c r="N981" s="59"/>
      <c r="P981" s="59"/>
      <c r="Q981" s="61"/>
    </row>
    <row r="982">
      <c r="B982" s="59"/>
      <c r="D982" s="59"/>
      <c r="F982" s="59"/>
      <c r="H982" s="59"/>
      <c r="J982" s="59"/>
      <c r="L982" s="59"/>
      <c r="N982" s="59"/>
      <c r="P982" s="59"/>
      <c r="Q982" s="61"/>
    </row>
    <row r="983">
      <c r="B983" s="59"/>
      <c r="D983" s="59"/>
      <c r="F983" s="59"/>
      <c r="H983" s="59"/>
      <c r="J983" s="59"/>
      <c r="L983" s="59"/>
      <c r="N983" s="59"/>
      <c r="P983" s="59"/>
      <c r="Q983" s="61"/>
    </row>
    <row r="984">
      <c r="B984" s="59"/>
      <c r="D984" s="59"/>
      <c r="F984" s="59"/>
      <c r="H984" s="59"/>
      <c r="J984" s="59"/>
      <c r="L984" s="59"/>
      <c r="N984" s="59"/>
      <c r="P984" s="59"/>
      <c r="Q984" s="61"/>
    </row>
    <row r="985">
      <c r="B985" s="59"/>
      <c r="D985" s="59"/>
      <c r="F985" s="59"/>
      <c r="H985" s="59"/>
      <c r="J985" s="59"/>
      <c r="L985" s="59"/>
      <c r="N985" s="59"/>
      <c r="P985" s="59"/>
      <c r="Q985" s="61"/>
    </row>
    <row r="986">
      <c r="B986" s="59"/>
      <c r="D986" s="59"/>
      <c r="F986" s="59"/>
      <c r="H986" s="59"/>
      <c r="J986" s="59"/>
      <c r="L986" s="59"/>
      <c r="N986" s="59"/>
      <c r="P986" s="59"/>
      <c r="Q986" s="61"/>
    </row>
    <row r="987">
      <c r="B987" s="59"/>
      <c r="D987" s="59"/>
      <c r="F987" s="59"/>
      <c r="H987" s="59"/>
      <c r="J987" s="59"/>
      <c r="L987" s="59"/>
      <c r="N987" s="59"/>
      <c r="P987" s="59"/>
      <c r="Q987" s="61"/>
    </row>
    <row r="988">
      <c r="B988" s="59"/>
      <c r="D988" s="59"/>
      <c r="F988" s="59"/>
      <c r="H988" s="59"/>
      <c r="J988" s="59"/>
      <c r="L988" s="59"/>
      <c r="N988" s="59"/>
      <c r="P988" s="59"/>
      <c r="Q988" s="61"/>
    </row>
    <row r="989">
      <c r="B989" s="59"/>
      <c r="D989" s="59"/>
      <c r="F989" s="59"/>
      <c r="H989" s="59"/>
      <c r="J989" s="59"/>
      <c r="L989" s="59"/>
      <c r="N989" s="59"/>
      <c r="P989" s="59"/>
      <c r="Q989" s="61"/>
    </row>
    <row r="990">
      <c r="B990" s="59"/>
      <c r="D990" s="59"/>
      <c r="F990" s="59"/>
      <c r="H990" s="59"/>
      <c r="J990" s="59"/>
      <c r="L990" s="59"/>
      <c r="N990" s="59"/>
      <c r="P990" s="59"/>
      <c r="Q990" s="61"/>
    </row>
    <row r="991">
      <c r="B991" s="59"/>
      <c r="D991" s="59"/>
      <c r="F991" s="59"/>
      <c r="H991" s="59"/>
      <c r="J991" s="59"/>
      <c r="L991" s="59"/>
      <c r="N991" s="59"/>
      <c r="P991" s="59"/>
      <c r="Q991" s="61"/>
    </row>
    <row r="992">
      <c r="B992" s="59"/>
      <c r="D992" s="59"/>
      <c r="F992" s="59"/>
      <c r="H992" s="59"/>
      <c r="J992" s="59"/>
      <c r="L992" s="59"/>
      <c r="N992" s="59"/>
      <c r="P992" s="59"/>
      <c r="Q992" s="61"/>
    </row>
    <row r="993">
      <c r="B993" s="59"/>
      <c r="D993" s="59"/>
      <c r="F993" s="59"/>
      <c r="H993" s="59"/>
      <c r="J993" s="59"/>
      <c r="L993" s="59"/>
      <c r="N993" s="59"/>
      <c r="P993" s="59"/>
      <c r="Q993" s="61"/>
    </row>
    <row r="994">
      <c r="B994" s="59"/>
      <c r="D994" s="59"/>
      <c r="F994" s="59"/>
      <c r="H994" s="59"/>
      <c r="J994" s="59"/>
      <c r="L994" s="59"/>
      <c r="N994" s="59"/>
      <c r="P994" s="59"/>
      <c r="Q994" s="61"/>
    </row>
    <row r="995">
      <c r="B995" s="59"/>
      <c r="D995" s="59"/>
      <c r="F995" s="59"/>
      <c r="H995" s="59"/>
      <c r="J995" s="59"/>
      <c r="L995" s="59"/>
      <c r="N995" s="59"/>
      <c r="P995" s="59"/>
      <c r="Q995" s="61"/>
    </row>
    <row r="996">
      <c r="B996" s="59"/>
      <c r="D996" s="59"/>
      <c r="F996" s="59"/>
      <c r="H996" s="59"/>
      <c r="J996" s="59"/>
      <c r="L996" s="59"/>
      <c r="N996" s="59"/>
      <c r="P996" s="59"/>
      <c r="Q996" s="61"/>
    </row>
    <row r="997">
      <c r="B997" s="59"/>
      <c r="D997" s="59"/>
      <c r="F997" s="59"/>
      <c r="H997" s="59"/>
      <c r="J997" s="59"/>
      <c r="L997" s="59"/>
      <c r="N997" s="59"/>
      <c r="P997" s="59"/>
      <c r="Q997" s="61"/>
    </row>
    <row r="998">
      <c r="B998" s="59"/>
      <c r="D998" s="59"/>
      <c r="F998" s="59"/>
      <c r="H998" s="59"/>
      <c r="J998" s="59"/>
      <c r="L998" s="59"/>
      <c r="N998" s="59"/>
      <c r="P998" s="59"/>
      <c r="Q998" s="61"/>
    </row>
    <row r="999">
      <c r="B999" s="59"/>
      <c r="D999" s="59"/>
      <c r="F999" s="59"/>
      <c r="H999" s="59"/>
      <c r="J999" s="59"/>
      <c r="L999" s="59"/>
      <c r="N999" s="59"/>
      <c r="P999" s="59"/>
      <c r="Q999" s="61"/>
    </row>
    <row r="1000">
      <c r="B1000" s="59"/>
      <c r="D1000" s="59"/>
      <c r="F1000" s="59"/>
      <c r="H1000" s="59"/>
      <c r="J1000" s="59"/>
      <c r="L1000" s="59"/>
      <c r="N1000" s="59"/>
      <c r="P1000" s="59"/>
      <c r="Q1000" s="61"/>
    </row>
  </sheetData>
  <hyperlinks>
    <hyperlink r:id="rId1" ref="O2"/>
    <hyperlink r:id="rId2" ref="O5"/>
    <hyperlink r:id="rId3" ref="O11"/>
    <hyperlink r:id="rId4" ref="O14"/>
    <hyperlink r:id="rId5" ref="O15"/>
  </hyperlinks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  <col customWidth="1" min="5" max="5" width="20.75"/>
    <col customWidth="1" min="8" max="8" width="15.63"/>
    <col customWidth="1" min="13" max="13" width="33.5"/>
    <col customWidth="1" min="15" max="15" width="21.75"/>
  </cols>
  <sheetData>
    <row r="1">
      <c r="A1" s="165" t="s">
        <v>29</v>
      </c>
      <c r="B1" s="166" t="s">
        <v>30</v>
      </c>
      <c r="C1" s="98" t="s">
        <v>31</v>
      </c>
      <c r="D1" s="166" t="s">
        <v>32</v>
      </c>
      <c r="E1" s="98" t="s">
        <v>33</v>
      </c>
      <c r="F1" s="166" t="s">
        <v>34</v>
      </c>
      <c r="G1" s="98" t="s">
        <v>35</v>
      </c>
      <c r="H1" s="167" t="s">
        <v>36</v>
      </c>
      <c r="I1" s="168" t="s">
        <v>37</v>
      </c>
      <c r="J1" s="166" t="s">
        <v>38</v>
      </c>
      <c r="K1" s="168" t="s">
        <v>39</v>
      </c>
      <c r="L1" s="166" t="s">
        <v>38</v>
      </c>
      <c r="M1" s="98" t="s">
        <v>40</v>
      </c>
      <c r="N1" s="166" t="s">
        <v>41</v>
      </c>
      <c r="O1" s="98" t="s">
        <v>42</v>
      </c>
      <c r="P1" s="34" t="s">
        <v>43</v>
      </c>
      <c r="Q1" s="35">
        <f>SUM(H2:H27)</f>
        <v>3197.73</v>
      </c>
    </row>
    <row r="2">
      <c r="A2" s="17" t="s">
        <v>427</v>
      </c>
      <c r="B2" s="84">
        <v>1.4175129E7</v>
      </c>
      <c r="C2" s="96" t="s">
        <v>428</v>
      </c>
      <c r="D2" s="81">
        <v>2.0</v>
      </c>
      <c r="E2" s="169" t="s">
        <v>429</v>
      </c>
      <c r="F2" s="169" t="s">
        <v>208</v>
      </c>
      <c r="G2" s="19">
        <v>127.05</v>
      </c>
      <c r="H2" s="19">
        <v>254.1</v>
      </c>
      <c r="I2" s="169" t="s">
        <v>414</v>
      </c>
      <c r="J2" s="169" t="s">
        <v>241</v>
      </c>
      <c r="K2" s="169" t="s">
        <v>295</v>
      </c>
      <c r="L2" s="169" t="s">
        <v>241</v>
      </c>
      <c r="M2" s="170" t="s">
        <v>369</v>
      </c>
      <c r="N2" s="61"/>
      <c r="O2" s="61"/>
      <c r="P2" s="171"/>
      <c r="Q2" s="61"/>
    </row>
    <row r="3">
      <c r="A3" s="169" t="s">
        <v>430</v>
      </c>
      <c r="B3" s="80">
        <v>1.4035843496E10</v>
      </c>
      <c r="C3" s="17" t="s">
        <v>431</v>
      </c>
      <c r="D3" s="81">
        <v>1.0</v>
      </c>
      <c r="E3" s="17" t="s">
        <v>432</v>
      </c>
      <c r="F3" s="96" t="s">
        <v>208</v>
      </c>
      <c r="G3" s="18">
        <v>105.0</v>
      </c>
      <c r="H3" s="18">
        <v>105.0</v>
      </c>
      <c r="I3" s="169" t="s">
        <v>414</v>
      </c>
      <c r="J3" s="169" t="s">
        <v>241</v>
      </c>
      <c r="K3" s="17" t="s">
        <v>414</v>
      </c>
      <c r="L3" s="81" t="s">
        <v>241</v>
      </c>
      <c r="M3" s="141" t="s">
        <v>210</v>
      </c>
      <c r="N3" s="59"/>
      <c r="P3" s="59"/>
      <c r="Q3" s="61"/>
    </row>
    <row r="4">
      <c r="A4" s="172" t="s">
        <v>433</v>
      </c>
      <c r="B4" s="84" t="s">
        <v>434</v>
      </c>
      <c r="C4" s="17" t="s">
        <v>435</v>
      </c>
      <c r="D4" s="81">
        <v>2.0</v>
      </c>
      <c r="E4" s="17" t="s">
        <v>239</v>
      </c>
      <c r="F4" s="96" t="s">
        <v>208</v>
      </c>
      <c r="G4" s="18">
        <v>18.66</v>
      </c>
      <c r="H4" s="18">
        <f>G4*2</f>
        <v>37.32</v>
      </c>
      <c r="I4" s="169" t="s">
        <v>436</v>
      </c>
      <c r="J4" s="169" t="s">
        <v>241</v>
      </c>
      <c r="K4" s="17" t="s">
        <v>378</v>
      </c>
      <c r="L4" s="59"/>
      <c r="M4" s="173" t="s">
        <v>210</v>
      </c>
      <c r="N4" s="81" t="s">
        <v>437</v>
      </c>
      <c r="P4" s="59"/>
      <c r="Q4" s="61"/>
    </row>
    <row r="5">
      <c r="A5" s="174" t="s">
        <v>438</v>
      </c>
      <c r="B5" s="57"/>
      <c r="D5" s="59"/>
      <c r="F5" s="58"/>
      <c r="G5" s="18">
        <v>229.4</v>
      </c>
      <c r="H5" s="18">
        <v>229.4</v>
      </c>
      <c r="I5" s="61"/>
      <c r="J5" s="61"/>
      <c r="K5" s="17" t="s">
        <v>436</v>
      </c>
      <c r="L5" s="58"/>
      <c r="M5" s="175" t="s">
        <v>396</v>
      </c>
      <c r="N5" s="61"/>
      <c r="P5" s="59"/>
      <c r="Q5" s="61"/>
    </row>
    <row r="6">
      <c r="A6" s="17" t="s">
        <v>439</v>
      </c>
      <c r="B6" s="57"/>
      <c r="D6" s="59"/>
      <c r="F6" s="58"/>
      <c r="G6" s="18">
        <v>375.0</v>
      </c>
      <c r="H6" s="18">
        <v>375.0</v>
      </c>
      <c r="I6" s="61"/>
      <c r="J6" s="61"/>
      <c r="L6" s="59"/>
      <c r="N6" s="59"/>
      <c r="O6" s="17" t="s">
        <v>440</v>
      </c>
      <c r="P6" s="59"/>
      <c r="Q6" s="61"/>
    </row>
    <row r="7">
      <c r="B7" s="57"/>
      <c r="D7" s="59"/>
      <c r="F7" s="58"/>
      <c r="G7" s="18"/>
      <c r="H7" s="18"/>
      <c r="I7" s="61"/>
      <c r="J7" s="61"/>
      <c r="L7" s="59"/>
      <c r="N7" s="59"/>
      <c r="P7" s="59"/>
      <c r="Q7" s="61"/>
    </row>
    <row r="8">
      <c r="B8" s="57"/>
      <c r="D8" s="59"/>
      <c r="F8" s="58"/>
      <c r="G8" s="18"/>
      <c r="H8" s="18"/>
      <c r="I8" s="61"/>
      <c r="J8" s="61"/>
      <c r="L8" s="59"/>
      <c r="N8" s="59"/>
      <c r="P8" s="59"/>
      <c r="Q8" s="61"/>
    </row>
    <row r="9">
      <c r="A9" s="160" t="s">
        <v>441</v>
      </c>
      <c r="B9" s="57"/>
      <c r="D9" s="59"/>
      <c r="F9" s="58"/>
      <c r="G9" s="18"/>
      <c r="H9" s="18"/>
      <c r="I9" s="61"/>
      <c r="J9" s="61"/>
      <c r="L9" s="59"/>
      <c r="N9" s="59"/>
      <c r="P9" s="59"/>
      <c r="Q9" s="61"/>
    </row>
    <row r="10">
      <c r="A10" s="17" t="s">
        <v>442</v>
      </c>
      <c r="B10" s="84">
        <v>10224.0</v>
      </c>
      <c r="C10" s="17" t="s">
        <v>443</v>
      </c>
      <c r="D10" s="81">
        <v>1.0</v>
      </c>
      <c r="E10" s="17" t="s">
        <v>444</v>
      </c>
      <c r="F10" s="96" t="s">
        <v>445</v>
      </c>
      <c r="G10" s="164">
        <v>33.99</v>
      </c>
      <c r="H10" s="18">
        <v>33.99</v>
      </c>
      <c r="I10" s="169" t="s">
        <v>446</v>
      </c>
      <c r="J10" s="169" t="s">
        <v>241</v>
      </c>
      <c r="K10" s="17" t="s">
        <v>446</v>
      </c>
      <c r="L10" s="81" t="s">
        <v>241</v>
      </c>
      <c r="M10" s="36" t="s">
        <v>346</v>
      </c>
      <c r="N10" s="59"/>
      <c r="P10" s="59"/>
      <c r="Q10" s="61"/>
    </row>
    <row r="11">
      <c r="A11" s="17" t="s">
        <v>447</v>
      </c>
      <c r="B11" s="57"/>
      <c r="D11" s="59"/>
      <c r="F11" s="58"/>
      <c r="G11" s="164">
        <v>33.14</v>
      </c>
      <c r="H11" s="18">
        <v>33.14</v>
      </c>
      <c r="I11" s="169" t="s">
        <v>240</v>
      </c>
      <c r="J11" s="169" t="s">
        <v>241</v>
      </c>
      <c r="K11" s="169"/>
      <c r="L11" s="81"/>
      <c r="M11" s="161" t="s">
        <v>334</v>
      </c>
      <c r="N11" s="59"/>
      <c r="P11" s="59"/>
      <c r="Q11" s="61"/>
    </row>
    <row r="12">
      <c r="A12" s="162" t="s">
        <v>199</v>
      </c>
      <c r="B12" s="142" t="s">
        <v>192</v>
      </c>
      <c r="C12" s="142" t="s">
        <v>192</v>
      </c>
      <c r="D12" s="142" t="s">
        <v>192</v>
      </c>
      <c r="E12" s="142" t="s">
        <v>192</v>
      </c>
      <c r="F12" s="142" t="s">
        <v>192</v>
      </c>
      <c r="G12" s="16">
        <v>1.24</v>
      </c>
      <c r="H12" s="16">
        <v>1.24</v>
      </c>
      <c r="I12" s="169" t="s">
        <v>448</v>
      </c>
      <c r="J12" s="169" t="s">
        <v>360</v>
      </c>
      <c r="L12" s="59"/>
      <c r="M12" s="141" t="s">
        <v>194</v>
      </c>
      <c r="N12" s="59"/>
      <c r="P12" s="59"/>
      <c r="Q12" s="61"/>
    </row>
    <row r="13">
      <c r="A13" s="17" t="s">
        <v>449</v>
      </c>
      <c r="B13" s="142" t="s">
        <v>192</v>
      </c>
      <c r="C13" s="142" t="s">
        <v>192</v>
      </c>
      <c r="D13" s="142" t="s">
        <v>192</v>
      </c>
      <c r="E13" s="142" t="s">
        <v>192</v>
      </c>
      <c r="F13" s="142" t="s">
        <v>192</v>
      </c>
      <c r="G13" s="164">
        <v>864.0</v>
      </c>
      <c r="H13" s="18">
        <v>864.0</v>
      </c>
      <c r="I13" s="169" t="s">
        <v>448</v>
      </c>
      <c r="J13" s="169" t="s">
        <v>241</v>
      </c>
      <c r="L13" s="59"/>
      <c r="M13" s="154" t="s">
        <v>396</v>
      </c>
      <c r="N13" s="59"/>
      <c r="P13" s="59"/>
      <c r="Q13" s="61"/>
    </row>
    <row r="14">
      <c r="A14" s="17" t="s">
        <v>450</v>
      </c>
      <c r="B14" s="142" t="s">
        <v>192</v>
      </c>
      <c r="C14" s="142" t="s">
        <v>192</v>
      </c>
      <c r="D14" s="142" t="s">
        <v>192</v>
      </c>
      <c r="E14" s="142" t="s">
        <v>192</v>
      </c>
      <c r="F14" s="142" t="s">
        <v>192</v>
      </c>
      <c r="G14" s="18">
        <v>59.4</v>
      </c>
      <c r="H14" s="18">
        <v>59.4</v>
      </c>
      <c r="I14" s="169" t="s">
        <v>451</v>
      </c>
      <c r="J14" s="169" t="s">
        <v>241</v>
      </c>
      <c r="L14" s="59"/>
      <c r="M14" s="161" t="s">
        <v>334</v>
      </c>
      <c r="N14" s="59"/>
      <c r="P14" s="59"/>
      <c r="Q14" s="61"/>
    </row>
    <row r="15">
      <c r="A15" s="17" t="s">
        <v>452</v>
      </c>
      <c r="B15" s="142" t="s">
        <v>192</v>
      </c>
      <c r="C15" s="142" t="s">
        <v>192</v>
      </c>
      <c r="D15" s="142" t="s">
        <v>192</v>
      </c>
      <c r="E15" s="142" t="s">
        <v>192</v>
      </c>
      <c r="F15" s="142" t="s">
        <v>192</v>
      </c>
      <c r="G15" s="18">
        <v>27.26</v>
      </c>
      <c r="H15" s="18">
        <v>27.26</v>
      </c>
      <c r="I15" s="169" t="s">
        <v>453</v>
      </c>
      <c r="J15" s="169" t="s">
        <v>454</v>
      </c>
      <c r="L15" s="59"/>
      <c r="M15" s="161" t="s">
        <v>334</v>
      </c>
      <c r="N15" s="59"/>
      <c r="P15" s="59"/>
      <c r="Q15" s="61"/>
    </row>
    <row r="16">
      <c r="A16" s="17" t="s">
        <v>455</v>
      </c>
      <c r="B16" s="142" t="s">
        <v>192</v>
      </c>
      <c r="C16" s="142" t="s">
        <v>192</v>
      </c>
      <c r="D16" s="142" t="s">
        <v>192</v>
      </c>
      <c r="E16" s="142" t="s">
        <v>192</v>
      </c>
      <c r="F16" s="142" t="s">
        <v>192</v>
      </c>
      <c r="G16" s="18">
        <v>73.38</v>
      </c>
      <c r="H16" s="18">
        <v>73.38</v>
      </c>
      <c r="I16" s="169" t="s">
        <v>456</v>
      </c>
      <c r="J16" s="169" t="s">
        <v>406</v>
      </c>
      <c r="L16" s="58"/>
      <c r="M16" s="161" t="s">
        <v>334</v>
      </c>
      <c r="N16" s="61"/>
      <c r="P16" s="59"/>
      <c r="Q16" s="61"/>
    </row>
    <row r="17">
      <c r="A17" s="17" t="s">
        <v>457</v>
      </c>
      <c r="B17" s="142" t="s">
        <v>192</v>
      </c>
      <c r="C17" s="142" t="s">
        <v>192</v>
      </c>
      <c r="D17" s="142" t="s">
        <v>192</v>
      </c>
      <c r="E17" s="142" t="s">
        <v>192</v>
      </c>
      <c r="F17" s="142" t="s">
        <v>192</v>
      </c>
      <c r="G17" s="18">
        <v>78.0</v>
      </c>
      <c r="H17" s="18">
        <v>78.0</v>
      </c>
      <c r="I17" s="169" t="s">
        <v>458</v>
      </c>
      <c r="J17" s="169" t="s">
        <v>454</v>
      </c>
      <c r="L17" s="59"/>
      <c r="M17" s="161" t="s">
        <v>334</v>
      </c>
      <c r="N17" s="59"/>
      <c r="P17" s="59"/>
      <c r="Q17" s="61"/>
    </row>
    <row r="18">
      <c r="A18" s="17" t="s">
        <v>459</v>
      </c>
      <c r="B18" s="142" t="s">
        <v>192</v>
      </c>
      <c r="C18" s="142" t="s">
        <v>192</v>
      </c>
      <c r="D18" s="142" t="s">
        <v>192</v>
      </c>
      <c r="E18" s="142" t="s">
        <v>192</v>
      </c>
      <c r="F18" s="142" t="s">
        <v>192</v>
      </c>
      <c r="G18" s="18">
        <v>1026.5</v>
      </c>
      <c r="H18" s="18">
        <v>1026.5</v>
      </c>
      <c r="I18" s="169" t="s">
        <v>458</v>
      </c>
      <c r="J18" s="169" t="s">
        <v>454</v>
      </c>
      <c r="L18" s="59"/>
      <c r="M18" s="161" t="s">
        <v>334</v>
      </c>
      <c r="N18" s="59"/>
      <c r="P18" s="59"/>
      <c r="Q18" s="61"/>
    </row>
    <row r="19">
      <c r="B19" s="57"/>
      <c r="D19" s="59"/>
      <c r="F19" s="58"/>
      <c r="G19" s="18"/>
      <c r="H19" s="18"/>
      <c r="I19" s="61"/>
      <c r="J19" s="61"/>
      <c r="L19" s="59"/>
      <c r="N19" s="59"/>
      <c r="P19" s="59"/>
      <c r="Q19" s="61"/>
    </row>
    <row r="20">
      <c r="B20" s="57"/>
      <c r="D20" s="59"/>
      <c r="F20" s="58"/>
      <c r="G20" s="18"/>
      <c r="H20" s="18"/>
      <c r="I20" s="61"/>
      <c r="J20" s="61"/>
      <c r="L20" s="59"/>
      <c r="N20" s="59"/>
      <c r="P20" s="59"/>
      <c r="Q20" s="61"/>
    </row>
    <row r="21">
      <c r="B21" s="57"/>
      <c r="D21" s="59"/>
      <c r="F21" s="58"/>
      <c r="G21" s="18"/>
      <c r="H21" s="18"/>
      <c r="I21" s="61"/>
      <c r="J21" s="61"/>
      <c r="L21" s="59"/>
      <c r="N21" s="59"/>
      <c r="P21" s="59"/>
      <c r="Q21" s="61"/>
    </row>
    <row r="22">
      <c r="B22" s="57"/>
      <c r="D22" s="59"/>
      <c r="F22" s="58"/>
      <c r="G22" s="18"/>
      <c r="H22" s="18"/>
      <c r="I22" s="61"/>
      <c r="J22" s="61"/>
      <c r="L22" s="59"/>
      <c r="N22" s="59"/>
      <c r="P22" s="59"/>
      <c r="Q22" s="61"/>
    </row>
    <row r="23">
      <c r="B23" s="57"/>
      <c r="D23" s="59"/>
      <c r="F23" s="58"/>
      <c r="G23" s="18"/>
      <c r="H23" s="18"/>
      <c r="I23" s="61"/>
      <c r="J23" s="61"/>
      <c r="L23" s="59"/>
      <c r="N23" s="59"/>
      <c r="P23" s="59"/>
      <c r="Q23" s="61"/>
    </row>
    <row r="24">
      <c r="B24" s="57"/>
      <c r="D24" s="59"/>
      <c r="F24" s="58"/>
      <c r="G24" s="18"/>
      <c r="H24" s="18"/>
      <c r="I24" s="61"/>
      <c r="J24" s="61"/>
      <c r="L24" s="59"/>
      <c r="N24" s="59"/>
      <c r="P24" s="59"/>
      <c r="Q24" s="61"/>
    </row>
    <row r="25">
      <c r="B25" s="57"/>
      <c r="D25" s="59"/>
      <c r="F25" s="58"/>
      <c r="G25" s="18"/>
      <c r="H25" s="18"/>
      <c r="I25" s="61"/>
      <c r="J25" s="61"/>
      <c r="L25" s="59"/>
      <c r="N25" s="59"/>
      <c r="P25" s="59"/>
      <c r="Q25" s="61"/>
    </row>
    <row r="26">
      <c r="B26" s="59"/>
      <c r="D26" s="59"/>
      <c r="F26" s="58"/>
      <c r="G26" s="18"/>
      <c r="H26" s="18"/>
      <c r="I26" s="61"/>
      <c r="J26" s="61"/>
      <c r="L26" s="59"/>
      <c r="N26" s="59"/>
      <c r="P26" s="59"/>
      <c r="Q26" s="61"/>
    </row>
    <row r="27">
      <c r="B27" s="59"/>
      <c r="D27" s="59"/>
      <c r="F27" s="58"/>
      <c r="G27" s="18"/>
      <c r="H27" s="18"/>
      <c r="I27" s="61"/>
      <c r="J27" s="61"/>
      <c r="L27" s="59"/>
      <c r="N27" s="59"/>
      <c r="P27" s="59"/>
      <c r="Q27" s="61"/>
    </row>
    <row r="28">
      <c r="B28" s="59"/>
      <c r="D28" s="59"/>
      <c r="F28" s="58"/>
      <c r="G28" s="18"/>
      <c r="H28" s="18"/>
      <c r="I28" s="61"/>
      <c r="J28" s="61"/>
      <c r="L28" s="59"/>
      <c r="N28" s="59"/>
      <c r="P28" s="59"/>
      <c r="Q28" s="61"/>
    </row>
    <row r="29">
      <c r="B29" s="59"/>
      <c r="D29" s="59"/>
      <c r="F29" s="58"/>
      <c r="G29" s="18"/>
      <c r="H29" s="18"/>
      <c r="I29" s="61"/>
      <c r="J29" s="61"/>
      <c r="L29" s="59"/>
      <c r="N29" s="59"/>
      <c r="P29" s="59"/>
      <c r="Q29" s="61"/>
    </row>
    <row r="30">
      <c r="B30" s="59"/>
      <c r="D30" s="59"/>
      <c r="F30" s="58"/>
      <c r="G30" s="18"/>
      <c r="H30" s="18"/>
      <c r="I30" s="61"/>
      <c r="J30" s="61"/>
      <c r="L30" s="59"/>
      <c r="N30" s="59"/>
      <c r="P30" s="59"/>
      <c r="Q30" s="61"/>
    </row>
    <row r="31">
      <c r="B31" s="59"/>
      <c r="D31" s="59"/>
      <c r="F31" s="58"/>
      <c r="G31" s="18"/>
      <c r="H31" s="18"/>
      <c r="I31" s="61"/>
      <c r="J31" s="61"/>
      <c r="L31" s="59"/>
      <c r="N31" s="59"/>
      <c r="P31" s="59"/>
      <c r="Q31" s="61"/>
    </row>
    <row r="32">
      <c r="B32" s="59"/>
      <c r="D32" s="59"/>
      <c r="F32" s="58"/>
      <c r="G32" s="18"/>
      <c r="H32" s="18"/>
      <c r="I32" s="61"/>
      <c r="J32" s="61"/>
      <c r="L32" s="59"/>
      <c r="N32" s="59"/>
      <c r="P32" s="59"/>
      <c r="Q32" s="61"/>
    </row>
    <row r="33">
      <c r="B33" s="59"/>
      <c r="D33" s="59"/>
      <c r="F33" s="58"/>
      <c r="G33" s="59"/>
      <c r="H33" s="18"/>
      <c r="I33" s="61"/>
      <c r="J33" s="61"/>
      <c r="L33" s="59"/>
      <c r="N33" s="59"/>
      <c r="P33" s="59"/>
      <c r="Q33" s="61"/>
    </row>
    <row r="34">
      <c r="B34" s="59"/>
      <c r="D34" s="59"/>
      <c r="F34" s="58"/>
      <c r="G34" s="59"/>
      <c r="H34" s="18"/>
      <c r="I34" s="61"/>
      <c r="J34" s="61"/>
      <c r="L34" s="59"/>
      <c r="N34" s="59"/>
      <c r="P34" s="59"/>
      <c r="Q34" s="61"/>
    </row>
    <row r="35">
      <c r="B35" s="59"/>
      <c r="D35" s="59"/>
      <c r="F35" s="58"/>
      <c r="H35" s="18"/>
      <c r="J35" s="61"/>
      <c r="L35" s="59"/>
      <c r="N35" s="59"/>
      <c r="P35" s="59"/>
      <c r="Q35" s="61"/>
    </row>
    <row r="36">
      <c r="B36" s="59"/>
      <c r="D36" s="59"/>
      <c r="F36" s="58"/>
      <c r="H36" s="22"/>
      <c r="J36" s="61"/>
      <c r="L36" s="59"/>
      <c r="N36" s="59"/>
      <c r="P36" s="59"/>
      <c r="Q36" s="61"/>
    </row>
    <row r="37">
      <c r="B37" s="59"/>
      <c r="D37" s="59"/>
      <c r="F37" s="58"/>
      <c r="H37" s="22"/>
      <c r="J37" s="61"/>
      <c r="L37" s="59"/>
      <c r="N37" s="59"/>
      <c r="P37" s="59"/>
      <c r="Q37" s="61"/>
    </row>
    <row r="38">
      <c r="B38" s="59"/>
      <c r="D38" s="59"/>
      <c r="F38" s="58"/>
      <c r="H38" s="22"/>
      <c r="J38" s="61"/>
      <c r="L38" s="59"/>
      <c r="N38" s="59"/>
      <c r="P38" s="59"/>
      <c r="Q38" s="61"/>
    </row>
    <row r="39">
      <c r="B39" s="59"/>
      <c r="D39" s="59"/>
      <c r="F39" s="58"/>
      <c r="H39" s="22"/>
      <c r="J39" s="61"/>
      <c r="L39" s="59"/>
      <c r="N39" s="59"/>
      <c r="P39" s="59"/>
      <c r="Q39" s="61"/>
    </row>
    <row r="40">
      <c r="B40" s="59"/>
      <c r="D40" s="59"/>
      <c r="F40" s="58"/>
      <c r="H40" s="22"/>
      <c r="J40" s="61"/>
      <c r="L40" s="59"/>
      <c r="N40" s="59"/>
      <c r="P40" s="59"/>
      <c r="Q40" s="61"/>
    </row>
    <row r="41">
      <c r="B41" s="59"/>
      <c r="D41" s="59"/>
      <c r="F41" s="58"/>
      <c r="H41" s="22"/>
      <c r="J41" s="61"/>
      <c r="L41" s="59"/>
      <c r="N41" s="59"/>
      <c r="P41" s="59"/>
      <c r="Q41" s="61"/>
    </row>
    <row r="42">
      <c r="B42" s="59"/>
      <c r="D42" s="59"/>
      <c r="F42" s="59"/>
      <c r="H42" s="22"/>
      <c r="J42" s="59"/>
      <c r="L42" s="59"/>
      <c r="N42" s="59"/>
      <c r="P42" s="59"/>
      <c r="Q42" s="61"/>
    </row>
    <row r="43">
      <c r="B43" s="59"/>
      <c r="D43" s="59"/>
      <c r="F43" s="59"/>
      <c r="H43" s="22"/>
      <c r="J43" s="59"/>
      <c r="L43" s="59"/>
      <c r="N43" s="59"/>
      <c r="P43" s="59"/>
      <c r="Q43" s="61"/>
    </row>
    <row r="44">
      <c r="B44" s="59"/>
      <c r="D44" s="59"/>
      <c r="F44" s="59"/>
      <c r="H44" s="22"/>
      <c r="J44" s="59"/>
      <c r="L44" s="59"/>
      <c r="N44" s="59"/>
      <c r="P44" s="59"/>
      <c r="Q44" s="61"/>
    </row>
    <row r="45">
      <c r="B45" s="59"/>
      <c r="D45" s="59"/>
      <c r="F45" s="59"/>
      <c r="H45" s="22"/>
      <c r="J45" s="59"/>
      <c r="L45" s="59"/>
      <c r="N45" s="59"/>
      <c r="P45" s="59"/>
      <c r="Q45" s="61"/>
    </row>
    <row r="46">
      <c r="B46" s="59"/>
      <c r="D46" s="59"/>
      <c r="F46" s="59"/>
      <c r="H46" s="22"/>
      <c r="J46" s="59"/>
      <c r="L46" s="59"/>
      <c r="N46" s="59"/>
      <c r="P46" s="59"/>
      <c r="Q46" s="61"/>
    </row>
    <row r="47">
      <c r="B47" s="59"/>
      <c r="D47" s="59"/>
      <c r="F47" s="59"/>
      <c r="H47" s="22"/>
      <c r="J47" s="59"/>
      <c r="L47" s="59"/>
      <c r="N47" s="59"/>
      <c r="P47" s="59"/>
      <c r="Q47" s="61"/>
    </row>
    <row r="48">
      <c r="B48" s="59"/>
      <c r="D48" s="59"/>
      <c r="F48" s="59"/>
      <c r="H48" s="22"/>
      <c r="J48" s="59"/>
      <c r="L48" s="59"/>
      <c r="N48" s="59"/>
      <c r="P48" s="59"/>
      <c r="Q48" s="61"/>
    </row>
    <row r="49">
      <c r="B49" s="59"/>
      <c r="D49" s="59"/>
      <c r="F49" s="59"/>
      <c r="H49" s="22"/>
      <c r="J49" s="59"/>
      <c r="L49" s="59"/>
      <c r="N49" s="59"/>
      <c r="P49" s="59"/>
      <c r="Q49" s="61"/>
    </row>
    <row r="50">
      <c r="B50" s="59"/>
      <c r="D50" s="59"/>
      <c r="F50" s="59"/>
      <c r="H50" s="22"/>
      <c r="J50" s="59"/>
      <c r="L50" s="59"/>
      <c r="N50" s="59"/>
      <c r="P50" s="59"/>
      <c r="Q50" s="61"/>
    </row>
    <row r="51">
      <c r="B51" s="59"/>
      <c r="D51" s="59"/>
      <c r="F51" s="59"/>
      <c r="H51" s="22"/>
      <c r="J51" s="59"/>
      <c r="L51" s="59"/>
      <c r="N51" s="59"/>
      <c r="P51" s="59"/>
      <c r="Q51" s="61"/>
    </row>
    <row r="52">
      <c r="B52" s="59"/>
      <c r="D52" s="59"/>
      <c r="F52" s="59"/>
      <c r="H52" s="22"/>
      <c r="J52" s="59"/>
      <c r="L52" s="59"/>
      <c r="N52" s="59"/>
      <c r="P52" s="59"/>
      <c r="Q52" s="61"/>
    </row>
    <row r="53">
      <c r="B53" s="59"/>
      <c r="D53" s="59"/>
      <c r="F53" s="59"/>
      <c r="H53" s="22"/>
      <c r="J53" s="59"/>
      <c r="L53" s="59"/>
      <c r="N53" s="59"/>
      <c r="P53" s="59"/>
      <c r="Q53" s="61"/>
    </row>
    <row r="54">
      <c r="B54" s="59"/>
      <c r="D54" s="59"/>
      <c r="F54" s="59"/>
      <c r="H54" s="22"/>
      <c r="J54" s="59"/>
      <c r="L54" s="59"/>
      <c r="N54" s="59"/>
      <c r="P54" s="59"/>
      <c r="Q54" s="61"/>
    </row>
    <row r="55">
      <c r="B55" s="59"/>
      <c r="D55" s="59"/>
      <c r="F55" s="59"/>
      <c r="H55" s="22"/>
      <c r="J55" s="59"/>
      <c r="L55" s="59"/>
      <c r="N55" s="59"/>
      <c r="P55" s="59"/>
      <c r="Q55" s="61"/>
    </row>
    <row r="56">
      <c r="B56" s="59"/>
      <c r="D56" s="59"/>
      <c r="F56" s="59"/>
      <c r="H56" s="59"/>
      <c r="J56" s="59"/>
      <c r="L56" s="59"/>
      <c r="N56" s="59"/>
      <c r="P56" s="59"/>
      <c r="Q56" s="61"/>
    </row>
    <row r="57">
      <c r="B57" s="59"/>
      <c r="D57" s="59"/>
      <c r="F57" s="59"/>
      <c r="H57" s="59"/>
      <c r="J57" s="59"/>
      <c r="L57" s="59"/>
      <c r="N57" s="59"/>
      <c r="P57" s="59"/>
      <c r="Q57" s="61"/>
    </row>
    <row r="58">
      <c r="B58" s="59"/>
      <c r="D58" s="59"/>
      <c r="F58" s="59"/>
      <c r="H58" s="59"/>
      <c r="J58" s="59"/>
      <c r="L58" s="59"/>
      <c r="N58" s="59"/>
      <c r="P58" s="59"/>
      <c r="Q58" s="61"/>
    </row>
    <row r="59">
      <c r="B59" s="59"/>
      <c r="D59" s="59"/>
      <c r="F59" s="59"/>
      <c r="H59" s="59"/>
      <c r="J59" s="59"/>
      <c r="L59" s="59"/>
      <c r="N59" s="59"/>
      <c r="P59" s="59"/>
      <c r="Q59" s="61"/>
    </row>
    <row r="60">
      <c r="B60" s="59"/>
      <c r="D60" s="59"/>
      <c r="F60" s="59"/>
      <c r="H60" s="59"/>
      <c r="J60" s="59"/>
      <c r="L60" s="59"/>
      <c r="N60" s="59"/>
      <c r="P60" s="59"/>
      <c r="Q60" s="61"/>
    </row>
    <row r="61">
      <c r="B61" s="59"/>
      <c r="D61" s="59"/>
      <c r="F61" s="59"/>
      <c r="H61" s="59"/>
      <c r="J61" s="59"/>
      <c r="L61" s="59"/>
      <c r="N61" s="59"/>
      <c r="P61" s="59"/>
      <c r="Q61" s="61"/>
    </row>
    <row r="62">
      <c r="B62" s="59"/>
      <c r="D62" s="59"/>
      <c r="F62" s="59"/>
      <c r="H62" s="59"/>
      <c r="J62" s="59"/>
      <c r="L62" s="59"/>
      <c r="N62" s="59"/>
      <c r="P62" s="59"/>
      <c r="Q62" s="61"/>
    </row>
    <row r="63">
      <c r="B63" s="59"/>
      <c r="D63" s="59"/>
      <c r="F63" s="59"/>
      <c r="H63" s="59"/>
      <c r="J63" s="59"/>
      <c r="L63" s="59"/>
      <c r="N63" s="59"/>
      <c r="P63" s="59"/>
      <c r="Q63" s="61"/>
    </row>
    <row r="64">
      <c r="B64" s="59"/>
      <c r="D64" s="59"/>
      <c r="F64" s="59"/>
      <c r="H64" s="59"/>
      <c r="J64" s="59"/>
      <c r="L64" s="59"/>
      <c r="N64" s="59"/>
      <c r="P64" s="59"/>
      <c r="Q64" s="61"/>
    </row>
    <row r="65">
      <c r="B65" s="59"/>
      <c r="D65" s="59"/>
      <c r="F65" s="59"/>
      <c r="H65" s="59"/>
      <c r="J65" s="59"/>
      <c r="L65" s="59"/>
      <c r="N65" s="59"/>
      <c r="P65" s="59"/>
      <c r="Q65" s="61"/>
    </row>
    <row r="66">
      <c r="B66" s="59"/>
      <c r="D66" s="59"/>
      <c r="F66" s="59"/>
      <c r="H66" s="59"/>
      <c r="J66" s="59"/>
      <c r="L66" s="59"/>
      <c r="N66" s="59"/>
      <c r="P66" s="59"/>
      <c r="Q66" s="61"/>
    </row>
    <row r="67">
      <c r="B67" s="59"/>
      <c r="D67" s="59"/>
      <c r="F67" s="59"/>
      <c r="H67" s="59"/>
      <c r="J67" s="59"/>
      <c r="L67" s="59"/>
      <c r="N67" s="59"/>
      <c r="P67" s="59"/>
      <c r="Q67" s="61"/>
    </row>
    <row r="68">
      <c r="B68" s="59"/>
      <c r="D68" s="59"/>
      <c r="F68" s="59"/>
      <c r="H68" s="59"/>
      <c r="J68" s="59"/>
      <c r="L68" s="59"/>
      <c r="N68" s="59"/>
      <c r="P68" s="59"/>
      <c r="Q68" s="61"/>
    </row>
    <row r="69">
      <c r="B69" s="59"/>
      <c r="D69" s="59"/>
      <c r="F69" s="59"/>
      <c r="H69" s="59"/>
      <c r="J69" s="59"/>
      <c r="L69" s="59"/>
      <c r="N69" s="59"/>
      <c r="P69" s="59"/>
      <c r="Q69" s="61"/>
    </row>
    <row r="70">
      <c r="B70" s="59"/>
      <c r="D70" s="59"/>
      <c r="F70" s="59"/>
      <c r="H70" s="59"/>
      <c r="J70" s="59"/>
      <c r="L70" s="59"/>
      <c r="N70" s="59"/>
      <c r="P70" s="59"/>
      <c r="Q70" s="61"/>
    </row>
    <row r="71">
      <c r="B71" s="59"/>
      <c r="D71" s="59"/>
      <c r="F71" s="59"/>
      <c r="H71" s="59"/>
      <c r="J71" s="59"/>
      <c r="L71" s="59"/>
      <c r="N71" s="59"/>
      <c r="P71" s="59"/>
      <c r="Q71" s="61"/>
    </row>
    <row r="72">
      <c r="B72" s="59"/>
      <c r="D72" s="59"/>
      <c r="F72" s="59"/>
      <c r="H72" s="59"/>
      <c r="J72" s="59"/>
      <c r="L72" s="59"/>
      <c r="N72" s="59"/>
      <c r="P72" s="59"/>
      <c r="Q72" s="61"/>
    </row>
    <row r="73">
      <c r="B73" s="59"/>
      <c r="D73" s="59"/>
      <c r="F73" s="59"/>
      <c r="H73" s="59"/>
      <c r="J73" s="59"/>
      <c r="L73" s="59"/>
      <c r="N73" s="59"/>
      <c r="P73" s="59"/>
      <c r="Q73" s="61"/>
    </row>
    <row r="74">
      <c r="B74" s="59"/>
      <c r="D74" s="59"/>
      <c r="F74" s="59"/>
      <c r="H74" s="59"/>
      <c r="J74" s="59"/>
      <c r="L74" s="59"/>
      <c r="N74" s="59"/>
      <c r="P74" s="59"/>
      <c r="Q74" s="61"/>
    </row>
    <row r="75">
      <c r="B75" s="59"/>
      <c r="D75" s="59"/>
      <c r="F75" s="59"/>
      <c r="H75" s="59"/>
      <c r="J75" s="59"/>
      <c r="L75" s="59"/>
      <c r="N75" s="59"/>
      <c r="P75" s="59"/>
      <c r="Q75" s="61"/>
    </row>
    <row r="76">
      <c r="B76" s="59"/>
      <c r="D76" s="59"/>
      <c r="F76" s="59"/>
      <c r="H76" s="59"/>
      <c r="J76" s="59"/>
      <c r="L76" s="59"/>
      <c r="N76" s="59"/>
      <c r="P76" s="59"/>
      <c r="Q76" s="61"/>
    </row>
    <row r="77">
      <c r="B77" s="59"/>
      <c r="D77" s="59"/>
      <c r="F77" s="59"/>
      <c r="H77" s="59"/>
      <c r="J77" s="59"/>
      <c r="L77" s="59"/>
      <c r="N77" s="59"/>
      <c r="P77" s="59"/>
      <c r="Q77" s="61"/>
    </row>
    <row r="78">
      <c r="B78" s="59"/>
      <c r="D78" s="59"/>
      <c r="F78" s="59"/>
      <c r="H78" s="59"/>
      <c r="J78" s="59"/>
      <c r="L78" s="59"/>
      <c r="N78" s="59"/>
      <c r="P78" s="59"/>
      <c r="Q78" s="61"/>
    </row>
    <row r="79">
      <c r="B79" s="59"/>
      <c r="D79" s="59"/>
      <c r="F79" s="59"/>
      <c r="H79" s="59"/>
      <c r="J79" s="59"/>
      <c r="L79" s="59"/>
      <c r="N79" s="59"/>
      <c r="P79" s="59"/>
      <c r="Q79" s="61"/>
    </row>
    <row r="80">
      <c r="B80" s="59"/>
      <c r="D80" s="59"/>
      <c r="F80" s="59"/>
      <c r="H80" s="59"/>
      <c r="J80" s="59"/>
      <c r="L80" s="59"/>
      <c r="N80" s="59"/>
      <c r="P80" s="59"/>
      <c r="Q80" s="61"/>
    </row>
    <row r="81">
      <c r="B81" s="59"/>
      <c r="D81" s="59"/>
      <c r="F81" s="59"/>
      <c r="H81" s="59"/>
      <c r="J81" s="59"/>
      <c r="L81" s="59"/>
      <c r="N81" s="59"/>
      <c r="P81" s="59"/>
      <c r="Q81" s="61"/>
    </row>
    <row r="82">
      <c r="B82" s="59"/>
      <c r="D82" s="59"/>
      <c r="F82" s="59"/>
      <c r="H82" s="59"/>
      <c r="J82" s="59"/>
      <c r="L82" s="59"/>
      <c r="N82" s="59"/>
      <c r="P82" s="59"/>
      <c r="Q82" s="61"/>
    </row>
    <row r="83">
      <c r="B83" s="59"/>
      <c r="D83" s="59"/>
      <c r="F83" s="59"/>
      <c r="H83" s="59"/>
      <c r="J83" s="59"/>
      <c r="L83" s="59"/>
      <c r="N83" s="59"/>
      <c r="P83" s="59"/>
      <c r="Q83" s="61"/>
    </row>
    <row r="84">
      <c r="B84" s="59"/>
      <c r="D84" s="59"/>
      <c r="F84" s="59"/>
      <c r="H84" s="59"/>
      <c r="J84" s="59"/>
      <c r="L84" s="59"/>
      <c r="N84" s="59"/>
      <c r="P84" s="59"/>
      <c r="Q84" s="61"/>
    </row>
    <row r="85">
      <c r="B85" s="59"/>
      <c r="D85" s="59"/>
      <c r="F85" s="59"/>
      <c r="H85" s="59"/>
      <c r="J85" s="59"/>
      <c r="L85" s="59"/>
      <c r="N85" s="59"/>
      <c r="P85" s="59"/>
      <c r="Q85" s="61"/>
    </row>
    <row r="86">
      <c r="B86" s="59"/>
      <c r="D86" s="59"/>
      <c r="F86" s="59"/>
      <c r="H86" s="59"/>
      <c r="J86" s="59"/>
      <c r="L86" s="59"/>
      <c r="N86" s="59"/>
      <c r="P86" s="59"/>
      <c r="Q86" s="61"/>
    </row>
    <row r="87">
      <c r="B87" s="59"/>
      <c r="D87" s="59"/>
      <c r="F87" s="59"/>
      <c r="H87" s="59"/>
      <c r="J87" s="59"/>
      <c r="L87" s="59"/>
      <c r="N87" s="59"/>
      <c r="P87" s="59"/>
      <c r="Q87" s="61"/>
    </row>
    <row r="88">
      <c r="B88" s="59"/>
      <c r="D88" s="59"/>
      <c r="F88" s="59"/>
      <c r="H88" s="59"/>
      <c r="J88" s="59"/>
      <c r="L88" s="59"/>
      <c r="N88" s="59"/>
      <c r="P88" s="59"/>
      <c r="Q88" s="61"/>
    </row>
    <row r="89">
      <c r="B89" s="59"/>
      <c r="D89" s="59"/>
      <c r="F89" s="59"/>
      <c r="H89" s="59"/>
      <c r="J89" s="59"/>
      <c r="L89" s="59"/>
      <c r="N89" s="59"/>
      <c r="P89" s="59"/>
      <c r="Q89" s="61"/>
    </row>
    <row r="90">
      <c r="B90" s="59"/>
      <c r="D90" s="59"/>
      <c r="F90" s="59"/>
      <c r="H90" s="59"/>
      <c r="J90" s="59"/>
      <c r="L90" s="59"/>
      <c r="N90" s="59"/>
      <c r="P90" s="59"/>
      <c r="Q90" s="61"/>
    </row>
    <row r="91">
      <c r="B91" s="59"/>
      <c r="D91" s="59"/>
      <c r="F91" s="59"/>
      <c r="H91" s="59"/>
      <c r="J91" s="59"/>
      <c r="L91" s="59"/>
      <c r="N91" s="59"/>
      <c r="P91" s="59"/>
      <c r="Q91" s="61"/>
    </row>
    <row r="92">
      <c r="B92" s="59"/>
      <c r="D92" s="59"/>
      <c r="F92" s="59"/>
      <c r="H92" s="59"/>
      <c r="J92" s="59"/>
      <c r="L92" s="59"/>
      <c r="N92" s="59"/>
      <c r="P92" s="59"/>
      <c r="Q92" s="61"/>
    </row>
    <row r="93">
      <c r="B93" s="59"/>
      <c r="D93" s="59"/>
      <c r="F93" s="59"/>
      <c r="H93" s="59"/>
      <c r="J93" s="59"/>
      <c r="L93" s="59"/>
      <c r="N93" s="59"/>
      <c r="P93" s="59"/>
      <c r="Q93" s="61"/>
    </row>
    <row r="94">
      <c r="B94" s="59"/>
      <c r="D94" s="59"/>
      <c r="F94" s="59"/>
      <c r="H94" s="59"/>
      <c r="J94" s="59"/>
      <c r="L94" s="59"/>
      <c r="N94" s="59"/>
      <c r="P94" s="59"/>
      <c r="Q94" s="61"/>
    </row>
    <row r="95">
      <c r="B95" s="59"/>
      <c r="D95" s="59"/>
      <c r="F95" s="59"/>
      <c r="H95" s="59"/>
      <c r="J95" s="59"/>
      <c r="L95" s="59"/>
      <c r="N95" s="59"/>
      <c r="P95" s="59"/>
      <c r="Q95" s="61"/>
    </row>
    <row r="96">
      <c r="B96" s="59"/>
      <c r="D96" s="59"/>
      <c r="F96" s="59"/>
      <c r="H96" s="59"/>
      <c r="J96" s="59"/>
      <c r="L96" s="59"/>
      <c r="N96" s="59"/>
      <c r="P96" s="59"/>
      <c r="Q96" s="61"/>
    </row>
    <row r="97">
      <c r="B97" s="59"/>
      <c r="D97" s="59"/>
      <c r="F97" s="59"/>
      <c r="H97" s="59"/>
      <c r="J97" s="59"/>
      <c r="L97" s="59"/>
      <c r="N97" s="59"/>
      <c r="P97" s="59"/>
      <c r="Q97" s="61"/>
    </row>
    <row r="98">
      <c r="B98" s="59"/>
      <c r="D98" s="59"/>
      <c r="F98" s="59"/>
      <c r="H98" s="59"/>
      <c r="J98" s="59"/>
      <c r="L98" s="59"/>
      <c r="N98" s="59"/>
      <c r="P98" s="59"/>
      <c r="Q98" s="61"/>
    </row>
    <row r="99">
      <c r="B99" s="59"/>
      <c r="D99" s="59"/>
      <c r="F99" s="59"/>
      <c r="H99" s="59"/>
      <c r="J99" s="59"/>
      <c r="L99" s="59"/>
      <c r="N99" s="59"/>
      <c r="P99" s="59"/>
      <c r="Q99" s="61"/>
    </row>
    <row r="100">
      <c r="B100" s="59"/>
      <c r="D100" s="59"/>
      <c r="F100" s="59"/>
      <c r="H100" s="59"/>
      <c r="J100" s="59"/>
      <c r="L100" s="59"/>
      <c r="N100" s="59"/>
      <c r="P100" s="59"/>
      <c r="Q100" s="61"/>
    </row>
    <row r="101">
      <c r="B101" s="59"/>
      <c r="D101" s="59"/>
      <c r="F101" s="59"/>
      <c r="H101" s="59"/>
      <c r="J101" s="59"/>
      <c r="L101" s="59"/>
      <c r="N101" s="59"/>
      <c r="P101" s="59"/>
      <c r="Q101" s="61"/>
    </row>
    <row r="102">
      <c r="B102" s="59"/>
      <c r="D102" s="59"/>
      <c r="F102" s="59"/>
      <c r="H102" s="59"/>
      <c r="J102" s="59"/>
      <c r="L102" s="59"/>
      <c r="N102" s="59"/>
      <c r="P102" s="59"/>
      <c r="Q102" s="61"/>
    </row>
    <row r="103">
      <c r="B103" s="59"/>
      <c r="D103" s="59"/>
      <c r="F103" s="59"/>
      <c r="H103" s="59"/>
      <c r="J103" s="59"/>
      <c r="L103" s="59"/>
      <c r="N103" s="59"/>
      <c r="P103" s="59"/>
      <c r="Q103" s="61"/>
    </row>
    <row r="104">
      <c r="B104" s="59"/>
      <c r="D104" s="59"/>
      <c r="F104" s="59"/>
      <c r="H104" s="59"/>
      <c r="J104" s="59"/>
      <c r="L104" s="59"/>
      <c r="N104" s="59"/>
      <c r="P104" s="59"/>
      <c r="Q104" s="61"/>
    </row>
    <row r="105">
      <c r="B105" s="59"/>
      <c r="D105" s="59"/>
      <c r="F105" s="59"/>
      <c r="H105" s="59"/>
      <c r="J105" s="59"/>
      <c r="L105" s="59"/>
      <c r="N105" s="59"/>
      <c r="P105" s="59"/>
      <c r="Q105" s="61"/>
    </row>
    <row r="106">
      <c r="B106" s="59"/>
      <c r="D106" s="59"/>
      <c r="F106" s="59"/>
      <c r="H106" s="59"/>
      <c r="J106" s="59"/>
      <c r="L106" s="59"/>
      <c r="N106" s="59"/>
      <c r="P106" s="59"/>
      <c r="Q106" s="61"/>
    </row>
    <row r="107">
      <c r="B107" s="59"/>
      <c r="D107" s="59"/>
      <c r="F107" s="59"/>
      <c r="H107" s="59"/>
      <c r="J107" s="59"/>
      <c r="L107" s="59"/>
      <c r="N107" s="59"/>
      <c r="P107" s="59"/>
      <c r="Q107" s="61"/>
    </row>
    <row r="108">
      <c r="B108" s="59"/>
      <c r="D108" s="59"/>
      <c r="F108" s="59"/>
      <c r="H108" s="59"/>
      <c r="J108" s="59"/>
      <c r="L108" s="59"/>
      <c r="N108" s="59"/>
      <c r="P108" s="59"/>
      <c r="Q108" s="61"/>
    </row>
    <row r="109">
      <c r="B109" s="59"/>
      <c r="D109" s="59"/>
      <c r="F109" s="59"/>
      <c r="H109" s="59"/>
      <c r="J109" s="59"/>
      <c r="L109" s="59"/>
      <c r="N109" s="59"/>
      <c r="P109" s="59"/>
      <c r="Q109" s="61"/>
    </row>
    <row r="110">
      <c r="B110" s="59"/>
      <c r="D110" s="59"/>
      <c r="F110" s="59"/>
      <c r="H110" s="59"/>
      <c r="J110" s="59"/>
      <c r="L110" s="59"/>
      <c r="N110" s="59"/>
      <c r="P110" s="59"/>
      <c r="Q110" s="61"/>
    </row>
    <row r="111">
      <c r="B111" s="59"/>
      <c r="D111" s="59"/>
      <c r="F111" s="59"/>
      <c r="H111" s="59"/>
      <c r="J111" s="59"/>
      <c r="L111" s="59"/>
      <c r="N111" s="59"/>
      <c r="P111" s="59"/>
      <c r="Q111" s="61"/>
    </row>
    <row r="112">
      <c r="B112" s="59"/>
      <c r="D112" s="59"/>
      <c r="F112" s="59"/>
      <c r="H112" s="59"/>
      <c r="J112" s="59"/>
      <c r="L112" s="59"/>
      <c r="N112" s="59"/>
      <c r="P112" s="59"/>
      <c r="Q112" s="61"/>
    </row>
    <row r="113">
      <c r="B113" s="59"/>
      <c r="D113" s="59"/>
      <c r="F113" s="59"/>
      <c r="H113" s="59"/>
      <c r="J113" s="59"/>
      <c r="L113" s="59"/>
      <c r="N113" s="59"/>
      <c r="P113" s="59"/>
      <c r="Q113" s="61"/>
    </row>
    <row r="114">
      <c r="B114" s="59"/>
      <c r="D114" s="59"/>
      <c r="F114" s="59"/>
      <c r="H114" s="59"/>
      <c r="J114" s="59"/>
      <c r="L114" s="59"/>
      <c r="N114" s="59"/>
      <c r="P114" s="59"/>
      <c r="Q114" s="61"/>
    </row>
    <row r="115">
      <c r="B115" s="59"/>
      <c r="D115" s="59"/>
      <c r="F115" s="59"/>
      <c r="H115" s="59"/>
      <c r="J115" s="59"/>
      <c r="L115" s="59"/>
      <c r="N115" s="59"/>
      <c r="P115" s="59"/>
      <c r="Q115" s="61"/>
    </row>
    <row r="116">
      <c r="B116" s="59"/>
      <c r="D116" s="59"/>
      <c r="F116" s="59"/>
      <c r="H116" s="59"/>
      <c r="J116" s="59"/>
      <c r="L116" s="59"/>
      <c r="N116" s="59"/>
      <c r="P116" s="59"/>
      <c r="Q116" s="61"/>
    </row>
    <row r="117">
      <c r="B117" s="59"/>
      <c r="D117" s="59"/>
      <c r="F117" s="59"/>
      <c r="H117" s="59"/>
      <c r="J117" s="59"/>
      <c r="L117" s="59"/>
      <c r="N117" s="59"/>
      <c r="P117" s="59"/>
      <c r="Q117" s="61"/>
    </row>
    <row r="118">
      <c r="B118" s="59"/>
      <c r="D118" s="59"/>
      <c r="F118" s="59"/>
      <c r="H118" s="59"/>
      <c r="J118" s="59"/>
      <c r="L118" s="59"/>
      <c r="N118" s="59"/>
      <c r="P118" s="59"/>
      <c r="Q118" s="61"/>
    </row>
    <row r="119">
      <c r="B119" s="59"/>
      <c r="D119" s="59"/>
      <c r="F119" s="59"/>
      <c r="H119" s="59"/>
      <c r="J119" s="59"/>
      <c r="L119" s="59"/>
      <c r="N119" s="59"/>
      <c r="P119" s="59"/>
      <c r="Q119" s="61"/>
    </row>
    <row r="120">
      <c r="B120" s="59"/>
      <c r="D120" s="59"/>
      <c r="F120" s="59"/>
      <c r="H120" s="59"/>
      <c r="J120" s="59"/>
      <c r="L120" s="59"/>
      <c r="N120" s="59"/>
      <c r="P120" s="59"/>
      <c r="Q120" s="61"/>
    </row>
    <row r="121">
      <c r="B121" s="59"/>
      <c r="D121" s="59"/>
      <c r="F121" s="59"/>
      <c r="H121" s="59"/>
      <c r="J121" s="59"/>
      <c r="L121" s="59"/>
      <c r="N121" s="59"/>
      <c r="P121" s="59"/>
      <c r="Q121" s="61"/>
    </row>
    <row r="122">
      <c r="B122" s="59"/>
      <c r="D122" s="59"/>
      <c r="F122" s="59"/>
      <c r="H122" s="59"/>
      <c r="J122" s="59"/>
      <c r="L122" s="59"/>
      <c r="N122" s="59"/>
      <c r="P122" s="59"/>
      <c r="Q122" s="61"/>
    </row>
    <row r="123">
      <c r="B123" s="59"/>
      <c r="D123" s="59"/>
      <c r="F123" s="59"/>
      <c r="H123" s="59"/>
      <c r="J123" s="59"/>
      <c r="L123" s="59"/>
      <c r="N123" s="59"/>
      <c r="P123" s="59"/>
      <c r="Q123" s="61"/>
    </row>
    <row r="124">
      <c r="B124" s="59"/>
      <c r="D124" s="59"/>
      <c r="F124" s="59"/>
      <c r="H124" s="59"/>
      <c r="J124" s="59"/>
      <c r="L124" s="59"/>
      <c r="N124" s="59"/>
      <c r="P124" s="59"/>
      <c r="Q124" s="61"/>
    </row>
    <row r="125">
      <c r="B125" s="59"/>
      <c r="D125" s="59"/>
      <c r="F125" s="59"/>
      <c r="H125" s="59"/>
      <c r="J125" s="59"/>
      <c r="L125" s="59"/>
      <c r="N125" s="59"/>
      <c r="P125" s="59"/>
      <c r="Q125" s="61"/>
    </row>
    <row r="126">
      <c r="B126" s="59"/>
      <c r="D126" s="59"/>
      <c r="F126" s="59"/>
      <c r="H126" s="59"/>
      <c r="J126" s="59"/>
      <c r="L126" s="59"/>
      <c r="N126" s="59"/>
      <c r="P126" s="59"/>
      <c r="Q126" s="61"/>
    </row>
    <row r="127">
      <c r="B127" s="59"/>
      <c r="D127" s="59"/>
      <c r="F127" s="59"/>
      <c r="H127" s="59"/>
      <c r="J127" s="59"/>
      <c r="L127" s="59"/>
      <c r="N127" s="59"/>
      <c r="P127" s="59"/>
      <c r="Q127" s="61"/>
    </row>
    <row r="128">
      <c r="B128" s="59"/>
      <c r="D128" s="59"/>
      <c r="F128" s="59"/>
      <c r="H128" s="59"/>
      <c r="J128" s="59"/>
      <c r="L128" s="59"/>
      <c r="N128" s="59"/>
      <c r="P128" s="59"/>
      <c r="Q128" s="61"/>
    </row>
    <row r="129">
      <c r="B129" s="59"/>
      <c r="D129" s="59"/>
      <c r="F129" s="59"/>
      <c r="H129" s="59"/>
      <c r="J129" s="59"/>
      <c r="L129" s="59"/>
      <c r="N129" s="59"/>
      <c r="P129" s="59"/>
      <c r="Q129" s="61"/>
    </row>
    <row r="130">
      <c r="B130" s="59"/>
      <c r="D130" s="59"/>
      <c r="F130" s="59"/>
      <c r="H130" s="59"/>
      <c r="J130" s="59"/>
      <c r="L130" s="59"/>
      <c r="N130" s="59"/>
      <c r="P130" s="59"/>
      <c r="Q130" s="61"/>
    </row>
    <row r="131">
      <c r="B131" s="59"/>
      <c r="D131" s="59"/>
      <c r="F131" s="59"/>
      <c r="H131" s="59"/>
      <c r="J131" s="59"/>
      <c r="L131" s="59"/>
      <c r="N131" s="59"/>
      <c r="P131" s="59"/>
      <c r="Q131" s="61"/>
    </row>
    <row r="132">
      <c r="B132" s="59"/>
      <c r="D132" s="59"/>
      <c r="F132" s="59"/>
      <c r="H132" s="59"/>
      <c r="J132" s="59"/>
      <c r="L132" s="59"/>
      <c r="N132" s="59"/>
      <c r="P132" s="59"/>
      <c r="Q132" s="61"/>
    </row>
    <row r="133">
      <c r="B133" s="59"/>
      <c r="D133" s="59"/>
      <c r="F133" s="59"/>
      <c r="H133" s="59"/>
      <c r="J133" s="59"/>
      <c r="L133" s="59"/>
      <c r="N133" s="59"/>
      <c r="P133" s="59"/>
      <c r="Q133" s="61"/>
    </row>
    <row r="134">
      <c r="B134" s="59"/>
      <c r="D134" s="59"/>
      <c r="F134" s="59"/>
      <c r="H134" s="59"/>
      <c r="J134" s="59"/>
      <c r="L134" s="59"/>
      <c r="N134" s="59"/>
      <c r="P134" s="59"/>
      <c r="Q134" s="61"/>
    </row>
    <row r="135">
      <c r="B135" s="59"/>
      <c r="D135" s="59"/>
      <c r="F135" s="59"/>
      <c r="H135" s="59"/>
      <c r="J135" s="59"/>
      <c r="L135" s="59"/>
      <c r="N135" s="59"/>
      <c r="P135" s="59"/>
      <c r="Q135" s="61"/>
    </row>
    <row r="136">
      <c r="B136" s="59"/>
      <c r="D136" s="59"/>
      <c r="F136" s="59"/>
      <c r="H136" s="59"/>
      <c r="J136" s="59"/>
      <c r="L136" s="59"/>
      <c r="N136" s="59"/>
      <c r="P136" s="59"/>
      <c r="Q136" s="61"/>
    </row>
    <row r="137">
      <c r="B137" s="59"/>
      <c r="D137" s="59"/>
      <c r="F137" s="59"/>
      <c r="H137" s="59"/>
      <c r="J137" s="59"/>
      <c r="L137" s="59"/>
      <c r="N137" s="59"/>
      <c r="P137" s="59"/>
      <c r="Q137" s="61"/>
    </row>
    <row r="138">
      <c r="B138" s="59"/>
      <c r="D138" s="59"/>
      <c r="F138" s="59"/>
      <c r="H138" s="59"/>
      <c r="J138" s="59"/>
      <c r="L138" s="59"/>
      <c r="N138" s="59"/>
      <c r="P138" s="59"/>
      <c r="Q138" s="61"/>
    </row>
    <row r="139">
      <c r="B139" s="59"/>
      <c r="D139" s="59"/>
      <c r="F139" s="59"/>
      <c r="H139" s="59"/>
      <c r="J139" s="59"/>
      <c r="L139" s="59"/>
      <c r="N139" s="59"/>
      <c r="P139" s="59"/>
      <c r="Q139" s="61"/>
    </row>
    <row r="140">
      <c r="B140" s="59"/>
      <c r="D140" s="59"/>
      <c r="F140" s="59"/>
      <c r="H140" s="59"/>
      <c r="J140" s="59"/>
      <c r="L140" s="59"/>
      <c r="N140" s="59"/>
      <c r="P140" s="59"/>
      <c r="Q140" s="61"/>
    </row>
    <row r="141">
      <c r="B141" s="59"/>
      <c r="D141" s="59"/>
      <c r="F141" s="59"/>
      <c r="H141" s="59"/>
      <c r="J141" s="59"/>
      <c r="L141" s="59"/>
      <c r="N141" s="59"/>
      <c r="P141" s="59"/>
      <c r="Q141" s="61"/>
    </row>
    <row r="142">
      <c r="B142" s="59"/>
      <c r="D142" s="59"/>
      <c r="F142" s="59"/>
      <c r="H142" s="59"/>
      <c r="J142" s="59"/>
      <c r="L142" s="59"/>
      <c r="N142" s="59"/>
      <c r="P142" s="59"/>
      <c r="Q142" s="61"/>
    </row>
    <row r="143">
      <c r="B143" s="59"/>
      <c r="D143" s="59"/>
      <c r="F143" s="59"/>
      <c r="H143" s="59"/>
      <c r="J143" s="59"/>
      <c r="L143" s="59"/>
      <c r="N143" s="59"/>
      <c r="P143" s="59"/>
      <c r="Q143" s="61"/>
    </row>
    <row r="144">
      <c r="B144" s="59"/>
      <c r="D144" s="59"/>
      <c r="F144" s="59"/>
      <c r="H144" s="59"/>
      <c r="J144" s="59"/>
      <c r="L144" s="59"/>
      <c r="N144" s="59"/>
      <c r="P144" s="59"/>
      <c r="Q144" s="61"/>
    </row>
    <row r="145">
      <c r="B145" s="59"/>
      <c r="D145" s="59"/>
      <c r="F145" s="59"/>
      <c r="H145" s="59"/>
      <c r="J145" s="59"/>
      <c r="L145" s="59"/>
      <c r="N145" s="59"/>
      <c r="P145" s="59"/>
      <c r="Q145" s="61"/>
    </row>
    <row r="146">
      <c r="B146" s="59"/>
      <c r="D146" s="59"/>
      <c r="F146" s="59"/>
      <c r="H146" s="59"/>
      <c r="J146" s="59"/>
      <c r="L146" s="59"/>
      <c r="N146" s="59"/>
      <c r="P146" s="59"/>
      <c r="Q146" s="61"/>
    </row>
    <row r="147">
      <c r="B147" s="59"/>
      <c r="D147" s="59"/>
      <c r="F147" s="59"/>
      <c r="H147" s="59"/>
      <c r="J147" s="59"/>
      <c r="L147" s="59"/>
      <c r="N147" s="59"/>
      <c r="P147" s="59"/>
      <c r="Q147" s="61"/>
    </row>
    <row r="148">
      <c r="B148" s="59"/>
      <c r="D148" s="59"/>
      <c r="F148" s="59"/>
      <c r="H148" s="59"/>
      <c r="J148" s="59"/>
      <c r="L148" s="59"/>
      <c r="N148" s="59"/>
      <c r="P148" s="59"/>
      <c r="Q148" s="61"/>
    </row>
    <row r="149">
      <c r="B149" s="59"/>
      <c r="D149" s="59"/>
      <c r="F149" s="59"/>
      <c r="H149" s="59"/>
      <c r="J149" s="59"/>
      <c r="L149" s="59"/>
      <c r="N149" s="59"/>
      <c r="P149" s="59"/>
      <c r="Q149" s="61"/>
    </row>
    <row r="150">
      <c r="B150" s="59"/>
      <c r="D150" s="59"/>
      <c r="F150" s="59"/>
      <c r="H150" s="59"/>
      <c r="J150" s="59"/>
      <c r="L150" s="59"/>
      <c r="N150" s="59"/>
      <c r="P150" s="59"/>
      <c r="Q150" s="61"/>
    </row>
    <row r="151">
      <c r="B151" s="59"/>
      <c r="D151" s="59"/>
      <c r="F151" s="59"/>
      <c r="H151" s="59"/>
      <c r="J151" s="59"/>
      <c r="L151" s="59"/>
      <c r="N151" s="59"/>
      <c r="P151" s="59"/>
      <c r="Q151" s="61"/>
    </row>
    <row r="152">
      <c r="B152" s="59"/>
      <c r="D152" s="59"/>
      <c r="F152" s="59"/>
      <c r="H152" s="59"/>
      <c r="J152" s="59"/>
      <c r="L152" s="59"/>
      <c r="N152" s="59"/>
      <c r="P152" s="59"/>
      <c r="Q152" s="61"/>
    </row>
    <row r="153">
      <c r="B153" s="59"/>
      <c r="D153" s="59"/>
      <c r="F153" s="59"/>
      <c r="H153" s="59"/>
      <c r="J153" s="59"/>
      <c r="L153" s="59"/>
      <c r="N153" s="59"/>
      <c r="P153" s="59"/>
      <c r="Q153" s="61"/>
    </row>
    <row r="154">
      <c r="B154" s="59"/>
      <c r="D154" s="59"/>
      <c r="F154" s="59"/>
      <c r="H154" s="59"/>
      <c r="J154" s="59"/>
      <c r="L154" s="59"/>
      <c r="N154" s="59"/>
      <c r="P154" s="59"/>
      <c r="Q154" s="61"/>
    </row>
    <row r="155">
      <c r="B155" s="59"/>
      <c r="D155" s="59"/>
      <c r="F155" s="59"/>
      <c r="H155" s="59"/>
      <c r="J155" s="59"/>
      <c r="L155" s="59"/>
      <c r="N155" s="59"/>
      <c r="P155" s="59"/>
      <c r="Q155" s="61"/>
    </row>
    <row r="156">
      <c r="B156" s="59"/>
      <c r="D156" s="59"/>
      <c r="F156" s="59"/>
      <c r="H156" s="59"/>
      <c r="J156" s="59"/>
      <c r="L156" s="59"/>
      <c r="N156" s="59"/>
      <c r="P156" s="59"/>
      <c r="Q156" s="61"/>
    </row>
    <row r="157">
      <c r="B157" s="59"/>
      <c r="D157" s="59"/>
      <c r="F157" s="59"/>
      <c r="H157" s="59"/>
      <c r="J157" s="59"/>
      <c r="L157" s="59"/>
      <c r="N157" s="59"/>
      <c r="P157" s="59"/>
      <c r="Q157" s="61"/>
    </row>
    <row r="158">
      <c r="B158" s="59"/>
      <c r="D158" s="59"/>
      <c r="F158" s="59"/>
      <c r="H158" s="59"/>
      <c r="J158" s="59"/>
      <c r="L158" s="59"/>
      <c r="N158" s="59"/>
      <c r="P158" s="59"/>
      <c r="Q158" s="61"/>
    </row>
    <row r="159">
      <c r="B159" s="59"/>
      <c r="D159" s="59"/>
      <c r="F159" s="59"/>
      <c r="H159" s="59"/>
      <c r="J159" s="59"/>
      <c r="L159" s="59"/>
      <c r="N159" s="59"/>
      <c r="P159" s="59"/>
      <c r="Q159" s="61"/>
    </row>
    <row r="160">
      <c r="B160" s="59"/>
      <c r="D160" s="59"/>
      <c r="F160" s="59"/>
      <c r="H160" s="59"/>
      <c r="J160" s="59"/>
      <c r="L160" s="59"/>
      <c r="N160" s="59"/>
      <c r="P160" s="59"/>
      <c r="Q160" s="61"/>
    </row>
    <row r="161">
      <c r="B161" s="59"/>
      <c r="D161" s="59"/>
      <c r="F161" s="59"/>
      <c r="H161" s="59"/>
      <c r="J161" s="59"/>
      <c r="L161" s="59"/>
      <c r="N161" s="59"/>
      <c r="P161" s="59"/>
      <c r="Q161" s="61"/>
    </row>
    <row r="162">
      <c r="B162" s="59"/>
      <c r="D162" s="59"/>
      <c r="F162" s="59"/>
      <c r="H162" s="59"/>
      <c r="J162" s="59"/>
      <c r="L162" s="59"/>
      <c r="N162" s="59"/>
      <c r="P162" s="59"/>
      <c r="Q162" s="61"/>
    </row>
    <row r="163">
      <c r="B163" s="59"/>
      <c r="D163" s="59"/>
      <c r="F163" s="59"/>
      <c r="H163" s="59"/>
      <c r="J163" s="59"/>
      <c r="L163" s="59"/>
      <c r="N163" s="59"/>
      <c r="P163" s="59"/>
      <c r="Q163" s="61"/>
    </row>
    <row r="164">
      <c r="B164" s="59"/>
      <c r="D164" s="59"/>
      <c r="F164" s="59"/>
      <c r="H164" s="59"/>
      <c r="J164" s="59"/>
      <c r="L164" s="59"/>
      <c r="N164" s="59"/>
      <c r="P164" s="59"/>
      <c r="Q164" s="61"/>
    </row>
    <row r="165">
      <c r="B165" s="59"/>
      <c r="D165" s="59"/>
      <c r="F165" s="59"/>
      <c r="H165" s="59"/>
      <c r="J165" s="59"/>
      <c r="L165" s="59"/>
      <c r="N165" s="59"/>
      <c r="P165" s="59"/>
      <c r="Q165" s="61"/>
    </row>
    <row r="166">
      <c r="B166" s="59"/>
      <c r="D166" s="59"/>
      <c r="F166" s="59"/>
      <c r="H166" s="59"/>
      <c r="J166" s="59"/>
      <c r="L166" s="59"/>
      <c r="N166" s="59"/>
      <c r="P166" s="59"/>
      <c r="Q166" s="61"/>
    </row>
    <row r="167">
      <c r="B167" s="59"/>
      <c r="D167" s="59"/>
      <c r="F167" s="59"/>
      <c r="H167" s="59"/>
      <c r="J167" s="59"/>
      <c r="L167" s="59"/>
      <c r="N167" s="59"/>
      <c r="P167" s="59"/>
      <c r="Q167" s="61"/>
    </row>
    <row r="168">
      <c r="B168" s="59"/>
      <c r="D168" s="59"/>
      <c r="F168" s="59"/>
      <c r="H168" s="59"/>
      <c r="J168" s="59"/>
      <c r="L168" s="59"/>
      <c r="N168" s="59"/>
      <c r="P168" s="59"/>
      <c r="Q168" s="61"/>
    </row>
    <row r="169">
      <c r="B169" s="59"/>
      <c r="D169" s="59"/>
      <c r="F169" s="59"/>
      <c r="H169" s="59"/>
      <c r="J169" s="59"/>
      <c r="L169" s="59"/>
      <c r="N169" s="59"/>
      <c r="P169" s="59"/>
      <c r="Q169" s="61"/>
    </row>
    <row r="170">
      <c r="B170" s="59"/>
      <c r="D170" s="59"/>
      <c r="F170" s="59"/>
      <c r="H170" s="59"/>
      <c r="J170" s="59"/>
      <c r="L170" s="59"/>
      <c r="N170" s="59"/>
      <c r="P170" s="59"/>
      <c r="Q170" s="61"/>
    </row>
    <row r="171">
      <c r="B171" s="59"/>
      <c r="D171" s="59"/>
      <c r="F171" s="59"/>
      <c r="H171" s="59"/>
      <c r="J171" s="59"/>
      <c r="L171" s="59"/>
      <c r="N171" s="59"/>
      <c r="P171" s="59"/>
      <c r="Q171" s="61"/>
    </row>
    <row r="172">
      <c r="B172" s="59"/>
      <c r="D172" s="59"/>
      <c r="F172" s="59"/>
      <c r="H172" s="59"/>
      <c r="J172" s="59"/>
      <c r="L172" s="59"/>
      <c r="N172" s="59"/>
      <c r="P172" s="59"/>
      <c r="Q172" s="61"/>
    </row>
    <row r="173">
      <c r="B173" s="59"/>
      <c r="D173" s="59"/>
      <c r="F173" s="59"/>
      <c r="H173" s="59"/>
      <c r="J173" s="59"/>
      <c r="L173" s="59"/>
      <c r="N173" s="59"/>
      <c r="P173" s="59"/>
      <c r="Q173" s="61"/>
    </row>
    <row r="174">
      <c r="B174" s="59"/>
      <c r="D174" s="59"/>
      <c r="F174" s="59"/>
      <c r="H174" s="59"/>
      <c r="J174" s="59"/>
      <c r="L174" s="59"/>
      <c r="N174" s="59"/>
      <c r="P174" s="59"/>
      <c r="Q174" s="61"/>
    </row>
    <row r="175">
      <c r="B175" s="59"/>
      <c r="D175" s="59"/>
      <c r="F175" s="59"/>
      <c r="H175" s="59"/>
      <c r="J175" s="59"/>
      <c r="L175" s="59"/>
      <c r="N175" s="59"/>
      <c r="P175" s="59"/>
      <c r="Q175" s="61"/>
    </row>
    <row r="176">
      <c r="B176" s="59"/>
      <c r="D176" s="59"/>
      <c r="F176" s="59"/>
      <c r="H176" s="59"/>
      <c r="J176" s="59"/>
      <c r="L176" s="59"/>
      <c r="N176" s="59"/>
      <c r="P176" s="59"/>
      <c r="Q176" s="61"/>
    </row>
    <row r="177">
      <c r="B177" s="59"/>
      <c r="D177" s="59"/>
      <c r="F177" s="59"/>
      <c r="H177" s="59"/>
      <c r="J177" s="59"/>
      <c r="L177" s="59"/>
      <c r="N177" s="59"/>
      <c r="P177" s="59"/>
      <c r="Q177" s="61"/>
    </row>
    <row r="178">
      <c r="B178" s="59"/>
      <c r="D178" s="59"/>
      <c r="F178" s="59"/>
      <c r="H178" s="59"/>
      <c r="J178" s="59"/>
      <c r="L178" s="59"/>
      <c r="N178" s="59"/>
      <c r="P178" s="59"/>
      <c r="Q178" s="61"/>
    </row>
    <row r="179">
      <c r="B179" s="59"/>
      <c r="D179" s="59"/>
      <c r="F179" s="59"/>
      <c r="H179" s="59"/>
      <c r="J179" s="59"/>
      <c r="L179" s="59"/>
      <c r="N179" s="59"/>
      <c r="P179" s="59"/>
      <c r="Q179" s="61"/>
    </row>
    <row r="180">
      <c r="B180" s="59"/>
      <c r="D180" s="59"/>
      <c r="F180" s="59"/>
      <c r="H180" s="59"/>
      <c r="J180" s="59"/>
      <c r="L180" s="59"/>
      <c r="N180" s="59"/>
      <c r="P180" s="59"/>
      <c r="Q180" s="61"/>
    </row>
    <row r="181">
      <c r="B181" s="59"/>
      <c r="D181" s="59"/>
      <c r="F181" s="59"/>
      <c r="H181" s="59"/>
      <c r="J181" s="59"/>
      <c r="L181" s="59"/>
      <c r="N181" s="59"/>
      <c r="P181" s="59"/>
      <c r="Q181" s="61"/>
    </row>
    <row r="182">
      <c r="B182" s="59"/>
      <c r="D182" s="59"/>
      <c r="F182" s="59"/>
      <c r="H182" s="59"/>
      <c r="J182" s="59"/>
      <c r="L182" s="59"/>
      <c r="N182" s="59"/>
      <c r="P182" s="59"/>
      <c r="Q182" s="61"/>
    </row>
    <row r="183">
      <c r="B183" s="59"/>
      <c r="D183" s="59"/>
      <c r="F183" s="59"/>
      <c r="H183" s="59"/>
      <c r="J183" s="59"/>
      <c r="L183" s="59"/>
      <c r="N183" s="59"/>
      <c r="P183" s="59"/>
      <c r="Q183" s="61"/>
    </row>
    <row r="184">
      <c r="B184" s="59"/>
      <c r="D184" s="59"/>
      <c r="F184" s="59"/>
      <c r="H184" s="59"/>
      <c r="J184" s="59"/>
      <c r="L184" s="59"/>
      <c r="N184" s="59"/>
      <c r="P184" s="59"/>
      <c r="Q184" s="61"/>
    </row>
    <row r="185">
      <c r="B185" s="59"/>
      <c r="D185" s="59"/>
      <c r="F185" s="59"/>
      <c r="H185" s="59"/>
      <c r="J185" s="59"/>
      <c r="L185" s="59"/>
      <c r="N185" s="59"/>
      <c r="P185" s="59"/>
      <c r="Q185" s="61"/>
    </row>
    <row r="186">
      <c r="B186" s="59"/>
      <c r="D186" s="59"/>
      <c r="F186" s="59"/>
      <c r="H186" s="59"/>
      <c r="J186" s="59"/>
      <c r="L186" s="59"/>
      <c r="N186" s="59"/>
      <c r="P186" s="59"/>
      <c r="Q186" s="61"/>
    </row>
    <row r="187">
      <c r="B187" s="59"/>
      <c r="D187" s="59"/>
      <c r="F187" s="59"/>
      <c r="H187" s="59"/>
      <c r="J187" s="59"/>
      <c r="L187" s="59"/>
      <c r="N187" s="59"/>
      <c r="P187" s="59"/>
      <c r="Q187" s="61"/>
    </row>
    <row r="188">
      <c r="B188" s="59"/>
      <c r="D188" s="59"/>
      <c r="F188" s="59"/>
      <c r="H188" s="59"/>
      <c r="J188" s="59"/>
      <c r="L188" s="59"/>
      <c r="N188" s="59"/>
      <c r="P188" s="59"/>
      <c r="Q188" s="61"/>
    </row>
    <row r="189">
      <c r="B189" s="59"/>
      <c r="D189" s="59"/>
      <c r="F189" s="59"/>
      <c r="H189" s="59"/>
      <c r="J189" s="59"/>
      <c r="L189" s="59"/>
      <c r="N189" s="59"/>
      <c r="P189" s="59"/>
      <c r="Q189" s="61"/>
    </row>
    <row r="190">
      <c r="B190" s="59"/>
      <c r="D190" s="59"/>
      <c r="F190" s="59"/>
      <c r="H190" s="59"/>
      <c r="J190" s="59"/>
      <c r="L190" s="59"/>
      <c r="N190" s="59"/>
      <c r="P190" s="59"/>
      <c r="Q190" s="61"/>
    </row>
    <row r="191">
      <c r="B191" s="59"/>
      <c r="D191" s="59"/>
      <c r="F191" s="59"/>
      <c r="H191" s="59"/>
      <c r="J191" s="59"/>
      <c r="L191" s="59"/>
      <c r="N191" s="59"/>
      <c r="P191" s="59"/>
      <c r="Q191" s="61"/>
    </row>
    <row r="192">
      <c r="B192" s="59"/>
      <c r="D192" s="59"/>
      <c r="F192" s="59"/>
      <c r="H192" s="59"/>
      <c r="J192" s="59"/>
      <c r="L192" s="59"/>
      <c r="N192" s="59"/>
      <c r="P192" s="59"/>
      <c r="Q192" s="61"/>
    </row>
    <row r="193">
      <c r="B193" s="59"/>
      <c r="D193" s="59"/>
      <c r="F193" s="59"/>
      <c r="H193" s="59"/>
      <c r="J193" s="59"/>
      <c r="L193" s="59"/>
      <c r="N193" s="59"/>
      <c r="P193" s="59"/>
      <c r="Q193" s="61"/>
    </row>
    <row r="194">
      <c r="B194" s="59"/>
      <c r="D194" s="59"/>
      <c r="F194" s="59"/>
      <c r="H194" s="59"/>
      <c r="J194" s="59"/>
      <c r="L194" s="59"/>
      <c r="N194" s="59"/>
      <c r="P194" s="59"/>
      <c r="Q194" s="61"/>
    </row>
    <row r="195">
      <c r="B195" s="59"/>
      <c r="D195" s="59"/>
      <c r="F195" s="59"/>
      <c r="H195" s="59"/>
      <c r="J195" s="59"/>
      <c r="L195" s="59"/>
      <c r="N195" s="59"/>
      <c r="P195" s="59"/>
      <c r="Q195" s="61"/>
    </row>
    <row r="196">
      <c r="B196" s="59"/>
      <c r="D196" s="59"/>
      <c r="F196" s="59"/>
      <c r="H196" s="59"/>
      <c r="J196" s="59"/>
      <c r="L196" s="59"/>
      <c r="N196" s="59"/>
      <c r="P196" s="59"/>
      <c r="Q196" s="61"/>
    </row>
    <row r="197">
      <c r="B197" s="59"/>
      <c r="D197" s="59"/>
      <c r="F197" s="59"/>
      <c r="H197" s="59"/>
      <c r="J197" s="59"/>
      <c r="L197" s="59"/>
      <c r="N197" s="59"/>
      <c r="P197" s="59"/>
      <c r="Q197" s="61"/>
    </row>
    <row r="198">
      <c r="B198" s="59"/>
      <c r="D198" s="59"/>
      <c r="F198" s="59"/>
      <c r="H198" s="59"/>
      <c r="J198" s="59"/>
      <c r="L198" s="59"/>
      <c r="N198" s="59"/>
      <c r="P198" s="59"/>
      <c r="Q198" s="61"/>
    </row>
    <row r="199">
      <c r="B199" s="59"/>
      <c r="D199" s="59"/>
      <c r="F199" s="59"/>
      <c r="H199" s="59"/>
      <c r="J199" s="59"/>
      <c r="L199" s="59"/>
      <c r="N199" s="59"/>
      <c r="P199" s="59"/>
      <c r="Q199" s="61"/>
    </row>
    <row r="200">
      <c r="B200" s="59"/>
      <c r="D200" s="59"/>
      <c r="F200" s="59"/>
      <c r="H200" s="59"/>
      <c r="J200" s="59"/>
      <c r="L200" s="59"/>
      <c r="N200" s="59"/>
      <c r="P200" s="59"/>
      <c r="Q200" s="61"/>
    </row>
    <row r="201">
      <c r="B201" s="59"/>
      <c r="D201" s="59"/>
      <c r="F201" s="59"/>
      <c r="H201" s="59"/>
      <c r="J201" s="59"/>
      <c r="L201" s="59"/>
      <c r="N201" s="59"/>
      <c r="P201" s="59"/>
      <c r="Q201" s="61"/>
    </row>
    <row r="202">
      <c r="B202" s="59"/>
      <c r="D202" s="59"/>
      <c r="F202" s="59"/>
      <c r="H202" s="59"/>
      <c r="J202" s="59"/>
      <c r="L202" s="59"/>
      <c r="N202" s="59"/>
      <c r="P202" s="59"/>
      <c r="Q202" s="61"/>
    </row>
    <row r="203">
      <c r="B203" s="59"/>
      <c r="D203" s="59"/>
      <c r="F203" s="59"/>
      <c r="H203" s="59"/>
      <c r="J203" s="59"/>
      <c r="L203" s="59"/>
      <c r="N203" s="59"/>
      <c r="P203" s="59"/>
      <c r="Q203" s="61"/>
    </row>
    <row r="204">
      <c r="B204" s="59"/>
      <c r="D204" s="59"/>
      <c r="F204" s="59"/>
      <c r="H204" s="59"/>
      <c r="J204" s="59"/>
      <c r="L204" s="59"/>
      <c r="N204" s="59"/>
      <c r="P204" s="59"/>
      <c r="Q204" s="61"/>
    </row>
    <row r="205">
      <c r="B205" s="59"/>
      <c r="D205" s="59"/>
      <c r="F205" s="59"/>
      <c r="H205" s="59"/>
      <c r="J205" s="59"/>
      <c r="L205" s="59"/>
      <c r="N205" s="59"/>
      <c r="P205" s="59"/>
      <c r="Q205" s="61"/>
    </row>
    <row r="206">
      <c r="B206" s="59"/>
      <c r="D206" s="59"/>
      <c r="F206" s="59"/>
      <c r="H206" s="59"/>
      <c r="J206" s="59"/>
      <c r="L206" s="59"/>
      <c r="N206" s="59"/>
      <c r="P206" s="59"/>
      <c r="Q206" s="61"/>
    </row>
    <row r="207">
      <c r="B207" s="59"/>
      <c r="D207" s="59"/>
      <c r="F207" s="59"/>
      <c r="H207" s="59"/>
      <c r="J207" s="59"/>
      <c r="L207" s="59"/>
      <c r="N207" s="59"/>
      <c r="P207" s="59"/>
      <c r="Q207" s="61"/>
    </row>
    <row r="208">
      <c r="B208" s="59"/>
      <c r="D208" s="59"/>
      <c r="F208" s="59"/>
      <c r="H208" s="59"/>
      <c r="J208" s="59"/>
      <c r="L208" s="59"/>
      <c r="N208" s="59"/>
      <c r="P208" s="59"/>
      <c r="Q208" s="61"/>
    </row>
    <row r="209">
      <c r="B209" s="59"/>
      <c r="D209" s="59"/>
      <c r="F209" s="59"/>
      <c r="H209" s="59"/>
      <c r="J209" s="59"/>
      <c r="L209" s="59"/>
      <c r="N209" s="59"/>
      <c r="P209" s="59"/>
      <c r="Q209" s="61"/>
    </row>
    <row r="210">
      <c r="B210" s="59"/>
      <c r="D210" s="59"/>
      <c r="F210" s="59"/>
      <c r="H210" s="59"/>
      <c r="J210" s="59"/>
      <c r="L210" s="59"/>
      <c r="N210" s="59"/>
      <c r="P210" s="59"/>
      <c r="Q210" s="61"/>
    </row>
    <row r="211">
      <c r="B211" s="59"/>
      <c r="D211" s="59"/>
      <c r="F211" s="59"/>
      <c r="H211" s="59"/>
      <c r="J211" s="59"/>
      <c r="L211" s="59"/>
      <c r="N211" s="59"/>
      <c r="P211" s="59"/>
      <c r="Q211" s="61"/>
    </row>
    <row r="212">
      <c r="B212" s="59"/>
      <c r="D212" s="59"/>
      <c r="F212" s="59"/>
      <c r="H212" s="59"/>
      <c r="J212" s="59"/>
      <c r="L212" s="59"/>
      <c r="N212" s="59"/>
      <c r="P212" s="59"/>
      <c r="Q212" s="61"/>
    </row>
    <row r="213">
      <c r="B213" s="59"/>
      <c r="D213" s="59"/>
      <c r="F213" s="59"/>
      <c r="H213" s="59"/>
      <c r="J213" s="59"/>
      <c r="L213" s="59"/>
      <c r="N213" s="59"/>
      <c r="P213" s="59"/>
      <c r="Q213" s="61"/>
    </row>
    <row r="214">
      <c r="B214" s="59"/>
      <c r="D214" s="59"/>
      <c r="F214" s="59"/>
      <c r="H214" s="59"/>
      <c r="J214" s="59"/>
      <c r="L214" s="59"/>
      <c r="N214" s="59"/>
      <c r="P214" s="59"/>
      <c r="Q214" s="61"/>
    </row>
    <row r="215">
      <c r="B215" s="59"/>
      <c r="D215" s="59"/>
      <c r="F215" s="59"/>
      <c r="H215" s="59"/>
      <c r="J215" s="59"/>
      <c r="L215" s="59"/>
      <c r="N215" s="59"/>
      <c r="P215" s="59"/>
      <c r="Q215" s="61"/>
    </row>
    <row r="216">
      <c r="B216" s="59"/>
      <c r="D216" s="59"/>
      <c r="F216" s="59"/>
      <c r="H216" s="59"/>
      <c r="J216" s="59"/>
      <c r="L216" s="59"/>
      <c r="N216" s="59"/>
      <c r="P216" s="59"/>
      <c r="Q216" s="61"/>
    </row>
    <row r="217">
      <c r="B217" s="59"/>
      <c r="D217" s="59"/>
      <c r="F217" s="59"/>
      <c r="H217" s="59"/>
      <c r="J217" s="59"/>
      <c r="L217" s="59"/>
      <c r="N217" s="59"/>
      <c r="P217" s="59"/>
      <c r="Q217" s="61"/>
    </row>
    <row r="218">
      <c r="B218" s="59"/>
      <c r="D218" s="59"/>
      <c r="F218" s="59"/>
      <c r="H218" s="59"/>
      <c r="J218" s="59"/>
      <c r="L218" s="59"/>
      <c r="N218" s="59"/>
      <c r="P218" s="59"/>
      <c r="Q218" s="61"/>
    </row>
    <row r="219">
      <c r="B219" s="59"/>
      <c r="D219" s="59"/>
      <c r="F219" s="59"/>
      <c r="H219" s="59"/>
      <c r="J219" s="59"/>
      <c r="L219" s="59"/>
      <c r="N219" s="59"/>
      <c r="P219" s="59"/>
      <c r="Q219" s="61"/>
    </row>
    <row r="220">
      <c r="B220" s="59"/>
      <c r="D220" s="59"/>
      <c r="F220" s="59"/>
      <c r="H220" s="59"/>
      <c r="J220" s="59"/>
      <c r="L220" s="59"/>
      <c r="N220" s="59"/>
      <c r="P220" s="59"/>
      <c r="Q220" s="61"/>
    </row>
    <row r="221">
      <c r="B221" s="59"/>
      <c r="D221" s="59"/>
      <c r="F221" s="59"/>
      <c r="H221" s="59"/>
      <c r="J221" s="59"/>
      <c r="L221" s="59"/>
      <c r="N221" s="59"/>
      <c r="P221" s="59"/>
      <c r="Q221" s="61"/>
    </row>
    <row r="222">
      <c r="B222" s="59"/>
      <c r="D222" s="59"/>
      <c r="F222" s="59"/>
      <c r="H222" s="59"/>
      <c r="J222" s="59"/>
      <c r="L222" s="59"/>
      <c r="N222" s="59"/>
      <c r="P222" s="59"/>
      <c r="Q222" s="61"/>
    </row>
    <row r="223">
      <c r="B223" s="59"/>
      <c r="D223" s="59"/>
      <c r="F223" s="59"/>
      <c r="H223" s="59"/>
      <c r="J223" s="59"/>
      <c r="L223" s="59"/>
      <c r="N223" s="59"/>
      <c r="P223" s="59"/>
      <c r="Q223" s="61"/>
    </row>
    <row r="224">
      <c r="B224" s="59"/>
      <c r="D224" s="59"/>
      <c r="F224" s="59"/>
      <c r="H224" s="59"/>
      <c r="J224" s="59"/>
      <c r="L224" s="59"/>
      <c r="N224" s="59"/>
      <c r="P224" s="59"/>
      <c r="Q224" s="61"/>
    </row>
    <row r="225">
      <c r="B225" s="59"/>
      <c r="D225" s="59"/>
      <c r="F225" s="59"/>
      <c r="H225" s="59"/>
      <c r="J225" s="59"/>
      <c r="L225" s="59"/>
      <c r="N225" s="59"/>
      <c r="P225" s="59"/>
      <c r="Q225" s="61"/>
    </row>
    <row r="226">
      <c r="B226" s="59"/>
      <c r="D226" s="59"/>
      <c r="F226" s="59"/>
      <c r="H226" s="59"/>
      <c r="J226" s="59"/>
      <c r="L226" s="59"/>
      <c r="N226" s="59"/>
      <c r="P226" s="59"/>
      <c r="Q226" s="61"/>
    </row>
    <row r="227">
      <c r="B227" s="59"/>
      <c r="D227" s="59"/>
      <c r="F227" s="59"/>
      <c r="H227" s="59"/>
      <c r="J227" s="59"/>
      <c r="L227" s="59"/>
      <c r="N227" s="59"/>
      <c r="P227" s="59"/>
      <c r="Q227" s="61"/>
    </row>
    <row r="228">
      <c r="B228" s="59"/>
      <c r="D228" s="59"/>
      <c r="F228" s="59"/>
      <c r="H228" s="59"/>
      <c r="J228" s="59"/>
      <c r="L228" s="59"/>
      <c r="N228" s="59"/>
      <c r="P228" s="59"/>
      <c r="Q228" s="61"/>
    </row>
    <row r="229">
      <c r="B229" s="59"/>
      <c r="D229" s="59"/>
      <c r="F229" s="59"/>
      <c r="H229" s="59"/>
      <c r="J229" s="59"/>
      <c r="L229" s="59"/>
      <c r="N229" s="59"/>
      <c r="P229" s="59"/>
      <c r="Q229" s="61"/>
    </row>
    <row r="230">
      <c r="B230" s="59"/>
      <c r="D230" s="59"/>
      <c r="F230" s="59"/>
      <c r="H230" s="59"/>
      <c r="J230" s="59"/>
      <c r="L230" s="59"/>
      <c r="N230" s="59"/>
      <c r="P230" s="59"/>
      <c r="Q230" s="61"/>
    </row>
    <row r="231">
      <c r="B231" s="59"/>
      <c r="D231" s="59"/>
      <c r="F231" s="59"/>
      <c r="H231" s="59"/>
      <c r="J231" s="59"/>
      <c r="L231" s="59"/>
      <c r="N231" s="59"/>
      <c r="P231" s="59"/>
      <c r="Q231" s="61"/>
    </row>
    <row r="232">
      <c r="B232" s="59"/>
      <c r="D232" s="59"/>
      <c r="F232" s="59"/>
      <c r="H232" s="59"/>
      <c r="J232" s="59"/>
      <c r="L232" s="59"/>
      <c r="N232" s="59"/>
      <c r="P232" s="59"/>
      <c r="Q232" s="61"/>
    </row>
    <row r="233">
      <c r="B233" s="59"/>
      <c r="D233" s="59"/>
      <c r="F233" s="59"/>
      <c r="H233" s="59"/>
      <c r="J233" s="59"/>
      <c r="L233" s="59"/>
      <c r="N233" s="59"/>
      <c r="P233" s="59"/>
      <c r="Q233" s="61"/>
    </row>
    <row r="234">
      <c r="B234" s="59"/>
      <c r="D234" s="59"/>
      <c r="F234" s="59"/>
      <c r="H234" s="59"/>
      <c r="J234" s="59"/>
      <c r="L234" s="59"/>
      <c r="N234" s="59"/>
      <c r="P234" s="59"/>
      <c r="Q234" s="61"/>
    </row>
    <row r="235">
      <c r="B235" s="59"/>
      <c r="D235" s="59"/>
      <c r="F235" s="59"/>
      <c r="H235" s="59"/>
      <c r="J235" s="59"/>
      <c r="L235" s="59"/>
      <c r="N235" s="59"/>
      <c r="P235" s="59"/>
      <c r="Q235" s="61"/>
    </row>
    <row r="236">
      <c r="B236" s="59"/>
      <c r="D236" s="59"/>
      <c r="F236" s="59"/>
      <c r="H236" s="59"/>
      <c r="J236" s="59"/>
      <c r="L236" s="59"/>
      <c r="N236" s="59"/>
      <c r="P236" s="59"/>
      <c r="Q236" s="61"/>
    </row>
    <row r="237">
      <c r="B237" s="59"/>
      <c r="D237" s="59"/>
      <c r="F237" s="59"/>
      <c r="H237" s="59"/>
      <c r="J237" s="59"/>
      <c r="L237" s="59"/>
      <c r="N237" s="59"/>
      <c r="P237" s="59"/>
      <c r="Q237" s="61"/>
    </row>
    <row r="238">
      <c r="B238" s="59"/>
      <c r="D238" s="59"/>
      <c r="F238" s="59"/>
      <c r="H238" s="59"/>
      <c r="J238" s="59"/>
      <c r="L238" s="59"/>
      <c r="N238" s="59"/>
      <c r="P238" s="59"/>
      <c r="Q238" s="61"/>
    </row>
    <row r="239">
      <c r="B239" s="59"/>
      <c r="D239" s="59"/>
      <c r="F239" s="59"/>
      <c r="H239" s="59"/>
      <c r="J239" s="59"/>
      <c r="L239" s="59"/>
      <c r="N239" s="59"/>
      <c r="P239" s="59"/>
      <c r="Q239" s="61"/>
    </row>
    <row r="240">
      <c r="B240" s="59"/>
      <c r="D240" s="59"/>
      <c r="F240" s="59"/>
      <c r="H240" s="59"/>
      <c r="J240" s="59"/>
      <c r="L240" s="59"/>
      <c r="N240" s="59"/>
      <c r="P240" s="59"/>
      <c r="Q240" s="61"/>
    </row>
    <row r="241">
      <c r="B241" s="59"/>
      <c r="D241" s="59"/>
      <c r="F241" s="59"/>
      <c r="H241" s="59"/>
      <c r="J241" s="59"/>
      <c r="L241" s="59"/>
      <c r="N241" s="59"/>
      <c r="P241" s="59"/>
      <c r="Q241" s="61"/>
    </row>
    <row r="242">
      <c r="B242" s="59"/>
      <c r="D242" s="59"/>
      <c r="F242" s="59"/>
      <c r="H242" s="59"/>
      <c r="J242" s="59"/>
      <c r="L242" s="59"/>
      <c r="N242" s="59"/>
      <c r="P242" s="59"/>
      <c r="Q242" s="61"/>
    </row>
    <row r="243">
      <c r="B243" s="59"/>
      <c r="D243" s="59"/>
      <c r="F243" s="59"/>
      <c r="H243" s="59"/>
      <c r="J243" s="59"/>
      <c r="L243" s="59"/>
      <c r="N243" s="59"/>
      <c r="P243" s="59"/>
      <c r="Q243" s="61"/>
    </row>
    <row r="244">
      <c r="B244" s="59"/>
      <c r="D244" s="59"/>
      <c r="F244" s="59"/>
      <c r="H244" s="59"/>
      <c r="J244" s="59"/>
      <c r="L244" s="59"/>
      <c r="N244" s="59"/>
      <c r="P244" s="59"/>
      <c r="Q244" s="61"/>
    </row>
    <row r="245">
      <c r="B245" s="59"/>
      <c r="D245" s="59"/>
      <c r="F245" s="59"/>
      <c r="H245" s="59"/>
      <c r="J245" s="59"/>
      <c r="L245" s="59"/>
      <c r="N245" s="59"/>
      <c r="P245" s="59"/>
      <c r="Q245" s="61"/>
    </row>
    <row r="246">
      <c r="B246" s="59"/>
      <c r="D246" s="59"/>
      <c r="F246" s="59"/>
      <c r="H246" s="59"/>
      <c r="J246" s="59"/>
      <c r="L246" s="59"/>
      <c r="N246" s="59"/>
      <c r="P246" s="59"/>
      <c r="Q246" s="61"/>
    </row>
    <row r="247">
      <c r="B247" s="59"/>
      <c r="D247" s="59"/>
      <c r="F247" s="59"/>
      <c r="H247" s="59"/>
      <c r="J247" s="59"/>
      <c r="L247" s="59"/>
      <c r="N247" s="59"/>
      <c r="P247" s="59"/>
      <c r="Q247" s="61"/>
    </row>
    <row r="248">
      <c r="B248" s="59"/>
      <c r="D248" s="59"/>
      <c r="F248" s="59"/>
      <c r="H248" s="59"/>
      <c r="J248" s="59"/>
      <c r="L248" s="59"/>
      <c r="N248" s="59"/>
      <c r="P248" s="59"/>
      <c r="Q248" s="61"/>
    </row>
    <row r="249">
      <c r="B249" s="59"/>
      <c r="D249" s="59"/>
      <c r="F249" s="59"/>
      <c r="H249" s="59"/>
      <c r="J249" s="59"/>
      <c r="L249" s="59"/>
      <c r="N249" s="59"/>
      <c r="P249" s="59"/>
      <c r="Q249" s="61"/>
    </row>
    <row r="250">
      <c r="B250" s="59"/>
      <c r="D250" s="59"/>
      <c r="F250" s="59"/>
      <c r="H250" s="59"/>
      <c r="J250" s="59"/>
      <c r="L250" s="59"/>
      <c r="N250" s="59"/>
      <c r="P250" s="59"/>
      <c r="Q250" s="61"/>
    </row>
    <row r="251">
      <c r="B251" s="59"/>
      <c r="D251" s="59"/>
      <c r="F251" s="59"/>
      <c r="H251" s="59"/>
      <c r="J251" s="59"/>
      <c r="L251" s="59"/>
      <c r="N251" s="59"/>
      <c r="P251" s="59"/>
      <c r="Q251" s="61"/>
    </row>
    <row r="252">
      <c r="B252" s="59"/>
      <c r="D252" s="59"/>
      <c r="F252" s="59"/>
      <c r="H252" s="59"/>
      <c r="J252" s="59"/>
      <c r="L252" s="59"/>
      <c r="N252" s="59"/>
      <c r="P252" s="59"/>
      <c r="Q252" s="61"/>
    </row>
    <row r="253">
      <c r="B253" s="59"/>
      <c r="D253" s="59"/>
      <c r="F253" s="59"/>
      <c r="H253" s="59"/>
      <c r="J253" s="59"/>
      <c r="L253" s="59"/>
      <c r="N253" s="59"/>
      <c r="P253" s="59"/>
      <c r="Q253" s="61"/>
    </row>
    <row r="254">
      <c r="B254" s="59"/>
      <c r="D254" s="59"/>
      <c r="F254" s="59"/>
      <c r="H254" s="59"/>
      <c r="J254" s="59"/>
      <c r="L254" s="59"/>
      <c r="N254" s="59"/>
      <c r="P254" s="59"/>
      <c r="Q254" s="61"/>
    </row>
    <row r="255">
      <c r="B255" s="59"/>
      <c r="D255" s="59"/>
      <c r="F255" s="59"/>
      <c r="H255" s="59"/>
      <c r="J255" s="59"/>
      <c r="L255" s="59"/>
      <c r="N255" s="59"/>
      <c r="P255" s="59"/>
      <c r="Q255" s="61"/>
    </row>
    <row r="256">
      <c r="B256" s="59"/>
      <c r="D256" s="59"/>
      <c r="F256" s="59"/>
      <c r="H256" s="59"/>
      <c r="J256" s="59"/>
      <c r="L256" s="59"/>
      <c r="N256" s="59"/>
      <c r="P256" s="59"/>
      <c r="Q256" s="61"/>
    </row>
    <row r="257">
      <c r="B257" s="59"/>
      <c r="D257" s="59"/>
      <c r="F257" s="59"/>
      <c r="H257" s="59"/>
      <c r="J257" s="59"/>
      <c r="L257" s="59"/>
      <c r="N257" s="59"/>
      <c r="P257" s="59"/>
      <c r="Q257" s="61"/>
    </row>
    <row r="258">
      <c r="B258" s="59"/>
      <c r="D258" s="59"/>
      <c r="F258" s="59"/>
      <c r="H258" s="59"/>
      <c r="J258" s="59"/>
      <c r="L258" s="59"/>
      <c r="N258" s="59"/>
      <c r="P258" s="59"/>
      <c r="Q258" s="61"/>
    </row>
    <row r="259">
      <c r="B259" s="59"/>
      <c r="D259" s="59"/>
      <c r="F259" s="59"/>
      <c r="H259" s="59"/>
      <c r="J259" s="59"/>
      <c r="L259" s="59"/>
      <c r="N259" s="59"/>
      <c r="P259" s="59"/>
      <c r="Q259" s="61"/>
    </row>
    <row r="260">
      <c r="B260" s="59"/>
      <c r="D260" s="59"/>
      <c r="F260" s="59"/>
      <c r="H260" s="59"/>
      <c r="J260" s="59"/>
      <c r="L260" s="59"/>
      <c r="N260" s="59"/>
      <c r="P260" s="59"/>
      <c r="Q260" s="61"/>
    </row>
    <row r="261">
      <c r="B261" s="59"/>
      <c r="D261" s="59"/>
      <c r="F261" s="59"/>
      <c r="H261" s="59"/>
      <c r="J261" s="59"/>
      <c r="L261" s="59"/>
      <c r="N261" s="59"/>
      <c r="P261" s="59"/>
      <c r="Q261" s="61"/>
    </row>
    <row r="262">
      <c r="B262" s="59"/>
      <c r="D262" s="59"/>
      <c r="F262" s="59"/>
      <c r="H262" s="59"/>
      <c r="J262" s="59"/>
      <c r="L262" s="59"/>
      <c r="N262" s="59"/>
      <c r="P262" s="59"/>
      <c r="Q262" s="61"/>
    </row>
    <row r="263">
      <c r="B263" s="59"/>
      <c r="D263" s="59"/>
      <c r="F263" s="59"/>
      <c r="H263" s="59"/>
      <c r="J263" s="59"/>
      <c r="L263" s="59"/>
      <c r="N263" s="59"/>
      <c r="P263" s="59"/>
      <c r="Q263" s="61"/>
    </row>
    <row r="264">
      <c r="B264" s="59"/>
      <c r="D264" s="59"/>
      <c r="F264" s="59"/>
      <c r="H264" s="59"/>
      <c r="J264" s="59"/>
      <c r="L264" s="59"/>
      <c r="N264" s="59"/>
      <c r="P264" s="59"/>
      <c r="Q264" s="61"/>
    </row>
    <row r="265">
      <c r="B265" s="59"/>
      <c r="D265" s="59"/>
      <c r="F265" s="59"/>
      <c r="H265" s="59"/>
      <c r="J265" s="59"/>
      <c r="L265" s="59"/>
      <c r="N265" s="59"/>
      <c r="P265" s="59"/>
      <c r="Q265" s="61"/>
    </row>
    <row r="266">
      <c r="B266" s="59"/>
      <c r="D266" s="59"/>
      <c r="F266" s="59"/>
      <c r="H266" s="59"/>
      <c r="J266" s="59"/>
      <c r="L266" s="59"/>
      <c r="N266" s="59"/>
      <c r="P266" s="59"/>
      <c r="Q266" s="61"/>
    </row>
    <row r="267">
      <c r="B267" s="59"/>
      <c r="D267" s="59"/>
      <c r="F267" s="59"/>
      <c r="H267" s="59"/>
      <c r="J267" s="59"/>
      <c r="L267" s="59"/>
      <c r="N267" s="59"/>
      <c r="P267" s="59"/>
      <c r="Q267" s="61"/>
    </row>
    <row r="268">
      <c r="B268" s="59"/>
      <c r="D268" s="59"/>
      <c r="F268" s="59"/>
      <c r="H268" s="59"/>
      <c r="J268" s="59"/>
      <c r="L268" s="59"/>
      <c r="N268" s="59"/>
      <c r="P268" s="59"/>
      <c r="Q268" s="61"/>
    </row>
    <row r="269">
      <c r="B269" s="59"/>
      <c r="D269" s="59"/>
      <c r="F269" s="59"/>
      <c r="H269" s="59"/>
      <c r="J269" s="59"/>
      <c r="L269" s="59"/>
      <c r="N269" s="59"/>
      <c r="P269" s="59"/>
      <c r="Q269" s="61"/>
    </row>
    <row r="270">
      <c r="B270" s="59"/>
      <c r="D270" s="59"/>
      <c r="F270" s="59"/>
      <c r="H270" s="59"/>
      <c r="J270" s="59"/>
      <c r="L270" s="59"/>
      <c r="N270" s="59"/>
      <c r="P270" s="59"/>
      <c r="Q270" s="61"/>
    </row>
    <row r="271">
      <c r="B271" s="59"/>
      <c r="D271" s="59"/>
      <c r="F271" s="59"/>
      <c r="H271" s="59"/>
      <c r="J271" s="59"/>
      <c r="L271" s="59"/>
      <c r="N271" s="59"/>
      <c r="P271" s="59"/>
      <c r="Q271" s="61"/>
    </row>
    <row r="272">
      <c r="B272" s="59"/>
      <c r="D272" s="59"/>
      <c r="F272" s="59"/>
      <c r="H272" s="59"/>
      <c r="J272" s="59"/>
      <c r="L272" s="59"/>
      <c r="N272" s="59"/>
      <c r="P272" s="59"/>
      <c r="Q272" s="61"/>
    </row>
    <row r="273">
      <c r="B273" s="59"/>
      <c r="D273" s="59"/>
      <c r="F273" s="59"/>
      <c r="H273" s="59"/>
      <c r="J273" s="59"/>
      <c r="L273" s="59"/>
      <c r="N273" s="59"/>
      <c r="P273" s="59"/>
      <c r="Q273" s="61"/>
    </row>
    <row r="274">
      <c r="B274" s="59"/>
      <c r="D274" s="59"/>
      <c r="F274" s="59"/>
      <c r="H274" s="59"/>
      <c r="J274" s="59"/>
      <c r="L274" s="59"/>
      <c r="N274" s="59"/>
      <c r="P274" s="59"/>
      <c r="Q274" s="61"/>
    </row>
    <row r="275">
      <c r="B275" s="59"/>
      <c r="D275" s="59"/>
      <c r="F275" s="59"/>
      <c r="H275" s="59"/>
      <c r="J275" s="59"/>
      <c r="L275" s="59"/>
      <c r="N275" s="59"/>
      <c r="P275" s="59"/>
      <c r="Q275" s="61"/>
    </row>
    <row r="276">
      <c r="B276" s="59"/>
      <c r="D276" s="59"/>
      <c r="F276" s="59"/>
      <c r="H276" s="59"/>
      <c r="J276" s="59"/>
      <c r="L276" s="59"/>
      <c r="N276" s="59"/>
      <c r="P276" s="59"/>
      <c r="Q276" s="61"/>
    </row>
    <row r="277">
      <c r="B277" s="59"/>
      <c r="D277" s="59"/>
      <c r="F277" s="59"/>
      <c r="H277" s="59"/>
      <c r="J277" s="59"/>
      <c r="L277" s="59"/>
      <c r="N277" s="59"/>
      <c r="P277" s="59"/>
      <c r="Q277" s="61"/>
    </row>
    <row r="278">
      <c r="B278" s="59"/>
      <c r="D278" s="59"/>
      <c r="F278" s="59"/>
      <c r="H278" s="59"/>
      <c r="J278" s="59"/>
      <c r="L278" s="59"/>
      <c r="N278" s="59"/>
      <c r="P278" s="59"/>
      <c r="Q278" s="61"/>
    </row>
    <row r="279">
      <c r="B279" s="59"/>
      <c r="D279" s="59"/>
      <c r="F279" s="59"/>
      <c r="H279" s="59"/>
      <c r="J279" s="59"/>
      <c r="L279" s="59"/>
      <c r="N279" s="59"/>
      <c r="P279" s="59"/>
      <c r="Q279" s="61"/>
    </row>
    <row r="280">
      <c r="B280" s="59"/>
      <c r="D280" s="59"/>
      <c r="F280" s="59"/>
      <c r="H280" s="59"/>
      <c r="J280" s="59"/>
      <c r="L280" s="59"/>
      <c r="N280" s="59"/>
      <c r="P280" s="59"/>
      <c r="Q280" s="61"/>
    </row>
    <row r="281">
      <c r="B281" s="59"/>
      <c r="D281" s="59"/>
      <c r="F281" s="59"/>
      <c r="H281" s="59"/>
      <c r="J281" s="59"/>
      <c r="L281" s="59"/>
      <c r="N281" s="59"/>
      <c r="P281" s="59"/>
      <c r="Q281" s="61"/>
    </row>
    <row r="282">
      <c r="B282" s="59"/>
      <c r="D282" s="59"/>
      <c r="F282" s="59"/>
      <c r="H282" s="59"/>
      <c r="J282" s="59"/>
      <c r="L282" s="59"/>
      <c r="N282" s="59"/>
      <c r="P282" s="59"/>
      <c r="Q282" s="61"/>
    </row>
    <row r="283">
      <c r="B283" s="59"/>
      <c r="D283" s="59"/>
      <c r="F283" s="59"/>
      <c r="H283" s="59"/>
      <c r="J283" s="59"/>
      <c r="L283" s="59"/>
      <c r="N283" s="59"/>
      <c r="P283" s="59"/>
      <c r="Q283" s="61"/>
    </row>
    <row r="284">
      <c r="B284" s="59"/>
      <c r="D284" s="59"/>
      <c r="F284" s="59"/>
      <c r="H284" s="59"/>
      <c r="J284" s="59"/>
      <c r="L284" s="59"/>
      <c r="N284" s="59"/>
      <c r="P284" s="59"/>
      <c r="Q284" s="61"/>
    </row>
    <row r="285">
      <c r="B285" s="59"/>
      <c r="D285" s="59"/>
      <c r="F285" s="59"/>
      <c r="H285" s="59"/>
      <c r="J285" s="59"/>
      <c r="L285" s="59"/>
      <c r="N285" s="59"/>
      <c r="P285" s="59"/>
      <c r="Q285" s="61"/>
    </row>
    <row r="286">
      <c r="B286" s="59"/>
      <c r="D286" s="59"/>
      <c r="F286" s="59"/>
      <c r="H286" s="59"/>
      <c r="J286" s="59"/>
      <c r="L286" s="59"/>
      <c r="N286" s="59"/>
      <c r="P286" s="59"/>
      <c r="Q286" s="61"/>
    </row>
    <row r="287">
      <c r="B287" s="59"/>
      <c r="D287" s="59"/>
      <c r="F287" s="59"/>
      <c r="H287" s="59"/>
      <c r="J287" s="59"/>
      <c r="L287" s="59"/>
      <c r="N287" s="59"/>
      <c r="P287" s="59"/>
      <c r="Q287" s="61"/>
    </row>
    <row r="288">
      <c r="B288" s="59"/>
      <c r="D288" s="59"/>
      <c r="F288" s="59"/>
      <c r="H288" s="59"/>
      <c r="J288" s="59"/>
      <c r="L288" s="59"/>
      <c r="N288" s="59"/>
      <c r="P288" s="59"/>
      <c r="Q288" s="61"/>
    </row>
    <row r="289">
      <c r="B289" s="59"/>
      <c r="D289" s="59"/>
      <c r="F289" s="59"/>
      <c r="H289" s="59"/>
      <c r="J289" s="59"/>
      <c r="L289" s="59"/>
      <c r="N289" s="59"/>
      <c r="P289" s="59"/>
      <c r="Q289" s="61"/>
    </row>
    <row r="290">
      <c r="B290" s="59"/>
      <c r="D290" s="59"/>
      <c r="F290" s="59"/>
      <c r="H290" s="59"/>
      <c r="J290" s="59"/>
      <c r="L290" s="59"/>
      <c r="N290" s="59"/>
      <c r="P290" s="59"/>
      <c r="Q290" s="61"/>
    </row>
    <row r="291">
      <c r="B291" s="59"/>
      <c r="D291" s="59"/>
      <c r="F291" s="59"/>
      <c r="H291" s="59"/>
      <c r="J291" s="59"/>
      <c r="L291" s="59"/>
      <c r="N291" s="59"/>
      <c r="P291" s="59"/>
      <c r="Q291" s="61"/>
    </row>
    <row r="292">
      <c r="B292" s="59"/>
      <c r="D292" s="59"/>
      <c r="F292" s="59"/>
      <c r="H292" s="59"/>
      <c r="J292" s="59"/>
      <c r="L292" s="59"/>
      <c r="N292" s="59"/>
      <c r="P292" s="59"/>
      <c r="Q292" s="61"/>
    </row>
    <row r="293">
      <c r="B293" s="59"/>
      <c r="D293" s="59"/>
      <c r="F293" s="59"/>
      <c r="H293" s="59"/>
      <c r="J293" s="59"/>
      <c r="L293" s="59"/>
      <c r="N293" s="59"/>
      <c r="P293" s="59"/>
      <c r="Q293" s="61"/>
    </row>
    <row r="294">
      <c r="B294" s="59"/>
      <c r="D294" s="59"/>
      <c r="F294" s="59"/>
      <c r="H294" s="59"/>
      <c r="J294" s="59"/>
      <c r="L294" s="59"/>
      <c r="N294" s="59"/>
      <c r="P294" s="59"/>
      <c r="Q294" s="61"/>
    </row>
    <row r="295">
      <c r="B295" s="59"/>
      <c r="D295" s="59"/>
      <c r="F295" s="59"/>
      <c r="H295" s="59"/>
      <c r="J295" s="59"/>
      <c r="L295" s="59"/>
      <c r="N295" s="59"/>
      <c r="P295" s="59"/>
      <c r="Q295" s="61"/>
    </row>
    <row r="296">
      <c r="B296" s="59"/>
      <c r="D296" s="59"/>
      <c r="F296" s="59"/>
      <c r="H296" s="59"/>
      <c r="J296" s="59"/>
      <c r="L296" s="59"/>
      <c r="N296" s="59"/>
      <c r="P296" s="59"/>
      <c r="Q296" s="61"/>
    </row>
    <row r="297">
      <c r="B297" s="59"/>
      <c r="D297" s="59"/>
      <c r="F297" s="59"/>
      <c r="H297" s="59"/>
      <c r="J297" s="59"/>
      <c r="L297" s="59"/>
      <c r="N297" s="59"/>
      <c r="P297" s="59"/>
      <c r="Q297" s="61"/>
    </row>
    <row r="298">
      <c r="B298" s="59"/>
      <c r="D298" s="59"/>
      <c r="F298" s="59"/>
      <c r="H298" s="59"/>
      <c r="J298" s="59"/>
      <c r="L298" s="59"/>
      <c r="N298" s="59"/>
      <c r="P298" s="59"/>
      <c r="Q298" s="61"/>
    </row>
    <row r="299">
      <c r="B299" s="59"/>
      <c r="D299" s="59"/>
      <c r="F299" s="59"/>
      <c r="H299" s="59"/>
      <c r="J299" s="59"/>
      <c r="L299" s="59"/>
      <c r="N299" s="59"/>
      <c r="P299" s="59"/>
      <c r="Q299" s="61"/>
    </row>
    <row r="300">
      <c r="B300" s="59"/>
      <c r="D300" s="59"/>
      <c r="F300" s="59"/>
      <c r="H300" s="59"/>
      <c r="J300" s="59"/>
      <c r="L300" s="59"/>
      <c r="N300" s="59"/>
      <c r="P300" s="59"/>
      <c r="Q300" s="61"/>
    </row>
    <row r="301">
      <c r="B301" s="59"/>
      <c r="D301" s="59"/>
      <c r="F301" s="59"/>
      <c r="H301" s="59"/>
      <c r="J301" s="59"/>
      <c r="L301" s="59"/>
      <c r="N301" s="59"/>
      <c r="P301" s="59"/>
      <c r="Q301" s="61"/>
    </row>
    <row r="302">
      <c r="B302" s="59"/>
      <c r="D302" s="59"/>
      <c r="F302" s="59"/>
      <c r="H302" s="59"/>
      <c r="J302" s="59"/>
      <c r="L302" s="59"/>
      <c r="N302" s="59"/>
      <c r="P302" s="59"/>
      <c r="Q302" s="61"/>
    </row>
    <row r="303">
      <c r="B303" s="59"/>
      <c r="D303" s="59"/>
      <c r="F303" s="59"/>
      <c r="H303" s="59"/>
      <c r="J303" s="59"/>
      <c r="L303" s="59"/>
      <c r="N303" s="59"/>
      <c r="P303" s="59"/>
      <c r="Q303" s="61"/>
    </row>
    <row r="304">
      <c r="B304" s="59"/>
      <c r="D304" s="59"/>
      <c r="F304" s="59"/>
      <c r="H304" s="59"/>
      <c r="J304" s="59"/>
      <c r="L304" s="59"/>
      <c r="N304" s="59"/>
      <c r="P304" s="59"/>
      <c r="Q304" s="61"/>
    </row>
    <row r="305">
      <c r="B305" s="59"/>
      <c r="D305" s="59"/>
      <c r="F305" s="59"/>
      <c r="H305" s="59"/>
      <c r="J305" s="59"/>
      <c r="L305" s="59"/>
      <c r="N305" s="59"/>
      <c r="P305" s="59"/>
      <c r="Q305" s="61"/>
    </row>
    <row r="306">
      <c r="B306" s="59"/>
      <c r="D306" s="59"/>
      <c r="F306" s="59"/>
      <c r="H306" s="59"/>
      <c r="J306" s="59"/>
      <c r="L306" s="59"/>
      <c r="N306" s="59"/>
      <c r="P306" s="59"/>
      <c r="Q306" s="61"/>
    </row>
    <row r="307">
      <c r="B307" s="59"/>
      <c r="D307" s="59"/>
      <c r="F307" s="59"/>
      <c r="H307" s="59"/>
      <c r="J307" s="59"/>
      <c r="L307" s="59"/>
      <c r="N307" s="59"/>
      <c r="P307" s="59"/>
      <c r="Q307" s="61"/>
    </row>
    <row r="308">
      <c r="B308" s="59"/>
      <c r="D308" s="59"/>
      <c r="F308" s="59"/>
      <c r="H308" s="59"/>
      <c r="J308" s="59"/>
      <c r="L308" s="59"/>
      <c r="N308" s="59"/>
      <c r="P308" s="59"/>
      <c r="Q308" s="61"/>
    </row>
    <row r="309">
      <c r="B309" s="59"/>
      <c r="D309" s="59"/>
      <c r="F309" s="59"/>
      <c r="H309" s="59"/>
      <c r="J309" s="59"/>
      <c r="L309" s="59"/>
      <c r="N309" s="59"/>
      <c r="P309" s="59"/>
      <c r="Q309" s="61"/>
    </row>
    <row r="310">
      <c r="B310" s="59"/>
      <c r="D310" s="59"/>
      <c r="F310" s="59"/>
      <c r="H310" s="59"/>
      <c r="J310" s="59"/>
      <c r="L310" s="59"/>
      <c r="N310" s="59"/>
      <c r="P310" s="59"/>
      <c r="Q310" s="61"/>
    </row>
    <row r="311">
      <c r="B311" s="59"/>
      <c r="D311" s="59"/>
      <c r="F311" s="59"/>
      <c r="H311" s="59"/>
      <c r="J311" s="59"/>
      <c r="L311" s="59"/>
      <c r="N311" s="59"/>
      <c r="P311" s="59"/>
      <c r="Q311" s="61"/>
    </row>
    <row r="312">
      <c r="B312" s="59"/>
      <c r="D312" s="59"/>
      <c r="F312" s="59"/>
      <c r="H312" s="59"/>
      <c r="J312" s="59"/>
      <c r="L312" s="59"/>
      <c r="N312" s="59"/>
      <c r="P312" s="59"/>
      <c r="Q312" s="61"/>
    </row>
    <row r="313">
      <c r="B313" s="59"/>
      <c r="D313" s="59"/>
      <c r="F313" s="59"/>
      <c r="H313" s="59"/>
      <c r="J313" s="59"/>
      <c r="L313" s="59"/>
      <c r="N313" s="59"/>
      <c r="P313" s="59"/>
      <c r="Q313" s="61"/>
    </row>
    <row r="314">
      <c r="B314" s="59"/>
      <c r="D314" s="59"/>
      <c r="F314" s="59"/>
      <c r="H314" s="59"/>
      <c r="J314" s="59"/>
      <c r="L314" s="59"/>
      <c r="N314" s="59"/>
      <c r="P314" s="59"/>
      <c r="Q314" s="61"/>
    </row>
    <row r="315">
      <c r="B315" s="59"/>
      <c r="D315" s="59"/>
      <c r="F315" s="59"/>
      <c r="H315" s="59"/>
      <c r="J315" s="59"/>
      <c r="L315" s="59"/>
      <c r="N315" s="59"/>
      <c r="P315" s="59"/>
      <c r="Q315" s="61"/>
    </row>
    <row r="316">
      <c r="B316" s="59"/>
      <c r="D316" s="59"/>
      <c r="F316" s="59"/>
      <c r="H316" s="59"/>
      <c r="J316" s="59"/>
      <c r="L316" s="59"/>
      <c r="N316" s="59"/>
      <c r="P316" s="59"/>
      <c r="Q316" s="61"/>
    </row>
    <row r="317">
      <c r="B317" s="59"/>
      <c r="D317" s="59"/>
      <c r="F317" s="59"/>
      <c r="H317" s="59"/>
      <c r="J317" s="59"/>
      <c r="L317" s="59"/>
      <c r="N317" s="59"/>
      <c r="P317" s="59"/>
      <c r="Q317" s="61"/>
    </row>
    <row r="318">
      <c r="B318" s="59"/>
      <c r="D318" s="59"/>
      <c r="F318" s="59"/>
      <c r="H318" s="59"/>
      <c r="J318" s="59"/>
      <c r="L318" s="59"/>
      <c r="N318" s="59"/>
      <c r="P318" s="59"/>
      <c r="Q318" s="61"/>
    </row>
    <row r="319">
      <c r="B319" s="59"/>
      <c r="D319" s="59"/>
      <c r="F319" s="59"/>
      <c r="H319" s="59"/>
      <c r="J319" s="59"/>
      <c r="L319" s="59"/>
      <c r="N319" s="59"/>
      <c r="P319" s="59"/>
      <c r="Q319" s="61"/>
    </row>
    <row r="320">
      <c r="B320" s="59"/>
      <c r="D320" s="59"/>
      <c r="F320" s="59"/>
      <c r="H320" s="59"/>
      <c r="J320" s="59"/>
      <c r="L320" s="59"/>
      <c r="N320" s="59"/>
      <c r="P320" s="59"/>
      <c r="Q320" s="61"/>
    </row>
    <row r="321">
      <c r="B321" s="59"/>
      <c r="D321" s="59"/>
      <c r="F321" s="59"/>
      <c r="H321" s="59"/>
      <c r="J321" s="59"/>
      <c r="L321" s="59"/>
      <c r="N321" s="59"/>
      <c r="P321" s="59"/>
      <c r="Q321" s="61"/>
    </row>
    <row r="322">
      <c r="B322" s="59"/>
      <c r="D322" s="59"/>
      <c r="F322" s="59"/>
      <c r="H322" s="59"/>
      <c r="J322" s="59"/>
      <c r="L322" s="59"/>
      <c r="N322" s="59"/>
      <c r="P322" s="59"/>
      <c r="Q322" s="61"/>
    </row>
    <row r="323">
      <c r="B323" s="59"/>
      <c r="D323" s="59"/>
      <c r="F323" s="59"/>
      <c r="H323" s="59"/>
      <c r="J323" s="59"/>
      <c r="L323" s="59"/>
      <c r="N323" s="59"/>
      <c r="P323" s="59"/>
      <c r="Q323" s="61"/>
    </row>
    <row r="324">
      <c r="B324" s="59"/>
      <c r="D324" s="59"/>
      <c r="F324" s="59"/>
      <c r="H324" s="59"/>
      <c r="J324" s="59"/>
      <c r="L324" s="59"/>
      <c r="N324" s="59"/>
      <c r="P324" s="59"/>
      <c r="Q324" s="61"/>
    </row>
    <row r="325">
      <c r="B325" s="59"/>
      <c r="D325" s="59"/>
      <c r="F325" s="59"/>
      <c r="H325" s="59"/>
      <c r="J325" s="59"/>
      <c r="L325" s="59"/>
      <c r="N325" s="59"/>
      <c r="P325" s="59"/>
      <c r="Q325" s="61"/>
    </row>
    <row r="326">
      <c r="B326" s="59"/>
      <c r="D326" s="59"/>
      <c r="F326" s="59"/>
      <c r="H326" s="59"/>
      <c r="J326" s="59"/>
      <c r="L326" s="59"/>
      <c r="N326" s="59"/>
      <c r="P326" s="59"/>
      <c r="Q326" s="61"/>
    </row>
    <row r="327">
      <c r="B327" s="59"/>
      <c r="D327" s="59"/>
      <c r="F327" s="59"/>
      <c r="H327" s="59"/>
      <c r="J327" s="59"/>
      <c r="L327" s="59"/>
      <c r="N327" s="59"/>
      <c r="P327" s="59"/>
      <c r="Q327" s="61"/>
    </row>
    <row r="328">
      <c r="B328" s="59"/>
      <c r="D328" s="59"/>
      <c r="F328" s="59"/>
      <c r="H328" s="59"/>
      <c r="J328" s="59"/>
      <c r="L328" s="59"/>
      <c r="N328" s="59"/>
      <c r="P328" s="59"/>
      <c r="Q328" s="61"/>
    </row>
    <row r="329">
      <c r="B329" s="59"/>
      <c r="D329" s="59"/>
      <c r="F329" s="59"/>
      <c r="H329" s="59"/>
      <c r="J329" s="59"/>
      <c r="L329" s="59"/>
      <c r="N329" s="59"/>
      <c r="P329" s="59"/>
      <c r="Q329" s="61"/>
    </row>
    <row r="330">
      <c r="B330" s="59"/>
      <c r="D330" s="59"/>
      <c r="F330" s="59"/>
      <c r="H330" s="59"/>
      <c r="J330" s="59"/>
      <c r="L330" s="59"/>
      <c r="N330" s="59"/>
      <c r="P330" s="59"/>
      <c r="Q330" s="61"/>
    </row>
    <row r="331">
      <c r="B331" s="59"/>
      <c r="D331" s="59"/>
      <c r="F331" s="59"/>
      <c r="H331" s="59"/>
      <c r="J331" s="59"/>
      <c r="L331" s="59"/>
      <c r="N331" s="59"/>
      <c r="P331" s="59"/>
      <c r="Q331" s="61"/>
    </row>
    <row r="332">
      <c r="B332" s="59"/>
      <c r="D332" s="59"/>
      <c r="F332" s="59"/>
      <c r="H332" s="59"/>
      <c r="J332" s="59"/>
      <c r="L332" s="59"/>
      <c r="N332" s="59"/>
      <c r="P332" s="59"/>
      <c r="Q332" s="61"/>
    </row>
    <row r="333">
      <c r="B333" s="59"/>
      <c r="D333" s="59"/>
      <c r="F333" s="59"/>
      <c r="H333" s="59"/>
      <c r="J333" s="59"/>
      <c r="L333" s="59"/>
      <c r="N333" s="59"/>
      <c r="P333" s="59"/>
      <c r="Q333" s="61"/>
    </row>
    <row r="334">
      <c r="B334" s="59"/>
      <c r="D334" s="59"/>
      <c r="F334" s="59"/>
      <c r="H334" s="59"/>
      <c r="J334" s="59"/>
      <c r="L334" s="59"/>
      <c r="N334" s="59"/>
      <c r="P334" s="59"/>
      <c r="Q334" s="61"/>
    </row>
    <row r="335">
      <c r="B335" s="59"/>
      <c r="D335" s="59"/>
      <c r="F335" s="59"/>
      <c r="H335" s="59"/>
      <c r="J335" s="59"/>
      <c r="L335" s="59"/>
      <c r="N335" s="59"/>
      <c r="P335" s="59"/>
      <c r="Q335" s="61"/>
    </row>
    <row r="336">
      <c r="B336" s="59"/>
      <c r="D336" s="59"/>
      <c r="F336" s="59"/>
      <c r="H336" s="59"/>
      <c r="J336" s="59"/>
      <c r="L336" s="59"/>
      <c r="N336" s="59"/>
      <c r="P336" s="59"/>
      <c r="Q336" s="61"/>
    </row>
    <row r="337">
      <c r="B337" s="59"/>
      <c r="D337" s="59"/>
      <c r="F337" s="59"/>
      <c r="H337" s="59"/>
      <c r="J337" s="59"/>
      <c r="L337" s="59"/>
      <c r="N337" s="59"/>
      <c r="P337" s="59"/>
      <c r="Q337" s="61"/>
    </row>
    <row r="338">
      <c r="B338" s="59"/>
      <c r="D338" s="59"/>
      <c r="F338" s="59"/>
      <c r="H338" s="59"/>
      <c r="J338" s="59"/>
      <c r="L338" s="59"/>
      <c r="N338" s="59"/>
      <c r="P338" s="59"/>
      <c r="Q338" s="61"/>
    </row>
    <row r="339">
      <c r="B339" s="59"/>
      <c r="D339" s="59"/>
      <c r="F339" s="59"/>
      <c r="H339" s="59"/>
      <c r="J339" s="59"/>
      <c r="L339" s="59"/>
      <c r="N339" s="59"/>
      <c r="P339" s="59"/>
      <c r="Q339" s="61"/>
    </row>
    <row r="340">
      <c r="B340" s="59"/>
      <c r="D340" s="59"/>
      <c r="F340" s="59"/>
      <c r="H340" s="59"/>
      <c r="J340" s="59"/>
      <c r="L340" s="59"/>
      <c r="N340" s="59"/>
      <c r="P340" s="59"/>
      <c r="Q340" s="61"/>
    </row>
    <row r="341">
      <c r="B341" s="59"/>
      <c r="D341" s="59"/>
      <c r="F341" s="59"/>
      <c r="H341" s="59"/>
      <c r="J341" s="59"/>
      <c r="L341" s="59"/>
      <c r="N341" s="59"/>
      <c r="P341" s="59"/>
      <c r="Q341" s="61"/>
    </row>
    <row r="342">
      <c r="B342" s="59"/>
      <c r="D342" s="59"/>
      <c r="F342" s="59"/>
      <c r="H342" s="59"/>
      <c r="J342" s="59"/>
      <c r="L342" s="59"/>
      <c r="N342" s="59"/>
      <c r="P342" s="59"/>
      <c r="Q342" s="61"/>
    </row>
    <row r="343">
      <c r="B343" s="59"/>
      <c r="D343" s="59"/>
      <c r="F343" s="59"/>
      <c r="H343" s="59"/>
      <c r="J343" s="59"/>
      <c r="L343" s="59"/>
      <c r="N343" s="59"/>
      <c r="P343" s="59"/>
      <c r="Q343" s="61"/>
    </row>
    <row r="344">
      <c r="B344" s="59"/>
      <c r="D344" s="59"/>
      <c r="F344" s="59"/>
      <c r="H344" s="59"/>
      <c r="J344" s="59"/>
      <c r="L344" s="59"/>
      <c r="N344" s="59"/>
      <c r="P344" s="59"/>
      <c r="Q344" s="61"/>
    </row>
    <row r="345">
      <c r="B345" s="59"/>
      <c r="D345" s="59"/>
      <c r="F345" s="59"/>
      <c r="H345" s="59"/>
      <c r="J345" s="59"/>
      <c r="L345" s="59"/>
      <c r="N345" s="59"/>
      <c r="P345" s="59"/>
      <c r="Q345" s="61"/>
    </row>
    <row r="346">
      <c r="B346" s="59"/>
      <c r="D346" s="59"/>
      <c r="F346" s="59"/>
      <c r="H346" s="59"/>
      <c r="J346" s="59"/>
      <c r="L346" s="59"/>
      <c r="N346" s="59"/>
      <c r="P346" s="59"/>
      <c r="Q346" s="61"/>
    </row>
    <row r="347">
      <c r="B347" s="59"/>
      <c r="D347" s="59"/>
      <c r="F347" s="59"/>
      <c r="H347" s="59"/>
      <c r="J347" s="59"/>
      <c r="L347" s="59"/>
      <c r="N347" s="59"/>
      <c r="P347" s="59"/>
      <c r="Q347" s="61"/>
    </row>
    <row r="348">
      <c r="B348" s="59"/>
      <c r="D348" s="59"/>
      <c r="F348" s="59"/>
      <c r="H348" s="59"/>
      <c r="J348" s="59"/>
      <c r="L348" s="59"/>
      <c r="N348" s="59"/>
      <c r="P348" s="59"/>
      <c r="Q348" s="61"/>
    </row>
    <row r="349">
      <c r="B349" s="59"/>
      <c r="D349" s="59"/>
      <c r="F349" s="59"/>
      <c r="H349" s="59"/>
      <c r="J349" s="59"/>
      <c r="L349" s="59"/>
      <c r="N349" s="59"/>
      <c r="P349" s="59"/>
      <c r="Q349" s="61"/>
    </row>
    <row r="350">
      <c r="B350" s="59"/>
      <c r="D350" s="59"/>
      <c r="F350" s="59"/>
      <c r="H350" s="59"/>
      <c r="J350" s="59"/>
      <c r="L350" s="59"/>
      <c r="N350" s="59"/>
      <c r="P350" s="59"/>
      <c r="Q350" s="61"/>
    </row>
    <row r="351">
      <c r="B351" s="59"/>
      <c r="D351" s="59"/>
      <c r="F351" s="59"/>
      <c r="H351" s="59"/>
      <c r="J351" s="59"/>
      <c r="L351" s="59"/>
      <c r="N351" s="59"/>
      <c r="P351" s="59"/>
      <c r="Q351" s="61"/>
    </row>
    <row r="352">
      <c r="B352" s="59"/>
      <c r="D352" s="59"/>
      <c r="F352" s="59"/>
      <c r="H352" s="59"/>
      <c r="J352" s="59"/>
      <c r="L352" s="59"/>
      <c r="N352" s="59"/>
      <c r="P352" s="59"/>
      <c r="Q352" s="61"/>
    </row>
    <row r="353">
      <c r="B353" s="59"/>
      <c r="D353" s="59"/>
      <c r="F353" s="59"/>
      <c r="H353" s="59"/>
      <c r="J353" s="59"/>
      <c r="L353" s="59"/>
      <c r="N353" s="59"/>
      <c r="P353" s="59"/>
      <c r="Q353" s="61"/>
    </row>
    <row r="354">
      <c r="B354" s="59"/>
      <c r="D354" s="59"/>
      <c r="F354" s="59"/>
      <c r="H354" s="59"/>
      <c r="J354" s="59"/>
      <c r="L354" s="59"/>
      <c r="N354" s="59"/>
      <c r="P354" s="59"/>
      <c r="Q354" s="61"/>
    </row>
    <row r="355">
      <c r="B355" s="59"/>
      <c r="D355" s="59"/>
      <c r="F355" s="59"/>
      <c r="H355" s="59"/>
      <c r="J355" s="59"/>
      <c r="L355" s="59"/>
      <c r="N355" s="59"/>
      <c r="P355" s="59"/>
      <c r="Q355" s="61"/>
    </row>
    <row r="356">
      <c r="B356" s="59"/>
      <c r="D356" s="59"/>
      <c r="F356" s="59"/>
      <c r="H356" s="59"/>
      <c r="J356" s="59"/>
      <c r="L356" s="59"/>
      <c r="N356" s="59"/>
      <c r="P356" s="59"/>
      <c r="Q356" s="61"/>
    </row>
    <row r="357">
      <c r="B357" s="59"/>
      <c r="D357" s="59"/>
      <c r="F357" s="59"/>
      <c r="H357" s="59"/>
      <c r="J357" s="59"/>
      <c r="L357" s="59"/>
      <c r="N357" s="59"/>
      <c r="P357" s="59"/>
      <c r="Q357" s="61"/>
    </row>
    <row r="358">
      <c r="B358" s="59"/>
      <c r="D358" s="59"/>
      <c r="F358" s="59"/>
      <c r="H358" s="59"/>
      <c r="J358" s="59"/>
      <c r="L358" s="59"/>
      <c r="N358" s="59"/>
      <c r="P358" s="59"/>
      <c r="Q358" s="61"/>
    </row>
    <row r="359">
      <c r="B359" s="59"/>
      <c r="D359" s="59"/>
      <c r="F359" s="59"/>
      <c r="H359" s="59"/>
      <c r="J359" s="59"/>
      <c r="L359" s="59"/>
      <c r="N359" s="59"/>
      <c r="P359" s="59"/>
      <c r="Q359" s="61"/>
    </row>
    <row r="360">
      <c r="B360" s="59"/>
      <c r="D360" s="59"/>
      <c r="F360" s="59"/>
      <c r="H360" s="59"/>
      <c r="J360" s="59"/>
      <c r="L360" s="59"/>
      <c r="N360" s="59"/>
      <c r="P360" s="59"/>
      <c r="Q360" s="61"/>
    </row>
    <row r="361">
      <c r="B361" s="59"/>
      <c r="D361" s="59"/>
      <c r="F361" s="59"/>
      <c r="H361" s="59"/>
      <c r="J361" s="59"/>
      <c r="L361" s="59"/>
      <c r="N361" s="59"/>
      <c r="P361" s="59"/>
      <c r="Q361" s="61"/>
    </row>
    <row r="362">
      <c r="B362" s="59"/>
      <c r="D362" s="59"/>
      <c r="F362" s="59"/>
      <c r="H362" s="59"/>
      <c r="J362" s="59"/>
      <c r="L362" s="59"/>
      <c r="N362" s="59"/>
      <c r="P362" s="59"/>
      <c r="Q362" s="61"/>
    </row>
    <row r="363">
      <c r="B363" s="59"/>
      <c r="D363" s="59"/>
      <c r="F363" s="59"/>
      <c r="H363" s="59"/>
      <c r="J363" s="59"/>
      <c r="L363" s="59"/>
      <c r="N363" s="59"/>
      <c r="P363" s="59"/>
      <c r="Q363" s="61"/>
    </row>
    <row r="364">
      <c r="B364" s="59"/>
      <c r="D364" s="59"/>
      <c r="F364" s="59"/>
      <c r="H364" s="59"/>
      <c r="J364" s="59"/>
      <c r="L364" s="59"/>
      <c r="N364" s="59"/>
      <c r="P364" s="59"/>
      <c r="Q364" s="61"/>
    </row>
    <row r="365">
      <c r="B365" s="59"/>
      <c r="D365" s="59"/>
      <c r="F365" s="59"/>
      <c r="H365" s="59"/>
      <c r="J365" s="59"/>
      <c r="L365" s="59"/>
      <c r="N365" s="59"/>
      <c r="P365" s="59"/>
      <c r="Q365" s="61"/>
    </row>
    <row r="366">
      <c r="B366" s="59"/>
      <c r="D366" s="59"/>
      <c r="F366" s="59"/>
      <c r="H366" s="59"/>
      <c r="J366" s="59"/>
      <c r="L366" s="59"/>
      <c r="N366" s="59"/>
      <c r="P366" s="59"/>
      <c r="Q366" s="61"/>
    </row>
    <row r="367">
      <c r="B367" s="59"/>
      <c r="D367" s="59"/>
      <c r="F367" s="59"/>
      <c r="H367" s="59"/>
      <c r="J367" s="59"/>
      <c r="L367" s="59"/>
      <c r="N367" s="59"/>
      <c r="P367" s="59"/>
      <c r="Q367" s="61"/>
    </row>
    <row r="368">
      <c r="B368" s="59"/>
      <c r="D368" s="59"/>
      <c r="F368" s="59"/>
      <c r="H368" s="59"/>
      <c r="J368" s="59"/>
      <c r="L368" s="59"/>
      <c r="N368" s="59"/>
      <c r="P368" s="59"/>
      <c r="Q368" s="61"/>
    </row>
    <row r="369">
      <c r="B369" s="59"/>
      <c r="D369" s="59"/>
      <c r="F369" s="59"/>
      <c r="H369" s="59"/>
      <c r="J369" s="59"/>
      <c r="L369" s="59"/>
      <c r="N369" s="59"/>
      <c r="P369" s="59"/>
      <c r="Q369" s="61"/>
    </row>
    <row r="370">
      <c r="B370" s="59"/>
      <c r="D370" s="59"/>
      <c r="F370" s="59"/>
      <c r="H370" s="59"/>
      <c r="J370" s="59"/>
      <c r="L370" s="59"/>
      <c r="N370" s="59"/>
      <c r="P370" s="59"/>
      <c r="Q370" s="61"/>
    </row>
    <row r="371">
      <c r="B371" s="59"/>
      <c r="D371" s="59"/>
      <c r="F371" s="59"/>
      <c r="H371" s="59"/>
      <c r="J371" s="59"/>
      <c r="L371" s="59"/>
      <c r="N371" s="59"/>
      <c r="P371" s="59"/>
      <c r="Q371" s="61"/>
    </row>
    <row r="372">
      <c r="B372" s="59"/>
      <c r="D372" s="59"/>
      <c r="F372" s="59"/>
      <c r="H372" s="59"/>
      <c r="J372" s="59"/>
      <c r="L372" s="59"/>
      <c r="N372" s="59"/>
      <c r="P372" s="59"/>
      <c r="Q372" s="61"/>
    </row>
    <row r="373">
      <c r="B373" s="59"/>
      <c r="D373" s="59"/>
      <c r="F373" s="59"/>
      <c r="H373" s="59"/>
      <c r="J373" s="59"/>
      <c r="L373" s="59"/>
      <c r="N373" s="59"/>
      <c r="P373" s="59"/>
      <c r="Q373" s="61"/>
    </row>
    <row r="374">
      <c r="B374" s="59"/>
      <c r="D374" s="59"/>
      <c r="F374" s="59"/>
      <c r="H374" s="59"/>
      <c r="J374" s="59"/>
      <c r="L374" s="59"/>
      <c r="N374" s="59"/>
      <c r="P374" s="59"/>
      <c r="Q374" s="61"/>
    </row>
    <row r="375">
      <c r="B375" s="59"/>
      <c r="D375" s="59"/>
      <c r="F375" s="59"/>
      <c r="H375" s="59"/>
      <c r="J375" s="59"/>
      <c r="L375" s="59"/>
      <c r="N375" s="59"/>
      <c r="P375" s="59"/>
      <c r="Q375" s="61"/>
    </row>
    <row r="376">
      <c r="B376" s="59"/>
      <c r="D376" s="59"/>
      <c r="F376" s="59"/>
      <c r="H376" s="59"/>
      <c r="J376" s="59"/>
      <c r="L376" s="59"/>
      <c r="N376" s="59"/>
      <c r="P376" s="59"/>
      <c r="Q376" s="61"/>
    </row>
    <row r="377">
      <c r="B377" s="59"/>
      <c r="D377" s="59"/>
      <c r="F377" s="59"/>
      <c r="H377" s="59"/>
      <c r="J377" s="59"/>
      <c r="L377" s="59"/>
      <c r="N377" s="59"/>
      <c r="P377" s="59"/>
      <c r="Q377" s="61"/>
    </row>
    <row r="378">
      <c r="B378" s="59"/>
      <c r="D378" s="59"/>
      <c r="F378" s="59"/>
      <c r="H378" s="59"/>
      <c r="J378" s="59"/>
      <c r="L378" s="59"/>
      <c r="N378" s="59"/>
      <c r="P378" s="59"/>
      <c r="Q378" s="61"/>
    </row>
    <row r="379">
      <c r="B379" s="59"/>
      <c r="D379" s="59"/>
      <c r="F379" s="59"/>
      <c r="H379" s="59"/>
      <c r="J379" s="59"/>
      <c r="L379" s="59"/>
      <c r="N379" s="59"/>
      <c r="P379" s="59"/>
      <c r="Q379" s="61"/>
    </row>
    <row r="380">
      <c r="B380" s="59"/>
      <c r="D380" s="59"/>
      <c r="F380" s="59"/>
      <c r="H380" s="59"/>
      <c r="J380" s="59"/>
      <c r="L380" s="59"/>
      <c r="N380" s="59"/>
      <c r="P380" s="59"/>
      <c r="Q380" s="61"/>
    </row>
    <row r="381">
      <c r="B381" s="59"/>
      <c r="D381" s="59"/>
      <c r="F381" s="59"/>
      <c r="H381" s="59"/>
      <c r="J381" s="59"/>
      <c r="L381" s="59"/>
      <c r="N381" s="59"/>
      <c r="P381" s="59"/>
      <c r="Q381" s="61"/>
    </row>
    <row r="382">
      <c r="B382" s="59"/>
      <c r="D382" s="59"/>
      <c r="F382" s="59"/>
      <c r="H382" s="59"/>
      <c r="J382" s="59"/>
      <c r="L382" s="59"/>
      <c r="N382" s="59"/>
      <c r="P382" s="59"/>
      <c r="Q382" s="61"/>
    </row>
    <row r="383">
      <c r="B383" s="59"/>
      <c r="D383" s="59"/>
      <c r="F383" s="59"/>
      <c r="H383" s="59"/>
      <c r="J383" s="59"/>
      <c r="L383" s="59"/>
      <c r="N383" s="59"/>
      <c r="P383" s="59"/>
      <c r="Q383" s="61"/>
    </row>
    <row r="384">
      <c r="B384" s="59"/>
      <c r="D384" s="59"/>
      <c r="F384" s="59"/>
      <c r="H384" s="59"/>
      <c r="J384" s="59"/>
      <c r="L384" s="59"/>
      <c r="N384" s="59"/>
      <c r="P384" s="59"/>
      <c r="Q384" s="61"/>
    </row>
    <row r="385">
      <c r="B385" s="59"/>
      <c r="D385" s="59"/>
      <c r="F385" s="59"/>
      <c r="H385" s="59"/>
      <c r="J385" s="59"/>
      <c r="L385" s="59"/>
      <c r="N385" s="59"/>
      <c r="P385" s="59"/>
      <c r="Q385" s="61"/>
    </row>
    <row r="386">
      <c r="B386" s="59"/>
      <c r="D386" s="59"/>
      <c r="F386" s="59"/>
      <c r="H386" s="59"/>
      <c r="J386" s="59"/>
      <c r="L386" s="59"/>
      <c r="N386" s="59"/>
      <c r="P386" s="59"/>
      <c r="Q386" s="61"/>
    </row>
    <row r="387">
      <c r="B387" s="59"/>
      <c r="D387" s="59"/>
      <c r="F387" s="59"/>
      <c r="H387" s="59"/>
      <c r="J387" s="59"/>
      <c r="L387" s="59"/>
      <c r="N387" s="59"/>
      <c r="P387" s="59"/>
      <c r="Q387" s="61"/>
    </row>
    <row r="388">
      <c r="B388" s="59"/>
      <c r="D388" s="59"/>
      <c r="F388" s="59"/>
      <c r="H388" s="59"/>
      <c r="J388" s="59"/>
      <c r="L388" s="59"/>
      <c r="N388" s="59"/>
      <c r="P388" s="59"/>
      <c r="Q388" s="61"/>
    </row>
    <row r="389">
      <c r="B389" s="59"/>
      <c r="D389" s="59"/>
      <c r="F389" s="59"/>
      <c r="H389" s="59"/>
      <c r="J389" s="59"/>
      <c r="L389" s="59"/>
      <c r="N389" s="59"/>
      <c r="P389" s="59"/>
      <c r="Q389" s="61"/>
    </row>
    <row r="390">
      <c r="B390" s="59"/>
      <c r="D390" s="59"/>
      <c r="F390" s="59"/>
      <c r="H390" s="59"/>
      <c r="J390" s="59"/>
      <c r="L390" s="59"/>
      <c r="N390" s="59"/>
      <c r="P390" s="59"/>
      <c r="Q390" s="61"/>
    </row>
    <row r="391">
      <c r="B391" s="59"/>
      <c r="D391" s="59"/>
      <c r="F391" s="59"/>
      <c r="H391" s="59"/>
      <c r="J391" s="59"/>
      <c r="L391" s="59"/>
      <c r="N391" s="59"/>
      <c r="P391" s="59"/>
      <c r="Q391" s="61"/>
    </row>
    <row r="392">
      <c r="B392" s="59"/>
      <c r="D392" s="59"/>
      <c r="F392" s="59"/>
      <c r="H392" s="59"/>
      <c r="J392" s="59"/>
      <c r="L392" s="59"/>
      <c r="N392" s="59"/>
      <c r="P392" s="59"/>
      <c r="Q392" s="61"/>
    </row>
    <row r="393">
      <c r="B393" s="59"/>
      <c r="D393" s="59"/>
      <c r="F393" s="59"/>
      <c r="H393" s="59"/>
      <c r="J393" s="59"/>
      <c r="L393" s="59"/>
      <c r="N393" s="59"/>
      <c r="P393" s="59"/>
      <c r="Q393" s="61"/>
    </row>
    <row r="394">
      <c r="B394" s="59"/>
      <c r="D394" s="59"/>
      <c r="F394" s="59"/>
      <c r="H394" s="59"/>
      <c r="J394" s="59"/>
      <c r="L394" s="59"/>
      <c r="N394" s="59"/>
      <c r="P394" s="59"/>
      <c r="Q394" s="61"/>
    </row>
    <row r="395">
      <c r="B395" s="59"/>
      <c r="D395" s="59"/>
      <c r="F395" s="59"/>
      <c r="H395" s="59"/>
      <c r="J395" s="59"/>
      <c r="L395" s="59"/>
      <c r="N395" s="59"/>
      <c r="P395" s="59"/>
      <c r="Q395" s="61"/>
    </row>
    <row r="396">
      <c r="B396" s="59"/>
      <c r="D396" s="59"/>
      <c r="F396" s="59"/>
      <c r="H396" s="59"/>
      <c r="J396" s="59"/>
      <c r="L396" s="59"/>
      <c r="N396" s="59"/>
      <c r="P396" s="59"/>
      <c r="Q396" s="61"/>
    </row>
    <row r="397">
      <c r="B397" s="59"/>
      <c r="D397" s="59"/>
      <c r="F397" s="59"/>
      <c r="H397" s="59"/>
      <c r="J397" s="59"/>
      <c r="L397" s="59"/>
      <c r="N397" s="59"/>
      <c r="P397" s="59"/>
      <c r="Q397" s="61"/>
    </row>
    <row r="398">
      <c r="B398" s="59"/>
      <c r="D398" s="59"/>
      <c r="F398" s="59"/>
      <c r="H398" s="59"/>
      <c r="J398" s="59"/>
      <c r="L398" s="59"/>
      <c r="N398" s="59"/>
      <c r="P398" s="59"/>
      <c r="Q398" s="61"/>
    </row>
    <row r="399">
      <c r="B399" s="59"/>
      <c r="D399" s="59"/>
      <c r="F399" s="59"/>
      <c r="H399" s="59"/>
      <c r="J399" s="59"/>
      <c r="L399" s="59"/>
      <c r="N399" s="59"/>
      <c r="P399" s="59"/>
      <c r="Q399" s="61"/>
    </row>
    <row r="400">
      <c r="B400" s="59"/>
      <c r="D400" s="59"/>
      <c r="F400" s="59"/>
      <c r="H400" s="59"/>
      <c r="J400" s="59"/>
      <c r="L400" s="59"/>
      <c r="N400" s="59"/>
      <c r="P400" s="59"/>
      <c r="Q400" s="61"/>
    </row>
    <row r="401">
      <c r="B401" s="59"/>
      <c r="D401" s="59"/>
      <c r="F401" s="59"/>
      <c r="H401" s="59"/>
      <c r="J401" s="59"/>
      <c r="L401" s="59"/>
      <c r="N401" s="59"/>
      <c r="P401" s="59"/>
      <c r="Q401" s="61"/>
    </row>
    <row r="402">
      <c r="B402" s="59"/>
      <c r="D402" s="59"/>
      <c r="F402" s="59"/>
      <c r="H402" s="59"/>
      <c r="J402" s="59"/>
      <c r="L402" s="59"/>
      <c r="N402" s="59"/>
      <c r="P402" s="59"/>
      <c r="Q402" s="61"/>
    </row>
    <row r="403">
      <c r="B403" s="59"/>
      <c r="D403" s="59"/>
      <c r="F403" s="59"/>
      <c r="H403" s="59"/>
      <c r="J403" s="59"/>
      <c r="L403" s="59"/>
      <c r="N403" s="59"/>
      <c r="P403" s="59"/>
      <c r="Q403" s="61"/>
    </row>
    <row r="404">
      <c r="B404" s="59"/>
      <c r="D404" s="59"/>
      <c r="F404" s="59"/>
      <c r="H404" s="59"/>
      <c r="J404" s="59"/>
      <c r="L404" s="59"/>
      <c r="N404" s="59"/>
      <c r="P404" s="59"/>
      <c r="Q404" s="61"/>
    </row>
    <row r="405">
      <c r="B405" s="59"/>
      <c r="D405" s="59"/>
      <c r="F405" s="59"/>
      <c r="H405" s="59"/>
      <c r="J405" s="59"/>
      <c r="L405" s="59"/>
      <c r="N405" s="59"/>
      <c r="P405" s="59"/>
      <c r="Q405" s="61"/>
    </row>
    <row r="406">
      <c r="B406" s="59"/>
      <c r="D406" s="59"/>
      <c r="F406" s="59"/>
      <c r="H406" s="59"/>
      <c r="J406" s="59"/>
      <c r="L406" s="59"/>
      <c r="N406" s="59"/>
      <c r="P406" s="59"/>
      <c r="Q406" s="61"/>
    </row>
    <row r="407">
      <c r="B407" s="59"/>
      <c r="D407" s="59"/>
      <c r="F407" s="59"/>
      <c r="H407" s="59"/>
      <c r="J407" s="59"/>
      <c r="L407" s="59"/>
      <c r="N407" s="59"/>
      <c r="P407" s="59"/>
      <c r="Q407" s="61"/>
    </row>
    <row r="408">
      <c r="B408" s="59"/>
      <c r="D408" s="59"/>
      <c r="F408" s="59"/>
      <c r="H408" s="59"/>
      <c r="J408" s="59"/>
      <c r="L408" s="59"/>
      <c r="N408" s="59"/>
      <c r="P408" s="59"/>
      <c r="Q408" s="61"/>
    </row>
    <row r="409">
      <c r="B409" s="59"/>
      <c r="D409" s="59"/>
      <c r="F409" s="59"/>
      <c r="H409" s="59"/>
      <c r="J409" s="59"/>
      <c r="L409" s="59"/>
      <c r="N409" s="59"/>
      <c r="P409" s="59"/>
      <c r="Q409" s="61"/>
    </row>
    <row r="410">
      <c r="B410" s="59"/>
      <c r="D410" s="59"/>
      <c r="F410" s="59"/>
      <c r="H410" s="59"/>
      <c r="J410" s="59"/>
      <c r="L410" s="59"/>
      <c r="N410" s="59"/>
      <c r="P410" s="59"/>
      <c r="Q410" s="61"/>
    </row>
    <row r="411">
      <c r="B411" s="59"/>
      <c r="D411" s="59"/>
      <c r="F411" s="59"/>
      <c r="H411" s="59"/>
      <c r="J411" s="59"/>
      <c r="L411" s="59"/>
      <c r="N411" s="59"/>
      <c r="P411" s="59"/>
      <c r="Q411" s="61"/>
    </row>
    <row r="412">
      <c r="B412" s="59"/>
      <c r="D412" s="59"/>
      <c r="F412" s="59"/>
      <c r="H412" s="59"/>
      <c r="J412" s="59"/>
      <c r="L412" s="59"/>
      <c r="N412" s="59"/>
      <c r="P412" s="59"/>
      <c r="Q412" s="61"/>
    </row>
    <row r="413">
      <c r="B413" s="59"/>
      <c r="D413" s="59"/>
      <c r="F413" s="59"/>
      <c r="H413" s="59"/>
      <c r="J413" s="59"/>
      <c r="L413" s="59"/>
      <c r="N413" s="59"/>
      <c r="P413" s="59"/>
      <c r="Q413" s="61"/>
    </row>
    <row r="414">
      <c r="B414" s="59"/>
      <c r="D414" s="59"/>
      <c r="F414" s="59"/>
      <c r="H414" s="59"/>
      <c r="J414" s="59"/>
      <c r="L414" s="59"/>
      <c r="N414" s="59"/>
      <c r="P414" s="59"/>
      <c r="Q414" s="61"/>
    </row>
    <row r="415">
      <c r="B415" s="59"/>
      <c r="D415" s="59"/>
      <c r="F415" s="59"/>
      <c r="H415" s="59"/>
      <c r="J415" s="59"/>
      <c r="L415" s="59"/>
      <c r="N415" s="59"/>
      <c r="P415" s="59"/>
      <c r="Q415" s="61"/>
    </row>
    <row r="416">
      <c r="B416" s="59"/>
      <c r="D416" s="59"/>
      <c r="F416" s="59"/>
      <c r="H416" s="59"/>
      <c r="J416" s="59"/>
      <c r="L416" s="59"/>
      <c r="N416" s="59"/>
      <c r="P416" s="59"/>
      <c r="Q416" s="61"/>
    </row>
    <row r="417">
      <c r="B417" s="59"/>
      <c r="D417" s="59"/>
      <c r="F417" s="59"/>
      <c r="H417" s="59"/>
      <c r="J417" s="59"/>
      <c r="L417" s="59"/>
      <c r="N417" s="59"/>
      <c r="P417" s="59"/>
      <c r="Q417" s="61"/>
    </row>
    <row r="418">
      <c r="B418" s="59"/>
      <c r="D418" s="59"/>
      <c r="F418" s="59"/>
      <c r="H418" s="59"/>
      <c r="J418" s="59"/>
      <c r="L418" s="59"/>
      <c r="N418" s="59"/>
      <c r="P418" s="59"/>
      <c r="Q418" s="61"/>
    </row>
    <row r="419">
      <c r="B419" s="59"/>
      <c r="D419" s="59"/>
      <c r="F419" s="59"/>
      <c r="H419" s="59"/>
      <c r="J419" s="59"/>
      <c r="L419" s="59"/>
      <c r="N419" s="59"/>
      <c r="P419" s="59"/>
      <c r="Q419" s="61"/>
    </row>
    <row r="420">
      <c r="B420" s="59"/>
      <c r="D420" s="59"/>
      <c r="F420" s="59"/>
      <c r="H420" s="59"/>
      <c r="J420" s="59"/>
      <c r="L420" s="59"/>
      <c r="N420" s="59"/>
      <c r="P420" s="59"/>
      <c r="Q420" s="61"/>
    </row>
    <row r="421">
      <c r="B421" s="59"/>
      <c r="D421" s="59"/>
      <c r="F421" s="59"/>
      <c r="H421" s="59"/>
      <c r="J421" s="59"/>
      <c r="L421" s="59"/>
      <c r="N421" s="59"/>
      <c r="P421" s="59"/>
      <c r="Q421" s="61"/>
    </row>
    <row r="422">
      <c r="B422" s="59"/>
      <c r="D422" s="59"/>
      <c r="F422" s="59"/>
      <c r="H422" s="59"/>
      <c r="J422" s="59"/>
      <c r="L422" s="59"/>
      <c r="N422" s="59"/>
      <c r="P422" s="59"/>
      <c r="Q422" s="61"/>
    </row>
    <row r="423">
      <c r="B423" s="59"/>
      <c r="D423" s="59"/>
      <c r="F423" s="59"/>
      <c r="H423" s="59"/>
      <c r="J423" s="59"/>
      <c r="L423" s="59"/>
      <c r="N423" s="59"/>
      <c r="P423" s="59"/>
      <c r="Q423" s="61"/>
    </row>
    <row r="424">
      <c r="B424" s="59"/>
      <c r="D424" s="59"/>
      <c r="F424" s="59"/>
      <c r="H424" s="59"/>
      <c r="J424" s="59"/>
      <c r="L424" s="59"/>
      <c r="N424" s="59"/>
      <c r="P424" s="59"/>
      <c r="Q424" s="61"/>
    </row>
    <row r="425">
      <c r="B425" s="59"/>
      <c r="D425" s="59"/>
      <c r="F425" s="59"/>
      <c r="H425" s="59"/>
      <c r="J425" s="59"/>
      <c r="L425" s="59"/>
      <c r="N425" s="59"/>
      <c r="P425" s="59"/>
      <c r="Q425" s="61"/>
    </row>
    <row r="426">
      <c r="B426" s="59"/>
      <c r="D426" s="59"/>
      <c r="F426" s="59"/>
      <c r="H426" s="59"/>
      <c r="J426" s="59"/>
      <c r="L426" s="59"/>
      <c r="N426" s="59"/>
      <c r="P426" s="59"/>
      <c r="Q426" s="61"/>
    </row>
    <row r="427">
      <c r="B427" s="59"/>
      <c r="D427" s="59"/>
      <c r="F427" s="59"/>
      <c r="H427" s="59"/>
      <c r="J427" s="59"/>
      <c r="L427" s="59"/>
      <c r="N427" s="59"/>
      <c r="P427" s="59"/>
      <c r="Q427" s="61"/>
    </row>
    <row r="428">
      <c r="B428" s="59"/>
      <c r="D428" s="59"/>
      <c r="F428" s="59"/>
      <c r="H428" s="59"/>
      <c r="J428" s="59"/>
      <c r="L428" s="59"/>
      <c r="N428" s="59"/>
      <c r="P428" s="59"/>
      <c r="Q428" s="61"/>
    </row>
    <row r="429">
      <c r="B429" s="59"/>
      <c r="D429" s="59"/>
      <c r="F429" s="59"/>
      <c r="H429" s="59"/>
      <c r="J429" s="59"/>
      <c r="L429" s="59"/>
      <c r="N429" s="59"/>
      <c r="P429" s="59"/>
      <c r="Q429" s="61"/>
    </row>
    <row r="430">
      <c r="B430" s="59"/>
      <c r="D430" s="59"/>
      <c r="F430" s="59"/>
      <c r="H430" s="59"/>
      <c r="J430" s="59"/>
      <c r="L430" s="59"/>
      <c r="N430" s="59"/>
      <c r="P430" s="59"/>
      <c r="Q430" s="61"/>
    </row>
    <row r="431">
      <c r="B431" s="59"/>
      <c r="D431" s="59"/>
      <c r="F431" s="59"/>
      <c r="H431" s="59"/>
      <c r="J431" s="59"/>
      <c r="L431" s="59"/>
      <c r="N431" s="59"/>
      <c r="P431" s="59"/>
      <c r="Q431" s="61"/>
    </row>
    <row r="432">
      <c r="B432" s="59"/>
      <c r="D432" s="59"/>
      <c r="F432" s="59"/>
      <c r="H432" s="59"/>
      <c r="J432" s="59"/>
      <c r="L432" s="59"/>
      <c r="N432" s="59"/>
      <c r="P432" s="59"/>
      <c r="Q432" s="61"/>
    </row>
    <row r="433">
      <c r="B433" s="59"/>
      <c r="D433" s="59"/>
      <c r="F433" s="59"/>
      <c r="H433" s="59"/>
      <c r="J433" s="59"/>
      <c r="L433" s="59"/>
      <c r="N433" s="59"/>
      <c r="P433" s="59"/>
      <c r="Q433" s="61"/>
    </row>
    <row r="434">
      <c r="B434" s="59"/>
      <c r="D434" s="59"/>
      <c r="F434" s="59"/>
      <c r="H434" s="59"/>
      <c r="J434" s="59"/>
      <c r="L434" s="59"/>
      <c r="N434" s="59"/>
      <c r="P434" s="59"/>
      <c r="Q434" s="61"/>
    </row>
    <row r="435">
      <c r="B435" s="59"/>
      <c r="D435" s="59"/>
      <c r="F435" s="59"/>
      <c r="H435" s="59"/>
      <c r="J435" s="59"/>
      <c r="L435" s="59"/>
      <c r="N435" s="59"/>
      <c r="P435" s="59"/>
      <c r="Q435" s="61"/>
    </row>
    <row r="436">
      <c r="B436" s="59"/>
      <c r="D436" s="59"/>
      <c r="F436" s="59"/>
      <c r="H436" s="59"/>
      <c r="J436" s="59"/>
      <c r="L436" s="59"/>
      <c r="N436" s="59"/>
      <c r="P436" s="59"/>
      <c r="Q436" s="61"/>
    </row>
    <row r="437">
      <c r="B437" s="59"/>
      <c r="D437" s="59"/>
      <c r="F437" s="59"/>
      <c r="H437" s="59"/>
      <c r="J437" s="59"/>
      <c r="L437" s="59"/>
      <c r="N437" s="59"/>
      <c r="P437" s="59"/>
      <c r="Q437" s="61"/>
    </row>
    <row r="438">
      <c r="B438" s="59"/>
      <c r="D438" s="59"/>
      <c r="F438" s="59"/>
      <c r="H438" s="59"/>
      <c r="J438" s="59"/>
      <c r="L438" s="59"/>
      <c r="N438" s="59"/>
      <c r="P438" s="59"/>
      <c r="Q438" s="61"/>
    </row>
    <row r="439">
      <c r="B439" s="59"/>
      <c r="D439" s="59"/>
      <c r="F439" s="59"/>
      <c r="H439" s="59"/>
      <c r="J439" s="59"/>
      <c r="L439" s="59"/>
      <c r="N439" s="59"/>
      <c r="P439" s="59"/>
      <c r="Q439" s="61"/>
    </row>
    <row r="440">
      <c r="B440" s="59"/>
      <c r="D440" s="59"/>
      <c r="F440" s="59"/>
      <c r="H440" s="59"/>
      <c r="J440" s="59"/>
      <c r="L440" s="59"/>
      <c r="N440" s="59"/>
      <c r="P440" s="59"/>
      <c r="Q440" s="61"/>
    </row>
    <row r="441">
      <c r="B441" s="59"/>
      <c r="D441" s="59"/>
      <c r="F441" s="59"/>
      <c r="H441" s="59"/>
      <c r="J441" s="59"/>
      <c r="L441" s="59"/>
      <c r="N441" s="59"/>
      <c r="P441" s="59"/>
      <c r="Q441" s="61"/>
    </row>
    <row r="442">
      <c r="B442" s="59"/>
      <c r="D442" s="59"/>
      <c r="F442" s="59"/>
      <c r="H442" s="59"/>
      <c r="J442" s="59"/>
      <c r="L442" s="59"/>
      <c r="N442" s="59"/>
      <c r="P442" s="59"/>
      <c r="Q442" s="61"/>
    </row>
    <row r="443">
      <c r="B443" s="59"/>
      <c r="D443" s="59"/>
      <c r="F443" s="59"/>
      <c r="H443" s="59"/>
      <c r="J443" s="59"/>
      <c r="L443" s="59"/>
      <c r="N443" s="59"/>
      <c r="P443" s="59"/>
      <c r="Q443" s="61"/>
    </row>
    <row r="444">
      <c r="B444" s="59"/>
      <c r="D444" s="59"/>
      <c r="F444" s="59"/>
      <c r="H444" s="59"/>
      <c r="J444" s="59"/>
      <c r="L444" s="59"/>
      <c r="N444" s="59"/>
      <c r="P444" s="59"/>
      <c r="Q444" s="61"/>
    </row>
    <row r="445">
      <c r="B445" s="59"/>
      <c r="D445" s="59"/>
      <c r="F445" s="59"/>
      <c r="H445" s="59"/>
      <c r="J445" s="59"/>
      <c r="L445" s="59"/>
      <c r="N445" s="59"/>
      <c r="P445" s="59"/>
      <c r="Q445" s="61"/>
    </row>
    <row r="446">
      <c r="B446" s="59"/>
      <c r="D446" s="59"/>
      <c r="F446" s="59"/>
      <c r="H446" s="59"/>
      <c r="J446" s="59"/>
      <c r="L446" s="59"/>
      <c r="N446" s="59"/>
      <c r="P446" s="59"/>
      <c r="Q446" s="61"/>
    </row>
    <row r="447">
      <c r="B447" s="59"/>
      <c r="D447" s="59"/>
      <c r="F447" s="59"/>
      <c r="H447" s="59"/>
      <c r="J447" s="59"/>
      <c r="L447" s="59"/>
      <c r="N447" s="59"/>
      <c r="P447" s="59"/>
      <c r="Q447" s="61"/>
    </row>
    <row r="448">
      <c r="B448" s="59"/>
      <c r="D448" s="59"/>
      <c r="F448" s="59"/>
      <c r="H448" s="59"/>
      <c r="J448" s="59"/>
      <c r="L448" s="59"/>
      <c r="N448" s="59"/>
      <c r="P448" s="59"/>
      <c r="Q448" s="61"/>
    </row>
    <row r="449">
      <c r="B449" s="59"/>
      <c r="D449" s="59"/>
      <c r="F449" s="59"/>
      <c r="H449" s="59"/>
      <c r="J449" s="59"/>
      <c r="L449" s="59"/>
      <c r="N449" s="59"/>
      <c r="P449" s="59"/>
      <c r="Q449" s="61"/>
    </row>
    <row r="450">
      <c r="B450" s="59"/>
      <c r="D450" s="59"/>
      <c r="F450" s="59"/>
      <c r="H450" s="59"/>
      <c r="J450" s="59"/>
      <c r="L450" s="59"/>
      <c r="N450" s="59"/>
      <c r="P450" s="59"/>
      <c r="Q450" s="61"/>
    </row>
    <row r="451">
      <c r="B451" s="59"/>
      <c r="D451" s="59"/>
      <c r="F451" s="59"/>
      <c r="H451" s="59"/>
      <c r="J451" s="59"/>
      <c r="L451" s="59"/>
      <c r="N451" s="59"/>
      <c r="P451" s="59"/>
      <c r="Q451" s="61"/>
    </row>
    <row r="452">
      <c r="B452" s="59"/>
      <c r="D452" s="59"/>
      <c r="F452" s="59"/>
      <c r="H452" s="59"/>
      <c r="J452" s="59"/>
      <c r="L452" s="59"/>
      <c r="N452" s="59"/>
      <c r="P452" s="59"/>
      <c r="Q452" s="61"/>
    </row>
    <row r="453">
      <c r="B453" s="59"/>
      <c r="D453" s="59"/>
      <c r="F453" s="59"/>
      <c r="H453" s="59"/>
      <c r="J453" s="59"/>
      <c r="L453" s="59"/>
      <c r="N453" s="59"/>
      <c r="P453" s="59"/>
      <c r="Q453" s="61"/>
    </row>
    <row r="454">
      <c r="B454" s="59"/>
      <c r="D454" s="59"/>
      <c r="F454" s="59"/>
      <c r="H454" s="59"/>
      <c r="J454" s="59"/>
      <c r="L454" s="59"/>
      <c r="N454" s="59"/>
      <c r="P454" s="59"/>
      <c r="Q454" s="61"/>
    </row>
    <row r="455">
      <c r="B455" s="59"/>
      <c r="D455" s="59"/>
      <c r="F455" s="59"/>
      <c r="H455" s="59"/>
      <c r="J455" s="59"/>
      <c r="L455" s="59"/>
      <c r="N455" s="59"/>
      <c r="P455" s="59"/>
      <c r="Q455" s="61"/>
    </row>
    <row r="456">
      <c r="B456" s="59"/>
      <c r="D456" s="59"/>
      <c r="F456" s="59"/>
      <c r="H456" s="59"/>
      <c r="J456" s="59"/>
      <c r="L456" s="59"/>
      <c r="N456" s="59"/>
      <c r="P456" s="59"/>
      <c r="Q456" s="61"/>
    </row>
    <row r="457">
      <c r="B457" s="59"/>
      <c r="D457" s="59"/>
      <c r="F457" s="59"/>
      <c r="H457" s="59"/>
      <c r="J457" s="59"/>
      <c r="L457" s="59"/>
      <c r="N457" s="59"/>
      <c r="P457" s="59"/>
      <c r="Q457" s="61"/>
    </row>
    <row r="458">
      <c r="B458" s="59"/>
      <c r="D458" s="59"/>
      <c r="F458" s="59"/>
      <c r="H458" s="59"/>
      <c r="J458" s="59"/>
      <c r="L458" s="59"/>
      <c r="N458" s="59"/>
      <c r="P458" s="59"/>
      <c r="Q458" s="61"/>
    </row>
    <row r="459">
      <c r="B459" s="59"/>
      <c r="D459" s="59"/>
      <c r="F459" s="59"/>
      <c r="H459" s="59"/>
      <c r="J459" s="59"/>
      <c r="L459" s="59"/>
      <c r="N459" s="59"/>
      <c r="P459" s="59"/>
      <c r="Q459" s="61"/>
    </row>
    <row r="460">
      <c r="B460" s="59"/>
      <c r="D460" s="59"/>
      <c r="F460" s="59"/>
      <c r="H460" s="59"/>
      <c r="J460" s="59"/>
      <c r="L460" s="59"/>
      <c r="N460" s="59"/>
      <c r="P460" s="59"/>
      <c r="Q460" s="61"/>
    </row>
    <row r="461">
      <c r="B461" s="59"/>
      <c r="D461" s="59"/>
      <c r="F461" s="59"/>
      <c r="H461" s="59"/>
      <c r="J461" s="59"/>
      <c r="L461" s="59"/>
      <c r="N461" s="59"/>
      <c r="P461" s="59"/>
      <c r="Q461" s="61"/>
    </row>
    <row r="462">
      <c r="B462" s="59"/>
      <c r="D462" s="59"/>
      <c r="F462" s="59"/>
      <c r="H462" s="59"/>
      <c r="J462" s="59"/>
      <c r="L462" s="59"/>
      <c r="N462" s="59"/>
      <c r="P462" s="59"/>
      <c r="Q462" s="61"/>
    </row>
    <row r="463">
      <c r="B463" s="59"/>
      <c r="D463" s="59"/>
      <c r="F463" s="59"/>
      <c r="H463" s="59"/>
      <c r="J463" s="59"/>
      <c r="L463" s="59"/>
      <c r="N463" s="59"/>
      <c r="P463" s="59"/>
      <c r="Q463" s="61"/>
    </row>
    <row r="464">
      <c r="B464" s="59"/>
      <c r="D464" s="59"/>
      <c r="F464" s="59"/>
      <c r="H464" s="59"/>
      <c r="J464" s="59"/>
      <c r="L464" s="59"/>
      <c r="N464" s="59"/>
      <c r="P464" s="59"/>
      <c r="Q464" s="61"/>
    </row>
    <row r="465">
      <c r="B465" s="59"/>
      <c r="D465" s="59"/>
      <c r="F465" s="59"/>
      <c r="H465" s="59"/>
      <c r="J465" s="59"/>
      <c r="L465" s="59"/>
      <c r="N465" s="59"/>
      <c r="P465" s="59"/>
      <c r="Q465" s="61"/>
    </row>
    <row r="466">
      <c r="B466" s="59"/>
      <c r="D466" s="59"/>
      <c r="F466" s="59"/>
      <c r="H466" s="59"/>
      <c r="J466" s="59"/>
      <c r="L466" s="59"/>
      <c r="N466" s="59"/>
      <c r="P466" s="59"/>
      <c r="Q466" s="61"/>
    </row>
    <row r="467">
      <c r="B467" s="59"/>
      <c r="D467" s="59"/>
      <c r="F467" s="59"/>
      <c r="H467" s="59"/>
      <c r="J467" s="59"/>
      <c r="L467" s="59"/>
      <c r="N467" s="59"/>
      <c r="P467" s="59"/>
      <c r="Q467" s="61"/>
    </row>
    <row r="468">
      <c r="B468" s="59"/>
      <c r="D468" s="59"/>
      <c r="F468" s="59"/>
      <c r="H468" s="59"/>
      <c r="J468" s="59"/>
      <c r="L468" s="59"/>
      <c r="N468" s="59"/>
      <c r="P468" s="59"/>
      <c r="Q468" s="61"/>
    </row>
    <row r="469">
      <c r="B469" s="59"/>
      <c r="D469" s="59"/>
      <c r="F469" s="59"/>
      <c r="H469" s="59"/>
      <c r="J469" s="59"/>
      <c r="L469" s="59"/>
      <c r="N469" s="59"/>
      <c r="P469" s="59"/>
      <c r="Q469" s="61"/>
    </row>
    <row r="470">
      <c r="B470" s="59"/>
      <c r="D470" s="59"/>
      <c r="F470" s="59"/>
      <c r="H470" s="59"/>
      <c r="J470" s="59"/>
      <c r="L470" s="59"/>
      <c r="N470" s="59"/>
      <c r="P470" s="59"/>
      <c r="Q470" s="61"/>
    </row>
    <row r="471">
      <c r="B471" s="59"/>
      <c r="D471" s="59"/>
      <c r="F471" s="59"/>
      <c r="H471" s="59"/>
      <c r="J471" s="59"/>
      <c r="L471" s="59"/>
      <c r="N471" s="59"/>
      <c r="P471" s="59"/>
      <c r="Q471" s="61"/>
    </row>
    <row r="472">
      <c r="B472" s="59"/>
      <c r="D472" s="59"/>
      <c r="F472" s="59"/>
      <c r="H472" s="59"/>
      <c r="J472" s="59"/>
      <c r="L472" s="59"/>
      <c r="N472" s="59"/>
      <c r="P472" s="59"/>
      <c r="Q472" s="61"/>
    </row>
    <row r="473">
      <c r="B473" s="59"/>
      <c r="D473" s="59"/>
      <c r="F473" s="59"/>
      <c r="H473" s="59"/>
      <c r="J473" s="59"/>
      <c r="L473" s="59"/>
      <c r="N473" s="59"/>
      <c r="P473" s="59"/>
      <c r="Q473" s="61"/>
    </row>
    <row r="474">
      <c r="B474" s="59"/>
      <c r="D474" s="59"/>
      <c r="F474" s="59"/>
      <c r="H474" s="59"/>
      <c r="J474" s="59"/>
      <c r="L474" s="59"/>
      <c r="N474" s="59"/>
      <c r="P474" s="59"/>
      <c r="Q474" s="61"/>
    </row>
    <row r="475">
      <c r="B475" s="59"/>
      <c r="D475" s="59"/>
      <c r="F475" s="59"/>
      <c r="H475" s="59"/>
      <c r="J475" s="59"/>
      <c r="L475" s="59"/>
      <c r="N475" s="59"/>
      <c r="P475" s="59"/>
      <c r="Q475" s="61"/>
    </row>
    <row r="476">
      <c r="B476" s="59"/>
      <c r="D476" s="59"/>
      <c r="F476" s="59"/>
      <c r="H476" s="59"/>
      <c r="J476" s="59"/>
      <c r="L476" s="59"/>
      <c r="N476" s="59"/>
      <c r="P476" s="59"/>
      <c r="Q476" s="61"/>
    </row>
    <row r="477">
      <c r="B477" s="59"/>
      <c r="D477" s="59"/>
      <c r="F477" s="59"/>
      <c r="H477" s="59"/>
      <c r="J477" s="59"/>
      <c r="L477" s="59"/>
      <c r="N477" s="59"/>
      <c r="P477" s="59"/>
      <c r="Q477" s="61"/>
    </row>
    <row r="478">
      <c r="B478" s="59"/>
      <c r="D478" s="59"/>
      <c r="F478" s="59"/>
      <c r="H478" s="59"/>
      <c r="J478" s="59"/>
      <c r="L478" s="59"/>
      <c r="N478" s="59"/>
      <c r="P478" s="59"/>
      <c r="Q478" s="61"/>
    </row>
    <row r="479">
      <c r="B479" s="59"/>
      <c r="D479" s="59"/>
      <c r="F479" s="59"/>
      <c r="H479" s="59"/>
      <c r="J479" s="59"/>
      <c r="L479" s="59"/>
      <c r="N479" s="59"/>
      <c r="P479" s="59"/>
      <c r="Q479" s="61"/>
    </row>
    <row r="480">
      <c r="B480" s="59"/>
      <c r="D480" s="59"/>
      <c r="F480" s="59"/>
      <c r="H480" s="59"/>
      <c r="J480" s="59"/>
      <c r="L480" s="59"/>
      <c r="N480" s="59"/>
      <c r="P480" s="59"/>
      <c r="Q480" s="61"/>
    </row>
    <row r="481">
      <c r="B481" s="59"/>
      <c r="D481" s="59"/>
      <c r="F481" s="59"/>
      <c r="H481" s="59"/>
      <c r="J481" s="59"/>
      <c r="L481" s="59"/>
      <c r="N481" s="59"/>
      <c r="P481" s="59"/>
      <c r="Q481" s="61"/>
    </row>
    <row r="482">
      <c r="B482" s="59"/>
      <c r="D482" s="59"/>
      <c r="F482" s="59"/>
      <c r="H482" s="59"/>
      <c r="J482" s="59"/>
      <c r="L482" s="59"/>
      <c r="N482" s="59"/>
      <c r="P482" s="59"/>
      <c r="Q482" s="61"/>
    </row>
    <row r="483">
      <c r="B483" s="59"/>
      <c r="D483" s="59"/>
      <c r="F483" s="59"/>
      <c r="H483" s="59"/>
      <c r="J483" s="59"/>
      <c r="L483" s="59"/>
      <c r="N483" s="59"/>
      <c r="P483" s="59"/>
      <c r="Q483" s="61"/>
    </row>
    <row r="484">
      <c r="B484" s="59"/>
      <c r="D484" s="59"/>
      <c r="F484" s="59"/>
      <c r="H484" s="59"/>
      <c r="J484" s="59"/>
      <c r="L484" s="59"/>
      <c r="N484" s="59"/>
      <c r="P484" s="59"/>
      <c r="Q484" s="61"/>
    </row>
    <row r="485">
      <c r="B485" s="59"/>
      <c r="D485" s="59"/>
      <c r="F485" s="59"/>
      <c r="H485" s="59"/>
      <c r="J485" s="59"/>
      <c r="L485" s="59"/>
      <c r="N485" s="59"/>
      <c r="P485" s="59"/>
      <c r="Q485" s="61"/>
    </row>
    <row r="486">
      <c r="B486" s="59"/>
      <c r="D486" s="59"/>
      <c r="F486" s="59"/>
      <c r="H486" s="59"/>
      <c r="J486" s="59"/>
      <c r="L486" s="59"/>
      <c r="N486" s="59"/>
      <c r="P486" s="59"/>
      <c r="Q486" s="61"/>
    </row>
    <row r="487">
      <c r="B487" s="59"/>
      <c r="D487" s="59"/>
      <c r="F487" s="59"/>
      <c r="H487" s="59"/>
      <c r="J487" s="59"/>
      <c r="L487" s="59"/>
      <c r="N487" s="59"/>
      <c r="P487" s="59"/>
      <c r="Q487" s="61"/>
    </row>
    <row r="488">
      <c r="B488" s="59"/>
      <c r="D488" s="59"/>
      <c r="F488" s="59"/>
      <c r="H488" s="59"/>
      <c r="J488" s="59"/>
      <c r="L488" s="59"/>
      <c r="N488" s="59"/>
      <c r="P488" s="59"/>
      <c r="Q488" s="61"/>
    </row>
    <row r="489">
      <c r="B489" s="59"/>
      <c r="D489" s="59"/>
      <c r="F489" s="59"/>
      <c r="H489" s="59"/>
      <c r="J489" s="59"/>
      <c r="L489" s="59"/>
      <c r="N489" s="59"/>
      <c r="P489" s="59"/>
      <c r="Q489" s="61"/>
    </row>
    <row r="490">
      <c r="B490" s="59"/>
      <c r="D490" s="59"/>
      <c r="F490" s="59"/>
      <c r="H490" s="59"/>
      <c r="J490" s="59"/>
      <c r="L490" s="59"/>
      <c r="N490" s="59"/>
      <c r="P490" s="59"/>
      <c r="Q490" s="61"/>
    </row>
    <row r="491">
      <c r="B491" s="59"/>
      <c r="D491" s="59"/>
      <c r="F491" s="59"/>
      <c r="H491" s="59"/>
      <c r="J491" s="59"/>
      <c r="L491" s="59"/>
      <c r="N491" s="59"/>
      <c r="P491" s="59"/>
      <c r="Q491" s="61"/>
    </row>
    <row r="492">
      <c r="B492" s="59"/>
      <c r="D492" s="59"/>
      <c r="F492" s="59"/>
      <c r="H492" s="59"/>
      <c r="J492" s="59"/>
      <c r="L492" s="59"/>
      <c r="N492" s="59"/>
      <c r="P492" s="59"/>
      <c r="Q492" s="61"/>
    </row>
    <row r="493">
      <c r="B493" s="59"/>
      <c r="D493" s="59"/>
      <c r="F493" s="59"/>
      <c r="H493" s="59"/>
      <c r="J493" s="59"/>
      <c r="L493" s="59"/>
      <c r="N493" s="59"/>
      <c r="P493" s="59"/>
      <c r="Q493" s="61"/>
    </row>
    <row r="494">
      <c r="B494" s="59"/>
      <c r="D494" s="59"/>
      <c r="F494" s="59"/>
      <c r="H494" s="59"/>
      <c r="J494" s="59"/>
      <c r="L494" s="59"/>
      <c r="N494" s="59"/>
      <c r="P494" s="59"/>
      <c r="Q494" s="61"/>
    </row>
    <row r="495">
      <c r="B495" s="59"/>
      <c r="D495" s="59"/>
      <c r="F495" s="59"/>
      <c r="H495" s="59"/>
      <c r="J495" s="59"/>
      <c r="L495" s="59"/>
      <c r="N495" s="59"/>
      <c r="P495" s="59"/>
      <c r="Q495" s="61"/>
    </row>
    <row r="496">
      <c r="B496" s="59"/>
      <c r="D496" s="59"/>
      <c r="F496" s="59"/>
      <c r="H496" s="59"/>
      <c r="J496" s="59"/>
      <c r="L496" s="59"/>
      <c r="N496" s="59"/>
      <c r="P496" s="59"/>
      <c r="Q496" s="61"/>
    </row>
    <row r="497">
      <c r="B497" s="59"/>
      <c r="D497" s="59"/>
      <c r="F497" s="59"/>
      <c r="H497" s="59"/>
      <c r="J497" s="59"/>
      <c r="L497" s="59"/>
      <c r="N497" s="59"/>
      <c r="P497" s="59"/>
      <c r="Q497" s="61"/>
    </row>
    <row r="498">
      <c r="B498" s="59"/>
      <c r="D498" s="59"/>
      <c r="F498" s="59"/>
      <c r="H498" s="59"/>
      <c r="J498" s="59"/>
      <c r="L498" s="59"/>
      <c r="N498" s="59"/>
      <c r="P498" s="59"/>
      <c r="Q498" s="61"/>
    </row>
    <row r="499">
      <c r="B499" s="59"/>
      <c r="D499" s="59"/>
      <c r="F499" s="59"/>
      <c r="H499" s="59"/>
      <c r="J499" s="59"/>
      <c r="L499" s="59"/>
      <c r="N499" s="59"/>
      <c r="P499" s="59"/>
      <c r="Q499" s="61"/>
    </row>
    <row r="500">
      <c r="B500" s="59"/>
      <c r="D500" s="59"/>
      <c r="F500" s="59"/>
      <c r="H500" s="59"/>
      <c r="J500" s="59"/>
      <c r="L500" s="59"/>
      <c r="N500" s="59"/>
      <c r="P500" s="59"/>
      <c r="Q500" s="61"/>
    </row>
    <row r="501">
      <c r="B501" s="59"/>
      <c r="D501" s="59"/>
      <c r="F501" s="59"/>
      <c r="H501" s="59"/>
      <c r="J501" s="59"/>
      <c r="L501" s="59"/>
      <c r="N501" s="59"/>
      <c r="P501" s="59"/>
      <c r="Q501" s="61"/>
    </row>
    <row r="502">
      <c r="B502" s="59"/>
      <c r="D502" s="59"/>
      <c r="F502" s="59"/>
      <c r="H502" s="59"/>
      <c r="J502" s="59"/>
      <c r="L502" s="59"/>
      <c r="N502" s="59"/>
      <c r="P502" s="59"/>
      <c r="Q502" s="61"/>
    </row>
    <row r="503">
      <c r="B503" s="59"/>
      <c r="D503" s="59"/>
      <c r="F503" s="59"/>
      <c r="H503" s="59"/>
      <c r="J503" s="59"/>
      <c r="L503" s="59"/>
      <c r="N503" s="59"/>
      <c r="P503" s="59"/>
      <c r="Q503" s="61"/>
    </row>
    <row r="504">
      <c r="B504" s="59"/>
      <c r="D504" s="59"/>
      <c r="F504" s="59"/>
      <c r="H504" s="59"/>
      <c r="J504" s="59"/>
      <c r="L504" s="59"/>
      <c r="N504" s="59"/>
      <c r="P504" s="59"/>
      <c r="Q504" s="61"/>
    </row>
    <row r="505">
      <c r="B505" s="59"/>
      <c r="D505" s="59"/>
      <c r="F505" s="59"/>
      <c r="H505" s="59"/>
      <c r="J505" s="59"/>
      <c r="L505" s="59"/>
      <c r="N505" s="59"/>
      <c r="P505" s="59"/>
      <c r="Q505" s="61"/>
    </row>
    <row r="506">
      <c r="B506" s="59"/>
      <c r="D506" s="59"/>
      <c r="F506" s="59"/>
      <c r="H506" s="59"/>
      <c r="J506" s="59"/>
      <c r="L506" s="59"/>
      <c r="N506" s="59"/>
      <c r="P506" s="59"/>
      <c r="Q506" s="61"/>
    </row>
    <row r="507">
      <c r="B507" s="59"/>
      <c r="D507" s="59"/>
      <c r="F507" s="59"/>
      <c r="H507" s="59"/>
      <c r="J507" s="59"/>
      <c r="L507" s="59"/>
      <c r="N507" s="59"/>
      <c r="P507" s="59"/>
      <c r="Q507" s="61"/>
    </row>
    <row r="508">
      <c r="B508" s="59"/>
      <c r="D508" s="59"/>
      <c r="F508" s="59"/>
      <c r="H508" s="59"/>
      <c r="J508" s="59"/>
      <c r="L508" s="59"/>
      <c r="N508" s="59"/>
      <c r="P508" s="59"/>
      <c r="Q508" s="61"/>
    </row>
    <row r="509">
      <c r="B509" s="59"/>
      <c r="D509" s="59"/>
      <c r="F509" s="59"/>
      <c r="H509" s="59"/>
      <c r="J509" s="59"/>
      <c r="L509" s="59"/>
      <c r="N509" s="59"/>
      <c r="P509" s="59"/>
      <c r="Q509" s="61"/>
    </row>
    <row r="510">
      <c r="B510" s="59"/>
      <c r="D510" s="59"/>
      <c r="F510" s="59"/>
      <c r="H510" s="59"/>
      <c r="J510" s="59"/>
      <c r="L510" s="59"/>
      <c r="N510" s="59"/>
      <c r="P510" s="59"/>
      <c r="Q510" s="61"/>
    </row>
    <row r="511">
      <c r="B511" s="59"/>
      <c r="D511" s="59"/>
      <c r="F511" s="59"/>
      <c r="H511" s="59"/>
      <c r="J511" s="59"/>
      <c r="L511" s="59"/>
      <c r="N511" s="59"/>
      <c r="P511" s="59"/>
      <c r="Q511" s="61"/>
    </row>
    <row r="512">
      <c r="B512" s="59"/>
      <c r="D512" s="59"/>
      <c r="F512" s="59"/>
      <c r="H512" s="59"/>
      <c r="J512" s="59"/>
      <c r="L512" s="59"/>
      <c r="N512" s="59"/>
      <c r="P512" s="59"/>
      <c r="Q512" s="61"/>
    </row>
    <row r="513">
      <c r="B513" s="59"/>
      <c r="D513" s="59"/>
      <c r="F513" s="59"/>
      <c r="H513" s="59"/>
      <c r="J513" s="59"/>
      <c r="L513" s="59"/>
      <c r="N513" s="59"/>
      <c r="P513" s="59"/>
      <c r="Q513" s="61"/>
    </row>
    <row r="514">
      <c r="B514" s="59"/>
      <c r="D514" s="59"/>
      <c r="F514" s="59"/>
      <c r="H514" s="59"/>
      <c r="J514" s="59"/>
      <c r="L514" s="59"/>
      <c r="N514" s="59"/>
      <c r="P514" s="59"/>
      <c r="Q514" s="61"/>
    </row>
    <row r="515">
      <c r="B515" s="59"/>
      <c r="D515" s="59"/>
      <c r="F515" s="59"/>
      <c r="H515" s="59"/>
      <c r="J515" s="59"/>
      <c r="L515" s="59"/>
      <c r="N515" s="59"/>
      <c r="P515" s="59"/>
      <c r="Q515" s="61"/>
    </row>
    <row r="516">
      <c r="B516" s="59"/>
      <c r="D516" s="59"/>
      <c r="F516" s="59"/>
      <c r="H516" s="59"/>
      <c r="J516" s="59"/>
      <c r="L516" s="59"/>
      <c r="N516" s="59"/>
      <c r="P516" s="59"/>
      <c r="Q516" s="61"/>
    </row>
    <row r="517">
      <c r="B517" s="59"/>
      <c r="D517" s="59"/>
      <c r="F517" s="59"/>
      <c r="H517" s="59"/>
      <c r="J517" s="59"/>
      <c r="L517" s="59"/>
      <c r="N517" s="59"/>
      <c r="P517" s="59"/>
      <c r="Q517" s="61"/>
    </row>
    <row r="518">
      <c r="B518" s="59"/>
      <c r="D518" s="59"/>
      <c r="F518" s="59"/>
      <c r="H518" s="59"/>
      <c r="J518" s="59"/>
      <c r="L518" s="59"/>
      <c r="N518" s="59"/>
      <c r="P518" s="59"/>
      <c r="Q518" s="61"/>
    </row>
    <row r="519">
      <c r="B519" s="59"/>
      <c r="D519" s="59"/>
      <c r="F519" s="59"/>
      <c r="H519" s="59"/>
      <c r="J519" s="59"/>
      <c r="L519" s="59"/>
      <c r="N519" s="59"/>
      <c r="P519" s="59"/>
      <c r="Q519" s="61"/>
    </row>
    <row r="520">
      <c r="B520" s="59"/>
      <c r="D520" s="59"/>
      <c r="F520" s="59"/>
      <c r="H520" s="59"/>
      <c r="J520" s="59"/>
      <c r="L520" s="59"/>
      <c r="N520" s="59"/>
      <c r="P520" s="59"/>
      <c r="Q520" s="61"/>
    </row>
    <row r="521">
      <c r="B521" s="59"/>
      <c r="D521" s="59"/>
      <c r="F521" s="59"/>
      <c r="H521" s="59"/>
      <c r="J521" s="59"/>
      <c r="L521" s="59"/>
      <c r="N521" s="59"/>
      <c r="P521" s="59"/>
      <c r="Q521" s="61"/>
    </row>
    <row r="522">
      <c r="B522" s="59"/>
      <c r="D522" s="59"/>
      <c r="F522" s="59"/>
      <c r="H522" s="59"/>
      <c r="J522" s="59"/>
      <c r="L522" s="59"/>
      <c r="N522" s="59"/>
      <c r="P522" s="59"/>
      <c r="Q522" s="61"/>
    </row>
    <row r="523">
      <c r="B523" s="59"/>
      <c r="D523" s="59"/>
      <c r="F523" s="59"/>
      <c r="H523" s="59"/>
      <c r="J523" s="59"/>
      <c r="L523" s="59"/>
      <c r="N523" s="59"/>
      <c r="P523" s="59"/>
      <c r="Q523" s="61"/>
    </row>
    <row r="524">
      <c r="B524" s="59"/>
      <c r="D524" s="59"/>
      <c r="F524" s="59"/>
      <c r="H524" s="59"/>
      <c r="J524" s="59"/>
      <c r="L524" s="59"/>
      <c r="N524" s="59"/>
      <c r="P524" s="59"/>
      <c r="Q524" s="61"/>
    </row>
    <row r="525">
      <c r="B525" s="59"/>
      <c r="D525" s="59"/>
      <c r="F525" s="59"/>
      <c r="H525" s="59"/>
      <c r="J525" s="59"/>
      <c r="L525" s="59"/>
      <c r="N525" s="59"/>
      <c r="P525" s="59"/>
      <c r="Q525" s="61"/>
    </row>
    <row r="526">
      <c r="B526" s="59"/>
      <c r="D526" s="59"/>
      <c r="F526" s="59"/>
      <c r="H526" s="59"/>
      <c r="J526" s="59"/>
      <c r="L526" s="59"/>
      <c r="N526" s="59"/>
      <c r="P526" s="59"/>
      <c r="Q526" s="61"/>
    </row>
    <row r="527">
      <c r="B527" s="59"/>
      <c r="D527" s="59"/>
      <c r="F527" s="59"/>
      <c r="H527" s="59"/>
      <c r="J527" s="59"/>
      <c r="L527" s="59"/>
      <c r="N527" s="59"/>
      <c r="P527" s="59"/>
      <c r="Q527" s="61"/>
    </row>
    <row r="528">
      <c r="B528" s="59"/>
      <c r="D528" s="59"/>
      <c r="F528" s="59"/>
      <c r="H528" s="59"/>
      <c r="J528" s="59"/>
      <c r="L528" s="59"/>
      <c r="N528" s="59"/>
      <c r="P528" s="59"/>
      <c r="Q528" s="61"/>
    </row>
    <row r="529">
      <c r="B529" s="59"/>
      <c r="D529" s="59"/>
      <c r="F529" s="59"/>
      <c r="H529" s="59"/>
      <c r="J529" s="59"/>
      <c r="L529" s="59"/>
      <c r="N529" s="59"/>
      <c r="P529" s="59"/>
      <c r="Q529" s="61"/>
    </row>
    <row r="530">
      <c r="B530" s="59"/>
      <c r="D530" s="59"/>
      <c r="F530" s="59"/>
      <c r="H530" s="59"/>
      <c r="J530" s="59"/>
      <c r="L530" s="59"/>
      <c r="N530" s="59"/>
      <c r="P530" s="59"/>
      <c r="Q530" s="61"/>
    </row>
    <row r="531">
      <c r="B531" s="59"/>
      <c r="D531" s="59"/>
      <c r="F531" s="59"/>
      <c r="H531" s="59"/>
      <c r="J531" s="59"/>
      <c r="L531" s="59"/>
      <c r="N531" s="59"/>
      <c r="P531" s="59"/>
      <c r="Q531" s="61"/>
    </row>
    <row r="532">
      <c r="B532" s="59"/>
      <c r="D532" s="59"/>
      <c r="F532" s="59"/>
      <c r="H532" s="59"/>
      <c r="J532" s="59"/>
      <c r="L532" s="59"/>
      <c r="N532" s="59"/>
      <c r="P532" s="59"/>
      <c r="Q532" s="61"/>
    </row>
    <row r="533">
      <c r="B533" s="59"/>
      <c r="D533" s="59"/>
      <c r="F533" s="59"/>
      <c r="H533" s="59"/>
      <c r="J533" s="59"/>
      <c r="L533" s="59"/>
      <c r="N533" s="59"/>
      <c r="P533" s="59"/>
      <c r="Q533" s="61"/>
    </row>
    <row r="534">
      <c r="B534" s="59"/>
      <c r="D534" s="59"/>
      <c r="F534" s="59"/>
      <c r="H534" s="59"/>
      <c r="J534" s="59"/>
      <c r="L534" s="59"/>
      <c r="N534" s="59"/>
      <c r="P534" s="59"/>
      <c r="Q534" s="61"/>
    </row>
    <row r="535">
      <c r="B535" s="59"/>
      <c r="D535" s="59"/>
      <c r="F535" s="59"/>
      <c r="H535" s="59"/>
      <c r="J535" s="59"/>
      <c r="L535" s="59"/>
      <c r="N535" s="59"/>
      <c r="P535" s="59"/>
      <c r="Q535" s="61"/>
    </row>
    <row r="536">
      <c r="B536" s="59"/>
      <c r="D536" s="59"/>
      <c r="F536" s="59"/>
      <c r="H536" s="59"/>
      <c r="J536" s="59"/>
      <c r="L536" s="59"/>
      <c r="N536" s="59"/>
      <c r="P536" s="59"/>
      <c r="Q536" s="61"/>
    </row>
    <row r="537">
      <c r="B537" s="59"/>
      <c r="D537" s="59"/>
      <c r="F537" s="59"/>
      <c r="H537" s="59"/>
      <c r="J537" s="59"/>
      <c r="L537" s="59"/>
      <c r="N537" s="59"/>
      <c r="P537" s="59"/>
      <c r="Q537" s="61"/>
    </row>
    <row r="538">
      <c r="B538" s="59"/>
      <c r="D538" s="59"/>
      <c r="F538" s="59"/>
      <c r="H538" s="59"/>
      <c r="J538" s="59"/>
      <c r="L538" s="59"/>
      <c r="N538" s="59"/>
      <c r="P538" s="59"/>
      <c r="Q538" s="61"/>
    </row>
    <row r="539">
      <c r="B539" s="59"/>
      <c r="D539" s="59"/>
      <c r="F539" s="59"/>
      <c r="H539" s="59"/>
      <c r="J539" s="59"/>
      <c r="L539" s="59"/>
      <c r="N539" s="59"/>
      <c r="P539" s="59"/>
      <c r="Q539" s="61"/>
    </row>
    <row r="540">
      <c r="B540" s="59"/>
      <c r="D540" s="59"/>
      <c r="F540" s="59"/>
      <c r="H540" s="59"/>
      <c r="J540" s="59"/>
      <c r="L540" s="59"/>
      <c r="N540" s="59"/>
      <c r="P540" s="59"/>
      <c r="Q540" s="61"/>
    </row>
    <row r="541">
      <c r="B541" s="59"/>
      <c r="D541" s="59"/>
      <c r="F541" s="59"/>
      <c r="H541" s="59"/>
      <c r="J541" s="59"/>
      <c r="L541" s="59"/>
      <c r="N541" s="59"/>
      <c r="P541" s="59"/>
      <c r="Q541" s="61"/>
    </row>
    <row r="542">
      <c r="B542" s="59"/>
      <c r="D542" s="59"/>
      <c r="F542" s="59"/>
      <c r="H542" s="59"/>
      <c r="J542" s="59"/>
      <c r="L542" s="59"/>
      <c r="N542" s="59"/>
      <c r="P542" s="59"/>
      <c r="Q542" s="61"/>
    </row>
    <row r="543">
      <c r="B543" s="59"/>
      <c r="D543" s="59"/>
      <c r="F543" s="59"/>
      <c r="H543" s="59"/>
      <c r="J543" s="59"/>
      <c r="L543" s="59"/>
      <c r="N543" s="59"/>
      <c r="P543" s="59"/>
      <c r="Q543" s="61"/>
    </row>
    <row r="544">
      <c r="B544" s="59"/>
      <c r="D544" s="59"/>
      <c r="F544" s="59"/>
      <c r="H544" s="59"/>
      <c r="J544" s="59"/>
      <c r="L544" s="59"/>
      <c r="N544" s="59"/>
      <c r="P544" s="59"/>
      <c r="Q544" s="61"/>
    </row>
    <row r="545">
      <c r="B545" s="59"/>
      <c r="D545" s="59"/>
      <c r="F545" s="59"/>
      <c r="H545" s="59"/>
      <c r="J545" s="59"/>
      <c r="L545" s="59"/>
      <c r="N545" s="59"/>
      <c r="P545" s="59"/>
      <c r="Q545" s="61"/>
    </row>
    <row r="546">
      <c r="B546" s="59"/>
      <c r="D546" s="59"/>
      <c r="F546" s="59"/>
      <c r="H546" s="59"/>
      <c r="J546" s="59"/>
      <c r="L546" s="59"/>
      <c r="N546" s="59"/>
      <c r="P546" s="59"/>
      <c r="Q546" s="61"/>
    </row>
    <row r="547">
      <c r="B547" s="59"/>
      <c r="D547" s="59"/>
      <c r="F547" s="59"/>
      <c r="H547" s="59"/>
      <c r="J547" s="59"/>
      <c r="L547" s="59"/>
      <c r="N547" s="59"/>
      <c r="P547" s="59"/>
      <c r="Q547" s="61"/>
    </row>
    <row r="548">
      <c r="B548" s="59"/>
      <c r="D548" s="59"/>
      <c r="F548" s="59"/>
      <c r="H548" s="59"/>
      <c r="J548" s="59"/>
      <c r="L548" s="59"/>
      <c r="N548" s="59"/>
      <c r="P548" s="59"/>
      <c r="Q548" s="61"/>
    </row>
    <row r="549">
      <c r="B549" s="59"/>
      <c r="D549" s="59"/>
      <c r="F549" s="59"/>
      <c r="H549" s="59"/>
      <c r="J549" s="59"/>
      <c r="L549" s="59"/>
      <c r="N549" s="59"/>
      <c r="P549" s="59"/>
      <c r="Q549" s="61"/>
    </row>
    <row r="550">
      <c r="B550" s="59"/>
      <c r="D550" s="59"/>
      <c r="F550" s="59"/>
      <c r="H550" s="59"/>
      <c r="J550" s="59"/>
      <c r="L550" s="59"/>
      <c r="N550" s="59"/>
      <c r="P550" s="59"/>
      <c r="Q550" s="61"/>
    </row>
    <row r="551">
      <c r="B551" s="59"/>
      <c r="D551" s="59"/>
      <c r="F551" s="59"/>
      <c r="H551" s="59"/>
      <c r="J551" s="59"/>
      <c r="L551" s="59"/>
      <c r="N551" s="59"/>
      <c r="P551" s="59"/>
      <c r="Q551" s="61"/>
    </row>
    <row r="552">
      <c r="B552" s="59"/>
      <c r="D552" s="59"/>
      <c r="F552" s="59"/>
      <c r="H552" s="59"/>
      <c r="J552" s="59"/>
      <c r="L552" s="59"/>
      <c r="N552" s="59"/>
      <c r="P552" s="59"/>
      <c r="Q552" s="61"/>
    </row>
    <row r="553">
      <c r="B553" s="59"/>
      <c r="D553" s="59"/>
      <c r="F553" s="59"/>
      <c r="H553" s="59"/>
      <c r="J553" s="59"/>
      <c r="L553" s="59"/>
      <c r="N553" s="59"/>
      <c r="P553" s="59"/>
      <c r="Q553" s="61"/>
    </row>
    <row r="554">
      <c r="B554" s="59"/>
      <c r="D554" s="59"/>
      <c r="F554" s="59"/>
      <c r="H554" s="59"/>
      <c r="J554" s="59"/>
      <c r="L554" s="59"/>
      <c r="N554" s="59"/>
      <c r="P554" s="59"/>
      <c r="Q554" s="61"/>
    </row>
    <row r="555">
      <c r="B555" s="59"/>
      <c r="D555" s="59"/>
      <c r="F555" s="59"/>
      <c r="H555" s="59"/>
      <c r="J555" s="59"/>
      <c r="L555" s="59"/>
      <c r="N555" s="59"/>
      <c r="P555" s="59"/>
      <c r="Q555" s="61"/>
    </row>
    <row r="556">
      <c r="B556" s="59"/>
      <c r="D556" s="59"/>
      <c r="F556" s="59"/>
      <c r="H556" s="59"/>
      <c r="J556" s="59"/>
      <c r="L556" s="59"/>
      <c r="N556" s="59"/>
      <c r="P556" s="59"/>
      <c r="Q556" s="61"/>
    </row>
    <row r="557">
      <c r="B557" s="59"/>
      <c r="D557" s="59"/>
      <c r="F557" s="59"/>
      <c r="H557" s="59"/>
      <c r="J557" s="59"/>
      <c r="L557" s="59"/>
      <c r="N557" s="59"/>
      <c r="P557" s="59"/>
      <c r="Q557" s="61"/>
    </row>
    <row r="558">
      <c r="B558" s="59"/>
      <c r="D558" s="59"/>
      <c r="F558" s="59"/>
      <c r="H558" s="59"/>
      <c r="J558" s="59"/>
      <c r="L558" s="59"/>
      <c r="N558" s="59"/>
      <c r="P558" s="59"/>
      <c r="Q558" s="61"/>
    </row>
    <row r="559">
      <c r="B559" s="59"/>
      <c r="D559" s="59"/>
      <c r="F559" s="59"/>
      <c r="H559" s="59"/>
      <c r="J559" s="59"/>
      <c r="L559" s="59"/>
      <c r="N559" s="59"/>
      <c r="P559" s="59"/>
      <c r="Q559" s="61"/>
    </row>
    <row r="560">
      <c r="B560" s="59"/>
      <c r="D560" s="59"/>
      <c r="F560" s="59"/>
      <c r="H560" s="59"/>
      <c r="J560" s="59"/>
      <c r="L560" s="59"/>
      <c r="N560" s="59"/>
      <c r="P560" s="59"/>
      <c r="Q560" s="61"/>
    </row>
    <row r="561">
      <c r="B561" s="59"/>
      <c r="D561" s="59"/>
      <c r="F561" s="59"/>
      <c r="H561" s="59"/>
      <c r="J561" s="59"/>
      <c r="L561" s="59"/>
      <c r="N561" s="59"/>
      <c r="P561" s="59"/>
      <c r="Q561" s="61"/>
    </row>
    <row r="562">
      <c r="B562" s="59"/>
      <c r="D562" s="59"/>
      <c r="F562" s="59"/>
      <c r="H562" s="59"/>
      <c r="J562" s="59"/>
      <c r="L562" s="59"/>
      <c r="N562" s="59"/>
      <c r="P562" s="59"/>
      <c r="Q562" s="61"/>
    </row>
    <row r="563">
      <c r="B563" s="59"/>
      <c r="D563" s="59"/>
      <c r="F563" s="59"/>
      <c r="H563" s="59"/>
      <c r="J563" s="59"/>
      <c r="L563" s="59"/>
      <c r="N563" s="59"/>
      <c r="P563" s="59"/>
      <c r="Q563" s="61"/>
    </row>
    <row r="564">
      <c r="B564" s="59"/>
      <c r="D564" s="59"/>
      <c r="F564" s="59"/>
      <c r="H564" s="59"/>
      <c r="J564" s="59"/>
      <c r="L564" s="59"/>
      <c r="N564" s="59"/>
      <c r="P564" s="59"/>
      <c r="Q564" s="61"/>
    </row>
    <row r="565">
      <c r="B565" s="59"/>
      <c r="D565" s="59"/>
      <c r="F565" s="59"/>
      <c r="H565" s="59"/>
      <c r="J565" s="59"/>
      <c r="L565" s="59"/>
      <c r="N565" s="59"/>
      <c r="P565" s="59"/>
      <c r="Q565" s="61"/>
    </row>
    <row r="566">
      <c r="B566" s="59"/>
      <c r="D566" s="59"/>
      <c r="F566" s="59"/>
      <c r="H566" s="59"/>
      <c r="J566" s="59"/>
      <c r="L566" s="59"/>
      <c r="N566" s="59"/>
      <c r="P566" s="59"/>
      <c r="Q566" s="61"/>
    </row>
    <row r="567">
      <c r="B567" s="59"/>
      <c r="D567" s="59"/>
      <c r="F567" s="59"/>
      <c r="H567" s="59"/>
      <c r="J567" s="59"/>
      <c r="L567" s="59"/>
      <c r="N567" s="59"/>
      <c r="P567" s="59"/>
      <c r="Q567" s="61"/>
    </row>
    <row r="568">
      <c r="B568" s="59"/>
      <c r="D568" s="59"/>
      <c r="F568" s="59"/>
      <c r="H568" s="59"/>
      <c r="J568" s="59"/>
      <c r="L568" s="59"/>
      <c r="N568" s="59"/>
      <c r="P568" s="59"/>
      <c r="Q568" s="61"/>
    </row>
    <row r="569">
      <c r="B569" s="59"/>
      <c r="D569" s="59"/>
      <c r="F569" s="59"/>
      <c r="H569" s="59"/>
      <c r="J569" s="59"/>
      <c r="L569" s="59"/>
      <c r="N569" s="59"/>
      <c r="P569" s="59"/>
      <c r="Q569" s="61"/>
    </row>
    <row r="570">
      <c r="B570" s="59"/>
      <c r="D570" s="59"/>
      <c r="F570" s="59"/>
      <c r="H570" s="59"/>
      <c r="J570" s="59"/>
      <c r="L570" s="59"/>
      <c r="N570" s="59"/>
      <c r="P570" s="59"/>
      <c r="Q570" s="61"/>
    </row>
    <row r="571">
      <c r="B571" s="59"/>
      <c r="D571" s="59"/>
      <c r="F571" s="59"/>
      <c r="H571" s="59"/>
      <c r="J571" s="59"/>
      <c r="L571" s="59"/>
      <c r="N571" s="59"/>
      <c r="P571" s="59"/>
      <c r="Q571" s="61"/>
    </row>
    <row r="572">
      <c r="B572" s="59"/>
      <c r="D572" s="59"/>
      <c r="F572" s="59"/>
      <c r="H572" s="59"/>
      <c r="J572" s="59"/>
      <c r="L572" s="59"/>
      <c r="N572" s="59"/>
      <c r="P572" s="59"/>
      <c r="Q572" s="61"/>
    </row>
    <row r="573">
      <c r="B573" s="59"/>
      <c r="D573" s="59"/>
      <c r="F573" s="59"/>
      <c r="H573" s="59"/>
      <c r="J573" s="59"/>
      <c r="L573" s="59"/>
      <c r="N573" s="59"/>
      <c r="P573" s="59"/>
      <c r="Q573" s="61"/>
    </row>
    <row r="574">
      <c r="B574" s="59"/>
      <c r="D574" s="59"/>
      <c r="F574" s="59"/>
      <c r="H574" s="59"/>
      <c r="J574" s="59"/>
      <c r="L574" s="59"/>
      <c r="N574" s="59"/>
      <c r="P574" s="59"/>
      <c r="Q574" s="61"/>
    </row>
    <row r="575">
      <c r="B575" s="59"/>
      <c r="D575" s="59"/>
      <c r="F575" s="59"/>
      <c r="H575" s="59"/>
      <c r="J575" s="59"/>
      <c r="L575" s="59"/>
      <c r="N575" s="59"/>
      <c r="P575" s="59"/>
      <c r="Q575" s="61"/>
    </row>
    <row r="576">
      <c r="B576" s="59"/>
      <c r="D576" s="59"/>
      <c r="F576" s="59"/>
      <c r="H576" s="59"/>
      <c r="J576" s="59"/>
      <c r="L576" s="59"/>
      <c r="N576" s="59"/>
      <c r="P576" s="59"/>
      <c r="Q576" s="61"/>
    </row>
    <row r="577">
      <c r="B577" s="59"/>
      <c r="D577" s="59"/>
      <c r="F577" s="59"/>
      <c r="H577" s="59"/>
      <c r="J577" s="59"/>
      <c r="L577" s="59"/>
      <c r="N577" s="59"/>
      <c r="P577" s="59"/>
      <c r="Q577" s="61"/>
    </row>
    <row r="578">
      <c r="B578" s="59"/>
      <c r="D578" s="59"/>
      <c r="F578" s="59"/>
      <c r="H578" s="59"/>
      <c r="J578" s="59"/>
      <c r="L578" s="59"/>
      <c r="N578" s="59"/>
      <c r="P578" s="59"/>
      <c r="Q578" s="61"/>
    </row>
    <row r="579">
      <c r="B579" s="59"/>
      <c r="D579" s="59"/>
      <c r="F579" s="59"/>
      <c r="H579" s="59"/>
      <c r="J579" s="59"/>
      <c r="L579" s="59"/>
      <c r="N579" s="59"/>
      <c r="P579" s="59"/>
      <c r="Q579" s="61"/>
    </row>
    <row r="580">
      <c r="B580" s="59"/>
      <c r="D580" s="59"/>
      <c r="F580" s="59"/>
      <c r="H580" s="59"/>
      <c r="J580" s="59"/>
      <c r="L580" s="59"/>
      <c r="N580" s="59"/>
      <c r="P580" s="59"/>
      <c r="Q580" s="61"/>
    </row>
    <row r="581">
      <c r="B581" s="59"/>
      <c r="D581" s="59"/>
      <c r="F581" s="59"/>
      <c r="H581" s="59"/>
      <c r="J581" s="59"/>
      <c r="L581" s="59"/>
      <c r="N581" s="59"/>
      <c r="P581" s="59"/>
      <c r="Q581" s="61"/>
    </row>
    <row r="582">
      <c r="B582" s="59"/>
      <c r="D582" s="59"/>
      <c r="F582" s="59"/>
      <c r="H582" s="59"/>
      <c r="J582" s="59"/>
      <c r="L582" s="59"/>
      <c r="N582" s="59"/>
      <c r="P582" s="59"/>
      <c r="Q582" s="61"/>
    </row>
    <row r="583">
      <c r="B583" s="59"/>
      <c r="D583" s="59"/>
      <c r="F583" s="59"/>
      <c r="H583" s="59"/>
      <c r="J583" s="59"/>
      <c r="L583" s="59"/>
      <c r="N583" s="59"/>
      <c r="P583" s="59"/>
      <c r="Q583" s="61"/>
    </row>
    <row r="584">
      <c r="B584" s="59"/>
      <c r="D584" s="59"/>
      <c r="F584" s="59"/>
      <c r="H584" s="59"/>
      <c r="J584" s="59"/>
      <c r="L584" s="59"/>
      <c r="N584" s="59"/>
      <c r="P584" s="59"/>
      <c r="Q584" s="61"/>
    </row>
    <row r="585">
      <c r="B585" s="59"/>
      <c r="D585" s="59"/>
      <c r="F585" s="59"/>
      <c r="H585" s="59"/>
      <c r="J585" s="59"/>
      <c r="L585" s="59"/>
      <c r="N585" s="59"/>
      <c r="P585" s="59"/>
      <c r="Q585" s="61"/>
    </row>
    <row r="586">
      <c r="B586" s="59"/>
      <c r="D586" s="59"/>
      <c r="F586" s="59"/>
      <c r="H586" s="59"/>
      <c r="J586" s="59"/>
      <c r="L586" s="59"/>
      <c r="N586" s="59"/>
      <c r="P586" s="59"/>
      <c r="Q586" s="61"/>
    </row>
    <row r="587">
      <c r="B587" s="59"/>
      <c r="D587" s="59"/>
      <c r="F587" s="59"/>
      <c r="H587" s="59"/>
      <c r="J587" s="59"/>
      <c r="L587" s="59"/>
      <c r="N587" s="59"/>
      <c r="P587" s="59"/>
      <c r="Q587" s="61"/>
    </row>
    <row r="588">
      <c r="B588" s="59"/>
      <c r="D588" s="59"/>
      <c r="F588" s="59"/>
      <c r="H588" s="59"/>
      <c r="J588" s="59"/>
      <c r="L588" s="59"/>
      <c r="N588" s="59"/>
      <c r="P588" s="59"/>
      <c r="Q588" s="61"/>
    </row>
    <row r="589">
      <c r="B589" s="59"/>
      <c r="D589" s="59"/>
      <c r="F589" s="59"/>
      <c r="H589" s="59"/>
      <c r="J589" s="59"/>
      <c r="L589" s="59"/>
      <c r="N589" s="59"/>
      <c r="P589" s="59"/>
      <c r="Q589" s="61"/>
    </row>
    <row r="590">
      <c r="B590" s="59"/>
      <c r="D590" s="59"/>
      <c r="F590" s="59"/>
      <c r="H590" s="59"/>
      <c r="J590" s="59"/>
      <c r="L590" s="59"/>
      <c r="N590" s="59"/>
      <c r="P590" s="59"/>
      <c r="Q590" s="61"/>
    </row>
    <row r="591">
      <c r="B591" s="59"/>
      <c r="D591" s="59"/>
      <c r="F591" s="59"/>
      <c r="H591" s="59"/>
      <c r="J591" s="59"/>
      <c r="L591" s="59"/>
      <c r="N591" s="59"/>
      <c r="P591" s="59"/>
      <c r="Q591" s="61"/>
    </row>
    <row r="592">
      <c r="B592" s="59"/>
      <c r="D592" s="59"/>
      <c r="F592" s="59"/>
      <c r="H592" s="59"/>
      <c r="J592" s="59"/>
      <c r="L592" s="59"/>
      <c r="N592" s="59"/>
      <c r="P592" s="59"/>
      <c r="Q592" s="61"/>
    </row>
    <row r="593">
      <c r="B593" s="59"/>
      <c r="D593" s="59"/>
      <c r="F593" s="59"/>
      <c r="H593" s="59"/>
      <c r="J593" s="59"/>
      <c r="L593" s="59"/>
      <c r="N593" s="59"/>
      <c r="P593" s="59"/>
      <c r="Q593" s="61"/>
    </row>
    <row r="594">
      <c r="B594" s="59"/>
      <c r="D594" s="59"/>
      <c r="F594" s="59"/>
      <c r="H594" s="59"/>
      <c r="J594" s="59"/>
      <c r="L594" s="59"/>
      <c r="N594" s="59"/>
      <c r="P594" s="59"/>
      <c r="Q594" s="61"/>
    </row>
    <row r="595">
      <c r="B595" s="59"/>
      <c r="D595" s="59"/>
      <c r="F595" s="59"/>
      <c r="H595" s="59"/>
      <c r="J595" s="59"/>
      <c r="L595" s="59"/>
      <c r="N595" s="59"/>
      <c r="P595" s="59"/>
      <c r="Q595" s="61"/>
    </row>
    <row r="596">
      <c r="B596" s="59"/>
      <c r="D596" s="59"/>
      <c r="F596" s="59"/>
      <c r="H596" s="59"/>
      <c r="J596" s="59"/>
      <c r="L596" s="59"/>
      <c r="N596" s="59"/>
      <c r="P596" s="59"/>
      <c r="Q596" s="61"/>
    </row>
    <row r="597">
      <c r="B597" s="59"/>
      <c r="D597" s="59"/>
      <c r="F597" s="59"/>
      <c r="H597" s="59"/>
      <c r="J597" s="59"/>
      <c r="L597" s="59"/>
      <c r="N597" s="59"/>
      <c r="P597" s="59"/>
      <c r="Q597" s="61"/>
    </row>
    <row r="598">
      <c r="B598" s="59"/>
      <c r="D598" s="59"/>
      <c r="F598" s="59"/>
      <c r="H598" s="59"/>
      <c r="J598" s="59"/>
      <c r="L598" s="59"/>
      <c r="N598" s="59"/>
      <c r="P598" s="59"/>
      <c r="Q598" s="61"/>
    </row>
    <row r="599">
      <c r="B599" s="59"/>
      <c r="D599" s="59"/>
      <c r="F599" s="59"/>
      <c r="H599" s="59"/>
      <c r="J599" s="59"/>
      <c r="L599" s="59"/>
      <c r="N599" s="59"/>
      <c r="P599" s="59"/>
      <c r="Q599" s="61"/>
    </row>
    <row r="600">
      <c r="B600" s="59"/>
      <c r="D600" s="59"/>
      <c r="F600" s="59"/>
      <c r="H600" s="59"/>
      <c r="J600" s="59"/>
      <c r="L600" s="59"/>
      <c r="N600" s="59"/>
      <c r="P600" s="59"/>
      <c r="Q600" s="61"/>
    </row>
    <row r="601">
      <c r="B601" s="59"/>
      <c r="D601" s="59"/>
      <c r="F601" s="59"/>
      <c r="H601" s="59"/>
      <c r="J601" s="59"/>
      <c r="L601" s="59"/>
      <c r="N601" s="59"/>
      <c r="P601" s="59"/>
      <c r="Q601" s="61"/>
    </row>
    <row r="602">
      <c r="B602" s="59"/>
      <c r="D602" s="59"/>
      <c r="F602" s="59"/>
      <c r="H602" s="59"/>
      <c r="J602" s="59"/>
      <c r="L602" s="59"/>
      <c r="N602" s="59"/>
      <c r="P602" s="59"/>
      <c r="Q602" s="61"/>
    </row>
    <row r="603">
      <c r="B603" s="59"/>
      <c r="D603" s="59"/>
      <c r="F603" s="59"/>
      <c r="H603" s="59"/>
      <c r="J603" s="59"/>
      <c r="L603" s="59"/>
      <c r="N603" s="59"/>
      <c r="P603" s="59"/>
      <c r="Q603" s="61"/>
    </row>
    <row r="604">
      <c r="B604" s="59"/>
      <c r="D604" s="59"/>
      <c r="F604" s="59"/>
      <c r="H604" s="59"/>
      <c r="J604" s="59"/>
      <c r="L604" s="59"/>
      <c r="N604" s="59"/>
      <c r="P604" s="59"/>
      <c r="Q604" s="61"/>
    </row>
    <row r="605">
      <c r="B605" s="59"/>
      <c r="D605" s="59"/>
      <c r="F605" s="59"/>
      <c r="H605" s="59"/>
      <c r="J605" s="59"/>
      <c r="L605" s="59"/>
      <c r="N605" s="59"/>
      <c r="P605" s="59"/>
      <c r="Q605" s="61"/>
    </row>
    <row r="606">
      <c r="B606" s="59"/>
      <c r="D606" s="59"/>
      <c r="F606" s="59"/>
      <c r="H606" s="59"/>
      <c r="J606" s="59"/>
      <c r="L606" s="59"/>
      <c r="N606" s="59"/>
      <c r="P606" s="59"/>
      <c r="Q606" s="61"/>
    </row>
    <row r="607">
      <c r="B607" s="59"/>
      <c r="D607" s="59"/>
      <c r="F607" s="59"/>
      <c r="H607" s="59"/>
      <c r="J607" s="59"/>
      <c r="L607" s="59"/>
      <c r="N607" s="59"/>
      <c r="P607" s="59"/>
      <c r="Q607" s="61"/>
    </row>
    <row r="608">
      <c r="B608" s="59"/>
      <c r="D608" s="59"/>
      <c r="F608" s="59"/>
      <c r="H608" s="59"/>
      <c r="J608" s="59"/>
      <c r="L608" s="59"/>
      <c r="N608" s="59"/>
      <c r="P608" s="59"/>
      <c r="Q608" s="61"/>
    </row>
    <row r="609">
      <c r="B609" s="59"/>
      <c r="D609" s="59"/>
      <c r="F609" s="59"/>
      <c r="H609" s="59"/>
      <c r="J609" s="59"/>
      <c r="L609" s="59"/>
      <c r="N609" s="59"/>
      <c r="P609" s="59"/>
      <c r="Q609" s="61"/>
    </row>
    <row r="610">
      <c r="B610" s="59"/>
      <c r="D610" s="59"/>
      <c r="F610" s="59"/>
      <c r="H610" s="59"/>
      <c r="J610" s="59"/>
      <c r="L610" s="59"/>
      <c r="N610" s="59"/>
      <c r="P610" s="59"/>
      <c r="Q610" s="61"/>
    </row>
    <row r="611">
      <c r="B611" s="59"/>
      <c r="D611" s="59"/>
      <c r="F611" s="59"/>
      <c r="H611" s="59"/>
      <c r="J611" s="59"/>
      <c r="L611" s="59"/>
      <c r="N611" s="59"/>
      <c r="P611" s="59"/>
      <c r="Q611" s="61"/>
    </row>
    <row r="612">
      <c r="B612" s="59"/>
      <c r="D612" s="59"/>
      <c r="F612" s="59"/>
      <c r="H612" s="59"/>
      <c r="J612" s="59"/>
      <c r="L612" s="59"/>
      <c r="N612" s="59"/>
      <c r="P612" s="59"/>
      <c r="Q612" s="61"/>
    </row>
    <row r="613">
      <c r="B613" s="59"/>
      <c r="D613" s="59"/>
      <c r="F613" s="59"/>
      <c r="H613" s="59"/>
      <c r="J613" s="59"/>
      <c r="L613" s="59"/>
      <c r="N613" s="59"/>
      <c r="P613" s="59"/>
      <c r="Q613" s="61"/>
    </row>
    <row r="614">
      <c r="B614" s="59"/>
      <c r="D614" s="59"/>
      <c r="F614" s="59"/>
      <c r="H614" s="59"/>
      <c r="J614" s="59"/>
      <c r="L614" s="59"/>
      <c r="N614" s="59"/>
      <c r="P614" s="59"/>
      <c r="Q614" s="61"/>
    </row>
    <row r="615">
      <c r="B615" s="59"/>
      <c r="D615" s="59"/>
      <c r="F615" s="59"/>
      <c r="H615" s="59"/>
      <c r="J615" s="59"/>
      <c r="L615" s="59"/>
      <c r="N615" s="59"/>
      <c r="P615" s="59"/>
      <c r="Q615" s="61"/>
    </row>
    <row r="616">
      <c r="B616" s="59"/>
      <c r="D616" s="59"/>
      <c r="F616" s="59"/>
      <c r="H616" s="59"/>
      <c r="J616" s="59"/>
      <c r="L616" s="59"/>
      <c r="N616" s="59"/>
      <c r="P616" s="59"/>
      <c r="Q616" s="61"/>
    </row>
    <row r="617">
      <c r="B617" s="59"/>
      <c r="D617" s="59"/>
      <c r="F617" s="59"/>
      <c r="H617" s="59"/>
      <c r="J617" s="59"/>
      <c r="L617" s="59"/>
      <c r="N617" s="59"/>
      <c r="P617" s="59"/>
      <c r="Q617" s="61"/>
    </row>
    <row r="618">
      <c r="B618" s="59"/>
      <c r="D618" s="59"/>
      <c r="F618" s="59"/>
      <c r="H618" s="59"/>
      <c r="J618" s="59"/>
      <c r="L618" s="59"/>
      <c r="N618" s="59"/>
      <c r="P618" s="59"/>
      <c r="Q618" s="61"/>
    </row>
    <row r="619">
      <c r="B619" s="59"/>
      <c r="D619" s="59"/>
      <c r="F619" s="59"/>
      <c r="H619" s="59"/>
      <c r="J619" s="59"/>
      <c r="L619" s="59"/>
      <c r="N619" s="59"/>
      <c r="P619" s="59"/>
      <c r="Q619" s="61"/>
    </row>
    <row r="620">
      <c r="B620" s="59"/>
      <c r="D620" s="59"/>
      <c r="F620" s="59"/>
      <c r="H620" s="59"/>
      <c r="J620" s="59"/>
      <c r="L620" s="59"/>
      <c r="N620" s="59"/>
      <c r="P620" s="59"/>
      <c r="Q620" s="61"/>
    </row>
    <row r="621">
      <c r="B621" s="59"/>
      <c r="D621" s="59"/>
      <c r="F621" s="59"/>
      <c r="H621" s="59"/>
      <c r="J621" s="59"/>
      <c r="L621" s="59"/>
      <c r="N621" s="59"/>
      <c r="P621" s="59"/>
      <c r="Q621" s="61"/>
    </row>
    <row r="622">
      <c r="B622" s="59"/>
      <c r="D622" s="59"/>
      <c r="F622" s="59"/>
      <c r="H622" s="59"/>
      <c r="J622" s="59"/>
      <c r="L622" s="59"/>
      <c r="N622" s="59"/>
      <c r="P622" s="59"/>
      <c r="Q622" s="61"/>
    </row>
    <row r="623">
      <c r="B623" s="59"/>
      <c r="D623" s="59"/>
      <c r="F623" s="59"/>
      <c r="H623" s="59"/>
      <c r="J623" s="59"/>
      <c r="L623" s="59"/>
      <c r="N623" s="59"/>
      <c r="P623" s="59"/>
      <c r="Q623" s="61"/>
    </row>
    <row r="624">
      <c r="B624" s="59"/>
      <c r="D624" s="59"/>
      <c r="F624" s="59"/>
      <c r="H624" s="59"/>
      <c r="J624" s="59"/>
      <c r="L624" s="59"/>
      <c r="N624" s="59"/>
      <c r="P624" s="59"/>
      <c r="Q624" s="61"/>
    </row>
    <row r="625">
      <c r="B625" s="59"/>
      <c r="D625" s="59"/>
      <c r="F625" s="59"/>
      <c r="H625" s="59"/>
      <c r="J625" s="59"/>
      <c r="L625" s="59"/>
      <c r="N625" s="59"/>
      <c r="P625" s="59"/>
      <c r="Q625" s="61"/>
    </row>
    <row r="626">
      <c r="B626" s="59"/>
      <c r="D626" s="59"/>
      <c r="F626" s="59"/>
      <c r="H626" s="59"/>
      <c r="J626" s="59"/>
      <c r="L626" s="59"/>
      <c r="N626" s="59"/>
      <c r="P626" s="59"/>
      <c r="Q626" s="61"/>
    </row>
    <row r="627">
      <c r="B627" s="59"/>
      <c r="D627" s="59"/>
      <c r="F627" s="59"/>
      <c r="H627" s="59"/>
      <c r="J627" s="59"/>
      <c r="L627" s="59"/>
      <c r="N627" s="59"/>
      <c r="P627" s="59"/>
      <c r="Q627" s="61"/>
    </row>
    <row r="628">
      <c r="B628" s="59"/>
      <c r="D628" s="59"/>
      <c r="F628" s="59"/>
      <c r="H628" s="59"/>
      <c r="J628" s="59"/>
      <c r="L628" s="59"/>
      <c r="N628" s="59"/>
      <c r="P628" s="59"/>
      <c r="Q628" s="61"/>
    </row>
    <row r="629">
      <c r="B629" s="59"/>
      <c r="D629" s="59"/>
      <c r="F629" s="59"/>
      <c r="H629" s="59"/>
      <c r="J629" s="59"/>
      <c r="L629" s="59"/>
      <c r="N629" s="59"/>
      <c r="P629" s="59"/>
      <c r="Q629" s="61"/>
    </row>
    <row r="630">
      <c r="B630" s="59"/>
      <c r="D630" s="59"/>
      <c r="F630" s="59"/>
      <c r="H630" s="59"/>
      <c r="J630" s="59"/>
      <c r="L630" s="59"/>
      <c r="N630" s="59"/>
      <c r="P630" s="59"/>
      <c r="Q630" s="61"/>
    </row>
    <row r="631">
      <c r="B631" s="59"/>
      <c r="D631" s="59"/>
      <c r="F631" s="59"/>
      <c r="H631" s="59"/>
      <c r="J631" s="59"/>
      <c r="L631" s="59"/>
      <c r="N631" s="59"/>
      <c r="P631" s="59"/>
      <c r="Q631" s="61"/>
    </row>
    <row r="632">
      <c r="B632" s="59"/>
      <c r="D632" s="59"/>
      <c r="F632" s="59"/>
      <c r="H632" s="59"/>
      <c r="J632" s="59"/>
      <c r="L632" s="59"/>
      <c r="N632" s="59"/>
      <c r="P632" s="59"/>
      <c r="Q632" s="61"/>
    </row>
    <row r="633">
      <c r="B633" s="59"/>
      <c r="D633" s="59"/>
      <c r="F633" s="59"/>
      <c r="H633" s="59"/>
      <c r="J633" s="59"/>
      <c r="L633" s="59"/>
      <c r="N633" s="59"/>
      <c r="P633" s="59"/>
      <c r="Q633" s="61"/>
    </row>
    <row r="634">
      <c r="B634" s="59"/>
      <c r="D634" s="59"/>
      <c r="F634" s="59"/>
      <c r="H634" s="59"/>
      <c r="J634" s="59"/>
      <c r="L634" s="59"/>
      <c r="N634" s="59"/>
      <c r="P634" s="59"/>
      <c r="Q634" s="61"/>
    </row>
    <row r="635">
      <c r="B635" s="59"/>
      <c r="D635" s="59"/>
      <c r="F635" s="59"/>
      <c r="H635" s="59"/>
      <c r="J635" s="59"/>
      <c r="L635" s="59"/>
      <c r="N635" s="59"/>
      <c r="P635" s="59"/>
      <c r="Q635" s="61"/>
    </row>
    <row r="636">
      <c r="B636" s="59"/>
      <c r="D636" s="59"/>
      <c r="F636" s="59"/>
      <c r="H636" s="59"/>
      <c r="J636" s="59"/>
      <c r="L636" s="59"/>
      <c r="N636" s="59"/>
      <c r="P636" s="59"/>
      <c r="Q636" s="61"/>
    </row>
    <row r="637">
      <c r="B637" s="59"/>
      <c r="D637" s="59"/>
      <c r="F637" s="59"/>
      <c r="H637" s="59"/>
      <c r="J637" s="59"/>
      <c r="L637" s="59"/>
      <c r="N637" s="59"/>
      <c r="P637" s="59"/>
      <c r="Q637" s="61"/>
    </row>
    <row r="638">
      <c r="B638" s="59"/>
      <c r="D638" s="59"/>
      <c r="F638" s="59"/>
      <c r="H638" s="59"/>
      <c r="J638" s="59"/>
      <c r="L638" s="59"/>
      <c r="N638" s="59"/>
      <c r="P638" s="59"/>
      <c r="Q638" s="61"/>
    </row>
    <row r="639">
      <c r="B639" s="59"/>
      <c r="D639" s="59"/>
      <c r="F639" s="59"/>
      <c r="H639" s="59"/>
      <c r="J639" s="59"/>
      <c r="L639" s="59"/>
      <c r="N639" s="59"/>
      <c r="P639" s="59"/>
      <c r="Q639" s="61"/>
    </row>
    <row r="640">
      <c r="B640" s="59"/>
      <c r="D640" s="59"/>
      <c r="F640" s="59"/>
      <c r="H640" s="59"/>
      <c r="J640" s="59"/>
      <c r="L640" s="59"/>
      <c r="N640" s="59"/>
      <c r="P640" s="59"/>
      <c r="Q640" s="61"/>
    </row>
    <row r="641">
      <c r="B641" s="59"/>
      <c r="D641" s="59"/>
      <c r="F641" s="59"/>
      <c r="H641" s="59"/>
      <c r="J641" s="59"/>
      <c r="L641" s="59"/>
      <c r="N641" s="59"/>
      <c r="P641" s="59"/>
      <c r="Q641" s="61"/>
    </row>
    <row r="642">
      <c r="B642" s="59"/>
      <c r="D642" s="59"/>
      <c r="F642" s="59"/>
      <c r="H642" s="59"/>
      <c r="J642" s="59"/>
      <c r="L642" s="59"/>
      <c r="N642" s="59"/>
      <c r="P642" s="59"/>
      <c r="Q642" s="61"/>
    </row>
    <row r="643">
      <c r="B643" s="59"/>
      <c r="D643" s="59"/>
      <c r="F643" s="59"/>
      <c r="H643" s="59"/>
      <c r="J643" s="59"/>
      <c r="L643" s="59"/>
      <c r="N643" s="59"/>
      <c r="P643" s="59"/>
      <c r="Q643" s="61"/>
    </row>
    <row r="644">
      <c r="B644" s="59"/>
      <c r="D644" s="59"/>
      <c r="F644" s="59"/>
      <c r="H644" s="59"/>
      <c r="J644" s="59"/>
      <c r="L644" s="59"/>
      <c r="N644" s="59"/>
      <c r="P644" s="59"/>
      <c r="Q644" s="61"/>
    </row>
    <row r="645">
      <c r="B645" s="59"/>
      <c r="D645" s="59"/>
      <c r="F645" s="59"/>
      <c r="H645" s="59"/>
      <c r="J645" s="59"/>
      <c r="L645" s="59"/>
      <c r="N645" s="59"/>
      <c r="P645" s="59"/>
      <c r="Q645" s="61"/>
    </row>
    <row r="646">
      <c r="B646" s="59"/>
      <c r="D646" s="59"/>
      <c r="F646" s="59"/>
      <c r="H646" s="59"/>
      <c r="J646" s="59"/>
      <c r="L646" s="59"/>
      <c r="N646" s="59"/>
      <c r="P646" s="59"/>
      <c r="Q646" s="61"/>
    </row>
    <row r="647">
      <c r="B647" s="59"/>
      <c r="D647" s="59"/>
      <c r="F647" s="59"/>
      <c r="H647" s="59"/>
      <c r="J647" s="59"/>
      <c r="L647" s="59"/>
      <c r="N647" s="59"/>
      <c r="P647" s="59"/>
      <c r="Q647" s="61"/>
    </row>
    <row r="648">
      <c r="B648" s="59"/>
      <c r="D648" s="59"/>
      <c r="F648" s="59"/>
      <c r="H648" s="59"/>
      <c r="J648" s="59"/>
      <c r="L648" s="59"/>
      <c r="N648" s="59"/>
      <c r="P648" s="59"/>
      <c r="Q648" s="61"/>
    </row>
    <row r="649">
      <c r="B649" s="59"/>
      <c r="D649" s="59"/>
      <c r="F649" s="59"/>
      <c r="H649" s="59"/>
      <c r="J649" s="59"/>
      <c r="L649" s="59"/>
      <c r="N649" s="59"/>
      <c r="P649" s="59"/>
      <c r="Q649" s="61"/>
    </row>
    <row r="650">
      <c r="B650" s="59"/>
      <c r="D650" s="59"/>
      <c r="F650" s="59"/>
      <c r="H650" s="59"/>
      <c r="J650" s="59"/>
      <c r="L650" s="59"/>
      <c r="N650" s="59"/>
      <c r="P650" s="59"/>
      <c r="Q650" s="61"/>
    </row>
    <row r="651">
      <c r="B651" s="59"/>
      <c r="D651" s="59"/>
      <c r="F651" s="59"/>
      <c r="H651" s="59"/>
      <c r="J651" s="59"/>
      <c r="L651" s="59"/>
      <c r="N651" s="59"/>
      <c r="P651" s="59"/>
      <c r="Q651" s="61"/>
    </row>
    <row r="652">
      <c r="B652" s="59"/>
      <c r="D652" s="59"/>
      <c r="F652" s="59"/>
      <c r="H652" s="59"/>
      <c r="J652" s="59"/>
      <c r="L652" s="59"/>
      <c r="N652" s="59"/>
      <c r="P652" s="59"/>
      <c r="Q652" s="61"/>
    </row>
    <row r="653">
      <c r="B653" s="59"/>
      <c r="D653" s="59"/>
      <c r="F653" s="59"/>
      <c r="H653" s="59"/>
      <c r="J653" s="59"/>
      <c r="L653" s="59"/>
      <c r="N653" s="59"/>
      <c r="P653" s="59"/>
      <c r="Q653" s="61"/>
    </row>
    <row r="654">
      <c r="B654" s="59"/>
      <c r="D654" s="59"/>
      <c r="F654" s="59"/>
      <c r="H654" s="59"/>
      <c r="J654" s="59"/>
      <c r="L654" s="59"/>
      <c r="N654" s="59"/>
      <c r="P654" s="59"/>
      <c r="Q654" s="61"/>
    </row>
    <row r="655">
      <c r="B655" s="59"/>
      <c r="D655" s="59"/>
      <c r="F655" s="59"/>
      <c r="H655" s="59"/>
      <c r="J655" s="59"/>
      <c r="L655" s="59"/>
      <c r="N655" s="59"/>
      <c r="P655" s="59"/>
      <c r="Q655" s="61"/>
    </row>
    <row r="656">
      <c r="B656" s="59"/>
      <c r="D656" s="59"/>
      <c r="F656" s="59"/>
      <c r="H656" s="59"/>
      <c r="J656" s="59"/>
      <c r="L656" s="59"/>
      <c r="N656" s="59"/>
      <c r="P656" s="59"/>
      <c r="Q656" s="61"/>
    </row>
    <row r="657">
      <c r="B657" s="59"/>
      <c r="D657" s="59"/>
      <c r="F657" s="59"/>
      <c r="H657" s="59"/>
      <c r="J657" s="59"/>
      <c r="L657" s="59"/>
      <c r="N657" s="59"/>
      <c r="P657" s="59"/>
      <c r="Q657" s="61"/>
    </row>
    <row r="658">
      <c r="B658" s="59"/>
      <c r="D658" s="59"/>
      <c r="F658" s="59"/>
      <c r="H658" s="59"/>
      <c r="J658" s="59"/>
      <c r="L658" s="59"/>
      <c r="N658" s="59"/>
      <c r="P658" s="59"/>
      <c r="Q658" s="61"/>
    </row>
    <row r="659">
      <c r="B659" s="59"/>
      <c r="D659" s="59"/>
      <c r="F659" s="59"/>
      <c r="H659" s="59"/>
      <c r="J659" s="59"/>
      <c r="L659" s="59"/>
      <c r="N659" s="59"/>
      <c r="P659" s="59"/>
      <c r="Q659" s="61"/>
    </row>
    <row r="660">
      <c r="B660" s="59"/>
      <c r="D660" s="59"/>
      <c r="F660" s="59"/>
      <c r="H660" s="59"/>
      <c r="J660" s="59"/>
      <c r="L660" s="59"/>
      <c r="N660" s="59"/>
      <c r="P660" s="59"/>
      <c r="Q660" s="61"/>
    </row>
    <row r="661">
      <c r="B661" s="59"/>
      <c r="D661" s="59"/>
      <c r="F661" s="59"/>
      <c r="H661" s="59"/>
      <c r="J661" s="59"/>
      <c r="L661" s="59"/>
      <c r="N661" s="59"/>
      <c r="P661" s="59"/>
      <c r="Q661" s="61"/>
    </row>
    <row r="662">
      <c r="B662" s="59"/>
      <c r="D662" s="59"/>
      <c r="F662" s="59"/>
      <c r="H662" s="59"/>
      <c r="J662" s="59"/>
      <c r="L662" s="59"/>
      <c r="N662" s="59"/>
      <c r="P662" s="59"/>
      <c r="Q662" s="61"/>
    </row>
    <row r="663">
      <c r="B663" s="59"/>
      <c r="D663" s="59"/>
      <c r="F663" s="59"/>
      <c r="H663" s="59"/>
      <c r="J663" s="59"/>
      <c r="L663" s="59"/>
      <c r="N663" s="59"/>
      <c r="P663" s="59"/>
      <c r="Q663" s="61"/>
    </row>
    <row r="664">
      <c r="B664" s="59"/>
      <c r="D664" s="59"/>
      <c r="F664" s="59"/>
      <c r="H664" s="59"/>
      <c r="J664" s="59"/>
      <c r="L664" s="59"/>
      <c r="N664" s="59"/>
      <c r="P664" s="59"/>
      <c r="Q664" s="61"/>
    </row>
    <row r="665">
      <c r="B665" s="59"/>
      <c r="D665" s="59"/>
      <c r="F665" s="59"/>
      <c r="H665" s="59"/>
      <c r="J665" s="59"/>
      <c r="L665" s="59"/>
      <c r="N665" s="59"/>
      <c r="P665" s="59"/>
      <c r="Q665" s="61"/>
    </row>
    <row r="666">
      <c r="B666" s="59"/>
      <c r="D666" s="59"/>
      <c r="F666" s="59"/>
      <c r="H666" s="59"/>
      <c r="J666" s="59"/>
      <c r="L666" s="59"/>
      <c r="N666" s="59"/>
      <c r="P666" s="59"/>
      <c r="Q666" s="61"/>
    </row>
    <row r="667">
      <c r="B667" s="59"/>
      <c r="D667" s="59"/>
      <c r="F667" s="59"/>
      <c r="H667" s="59"/>
      <c r="J667" s="59"/>
      <c r="L667" s="59"/>
      <c r="N667" s="59"/>
      <c r="P667" s="59"/>
      <c r="Q667" s="61"/>
    </row>
    <row r="668">
      <c r="B668" s="59"/>
      <c r="D668" s="59"/>
      <c r="F668" s="59"/>
      <c r="H668" s="59"/>
      <c r="J668" s="59"/>
      <c r="L668" s="59"/>
      <c r="N668" s="59"/>
      <c r="P668" s="59"/>
      <c r="Q668" s="61"/>
    </row>
    <row r="669">
      <c r="B669" s="59"/>
      <c r="D669" s="59"/>
      <c r="F669" s="59"/>
      <c r="H669" s="59"/>
      <c r="J669" s="59"/>
      <c r="L669" s="59"/>
      <c r="N669" s="59"/>
      <c r="P669" s="59"/>
      <c r="Q669" s="61"/>
    </row>
    <row r="670">
      <c r="B670" s="59"/>
      <c r="D670" s="59"/>
      <c r="F670" s="59"/>
      <c r="H670" s="59"/>
      <c r="J670" s="59"/>
      <c r="L670" s="59"/>
      <c r="N670" s="59"/>
      <c r="P670" s="59"/>
      <c r="Q670" s="61"/>
    </row>
    <row r="671">
      <c r="B671" s="59"/>
      <c r="D671" s="59"/>
      <c r="F671" s="59"/>
      <c r="H671" s="59"/>
      <c r="J671" s="59"/>
      <c r="L671" s="59"/>
      <c r="N671" s="59"/>
      <c r="P671" s="59"/>
      <c r="Q671" s="61"/>
    </row>
    <row r="672">
      <c r="B672" s="59"/>
      <c r="D672" s="59"/>
      <c r="F672" s="59"/>
      <c r="H672" s="59"/>
      <c r="J672" s="59"/>
      <c r="L672" s="59"/>
      <c r="N672" s="59"/>
      <c r="P672" s="59"/>
      <c r="Q672" s="61"/>
    </row>
    <row r="673">
      <c r="B673" s="59"/>
      <c r="D673" s="59"/>
      <c r="F673" s="59"/>
      <c r="H673" s="59"/>
      <c r="J673" s="59"/>
      <c r="L673" s="59"/>
      <c r="N673" s="59"/>
      <c r="P673" s="59"/>
      <c r="Q673" s="61"/>
    </row>
    <row r="674">
      <c r="B674" s="59"/>
      <c r="D674" s="59"/>
      <c r="F674" s="59"/>
      <c r="H674" s="59"/>
      <c r="J674" s="59"/>
      <c r="L674" s="59"/>
      <c r="N674" s="59"/>
      <c r="P674" s="59"/>
      <c r="Q674" s="61"/>
    </row>
    <row r="675">
      <c r="B675" s="59"/>
      <c r="D675" s="59"/>
      <c r="F675" s="59"/>
      <c r="H675" s="59"/>
      <c r="J675" s="59"/>
      <c r="L675" s="59"/>
      <c r="N675" s="59"/>
      <c r="P675" s="59"/>
      <c r="Q675" s="61"/>
    </row>
    <row r="676">
      <c r="B676" s="59"/>
      <c r="D676" s="59"/>
      <c r="F676" s="59"/>
      <c r="H676" s="59"/>
      <c r="J676" s="59"/>
      <c r="L676" s="59"/>
      <c r="N676" s="59"/>
      <c r="P676" s="59"/>
      <c r="Q676" s="61"/>
    </row>
    <row r="677">
      <c r="B677" s="59"/>
      <c r="D677" s="59"/>
      <c r="F677" s="59"/>
      <c r="H677" s="59"/>
      <c r="J677" s="59"/>
      <c r="L677" s="59"/>
      <c r="N677" s="59"/>
      <c r="P677" s="59"/>
      <c r="Q677" s="61"/>
    </row>
    <row r="678">
      <c r="B678" s="59"/>
      <c r="D678" s="59"/>
      <c r="F678" s="59"/>
      <c r="H678" s="59"/>
      <c r="J678" s="59"/>
      <c r="L678" s="59"/>
      <c r="N678" s="59"/>
      <c r="P678" s="59"/>
      <c r="Q678" s="61"/>
    </row>
    <row r="679">
      <c r="B679" s="59"/>
      <c r="D679" s="59"/>
      <c r="F679" s="59"/>
      <c r="H679" s="59"/>
      <c r="J679" s="59"/>
      <c r="L679" s="59"/>
      <c r="N679" s="59"/>
      <c r="P679" s="59"/>
      <c r="Q679" s="61"/>
    </row>
    <row r="680">
      <c r="B680" s="59"/>
      <c r="D680" s="59"/>
      <c r="F680" s="59"/>
      <c r="H680" s="59"/>
      <c r="J680" s="59"/>
      <c r="L680" s="59"/>
      <c r="N680" s="59"/>
      <c r="P680" s="59"/>
      <c r="Q680" s="61"/>
    </row>
    <row r="681">
      <c r="B681" s="59"/>
      <c r="D681" s="59"/>
      <c r="F681" s="59"/>
      <c r="H681" s="59"/>
      <c r="J681" s="59"/>
      <c r="L681" s="59"/>
      <c r="N681" s="59"/>
      <c r="P681" s="59"/>
      <c r="Q681" s="61"/>
    </row>
    <row r="682">
      <c r="B682" s="59"/>
      <c r="D682" s="59"/>
      <c r="F682" s="59"/>
      <c r="H682" s="59"/>
      <c r="J682" s="59"/>
      <c r="L682" s="59"/>
      <c r="N682" s="59"/>
      <c r="P682" s="59"/>
      <c r="Q682" s="61"/>
    </row>
    <row r="683">
      <c r="B683" s="59"/>
      <c r="D683" s="59"/>
      <c r="F683" s="59"/>
      <c r="H683" s="59"/>
      <c r="J683" s="59"/>
      <c r="L683" s="59"/>
      <c r="N683" s="59"/>
      <c r="P683" s="59"/>
      <c r="Q683" s="61"/>
    </row>
    <row r="684">
      <c r="B684" s="59"/>
      <c r="D684" s="59"/>
      <c r="F684" s="59"/>
      <c r="H684" s="59"/>
      <c r="J684" s="59"/>
      <c r="L684" s="59"/>
      <c r="N684" s="59"/>
      <c r="P684" s="59"/>
      <c r="Q684" s="61"/>
    </row>
    <row r="685">
      <c r="B685" s="59"/>
      <c r="D685" s="59"/>
      <c r="F685" s="59"/>
      <c r="H685" s="59"/>
      <c r="J685" s="59"/>
      <c r="L685" s="59"/>
      <c r="N685" s="59"/>
      <c r="P685" s="59"/>
      <c r="Q685" s="61"/>
    </row>
    <row r="686">
      <c r="B686" s="59"/>
      <c r="D686" s="59"/>
      <c r="F686" s="59"/>
      <c r="H686" s="59"/>
      <c r="J686" s="59"/>
      <c r="L686" s="59"/>
      <c r="N686" s="59"/>
      <c r="P686" s="59"/>
      <c r="Q686" s="61"/>
    </row>
    <row r="687">
      <c r="B687" s="59"/>
      <c r="D687" s="59"/>
      <c r="F687" s="59"/>
      <c r="H687" s="59"/>
      <c r="J687" s="59"/>
      <c r="L687" s="59"/>
      <c r="N687" s="59"/>
      <c r="P687" s="59"/>
      <c r="Q687" s="61"/>
    </row>
    <row r="688">
      <c r="B688" s="59"/>
      <c r="D688" s="59"/>
      <c r="F688" s="59"/>
      <c r="H688" s="59"/>
      <c r="J688" s="59"/>
      <c r="L688" s="59"/>
      <c r="N688" s="59"/>
      <c r="P688" s="59"/>
      <c r="Q688" s="61"/>
    </row>
    <row r="689">
      <c r="B689" s="59"/>
      <c r="D689" s="59"/>
      <c r="F689" s="59"/>
      <c r="H689" s="59"/>
      <c r="J689" s="59"/>
      <c r="L689" s="59"/>
      <c r="N689" s="59"/>
      <c r="P689" s="59"/>
      <c r="Q689" s="61"/>
    </row>
    <row r="690">
      <c r="B690" s="59"/>
      <c r="D690" s="59"/>
      <c r="F690" s="59"/>
      <c r="H690" s="59"/>
      <c r="J690" s="59"/>
      <c r="L690" s="59"/>
      <c r="N690" s="59"/>
      <c r="P690" s="59"/>
      <c r="Q690" s="61"/>
    </row>
    <row r="691">
      <c r="B691" s="59"/>
      <c r="D691" s="59"/>
      <c r="F691" s="59"/>
      <c r="H691" s="59"/>
      <c r="J691" s="59"/>
      <c r="L691" s="59"/>
      <c r="N691" s="59"/>
      <c r="P691" s="59"/>
      <c r="Q691" s="61"/>
    </row>
    <row r="692">
      <c r="B692" s="59"/>
      <c r="D692" s="59"/>
      <c r="F692" s="59"/>
      <c r="H692" s="59"/>
      <c r="J692" s="59"/>
      <c r="L692" s="59"/>
      <c r="N692" s="59"/>
      <c r="P692" s="59"/>
      <c r="Q692" s="61"/>
    </row>
    <row r="693">
      <c r="B693" s="59"/>
      <c r="D693" s="59"/>
      <c r="F693" s="59"/>
      <c r="H693" s="59"/>
      <c r="J693" s="59"/>
      <c r="L693" s="59"/>
      <c r="N693" s="59"/>
      <c r="P693" s="59"/>
      <c r="Q693" s="61"/>
    </row>
    <row r="694">
      <c r="B694" s="59"/>
      <c r="D694" s="59"/>
      <c r="F694" s="59"/>
      <c r="H694" s="59"/>
      <c r="J694" s="59"/>
      <c r="L694" s="59"/>
      <c r="N694" s="59"/>
      <c r="P694" s="59"/>
      <c r="Q694" s="61"/>
    </row>
    <row r="695">
      <c r="B695" s="59"/>
      <c r="D695" s="59"/>
      <c r="F695" s="59"/>
      <c r="H695" s="59"/>
      <c r="J695" s="59"/>
      <c r="L695" s="59"/>
      <c r="N695" s="59"/>
      <c r="P695" s="59"/>
      <c r="Q695" s="61"/>
    </row>
    <row r="696">
      <c r="B696" s="59"/>
      <c r="D696" s="59"/>
      <c r="F696" s="59"/>
      <c r="H696" s="59"/>
      <c r="J696" s="59"/>
      <c r="L696" s="59"/>
      <c r="N696" s="59"/>
      <c r="P696" s="59"/>
      <c r="Q696" s="61"/>
    </row>
    <row r="697">
      <c r="B697" s="59"/>
      <c r="D697" s="59"/>
      <c r="F697" s="59"/>
      <c r="H697" s="59"/>
      <c r="J697" s="59"/>
      <c r="L697" s="59"/>
      <c r="N697" s="59"/>
      <c r="P697" s="59"/>
      <c r="Q697" s="61"/>
    </row>
    <row r="698">
      <c r="B698" s="59"/>
      <c r="D698" s="59"/>
      <c r="F698" s="59"/>
      <c r="H698" s="59"/>
      <c r="J698" s="59"/>
      <c r="L698" s="59"/>
      <c r="N698" s="59"/>
      <c r="P698" s="59"/>
      <c r="Q698" s="61"/>
    </row>
    <row r="699">
      <c r="B699" s="59"/>
      <c r="D699" s="59"/>
      <c r="F699" s="59"/>
      <c r="H699" s="59"/>
      <c r="J699" s="59"/>
      <c r="L699" s="59"/>
      <c r="N699" s="59"/>
      <c r="P699" s="59"/>
      <c r="Q699" s="61"/>
    </row>
    <row r="700">
      <c r="B700" s="59"/>
      <c r="D700" s="59"/>
      <c r="F700" s="59"/>
      <c r="H700" s="59"/>
      <c r="J700" s="59"/>
      <c r="L700" s="59"/>
      <c r="N700" s="59"/>
      <c r="P700" s="59"/>
      <c r="Q700" s="61"/>
    </row>
    <row r="701">
      <c r="B701" s="59"/>
      <c r="D701" s="59"/>
      <c r="F701" s="59"/>
      <c r="H701" s="59"/>
      <c r="J701" s="59"/>
      <c r="L701" s="59"/>
      <c r="N701" s="59"/>
      <c r="P701" s="59"/>
      <c r="Q701" s="61"/>
    </row>
    <row r="702">
      <c r="B702" s="59"/>
      <c r="D702" s="59"/>
      <c r="F702" s="59"/>
      <c r="H702" s="59"/>
      <c r="J702" s="59"/>
      <c r="L702" s="59"/>
      <c r="N702" s="59"/>
      <c r="P702" s="59"/>
      <c r="Q702" s="61"/>
    </row>
    <row r="703">
      <c r="B703" s="59"/>
      <c r="D703" s="59"/>
      <c r="F703" s="59"/>
      <c r="H703" s="59"/>
      <c r="J703" s="59"/>
      <c r="L703" s="59"/>
      <c r="N703" s="59"/>
      <c r="P703" s="59"/>
      <c r="Q703" s="61"/>
    </row>
    <row r="704">
      <c r="B704" s="59"/>
      <c r="D704" s="59"/>
      <c r="F704" s="59"/>
      <c r="H704" s="59"/>
      <c r="J704" s="59"/>
      <c r="L704" s="59"/>
      <c r="N704" s="59"/>
      <c r="P704" s="59"/>
      <c r="Q704" s="61"/>
    </row>
    <row r="705">
      <c r="B705" s="59"/>
      <c r="D705" s="59"/>
      <c r="F705" s="59"/>
      <c r="H705" s="59"/>
      <c r="J705" s="59"/>
      <c r="L705" s="59"/>
      <c r="N705" s="59"/>
      <c r="P705" s="59"/>
      <c r="Q705" s="61"/>
    </row>
    <row r="706">
      <c r="B706" s="59"/>
      <c r="D706" s="59"/>
      <c r="F706" s="59"/>
      <c r="H706" s="59"/>
      <c r="J706" s="59"/>
      <c r="L706" s="59"/>
      <c r="N706" s="59"/>
      <c r="P706" s="59"/>
      <c r="Q706" s="61"/>
    </row>
    <row r="707">
      <c r="B707" s="59"/>
      <c r="D707" s="59"/>
      <c r="F707" s="59"/>
      <c r="H707" s="59"/>
      <c r="J707" s="59"/>
      <c r="L707" s="59"/>
      <c r="N707" s="59"/>
      <c r="P707" s="59"/>
      <c r="Q707" s="61"/>
    </row>
    <row r="708">
      <c r="B708" s="59"/>
      <c r="D708" s="59"/>
      <c r="F708" s="59"/>
      <c r="H708" s="59"/>
      <c r="J708" s="59"/>
      <c r="L708" s="59"/>
      <c r="N708" s="59"/>
      <c r="P708" s="59"/>
      <c r="Q708" s="61"/>
    </row>
    <row r="709">
      <c r="B709" s="59"/>
      <c r="D709" s="59"/>
      <c r="F709" s="59"/>
      <c r="H709" s="59"/>
      <c r="J709" s="59"/>
      <c r="L709" s="59"/>
      <c r="N709" s="59"/>
      <c r="P709" s="59"/>
      <c r="Q709" s="61"/>
    </row>
    <row r="710">
      <c r="B710" s="59"/>
      <c r="D710" s="59"/>
      <c r="F710" s="59"/>
      <c r="H710" s="59"/>
      <c r="J710" s="59"/>
      <c r="L710" s="59"/>
      <c r="N710" s="59"/>
      <c r="P710" s="59"/>
      <c r="Q710" s="61"/>
    </row>
    <row r="711">
      <c r="B711" s="59"/>
      <c r="D711" s="59"/>
      <c r="F711" s="59"/>
      <c r="H711" s="59"/>
      <c r="J711" s="59"/>
      <c r="L711" s="59"/>
      <c r="N711" s="59"/>
      <c r="P711" s="59"/>
      <c r="Q711" s="61"/>
    </row>
    <row r="712">
      <c r="B712" s="59"/>
      <c r="D712" s="59"/>
      <c r="F712" s="59"/>
      <c r="H712" s="59"/>
      <c r="J712" s="59"/>
      <c r="L712" s="59"/>
      <c r="N712" s="59"/>
      <c r="P712" s="59"/>
      <c r="Q712" s="61"/>
    </row>
    <row r="713">
      <c r="B713" s="59"/>
      <c r="D713" s="59"/>
      <c r="F713" s="59"/>
      <c r="H713" s="59"/>
      <c r="J713" s="59"/>
      <c r="L713" s="59"/>
      <c r="N713" s="59"/>
      <c r="P713" s="59"/>
      <c r="Q713" s="61"/>
    </row>
    <row r="714">
      <c r="B714" s="59"/>
      <c r="D714" s="59"/>
      <c r="F714" s="59"/>
      <c r="H714" s="59"/>
      <c r="J714" s="59"/>
      <c r="L714" s="59"/>
      <c r="N714" s="59"/>
      <c r="P714" s="59"/>
      <c r="Q714" s="61"/>
    </row>
    <row r="715">
      <c r="B715" s="59"/>
      <c r="D715" s="59"/>
      <c r="F715" s="59"/>
      <c r="H715" s="59"/>
      <c r="J715" s="59"/>
      <c r="L715" s="59"/>
      <c r="N715" s="59"/>
      <c r="P715" s="59"/>
      <c r="Q715" s="61"/>
    </row>
    <row r="716">
      <c r="B716" s="59"/>
      <c r="D716" s="59"/>
      <c r="F716" s="59"/>
      <c r="H716" s="59"/>
      <c r="J716" s="59"/>
      <c r="L716" s="59"/>
      <c r="N716" s="59"/>
      <c r="P716" s="59"/>
      <c r="Q716" s="61"/>
    </row>
    <row r="717">
      <c r="B717" s="59"/>
      <c r="D717" s="59"/>
      <c r="F717" s="59"/>
      <c r="H717" s="59"/>
      <c r="J717" s="59"/>
      <c r="L717" s="59"/>
      <c r="N717" s="59"/>
      <c r="P717" s="59"/>
      <c r="Q717" s="61"/>
    </row>
    <row r="718">
      <c r="B718" s="59"/>
      <c r="D718" s="59"/>
      <c r="F718" s="59"/>
      <c r="H718" s="59"/>
      <c r="J718" s="59"/>
      <c r="L718" s="59"/>
      <c r="N718" s="59"/>
      <c r="P718" s="59"/>
      <c r="Q718" s="61"/>
    </row>
    <row r="719">
      <c r="B719" s="59"/>
      <c r="D719" s="59"/>
      <c r="F719" s="59"/>
      <c r="H719" s="59"/>
      <c r="J719" s="59"/>
      <c r="L719" s="59"/>
      <c r="N719" s="59"/>
      <c r="P719" s="59"/>
      <c r="Q719" s="61"/>
    </row>
    <row r="720">
      <c r="B720" s="59"/>
      <c r="D720" s="59"/>
      <c r="F720" s="59"/>
      <c r="H720" s="59"/>
      <c r="J720" s="59"/>
      <c r="L720" s="59"/>
      <c r="N720" s="59"/>
      <c r="P720" s="59"/>
      <c r="Q720" s="61"/>
    </row>
    <row r="721">
      <c r="B721" s="59"/>
      <c r="D721" s="59"/>
      <c r="F721" s="59"/>
      <c r="H721" s="59"/>
      <c r="J721" s="59"/>
      <c r="L721" s="59"/>
      <c r="N721" s="59"/>
      <c r="P721" s="59"/>
      <c r="Q721" s="61"/>
    </row>
    <row r="722">
      <c r="B722" s="59"/>
      <c r="D722" s="59"/>
      <c r="F722" s="59"/>
      <c r="H722" s="59"/>
      <c r="J722" s="59"/>
      <c r="L722" s="59"/>
      <c r="N722" s="59"/>
      <c r="P722" s="59"/>
      <c r="Q722" s="61"/>
    </row>
    <row r="723">
      <c r="B723" s="59"/>
      <c r="D723" s="59"/>
      <c r="F723" s="59"/>
      <c r="H723" s="59"/>
      <c r="J723" s="59"/>
      <c r="L723" s="59"/>
      <c r="N723" s="59"/>
      <c r="P723" s="59"/>
      <c r="Q723" s="61"/>
    </row>
    <row r="724">
      <c r="B724" s="59"/>
      <c r="D724" s="59"/>
      <c r="F724" s="59"/>
      <c r="H724" s="59"/>
      <c r="J724" s="59"/>
      <c r="L724" s="59"/>
      <c r="N724" s="59"/>
      <c r="P724" s="59"/>
      <c r="Q724" s="61"/>
    </row>
    <row r="725">
      <c r="B725" s="59"/>
      <c r="D725" s="59"/>
      <c r="F725" s="59"/>
      <c r="H725" s="59"/>
      <c r="J725" s="59"/>
      <c r="L725" s="59"/>
      <c r="N725" s="59"/>
      <c r="P725" s="59"/>
      <c r="Q725" s="61"/>
    </row>
    <row r="726">
      <c r="B726" s="59"/>
      <c r="D726" s="59"/>
      <c r="F726" s="59"/>
      <c r="H726" s="59"/>
      <c r="J726" s="59"/>
      <c r="L726" s="59"/>
      <c r="N726" s="59"/>
      <c r="P726" s="59"/>
      <c r="Q726" s="61"/>
    </row>
    <row r="727">
      <c r="B727" s="59"/>
      <c r="D727" s="59"/>
      <c r="F727" s="59"/>
      <c r="H727" s="59"/>
      <c r="J727" s="59"/>
      <c r="L727" s="59"/>
      <c r="N727" s="59"/>
      <c r="P727" s="59"/>
      <c r="Q727" s="61"/>
    </row>
    <row r="728">
      <c r="B728" s="59"/>
      <c r="D728" s="59"/>
      <c r="F728" s="59"/>
      <c r="H728" s="59"/>
      <c r="J728" s="59"/>
      <c r="L728" s="59"/>
      <c r="N728" s="59"/>
      <c r="P728" s="59"/>
      <c r="Q728" s="61"/>
    </row>
    <row r="729">
      <c r="B729" s="59"/>
      <c r="D729" s="59"/>
      <c r="F729" s="59"/>
      <c r="H729" s="59"/>
      <c r="J729" s="59"/>
      <c r="L729" s="59"/>
      <c r="N729" s="59"/>
      <c r="P729" s="59"/>
      <c r="Q729" s="61"/>
    </row>
    <row r="730">
      <c r="B730" s="59"/>
      <c r="D730" s="59"/>
      <c r="F730" s="59"/>
      <c r="H730" s="59"/>
      <c r="J730" s="59"/>
      <c r="L730" s="59"/>
      <c r="N730" s="59"/>
      <c r="P730" s="59"/>
      <c r="Q730" s="61"/>
    </row>
    <row r="731">
      <c r="B731" s="59"/>
      <c r="D731" s="59"/>
      <c r="F731" s="59"/>
      <c r="H731" s="59"/>
      <c r="J731" s="59"/>
      <c r="L731" s="59"/>
      <c r="N731" s="59"/>
      <c r="P731" s="59"/>
      <c r="Q731" s="61"/>
    </row>
    <row r="732">
      <c r="B732" s="59"/>
      <c r="D732" s="59"/>
      <c r="F732" s="59"/>
      <c r="H732" s="59"/>
      <c r="J732" s="59"/>
      <c r="L732" s="59"/>
      <c r="N732" s="59"/>
      <c r="P732" s="59"/>
      <c r="Q732" s="61"/>
    </row>
    <row r="733">
      <c r="B733" s="59"/>
      <c r="D733" s="59"/>
      <c r="F733" s="59"/>
      <c r="H733" s="59"/>
      <c r="J733" s="59"/>
      <c r="L733" s="59"/>
      <c r="N733" s="59"/>
      <c r="P733" s="59"/>
      <c r="Q733" s="61"/>
    </row>
    <row r="734">
      <c r="B734" s="59"/>
      <c r="D734" s="59"/>
      <c r="F734" s="59"/>
      <c r="H734" s="59"/>
      <c r="J734" s="59"/>
      <c r="L734" s="59"/>
      <c r="N734" s="59"/>
      <c r="P734" s="59"/>
      <c r="Q734" s="61"/>
    </row>
    <row r="735">
      <c r="B735" s="59"/>
      <c r="D735" s="59"/>
      <c r="F735" s="59"/>
      <c r="H735" s="59"/>
      <c r="J735" s="59"/>
      <c r="L735" s="59"/>
      <c r="N735" s="59"/>
      <c r="P735" s="59"/>
      <c r="Q735" s="61"/>
    </row>
    <row r="736">
      <c r="B736" s="59"/>
      <c r="D736" s="59"/>
      <c r="F736" s="59"/>
      <c r="H736" s="59"/>
      <c r="J736" s="59"/>
      <c r="L736" s="59"/>
      <c r="N736" s="59"/>
      <c r="P736" s="59"/>
      <c r="Q736" s="61"/>
    </row>
    <row r="737">
      <c r="B737" s="59"/>
      <c r="D737" s="59"/>
      <c r="F737" s="59"/>
      <c r="H737" s="59"/>
      <c r="J737" s="59"/>
      <c r="L737" s="59"/>
      <c r="N737" s="59"/>
      <c r="P737" s="59"/>
      <c r="Q737" s="61"/>
    </row>
    <row r="738">
      <c r="B738" s="59"/>
      <c r="D738" s="59"/>
      <c r="F738" s="59"/>
      <c r="H738" s="59"/>
      <c r="J738" s="59"/>
      <c r="L738" s="59"/>
      <c r="N738" s="59"/>
      <c r="P738" s="59"/>
      <c r="Q738" s="61"/>
    </row>
    <row r="739">
      <c r="B739" s="59"/>
      <c r="D739" s="59"/>
      <c r="F739" s="59"/>
      <c r="H739" s="59"/>
      <c r="J739" s="59"/>
      <c r="L739" s="59"/>
      <c r="N739" s="59"/>
      <c r="P739" s="59"/>
      <c r="Q739" s="61"/>
    </row>
    <row r="740">
      <c r="B740" s="59"/>
      <c r="D740" s="59"/>
      <c r="F740" s="59"/>
      <c r="H740" s="59"/>
      <c r="J740" s="59"/>
      <c r="L740" s="59"/>
      <c r="N740" s="59"/>
      <c r="P740" s="59"/>
      <c r="Q740" s="61"/>
    </row>
    <row r="741">
      <c r="B741" s="59"/>
      <c r="D741" s="59"/>
      <c r="F741" s="59"/>
      <c r="H741" s="59"/>
      <c r="J741" s="59"/>
      <c r="L741" s="59"/>
      <c r="N741" s="59"/>
      <c r="P741" s="59"/>
      <c r="Q741" s="61"/>
    </row>
    <row r="742">
      <c r="B742" s="59"/>
      <c r="D742" s="59"/>
      <c r="F742" s="59"/>
      <c r="H742" s="59"/>
      <c r="J742" s="59"/>
      <c r="L742" s="59"/>
      <c r="N742" s="59"/>
      <c r="P742" s="59"/>
      <c r="Q742" s="61"/>
    </row>
    <row r="743">
      <c r="B743" s="59"/>
      <c r="D743" s="59"/>
      <c r="F743" s="59"/>
      <c r="H743" s="59"/>
      <c r="J743" s="59"/>
      <c r="L743" s="59"/>
      <c r="N743" s="59"/>
      <c r="P743" s="59"/>
      <c r="Q743" s="61"/>
    </row>
    <row r="744">
      <c r="B744" s="59"/>
      <c r="D744" s="59"/>
      <c r="F744" s="59"/>
      <c r="H744" s="59"/>
      <c r="J744" s="59"/>
      <c r="L744" s="59"/>
      <c r="N744" s="59"/>
      <c r="P744" s="59"/>
      <c r="Q744" s="61"/>
    </row>
    <row r="745">
      <c r="B745" s="59"/>
      <c r="D745" s="59"/>
      <c r="F745" s="59"/>
      <c r="H745" s="59"/>
      <c r="J745" s="59"/>
      <c r="L745" s="59"/>
      <c r="N745" s="59"/>
      <c r="P745" s="59"/>
      <c r="Q745" s="61"/>
    </row>
    <row r="746">
      <c r="B746" s="59"/>
      <c r="D746" s="59"/>
      <c r="F746" s="59"/>
      <c r="H746" s="59"/>
      <c r="J746" s="59"/>
      <c r="L746" s="59"/>
      <c r="N746" s="59"/>
      <c r="P746" s="59"/>
      <c r="Q746" s="61"/>
    </row>
    <row r="747">
      <c r="B747" s="59"/>
      <c r="D747" s="59"/>
      <c r="F747" s="59"/>
      <c r="H747" s="59"/>
      <c r="J747" s="59"/>
      <c r="L747" s="59"/>
      <c r="N747" s="59"/>
      <c r="P747" s="59"/>
      <c r="Q747" s="61"/>
    </row>
    <row r="748">
      <c r="B748" s="59"/>
      <c r="D748" s="59"/>
      <c r="F748" s="59"/>
      <c r="H748" s="59"/>
      <c r="J748" s="59"/>
      <c r="L748" s="59"/>
      <c r="N748" s="59"/>
      <c r="P748" s="59"/>
      <c r="Q748" s="61"/>
    </row>
    <row r="749">
      <c r="B749" s="59"/>
      <c r="D749" s="59"/>
      <c r="F749" s="59"/>
      <c r="H749" s="59"/>
      <c r="J749" s="59"/>
      <c r="L749" s="59"/>
      <c r="N749" s="59"/>
      <c r="P749" s="59"/>
      <c r="Q749" s="61"/>
    </row>
    <row r="750">
      <c r="B750" s="59"/>
      <c r="D750" s="59"/>
      <c r="F750" s="59"/>
      <c r="H750" s="59"/>
      <c r="J750" s="59"/>
      <c r="L750" s="59"/>
      <c r="N750" s="59"/>
      <c r="P750" s="59"/>
      <c r="Q750" s="61"/>
    </row>
    <row r="751">
      <c r="B751" s="59"/>
      <c r="D751" s="59"/>
      <c r="F751" s="59"/>
      <c r="H751" s="59"/>
      <c r="J751" s="59"/>
      <c r="L751" s="59"/>
      <c r="N751" s="59"/>
      <c r="P751" s="59"/>
      <c r="Q751" s="61"/>
    </row>
    <row r="752">
      <c r="B752" s="59"/>
      <c r="D752" s="59"/>
      <c r="F752" s="59"/>
      <c r="H752" s="59"/>
      <c r="J752" s="59"/>
      <c r="L752" s="59"/>
      <c r="N752" s="59"/>
      <c r="P752" s="59"/>
      <c r="Q752" s="61"/>
    </row>
    <row r="753">
      <c r="B753" s="59"/>
      <c r="D753" s="59"/>
      <c r="F753" s="59"/>
      <c r="H753" s="59"/>
      <c r="J753" s="59"/>
      <c r="L753" s="59"/>
      <c r="N753" s="59"/>
      <c r="P753" s="59"/>
      <c r="Q753" s="61"/>
    </row>
    <row r="754">
      <c r="B754" s="59"/>
      <c r="D754" s="59"/>
      <c r="F754" s="59"/>
      <c r="H754" s="59"/>
      <c r="J754" s="59"/>
      <c r="L754" s="59"/>
      <c r="N754" s="59"/>
      <c r="P754" s="59"/>
      <c r="Q754" s="61"/>
    </row>
    <row r="755">
      <c r="B755" s="59"/>
      <c r="D755" s="59"/>
      <c r="F755" s="59"/>
      <c r="H755" s="59"/>
      <c r="J755" s="59"/>
      <c r="L755" s="59"/>
      <c r="N755" s="59"/>
      <c r="P755" s="59"/>
      <c r="Q755" s="61"/>
    </row>
    <row r="756">
      <c r="B756" s="59"/>
      <c r="D756" s="59"/>
      <c r="F756" s="59"/>
      <c r="H756" s="59"/>
      <c r="J756" s="59"/>
      <c r="L756" s="59"/>
      <c r="N756" s="59"/>
      <c r="P756" s="59"/>
      <c r="Q756" s="61"/>
    </row>
    <row r="757">
      <c r="B757" s="59"/>
      <c r="D757" s="59"/>
      <c r="F757" s="59"/>
      <c r="H757" s="59"/>
      <c r="J757" s="59"/>
      <c r="L757" s="59"/>
      <c r="N757" s="59"/>
      <c r="P757" s="59"/>
      <c r="Q757" s="61"/>
    </row>
    <row r="758">
      <c r="B758" s="59"/>
      <c r="D758" s="59"/>
      <c r="F758" s="59"/>
      <c r="H758" s="59"/>
      <c r="J758" s="59"/>
      <c r="L758" s="59"/>
      <c r="N758" s="59"/>
      <c r="P758" s="59"/>
      <c r="Q758" s="61"/>
    </row>
    <row r="759">
      <c r="B759" s="59"/>
      <c r="D759" s="59"/>
      <c r="F759" s="59"/>
      <c r="H759" s="59"/>
      <c r="J759" s="59"/>
      <c r="L759" s="59"/>
      <c r="N759" s="59"/>
      <c r="P759" s="59"/>
      <c r="Q759" s="61"/>
    </row>
    <row r="760">
      <c r="B760" s="59"/>
      <c r="D760" s="59"/>
      <c r="F760" s="59"/>
      <c r="H760" s="59"/>
      <c r="J760" s="59"/>
      <c r="L760" s="59"/>
      <c r="N760" s="59"/>
      <c r="P760" s="59"/>
      <c r="Q760" s="61"/>
    </row>
    <row r="761">
      <c r="B761" s="59"/>
      <c r="D761" s="59"/>
      <c r="F761" s="59"/>
      <c r="H761" s="59"/>
      <c r="J761" s="59"/>
      <c r="L761" s="59"/>
      <c r="N761" s="59"/>
      <c r="P761" s="59"/>
      <c r="Q761" s="61"/>
    </row>
    <row r="762">
      <c r="B762" s="59"/>
      <c r="D762" s="59"/>
      <c r="F762" s="59"/>
      <c r="H762" s="59"/>
      <c r="J762" s="59"/>
      <c r="L762" s="59"/>
      <c r="N762" s="59"/>
      <c r="P762" s="59"/>
      <c r="Q762" s="61"/>
    </row>
    <row r="763">
      <c r="B763" s="59"/>
      <c r="D763" s="59"/>
      <c r="F763" s="59"/>
      <c r="H763" s="59"/>
      <c r="J763" s="59"/>
      <c r="L763" s="59"/>
      <c r="N763" s="59"/>
      <c r="P763" s="59"/>
      <c r="Q763" s="61"/>
    </row>
    <row r="764">
      <c r="B764" s="59"/>
      <c r="D764" s="59"/>
      <c r="F764" s="59"/>
      <c r="H764" s="59"/>
      <c r="J764" s="59"/>
      <c r="L764" s="59"/>
      <c r="N764" s="59"/>
      <c r="P764" s="59"/>
      <c r="Q764" s="61"/>
    </row>
    <row r="765">
      <c r="B765" s="59"/>
      <c r="D765" s="59"/>
      <c r="F765" s="59"/>
      <c r="H765" s="59"/>
      <c r="J765" s="59"/>
      <c r="L765" s="59"/>
      <c r="N765" s="59"/>
      <c r="P765" s="59"/>
      <c r="Q765" s="61"/>
    </row>
    <row r="766">
      <c r="B766" s="59"/>
      <c r="D766" s="59"/>
      <c r="F766" s="59"/>
      <c r="H766" s="59"/>
      <c r="J766" s="59"/>
      <c r="L766" s="59"/>
      <c r="N766" s="59"/>
      <c r="P766" s="59"/>
      <c r="Q766" s="61"/>
    </row>
    <row r="767">
      <c r="B767" s="59"/>
      <c r="D767" s="59"/>
      <c r="F767" s="59"/>
      <c r="H767" s="59"/>
      <c r="J767" s="59"/>
      <c r="L767" s="59"/>
      <c r="N767" s="59"/>
      <c r="P767" s="59"/>
      <c r="Q767" s="61"/>
    </row>
    <row r="768">
      <c r="B768" s="59"/>
      <c r="D768" s="59"/>
      <c r="F768" s="59"/>
      <c r="H768" s="59"/>
      <c r="J768" s="59"/>
      <c r="L768" s="59"/>
      <c r="N768" s="59"/>
      <c r="P768" s="59"/>
      <c r="Q768" s="61"/>
    </row>
    <row r="769">
      <c r="B769" s="59"/>
      <c r="D769" s="59"/>
      <c r="F769" s="59"/>
      <c r="H769" s="59"/>
      <c r="J769" s="59"/>
      <c r="L769" s="59"/>
      <c r="N769" s="59"/>
      <c r="P769" s="59"/>
      <c r="Q769" s="61"/>
    </row>
    <row r="770">
      <c r="B770" s="59"/>
      <c r="D770" s="59"/>
      <c r="F770" s="59"/>
      <c r="H770" s="59"/>
      <c r="J770" s="59"/>
      <c r="L770" s="59"/>
      <c r="N770" s="59"/>
      <c r="P770" s="59"/>
      <c r="Q770" s="61"/>
    </row>
    <row r="771">
      <c r="B771" s="59"/>
      <c r="D771" s="59"/>
      <c r="F771" s="59"/>
      <c r="H771" s="59"/>
      <c r="J771" s="59"/>
      <c r="L771" s="59"/>
      <c r="N771" s="59"/>
      <c r="P771" s="59"/>
      <c r="Q771" s="61"/>
    </row>
    <row r="772">
      <c r="B772" s="59"/>
      <c r="D772" s="59"/>
      <c r="F772" s="59"/>
      <c r="H772" s="59"/>
      <c r="J772" s="59"/>
      <c r="L772" s="59"/>
      <c r="N772" s="59"/>
      <c r="P772" s="59"/>
      <c r="Q772" s="61"/>
    </row>
    <row r="773">
      <c r="B773" s="59"/>
      <c r="D773" s="59"/>
      <c r="F773" s="59"/>
      <c r="H773" s="59"/>
      <c r="J773" s="59"/>
      <c r="L773" s="59"/>
      <c r="N773" s="59"/>
      <c r="P773" s="59"/>
      <c r="Q773" s="61"/>
    </row>
    <row r="774">
      <c r="B774" s="59"/>
      <c r="D774" s="59"/>
      <c r="F774" s="59"/>
      <c r="H774" s="59"/>
      <c r="J774" s="59"/>
      <c r="L774" s="59"/>
      <c r="N774" s="59"/>
      <c r="P774" s="59"/>
      <c r="Q774" s="61"/>
    </row>
    <row r="775">
      <c r="B775" s="59"/>
      <c r="D775" s="59"/>
      <c r="F775" s="59"/>
      <c r="H775" s="59"/>
      <c r="J775" s="59"/>
      <c r="L775" s="59"/>
      <c r="N775" s="59"/>
      <c r="P775" s="59"/>
      <c r="Q775" s="61"/>
    </row>
    <row r="776">
      <c r="B776" s="59"/>
      <c r="D776" s="59"/>
      <c r="F776" s="59"/>
      <c r="H776" s="59"/>
      <c r="J776" s="59"/>
      <c r="L776" s="59"/>
      <c r="N776" s="59"/>
      <c r="P776" s="59"/>
      <c r="Q776" s="61"/>
    </row>
    <row r="777">
      <c r="B777" s="59"/>
      <c r="D777" s="59"/>
      <c r="F777" s="59"/>
      <c r="H777" s="59"/>
      <c r="J777" s="59"/>
      <c r="L777" s="59"/>
      <c r="N777" s="59"/>
      <c r="P777" s="59"/>
      <c r="Q777" s="61"/>
    </row>
    <row r="778">
      <c r="B778" s="59"/>
      <c r="D778" s="59"/>
      <c r="F778" s="59"/>
      <c r="H778" s="59"/>
      <c r="J778" s="59"/>
      <c r="L778" s="59"/>
      <c r="N778" s="59"/>
      <c r="P778" s="59"/>
      <c r="Q778" s="61"/>
    </row>
    <row r="779">
      <c r="B779" s="59"/>
      <c r="D779" s="59"/>
      <c r="F779" s="59"/>
      <c r="H779" s="59"/>
      <c r="J779" s="59"/>
      <c r="L779" s="59"/>
      <c r="N779" s="59"/>
      <c r="P779" s="59"/>
      <c r="Q779" s="61"/>
    </row>
    <row r="780">
      <c r="B780" s="59"/>
      <c r="D780" s="59"/>
      <c r="F780" s="59"/>
      <c r="H780" s="59"/>
      <c r="J780" s="59"/>
      <c r="L780" s="59"/>
      <c r="N780" s="59"/>
      <c r="P780" s="59"/>
      <c r="Q780" s="61"/>
    </row>
    <row r="781">
      <c r="B781" s="59"/>
      <c r="D781" s="59"/>
      <c r="F781" s="59"/>
      <c r="H781" s="59"/>
      <c r="J781" s="59"/>
      <c r="L781" s="59"/>
      <c r="N781" s="59"/>
      <c r="P781" s="59"/>
      <c r="Q781" s="61"/>
    </row>
    <row r="782">
      <c r="B782" s="59"/>
      <c r="D782" s="59"/>
      <c r="F782" s="59"/>
      <c r="H782" s="59"/>
      <c r="J782" s="59"/>
      <c r="L782" s="59"/>
      <c r="N782" s="59"/>
      <c r="P782" s="59"/>
      <c r="Q782" s="61"/>
    </row>
    <row r="783">
      <c r="B783" s="59"/>
      <c r="D783" s="59"/>
      <c r="F783" s="59"/>
      <c r="H783" s="59"/>
      <c r="J783" s="59"/>
      <c r="L783" s="59"/>
      <c r="N783" s="59"/>
      <c r="P783" s="59"/>
      <c r="Q783" s="61"/>
    </row>
    <row r="784">
      <c r="B784" s="59"/>
      <c r="D784" s="59"/>
      <c r="F784" s="59"/>
      <c r="H784" s="59"/>
      <c r="J784" s="59"/>
      <c r="L784" s="59"/>
      <c r="N784" s="59"/>
      <c r="P784" s="59"/>
      <c r="Q784" s="61"/>
    </row>
    <row r="785">
      <c r="B785" s="59"/>
      <c r="D785" s="59"/>
      <c r="F785" s="59"/>
      <c r="H785" s="59"/>
      <c r="J785" s="59"/>
      <c r="L785" s="59"/>
      <c r="N785" s="59"/>
      <c r="P785" s="59"/>
      <c r="Q785" s="61"/>
    </row>
    <row r="786">
      <c r="B786" s="59"/>
      <c r="D786" s="59"/>
      <c r="F786" s="59"/>
      <c r="H786" s="59"/>
      <c r="J786" s="59"/>
      <c r="L786" s="59"/>
      <c r="N786" s="59"/>
      <c r="P786" s="59"/>
      <c r="Q786" s="61"/>
    </row>
    <row r="787">
      <c r="B787" s="59"/>
      <c r="D787" s="59"/>
      <c r="F787" s="59"/>
      <c r="H787" s="59"/>
      <c r="J787" s="59"/>
      <c r="L787" s="59"/>
      <c r="N787" s="59"/>
      <c r="P787" s="59"/>
      <c r="Q787" s="61"/>
    </row>
    <row r="788">
      <c r="B788" s="59"/>
      <c r="D788" s="59"/>
      <c r="F788" s="59"/>
      <c r="H788" s="59"/>
      <c r="J788" s="59"/>
      <c r="L788" s="59"/>
      <c r="N788" s="59"/>
      <c r="P788" s="59"/>
      <c r="Q788" s="61"/>
    </row>
    <row r="789">
      <c r="B789" s="59"/>
      <c r="D789" s="59"/>
      <c r="F789" s="59"/>
      <c r="H789" s="59"/>
      <c r="J789" s="59"/>
      <c r="L789" s="59"/>
      <c r="N789" s="59"/>
      <c r="P789" s="59"/>
      <c r="Q789" s="61"/>
    </row>
    <row r="790">
      <c r="B790" s="59"/>
      <c r="D790" s="59"/>
      <c r="F790" s="59"/>
      <c r="H790" s="59"/>
      <c r="J790" s="59"/>
      <c r="L790" s="59"/>
      <c r="N790" s="59"/>
      <c r="P790" s="59"/>
      <c r="Q790" s="61"/>
    </row>
    <row r="791">
      <c r="B791" s="59"/>
      <c r="D791" s="59"/>
      <c r="F791" s="59"/>
      <c r="H791" s="59"/>
      <c r="J791" s="59"/>
      <c r="L791" s="59"/>
      <c r="N791" s="59"/>
      <c r="P791" s="59"/>
      <c r="Q791" s="61"/>
    </row>
    <row r="792">
      <c r="B792" s="59"/>
      <c r="D792" s="59"/>
      <c r="F792" s="59"/>
      <c r="H792" s="59"/>
      <c r="J792" s="59"/>
      <c r="L792" s="59"/>
      <c r="N792" s="59"/>
      <c r="P792" s="59"/>
      <c r="Q792" s="61"/>
    </row>
    <row r="793">
      <c r="B793" s="59"/>
      <c r="D793" s="59"/>
      <c r="F793" s="59"/>
      <c r="H793" s="59"/>
      <c r="J793" s="59"/>
      <c r="L793" s="59"/>
      <c r="N793" s="59"/>
      <c r="P793" s="59"/>
      <c r="Q793" s="61"/>
    </row>
    <row r="794">
      <c r="B794" s="59"/>
      <c r="D794" s="59"/>
      <c r="F794" s="59"/>
      <c r="H794" s="59"/>
      <c r="J794" s="59"/>
      <c r="L794" s="59"/>
      <c r="N794" s="59"/>
      <c r="P794" s="59"/>
      <c r="Q794" s="61"/>
    </row>
    <row r="795">
      <c r="B795" s="59"/>
      <c r="D795" s="59"/>
      <c r="F795" s="59"/>
      <c r="H795" s="59"/>
      <c r="J795" s="59"/>
      <c r="L795" s="59"/>
      <c r="N795" s="59"/>
      <c r="P795" s="59"/>
      <c r="Q795" s="61"/>
    </row>
    <row r="796">
      <c r="B796" s="59"/>
      <c r="D796" s="59"/>
      <c r="F796" s="59"/>
      <c r="H796" s="59"/>
      <c r="J796" s="59"/>
      <c r="L796" s="59"/>
      <c r="N796" s="59"/>
      <c r="P796" s="59"/>
      <c r="Q796" s="61"/>
    </row>
    <row r="797">
      <c r="B797" s="59"/>
      <c r="D797" s="59"/>
      <c r="F797" s="59"/>
      <c r="H797" s="59"/>
      <c r="J797" s="59"/>
      <c r="L797" s="59"/>
      <c r="N797" s="59"/>
      <c r="P797" s="59"/>
      <c r="Q797" s="61"/>
    </row>
    <row r="798">
      <c r="B798" s="59"/>
      <c r="D798" s="59"/>
      <c r="F798" s="59"/>
      <c r="H798" s="59"/>
      <c r="J798" s="59"/>
      <c r="L798" s="59"/>
      <c r="N798" s="59"/>
      <c r="P798" s="59"/>
      <c r="Q798" s="61"/>
    </row>
    <row r="799">
      <c r="B799" s="59"/>
      <c r="D799" s="59"/>
      <c r="F799" s="59"/>
      <c r="H799" s="59"/>
      <c r="J799" s="59"/>
      <c r="L799" s="59"/>
      <c r="N799" s="59"/>
      <c r="P799" s="59"/>
      <c r="Q799" s="61"/>
    </row>
    <row r="800">
      <c r="B800" s="59"/>
      <c r="D800" s="59"/>
      <c r="F800" s="59"/>
      <c r="H800" s="59"/>
      <c r="J800" s="59"/>
      <c r="L800" s="59"/>
      <c r="N800" s="59"/>
      <c r="P800" s="59"/>
      <c r="Q800" s="61"/>
    </row>
    <row r="801">
      <c r="B801" s="59"/>
      <c r="D801" s="59"/>
      <c r="F801" s="59"/>
      <c r="H801" s="59"/>
      <c r="J801" s="59"/>
      <c r="L801" s="59"/>
      <c r="N801" s="59"/>
      <c r="P801" s="59"/>
      <c r="Q801" s="61"/>
    </row>
    <row r="802">
      <c r="B802" s="59"/>
      <c r="D802" s="59"/>
      <c r="F802" s="59"/>
      <c r="H802" s="59"/>
      <c r="J802" s="59"/>
      <c r="L802" s="59"/>
      <c r="N802" s="59"/>
      <c r="P802" s="59"/>
      <c r="Q802" s="61"/>
    </row>
    <row r="803">
      <c r="B803" s="59"/>
      <c r="D803" s="59"/>
      <c r="F803" s="59"/>
      <c r="H803" s="59"/>
      <c r="J803" s="59"/>
      <c r="L803" s="59"/>
      <c r="N803" s="59"/>
      <c r="P803" s="59"/>
      <c r="Q803" s="61"/>
    </row>
    <row r="804">
      <c r="B804" s="59"/>
      <c r="D804" s="59"/>
      <c r="F804" s="59"/>
      <c r="H804" s="59"/>
      <c r="J804" s="59"/>
      <c r="L804" s="59"/>
      <c r="N804" s="59"/>
      <c r="P804" s="59"/>
      <c r="Q804" s="61"/>
    </row>
    <row r="805">
      <c r="B805" s="59"/>
      <c r="D805" s="59"/>
      <c r="F805" s="59"/>
      <c r="H805" s="59"/>
      <c r="J805" s="59"/>
      <c r="L805" s="59"/>
      <c r="N805" s="59"/>
      <c r="P805" s="59"/>
      <c r="Q805" s="61"/>
    </row>
    <row r="806">
      <c r="B806" s="59"/>
      <c r="D806" s="59"/>
      <c r="F806" s="59"/>
      <c r="H806" s="59"/>
      <c r="J806" s="59"/>
      <c r="L806" s="59"/>
      <c r="N806" s="59"/>
      <c r="P806" s="59"/>
      <c r="Q806" s="61"/>
    </row>
    <row r="807">
      <c r="B807" s="59"/>
      <c r="D807" s="59"/>
      <c r="F807" s="59"/>
      <c r="H807" s="59"/>
      <c r="J807" s="59"/>
      <c r="L807" s="59"/>
      <c r="N807" s="59"/>
      <c r="P807" s="59"/>
      <c r="Q807" s="61"/>
    </row>
    <row r="808">
      <c r="B808" s="59"/>
      <c r="D808" s="59"/>
      <c r="F808" s="59"/>
      <c r="H808" s="59"/>
      <c r="J808" s="59"/>
      <c r="L808" s="59"/>
      <c r="N808" s="59"/>
      <c r="P808" s="59"/>
      <c r="Q808" s="61"/>
    </row>
    <row r="809">
      <c r="B809" s="59"/>
      <c r="D809" s="59"/>
      <c r="F809" s="59"/>
      <c r="H809" s="59"/>
      <c r="J809" s="59"/>
      <c r="L809" s="59"/>
      <c r="N809" s="59"/>
      <c r="P809" s="59"/>
      <c r="Q809" s="61"/>
    </row>
    <row r="810">
      <c r="B810" s="59"/>
      <c r="D810" s="59"/>
      <c r="F810" s="59"/>
      <c r="H810" s="59"/>
      <c r="J810" s="59"/>
      <c r="L810" s="59"/>
      <c r="N810" s="59"/>
      <c r="P810" s="59"/>
      <c r="Q810" s="61"/>
    </row>
    <row r="811">
      <c r="B811" s="59"/>
      <c r="D811" s="59"/>
      <c r="F811" s="59"/>
      <c r="H811" s="59"/>
      <c r="J811" s="59"/>
      <c r="L811" s="59"/>
      <c r="N811" s="59"/>
      <c r="P811" s="59"/>
      <c r="Q811" s="61"/>
    </row>
    <row r="812">
      <c r="B812" s="59"/>
      <c r="D812" s="59"/>
      <c r="F812" s="59"/>
      <c r="H812" s="59"/>
      <c r="J812" s="59"/>
      <c r="L812" s="59"/>
      <c r="N812" s="59"/>
      <c r="P812" s="59"/>
      <c r="Q812" s="61"/>
    </row>
    <row r="813">
      <c r="B813" s="59"/>
      <c r="D813" s="59"/>
      <c r="F813" s="59"/>
      <c r="H813" s="59"/>
      <c r="J813" s="59"/>
      <c r="L813" s="59"/>
      <c r="N813" s="59"/>
      <c r="P813" s="59"/>
      <c r="Q813" s="61"/>
    </row>
    <row r="814">
      <c r="B814" s="59"/>
      <c r="D814" s="59"/>
      <c r="F814" s="59"/>
      <c r="H814" s="59"/>
      <c r="J814" s="59"/>
      <c r="L814" s="59"/>
      <c r="N814" s="59"/>
      <c r="P814" s="59"/>
      <c r="Q814" s="61"/>
    </row>
    <row r="815">
      <c r="B815" s="59"/>
      <c r="D815" s="59"/>
      <c r="F815" s="59"/>
      <c r="H815" s="59"/>
      <c r="J815" s="59"/>
      <c r="L815" s="59"/>
      <c r="N815" s="59"/>
      <c r="P815" s="59"/>
      <c r="Q815" s="61"/>
    </row>
    <row r="816">
      <c r="B816" s="59"/>
      <c r="D816" s="59"/>
      <c r="F816" s="59"/>
      <c r="H816" s="59"/>
      <c r="J816" s="59"/>
      <c r="L816" s="59"/>
      <c r="N816" s="59"/>
      <c r="P816" s="59"/>
      <c r="Q816" s="61"/>
    </row>
    <row r="817">
      <c r="B817" s="59"/>
      <c r="D817" s="59"/>
      <c r="F817" s="59"/>
      <c r="H817" s="59"/>
      <c r="J817" s="59"/>
      <c r="L817" s="59"/>
      <c r="N817" s="59"/>
      <c r="P817" s="59"/>
      <c r="Q817" s="61"/>
    </row>
    <row r="818">
      <c r="B818" s="59"/>
      <c r="D818" s="59"/>
      <c r="F818" s="59"/>
      <c r="H818" s="59"/>
      <c r="J818" s="59"/>
      <c r="L818" s="59"/>
      <c r="N818" s="59"/>
      <c r="P818" s="59"/>
      <c r="Q818" s="61"/>
    </row>
    <row r="819">
      <c r="B819" s="59"/>
      <c r="D819" s="59"/>
      <c r="F819" s="59"/>
      <c r="H819" s="59"/>
      <c r="J819" s="59"/>
      <c r="L819" s="59"/>
      <c r="N819" s="59"/>
      <c r="P819" s="59"/>
      <c r="Q819" s="61"/>
    </row>
    <row r="820">
      <c r="B820" s="59"/>
      <c r="D820" s="59"/>
      <c r="F820" s="59"/>
      <c r="H820" s="59"/>
      <c r="J820" s="59"/>
      <c r="L820" s="59"/>
      <c r="N820" s="59"/>
      <c r="P820" s="59"/>
      <c r="Q820" s="61"/>
    </row>
    <row r="821">
      <c r="B821" s="59"/>
      <c r="D821" s="59"/>
      <c r="F821" s="59"/>
      <c r="H821" s="59"/>
      <c r="J821" s="59"/>
      <c r="L821" s="59"/>
      <c r="N821" s="59"/>
      <c r="P821" s="59"/>
      <c r="Q821" s="61"/>
    </row>
    <row r="822">
      <c r="B822" s="59"/>
      <c r="D822" s="59"/>
      <c r="F822" s="59"/>
      <c r="H822" s="59"/>
      <c r="J822" s="59"/>
      <c r="L822" s="59"/>
      <c r="N822" s="59"/>
      <c r="P822" s="59"/>
      <c r="Q822" s="61"/>
    </row>
    <row r="823">
      <c r="B823" s="59"/>
      <c r="D823" s="59"/>
      <c r="F823" s="59"/>
      <c r="H823" s="59"/>
      <c r="J823" s="59"/>
      <c r="L823" s="59"/>
      <c r="N823" s="59"/>
      <c r="P823" s="59"/>
      <c r="Q823" s="61"/>
    </row>
    <row r="824">
      <c r="B824" s="59"/>
      <c r="D824" s="59"/>
      <c r="F824" s="59"/>
      <c r="H824" s="59"/>
      <c r="J824" s="59"/>
      <c r="L824" s="59"/>
      <c r="N824" s="59"/>
      <c r="P824" s="59"/>
      <c r="Q824" s="61"/>
    </row>
    <row r="825">
      <c r="B825" s="59"/>
      <c r="D825" s="59"/>
      <c r="F825" s="59"/>
      <c r="H825" s="59"/>
      <c r="J825" s="59"/>
      <c r="L825" s="59"/>
      <c r="N825" s="59"/>
      <c r="P825" s="59"/>
      <c r="Q825" s="61"/>
    </row>
    <row r="826">
      <c r="B826" s="59"/>
      <c r="D826" s="59"/>
      <c r="F826" s="59"/>
      <c r="H826" s="59"/>
      <c r="J826" s="59"/>
      <c r="L826" s="59"/>
      <c r="N826" s="59"/>
      <c r="P826" s="59"/>
      <c r="Q826" s="61"/>
    </row>
    <row r="827">
      <c r="B827" s="59"/>
      <c r="D827" s="59"/>
      <c r="F827" s="59"/>
      <c r="H827" s="59"/>
      <c r="J827" s="59"/>
      <c r="L827" s="59"/>
      <c r="N827" s="59"/>
      <c r="P827" s="59"/>
      <c r="Q827" s="61"/>
    </row>
    <row r="828">
      <c r="B828" s="59"/>
      <c r="D828" s="59"/>
      <c r="F828" s="59"/>
      <c r="H828" s="59"/>
      <c r="J828" s="59"/>
      <c r="L828" s="59"/>
      <c r="N828" s="59"/>
      <c r="P828" s="59"/>
      <c r="Q828" s="61"/>
    </row>
    <row r="829">
      <c r="B829" s="59"/>
      <c r="D829" s="59"/>
      <c r="F829" s="59"/>
      <c r="H829" s="59"/>
      <c r="J829" s="59"/>
      <c r="L829" s="59"/>
      <c r="N829" s="59"/>
      <c r="P829" s="59"/>
      <c r="Q829" s="61"/>
    </row>
    <row r="830">
      <c r="B830" s="59"/>
      <c r="D830" s="59"/>
      <c r="F830" s="59"/>
      <c r="H830" s="59"/>
      <c r="J830" s="59"/>
      <c r="L830" s="59"/>
      <c r="N830" s="59"/>
      <c r="P830" s="59"/>
      <c r="Q830" s="61"/>
    </row>
    <row r="831">
      <c r="B831" s="59"/>
      <c r="D831" s="59"/>
      <c r="F831" s="59"/>
      <c r="H831" s="59"/>
      <c r="J831" s="59"/>
      <c r="L831" s="59"/>
      <c r="N831" s="59"/>
      <c r="P831" s="59"/>
      <c r="Q831" s="61"/>
    </row>
    <row r="832">
      <c r="B832" s="59"/>
      <c r="D832" s="59"/>
      <c r="F832" s="59"/>
      <c r="H832" s="59"/>
      <c r="J832" s="59"/>
      <c r="L832" s="59"/>
      <c r="N832" s="59"/>
      <c r="P832" s="59"/>
      <c r="Q832" s="61"/>
    </row>
    <row r="833">
      <c r="B833" s="59"/>
      <c r="D833" s="59"/>
      <c r="F833" s="59"/>
      <c r="H833" s="59"/>
      <c r="J833" s="59"/>
      <c r="L833" s="59"/>
      <c r="N833" s="59"/>
      <c r="P833" s="59"/>
      <c r="Q833" s="61"/>
    </row>
    <row r="834">
      <c r="B834" s="59"/>
      <c r="D834" s="59"/>
      <c r="F834" s="59"/>
      <c r="H834" s="59"/>
      <c r="J834" s="59"/>
      <c r="L834" s="59"/>
      <c r="N834" s="59"/>
      <c r="P834" s="59"/>
      <c r="Q834" s="61"/>
    </row>
    <row r="835">
      <c r="B835" s="59"/>
      <c r="D835" s="59"/>
      <c r="F835" s="59"/>
      <c r="H835" s="59"/>
      <c r="J835" s="59"/>
      <c r="L835" s="59"/>
      <c r="N835" s="59"/>
      <c r="P835" s="59"/>
      <c r="Q835" s="61"/>
    </row>
    <row r="836">
      <c r="B836" s="59"/>
      <c r="D836" s="59"/>
      <c r="F836" s="59"/>
      <c r="H836" s="59"/>
      <c r="J836" s="59"/>
      <c r="L836" s="59"/>
      <c r="N836" s="59"/>
      <c r="P836" s="59"/>
      <c r="Q836" s="61"/>
    </row>
    <row r="837">
      <c r="B837" s="59"/>
      <c r="D837" s="59"/>
      <c r="F837" s="59"/>
      <c r="H837" s="59"/>
      <c r="J837" s="59"/>
      <c r="L837" s="59"/>
      <c r="N837" s="59"/>
      <c r="P837" s="59"/>
      <c r="Q837" s="61"/>
    </row>
    <row r="838">
      <c r="B838" s="59"/>
      <c r="D838" s="59"/>
      <c r="F838" s="59"/>
      <c r="H838" s="59"/>
      <c r="J838" s="59"/>
      <c r="L838" s="59"/>
      <c r="N838" s="59"/>
      <c r="P838" s="59"/>
      <c r="Q838" s="61"/>
    </row>
    <row r="839">
      <c r="B839" s="59"/>
      <c r="D839" s="59"/>
      <c r="F839" s="59"/>
      <c r="H839" s="59"/>
      <c r="J839" s="59"/>
      <c r="L839" s="59"/>
      <c r="N839" s="59"/>
      <c r="P839" s="59"/>
      <c r="Q839" s="61"/>
    </row>
    <row r="840">
      <c r="B840" s="59"/>
      <c r="D840" s="59"/>
      <c r="F840" s="59"/>
      <c r="H840" s="59"/>
      <c r="J840" s="59"/>
      <c r="L840" s="59"/>
      <c r="N840" s="59"/>
      <c r="P840" s="59"/>
      <c r="Q840" s="61"/>
    </row>
    <row r="841">
      <c r="B841" s="59"/>
      <c r="D841" s="59"/>
      <c r="F841" s="59"/>
      <c r="H841" s="59"/>
      <c r="J841" s="59"/>
      <c r="L841" s="59"/>
      <c r="N841" s="59"/>
      <c r="P841" s="59"/>
      <c r="Q841" s="61"/>
    </row>
    <row r="842">
      <c r="B842" s="59"/>
      <c r="D842" s="59"/>
      <c r="F842" s="59"/>
      <c r="H842" s="59"/>
      <c r="J842" s="59"/>
      <c r="L842" s="59"/>
      <c r="N842" s="59"/>
      <c r="P842" s="59"/>
      <c r="Q842" s="61"/>
    </row>
    <row r="843">
      <c r="B843" s="59"/>
      <c r="D843" s="59"/>
      <c r="F843" s="59"/>
      <c r="H843" s="59"/>
      <c r="J843" s="59"/>
      <c r="L843" s="59"/>
      <c r="N843" s="59"/>
      <c r="P843" s="59"/>
      <c r="Q843" s="61"/>
    </row>
    <row r="844">
      <c r="B844" s="59"/>
      <c r="D844" s="59"/>
      <c r="F844" s="59"/>
      <c r="H844" s="59"/>
      <c r="J844" s="59"/>
      <c r="L844" s="59"/>
      <c r="N844" s="59"/>
      <c r="P844" s="59"/>
      <c r="Q844" s="61"/>
    </row>
    <row r="845">
      <c r="B845" s="59"/>
      <c r="D845" s="59"/>
      <c r="F845" s="59"/>
      <c r="H845" s="59"/>
      <c r="J845" s="59"/>
      <c r="L845" s="59"/>
      <c r="N845" s="59"/>
      <c r="P845" s="59"/>
      <c r="Q845" s="61"/>
    </row>
    <row r="846">
      <c r="B846" s="59"/>
      <c r="D846" s="59"/>
      <c r="F846" s="59"/>
      <c r="H846" s="59"/>
      <c r="J846" s="59"/>
      <c r="L846" s="59"/>
      <c r="N846" s="59"/>
      <c r="P846" s="59"/>
      <c r="Q846" s="61"/>
    </row>
    <row r="847">
      <c r="B847" s="59"/>
      <c r="D847" s="59"/>
      <c r="F847" s="59"/>
      <c r="H847" s="59"/>
      <c r="J847" s="59"/>
      <c r="L847" s="59"/>
      <c r="N847" s="59"/>
      <c r="P847" s="59"/>
      <c r="Q847" s="61"/>
    </row>
    <row r="848">
      <c r="B848" s="59"/>
      <c r="D848" s="59"/>
      <c r="F848" s="59"/>
      <c r="H848" s="59"/>
      <c r="J848" s="59"/>
      <c r="L848" s="59"/>
      <c r="N848" s="59"/>
      <c r="P848" s="59"/>
      <c r="Q848" s="61"/>
    </row>
    <row r="849">
      <c r="B849" s="59"/>
      <c r="D849" s="59"/>
      <c r="F849" s="59"/>
      <c r="H849" s="59"/>
      <c r="J849" s="59"/>
      <c r="L849" s="59"/>
      <c r="N849" s="59"/>
      <c r="P849" s="59"/>
      <c r="Q849" s="61"/>
    </row>
    <row r="850">
      <c r="B850" s="59"/>
      <c r="D850" s="59"/>
      <c r="F850" s="59"/>
      <c r="H850" s="59"/>
      <c r="J850" s="59"/>
      <c r="L850" s="59"/>
      <c r="N850" s="59"/>
      <c r="P850" s="59"/>
      <c r="Q850" s="61"/>
    </row>
    <row r="851">
      <c r="B851" s="59"/>
      <c r="D851" s="59"/>
      <c r="F851" s="59"/>
      <c r="H851" s="59"/>
      <c r="J851" s="59"/>
      <c r="L851" s="59"/>
      <c r="N851" s="59"/>
      <c r="P851" s="59"/>
      <c r="Q851" s="61"/>
    </row>
    <row r="852">
      <c r="B852" s="59"/>
      <c r="D852" s="59"/>
      <c r="F852" s="59"/>
      <c r="H852" s="59"/>
      <c r="J852" s="59"/>
      <c r="L852" s="59"/>
      <c r="N852" s="59"/>
      <c r="P852" s="59"/>
      <c r="Q852" s="61"/>
    </row>
    <row r="853">
      <c r="B853" s="59"/>
      <c r="D853" s="59"/>
      <c r="F853" s="59"/>
      <c r="H853" s="59"/>
      <c r="J853" s="59"/>
      <c r="L853" s="59"/>
      <c r="N853" s="59"/>
      <c r="P853" s="59"/>
      <c r="Q853" s="61"/>
    </row>
    <row r="854">
      <c r="B854" s="59"/>
      <c r="D854" s="59"/>
      <c r="F854" s="59"/>
      <c r="H854" s="59"/>
      <c r="J854" s="59"/>
      <c r="L854" s="59"/>
      <c r="N854" s="59"/>
      <c r="P854" s="59"/>
      <c r="Q854" s="61"/>
    </row>
    <row r="855">
      <c r="B855" s="59"/>
      <c r="D855" s="59"/>
      <c r="F855" s="59"/>
      <c r="H855" s="59"/>
      <c r="J855" s="59"/>
      <c r="L855" s="59"/>
      <c r="N855" s="59"/>
      <c r="P855" s="59"/>
      <c r="Q855" s="61"/>
    </row>
    <row r="856">
      <c r="B856" s="59"/>
      <c r="D856" s="59"/>
      <c r="F856" s="59"/>
      <c r="H856" s="59"/>
      <c r="J856" s="59"/>
      <c r="L856" s="59"/>
      <c r="N856" s="59"/>
      <c r="P856" s="59"/>
      <c r="Q856" s="61"/>
    </row>
    <row r="857">
      <c r="B857" s="59"/>
      <c r="D857" s="59"/>
      <c r="F857" s="59"/>
      <c r="H857" s="59"/>
      <c r="J857" s="59"/>
      <c r="L857" s="59"/>
      <c r="N857" s="59"/>
      <c r="P857" s="59"/>
      <c r="Q857" s="61"/>
    </row>
    <row r="858">
      <c r="B858" s="59"/>
      <c r="D858" s="59"/>
      <c r="F858" s="59"/>
      <c r="H858" s="59"/>
      <c r="J858" s="59"/>
      <c r="L858" s="59"/>
      <c r="N858" s="59"/>
      <c r="P858" s="59"/>
      <c r="Q858" s="61"/>
    </row>
    <row r="859">
      <c r="B859" s="59"/>
      <c r="D859" s="59"/>
      <c r="F859" s="59"/>
      <c r="H859" s="59"/>
      <c r="J859" s="59"/>
      <c r="L859" s="59"/>
      <c r="N859" s="59"/>
      <c r="P859" s="59"/>
      <c r="Q859" s="61"/>
    </row>
    <row r="860">
      <c r="B860" s="59"/>
      <c r="D860" s="59"/>
      <c r="F860" s="59"/>
      <c r="H860" s="59"/>
      <c r="J860" s="59"/>
      <c r="L860" s="59"/>
      <c r="N860" s="59"/>
      <c r="P860" s="59"/>
      <c r="Q860" s="61"/>
    </row>
    <row r="861">
      <c r="B861" s="59"/>
      <c r="D861" s="59"/>
      <c r="F861" s="59"/>
      <c r="H861" s="59"/>
      <c r="J861" s="59"/>
      <c r="L861" s="59"/>
      <c r="N861" s="59"/>
      <c r="P861" s="59"/>
      <c r="Q861" s="61"/>
    </row>
    <row r="862">
      <c r="B862" s="59"/>
      <c r="D862" s="59"/>
      <c r="F862" s="59"/>
      <c r="H862" s="59"/>
      <c r="J862" s="59"/>
      <c r="L862" s="59"/>
      <c r="N862" s="59"/>
      <c r="P862" s="59"/>
      <c r="Q862" s="61"/>
    </row>
    <row r="863">
      <c r="B863" s="59"/>
      <c r="D863" s="59"/>
      <c r="F863" s="59"/>
      <c r="H863" s="59"/>
      <c r="J863" s="59"/>
      <c r="L863" s="59"/>
      <c r="N863" s="59"/>
      <c r="P863" s="59"/>
      <c r="Q863" s="61"/>
    </row>
    <row r="864">
      <c r="B864" s="59"/>
      <c r="D864" s="59"/>
      <c r="F864" s="59"/>
      <c r="H864" s="59"/>
      <c r="J864" s="59"/>
      <c r="L864" s="59"/>
      <c r="N864" s="59"/>
      <c r="P864" s="59"/>
      <c r="Q864" s="61"/>
    </row>
    <row r="865">
      <c r="B865" s="59"/>
      <c r="D865" s="59"/>
      <c r="F865" s="59"/>
      <c r="H865" s="59"/>
      <c r="J865" s="59"/>
      <c r="L865" s="59"/>
      <c r="N865" s="59"/>
      <c r="P865" s="59"/>
      <c r="Q865" s="61"/>
    </row>
    <row r="866">
      <c r="B866" s="59"/>
      <c r="D866" s="59"/>
      <c r="F866" s="59"/>
      <c r="H866" s="59"/>
      <c r="J866" s="59"/>
      <c r="L866" s="59"/>
      <c r="N866" s="59"/>
      <c r="P866" s="59"/>
      <c r="Q866" s="61"/>
    </row>
    <row r="867">
      <c r="B867" s="59"/>
      <c r="D867" s="59"/>
      <c r="F867" s="59"/>
      <c r="H867" s="59"/>
      <c r="J867" s="59"/>
      <c r="L867" s="59"/>
      <c r="N867" s="59"/>
      <c r="P867" s="59"/>
      <c r="Q867" s="61"/>
    </row>
    <row r="868">
      <c r="B868" s="59"/>
      <c r="D868" s="59"/>
      <c r="F868" s="59"/>
      <c r="H868" s="59"/>
      <c r="J868" s="59"/>
      <c r="L868" s="59"/>
      <c r="N868" s="59"/>
      <c r="P868" s="59"/>
      <c r="Q868" s="61"/>
    </row>
    <row r="869">
      <c r="B869" s="59"/>
      <c r="D869" s="59"/>
      <c r="F869" s="59"/>
      <c r="H869" s="59"/>
      <c r="J869" s="59"/>
      <c r="L869" s="59"/>
      <c r="N869" s="59"/>
      <c r="P869" s="59"/>
      <c r="Q869" s="61"/>
    </row>
    <row r="870">
      <c r="B870" s="59"/>
      <c r="D870" s="59"/>
      <c r="F870" s="59"/>
      <c r="H870" s="59"/>
      <c r="J870" s="59"/>
      <c r="L870" s="59"/>
      <c r="N870" s="59"/>
      <c r="P870" s="59"/>
      <c r="Q870" s="61"/>
    </row>
    <row r="871">
      <c r="B871" s="59"/>
      <c r="D871" s="59"/>
      <c r="F871" s="59"/>
      <c r="H871" s="59"/>
      <c r="J871" s="59"/>
      <c r="L871" s="59"/>
      <c r="N871" s="59"/>
      <c r="P871" s="59"/>
      <c r="Q871" s="61"/>
    </row>
    <row r="872">
      <c r="B872" s="59"/>
      <c r="D872" s="59"/>
      <c r="F872" s="59"/>
      <c r="H872" s="59"/>
      <c r="J872" s="59"/>
      <c r="L872" s="59"/>
      <c r="N872" s="59"/>
      <c r="P872" s="59"/>
      <c r="Q872" s="61"/>
    </row>
    <row r="873">
      <c r="B873" s="59"/>
      <c r="D873" s="59"/>
      <c r="F873" s="59"/>
      <c r="H873" s="59"/>
      <c r="J873" s="59"/>
      <c r="L873" s="59"/>
      <c r="N873" s="59"/>
      <c r="P873" s="59"/>
      <c r="Q873" s="61"/>
    </row>
    <row r="874">
      <c r="B874" s="59"/>
      <c r="D874" s="59"/>
      <c r="F874" s="59"/>
      <c r="H874" s="59"/>
      <c r="J874" s="59"/>
      <c r="L874" s="59"/>
      <c r="N874" s="59"/>
      <c r="P874" s="59"/>
      <c r="Q874" s="61"/>
    </row>
    <row r="875">
      <c r="B875" s="59"/>
      <c r="D875" s="59"/>
      <c r="F875" s="59"/>
      <c r="H875" s="59"/>
      <c r="J875" s="59"/>
      <c r="L875" s="59"/>
      <c r="N875" s="59"/>
      <c r="P875" s="59"/>
      <c r="Q875" s="61"/>
    </row>
    <row r="876">
      <c r="B876" s="59"/>
      <c r="D876" s="59"/>
      <c r="F876" s="59"/>
      <c r="H876" s="59"/>
      <c r="J876" s="59"/>
      <c r="L876" s="59"/>
      <c r="N876" s="59"/>
      <c r="P876" s="59"/>
      <c r="Q876" s="61"/>
    </row>
    <row r="877">
      <c r="B877" s="59"/>
      <c r="D877" s="59"/>
      <c r="F877" s="59"/>
      <c r="H877" s="59"/>
      <c r="J877" s="59"/>
      <c r="L877" s="59"/>
      <c r="N877" s="59"/>
      <c r="P877" s="59"/>
      <c r="Q877" s="61"/>
    </row>
    <row r="878">
      <c r="B878" s="59"/>
      <c r="D878" s="59"/>
      <c r="F878" s="59"/>
      <c r="H878" s="59"/>
      <c r="J878" s="59"/>
      <c r="L878" s="59"/>
      <c r="N878" s="59"/>
      <c r="P878" s="59"/>
      <c r="Q878" s="61"/>
    </row>
    <row r="879">
      <c r="B879" s="59"/>
      <c r="D879" s="59"/>
      <c r="F879" s="59"/>
      <c r="H879" s="59"/>
      <c r="J879" s="59"/>
      <c r="L879" s="59"/>
      <c r="N879" s="59"/>
      <c r="P879" s="59"/>
      <c r="Q879" s="61"/>
    </row>
    <row r="880">
      <c r="B880" s="59"/>
      <c r="D880" s="59"/>
      <c r="F880" s="59"/>
      <c r="H880" s="59"/>
      <c r="J880" s="59"/>
      <c r="L880" s="59"/>
      <c r="N880" s="59"/>
      <c r="P880" s="59"/>
      <c r="Q880" s="61"/>
    </row>
    <row r="881">
      <c r="B881" s="59"/>
      <c r="D881" s="59"/>
      <c r="F881" s="59"/>
      <c r="H881" s="59"/>
      <c r="J881" s="59"/>
      <c r="L881" s="59"/>
      <c r="N881" s="59"/>
      <c r="P881" s="59"/>
      <c r="Q881" s="61"/>
    </row>
    <row r="882">
      <c r="B882" s="59"/>
      <c r="D882" s="59"/>
      <c r="F882" s="59"/>
      <c r="H882" s="59"/>
      <c r="J882" s="59"/>
      <c r="L882" s="59"/>
      <c r="N882" s="59"/>
      <c r="P882" s="59"/>
      <c r="Q882" s="61"/>
    </row>
    <row r="883">
      <c r="B883" s="59"/>
      <c r="D883" s="59"/>
      <c r="F883" s="59"/>
      <c r="H883" s="59"/>
      <c r="J883" s="59"/>
      <c r="L883" s="59"/>
      <c r="N883" s="59"/>
      <c r="P883" s="59"/>
      <c r="Q883" s="61"/>
    </row>
    <row r="884">
      <c r="B884" s="59"/>
      <c r="D884" s="59"/>
      <c r="F884" s="59"/>
      <c r="H884" s="59"/>
      <c r="J884" s="59"/>
      <c r="L884" s="59"/>
      <c r="N884" s="59"/>
      <c r="P884" s="59"/>
      <c r="Q884" s="61"/>
    </row>
    <row r="885">
      <c r="B885" s="59"/>
      <c r="D885" s="59"/>
      <c r="F885" s="59"/>
      <c r="H885" s="59"/>
      <c r="J885" s="59"/>
      <c r="L885" s="59"/>
      <c r="N885" s="59"/>
      <c r="P885" s="59"/>
      <c r="Q885" s="61"/>
    </row>
    <row r="886">
      <c r="B886" s="59"/>
      <c r="D886" s="59"/>
      <c r="F886" s="59"/>
      <c r="H886" s="59"/>
      <c r="J886" s="59"/>
      <c r="L886" s="59"/>
      <c r="N886" s="59"/>
      <c r="P886" s="59"/>
      <c r="Q886" s="61"/>
    </row>
    <row r="887">
      <c r="B887" s="59"/>
      <c r="D887" s="59"/>
      <c r="F887" s="59"/>
      <c r="H887" s="59"/>
      <c r="J887" s="59"/>
      <c r="L887" s="59"/>
      <c r="N887" s="59"/>
      <c r="P887" s="59"/>
      <c r="Q887" s="61"/>
    </row>
    <row r="888">
      <c r="B888" s="59"/>
      <c r="D888" s="59"/>
      <c r="F888" s="59"/>
      <c r="H888" s="59"/>
      <c r="J888" s="59"/>
      <c r="L888" s="59"/>
      <c r="N888" s="59"/>
      <c r="P888" s="59"/>
      <c r="Q888" s="61"/>
    </row>
    <row r="889">
      <c r="B889" s="59"/>
      <c r="D889" s="59"/>
      <c r="F889" s="59"/>
      <c r="H889" s="59"/>
      <c r="J889" s="59"/>
      <c r="L889" s="59"/>
      <c r="N889" s="59"/>
      <c r="P889" s="59"/>
      <c r="Q889" s="61"/>
    </row>
    <row r="890">
      <c r="B890" s="59"/>
      <c r="D890" s="59"/>
      <c r="F890" s="59"/>
      <c r="H890" s="59"/>
      <c r="J890" s="59"/>
      <c r="L890" s="59"/>
      <c r="N890" s="59"/>
      <c r="P890" s="59"/>
      <c r="Q890" s="61"/>
    </row>
    <row r="891">
      <c r="B891" s="59"/>
      <c r="D891" s="59"/>
      <c r="F891" s="59"/>
      <c r="H891" s="59"/>
      <c r="J891" s="59"/>
      <c r="L891" s="59"/>
      <c r="N891" s="59"/>
      <c r="P891" s="59"/>
      <c r="Q891" s="61"/>
    </row>
    <row r="892">
      <c r="B892" s="59"/>
      <c r="D892" s="59"/>
      <c r="F892" s="59"/>
      <c r="H892" s="59"/>
      <c r="J892" s="59"/>
      <c r="L892" s="59"/>
      <c r="N892" s="59"/>
      <c r="P892" s="59"/>
      <c r="Q892" s="61"/>
    </row>
    <row r="893">
      <c r="B893" s="59"/>
      <c r="D893" s="59"/>
      <c r="F893" s="59"/>
      <c r="H893" s="59"/>
      <c r="J893" s="59"/>
      <c r="L893" s="59"/>
      <c r="N893" s="59"/>
      <c r="P893" s="59"/>
      <c r="Q893" s="61"/>
    </row>
    <row r="894">
      <c r="B894" s="59"/>
      <c r="D894" s="59"/>
      <c r="F894" s="59"/>
      <c r="H894" s="59"/>
      <c r="J894" s="59"/>
      <c r="L894" s="59"/>
      <c r="N894" s="59"/>
      <c r="P894" s="59"/>
      <c r="Q894" s="61"/>
    </row>
    <row r="895">
      <c r="B895" s="59"/>
      <c r="D895" s="59"/>
      <c r="F895" s="59"/>
      <c r="H895" s="59"/>
      <c r="J895" s="59"/>
      <c r="L895" s="59"/>
      <c r="N895" s="59"/>
      <c r="P895" s="59"/>
      <c r="Q895" s="61"/>
    </row>
    <row r="896">
      <c r="B896" s="59"/>
      <c r="D896" s="59"/>
      <c r="F896" s="59"/>
      <c r="H896" s="59"/>
      <c r="J896" s="59"/>
      <c r="L896" s="59"/>
      <c r="N896" s="59"/>
      <c r="P896" s="59"/>
      <c r="Q896" s="61"/>
    </row>
    <row r="897">
      <c r="B897" s="59"/>
      <c r="D897" s="59"/>
      <c r="F897" s="59"/>
      <c r="H897" s="59"/>
      <c r="J897" s="59"/>
      <c r="L897" s="59"/>
      <c r="N897" s="59"/>
      <c r="P897" s="59"/>
      <c r="Q897" s="61"/>
    </row>
    <row r="898">
      <c r="B898" s="59"/>
      <c r="D898" s="59"/>
      <c r="F898" s="59"/>
      <c r="H898" s="59"/>
      <c r="J898" s="59"/>
      <c r="L898" s="59"/>
      <c r="N898" s="59"/>
      <c r="P898" s="59"/>
      <c r="Q898" s="61"/>
    </row>
    <row r="899">
      <c r="B899" s="59"/>
      <c r="D899" s="59"/>
      <c r="F899" s="59"/>
      <c r="H899" s="59"/>
      <c r="J899" s="59"/>
      <c r="L899" s="59"/>
      <c r="N899" s="59"/>
      <c r="P899" s="59"/>
      <c r="Q899" s="61"/>
    </row>
    <row r="900">
      <c r="B900" s="59"/>
      <c r="D900" s="59"/>
      <c r="F900" s="59"/>
      <c r="H900" s="59"/>
      <c r="J900" s="59"/>
      <c r="L900" s="59"/>
      <c r="N900" s="59"/>
      <c r="P900" s="59"/>
      <c r="Q900" s="61"/>
    </row>
    <row r="901">
      <c r="B901" s="59"/>
      <c r="D901" s="59"/>
      <c r="F901" s="59"/>
      <c r="H901" s="59"/>
      <c r="J901" s="59"/>
      <c r="L901" s="59"/>
      <c r="N901" s="59"/>
      <c r="P901" s="59"/>
      <c r="Q901" s="61"/>
    </row>
    <row r="902">
      <c r="B902" s="59"/>
      <c r="D902" s="59"/>
      <c r="F902" s="59"/>
      <c r="H902" s="59"/>
      <c r="J902" s="59"/>
      <c r="L902" s="59"/>
      <c r="N902" s="59"/>
      <c r="P902" s="59"/>
      <c r="Q902" s="61"/>
    </row>
    <row r="903">
      <c r="B903" s="59"/>
      <c r="D903" s="59"/>
      <c r="F903" s="59"/>
      <c r="H903" s="59"/>
      <c r="J903" s="59"/>
      <c r="L903" s="59"/>
      <c r="N903" s="59"/>
      <c r="P903" s="59"/>
      <c r="Q903" s="61"/>
    </row>
    <row r="904">
      <c r="B904" s="59"/>
      <c r="D904" s="59"/>
      <c r="F904" s="59"/>
      <c r="H904" s="59"/>
      <c r="J904" s="59"/>
      <c r="L904" s="59"/>
      <c r="N904" s="59"/>
      <c r="P904" s="59"/>
      <c r="Q904" s="61"/>
    </row>
    <row r="905">
      <c r="B905" s="59"/>
      <c r="D905" s="59"/>
      <c r="F905" s="59"/>
      <c r="H905" s="59"/>
      <c r="J905" s="59"/>
      <c r="L905" s="59"/>
      <c r="N905" s="59"/>
      <c r="P905" s="59"/>
      <c r="Q905" s="61"/>
    </row>
    <row r="906">
      <c r="B906" s="59"/>
      <c r="D906" s="59"/>
      <c r="F906" s="59"/>
      <c r="H906" s="59"/>
      <c r="J906" s="59"/>
      <c r="L906" s="59"/>
      <c r="N906" s="59"/>
      <c r="P906" s="59"/>
      <c r="Q906" s="61"/>
    </row>
    <row r="907">
      <c r="B907" s="59"/>
      <c r="D907" s="59"/>
      <c r="F907" s="59"/>
      <c r="H907" s="59"/>
      <c r="J907" s="59"/>
      <c r="L907" s="59"/>
      <c r="N907" s="59"/>
      <c r="P907" s="59"/>
      <c r="Q907" s="61"/>
    </row>
    <row r="908">
      <c r="B908" s="59"/>
      <c r="D908" s="59"/>
      <c r="F908" s="59"/>
      <c r="H908" s="59"/>
      <c r="J908" s="59"/>
      <c r="L908" s="59"/>
      <c r="N908" s="59"/>
      <c r="P908" s="59"/>
      <c r="Q908" s="61"/>
    </row>
    <row r="909">
      <c r="B909" s="59"/>
      <c r="D909" s="59"/>
      <c r="F909" s="59"/>
      <c r="H909" s="59"/>
      <c r="J909" s="59"/>
      <c r="L909" s="59"/>
      <c r="N909" s="59"/>
      <c r="P909" s="59"/>
      <c r="Q909" s="61"/>
    </row>
    <row r="910">
      <c r="B910" s="59"/>
      <c r="D910" s="59"/>
      <c r="F910" s="59"/>
      <c r="H910" s="59"/>
      <c r="J910" s="59"/>
      <c r="L910" s="59"/>
      <c r="N910" s="59"/>
      <c r="P910" s="59"/>
      <c r="Q910" s="61"/>
    </row>
    <row r="911">
      <c r="B911" s="59"/>
      <c r="D911" s="59"/>
      <c r="F911" s="59"/>
      <c r="H911" s="59"/>
      <c r="J911" s="59"/>
      <c r="L911" s="59"/>
      <c r="N911" s="59"/>
      <c r="P911" s="59"/>
      <c r="Q911" s="61"/>
    </row>
    <row r="912">
      <c r="B912" s="59"/>
      <c r="D912" s="59"/>
      <c r="F912" s="59"/>
      <c r="H912" s="59"/>
      <c r="J912" s="59"/>
      <c r="L912" s="59"/>
      <c r="N912" s="59"/>
      <c r="P912" s="59"/>
      <c r="Q912" s="61"/>
    </row>
    <row r="913">
      <c r="B913" s="59"/>
      <c r="D913" s="59"/>
      <c r="F913" s="59"/>
      <c r="H913" s="59"/>
      <c r="J913" s="59"/>
      <c r="L913" s="59"/>
      <c r="N913" s="59"/>
      <c r="P913" s="59"/>
      <c r="Q913" s="61"/>
    </row>
    <row r="914">
      <c r="B914" s="59"/>
      <c r="D914" s="59"/>
      <c r="F914" s="59"/>
      <c r="H914" s="59"/>
      <c r="J914" s="59"/>
      <c r="L914" s="59"/>
      <c r="N914" s="59"/>
      <c r="P914" s="59"/>
      <c r="Q914" s="61"/>
    </row>
    <row r="915">
      <c r="B915" s="59"/>
      <c r="D915" s="59"/>
      <c r="F915" s="59"/>
      <c r="H915" s="59"/>
      <c r="J915" s="59"/>
      <c r="L915" s="59"/>
      <c r="N915" s="59"/>
      <c r="P915" s="59"/>
      <c r="Q915" s="61"/>
    </row>
    <row r="916">
      <c r="B916" s="59"/>
      <c r="D916" s="59"/>
      <c r="F916" s="59"/>
      <c r="H916" s="59"/>
      <c r="J916" s="59"/>
      <c r="L916" s="59"/>
      <c r="N916" s="59"/>
      <c r="P916" s="59"/>
      <c r="Q916" s="61"/>
    </row>
    <row r="917">
      <c r="B917" s="59"/>
      <c r="D917" s="59"/>
      <c r="F917" s="59"/>
      <c r="H917" s="59"/>
      <c r="J917" s="59"/>
      <c r="L917" s="59"/>
      <c r="N917" s="59"/>
      <c r="P917" s="59"/>
      <c r="Q917" s="61"/>
    </row>
    <row r="918">
      <c r="B918" s="59"/>
      <c r="D918" s="59"/>
      <c r="F918" s="59"/>
      <c r="H918" s="59"/>
      <c r="J918" s="59"/>
      <c r="L918" s="59"/>
      <c r="N918" s="59"/>
      <c r="P918" s="59"/>
      <c r="Q918" s="61"/>
    </row>
    <row r="919">
      <c r="B919" s="59"/>
      <c r="D919" s="59"/>
      <c r="F919" s="59"/>
      <c r="H919" s="59"/>
      <c r="J919" s="59"/>
      <c r="L919" s="59"/>
      <c r="N919" s="59"/>
      <c r="P919" s="59"/>
      <c r="Q919" s="61"/>
    </row>
    <row r="920">
      <c r="B920" s="59"/>
      <c r="D920" s="59"/>
      <c r="F920" s="59"/>
      <c r="H920" s="59"/>
      <c r="J920" s="59"/>
      <c r="L920" s="59"/>
      <c r="N920" s="59"/>
      <c r="P920" s="59"/>
      <c r="Q920" s="61"/>
    </row>
    <row r="921">
      <c r="B921" s="59"/>
      <c r="D921" s="59"/>
      <c r="F921" s="59"/>
      <c r="H921" s="59"/>
      <c r="J921" s="59"/>
      <c r="L921" s="59"/>
      <c r="N921" s="59"/>
      <c r="P921" s="59"/>
      <c r="Q921" s="61"/>
    </row>
    <row r="922">
      <c r="B922" s="59"/>
      <c r="D922" s="59"/>
      <c r="F922" s="59"/>
      <c r="H922" s="59"/>
      <c r="J922" s="59"/>
      <c r="L922" s="59"/>
      <c r="N922" s="59"/>
      <c r="P922" s="59"/>
      <c r="Q922" s="61"/>
    </row>
    <row r="923">
      <c r="B923" s="59"/>
      <c r="D923" s="59"/>
      <c r="F923" s="59"/>
      <c r="H923" s="59"/>
      <c r="J923" s="59"/>
      <c r="L923" s="59"/>
      <c r="N923" s="59"/>
      <c r="P923" s="59"/>
      <c r="Q923" s="61"/>
    </row>
    <row r="924">
      <c r="B924" s="59"/>
      <c r="D924" s="59"/>
      <c r="F924" s="59"/>
      <c r="H924" s="59"/>
      <c r="J924" s="59"/>
      <c r="L924" s="59"/>
      <c r="N924" s="59"/>
      <c r="P924" s="59"/>
      <c r="Q924" s="61"/>
    </row>
    <row r="925">
      <c r="B925" s="59"/>
      <c r="D925" s="59"/>
      <c r="F925" s="59"/>
      <c r="H925" s="59"/>
      <c r="J925" s="59"/>
      <c r="L925" s="59"/>
      <c r="N925" s="59"/>
      <c r="P925" s="59"/>
      <c r="Q925" s="61"/>
    </row>
    <row r="926">
      <c r="B926" s="59"/>
      <c r="D926" s="59"/>
      <c r="F926" s="59"/>
      <c r="H926" s="59"/>
      <c r="J926" s="59"/>
      <c r="L926" s="59"/>
      <c r="N926" s="59"/>
      <c r="P926" s="59"/>
      <c r="Q926" s="61"/>
    </row>
    <row r="927">
      <c r="B927" s="59"/>
      <c r="D927" s="59"/>
      <c r="F927" s="59"/>
      <c r="H927" s="59"/>
      <c r="J927" s="59"/>
      <c r="L927" s="59"/>
      <c r="N927" s="59"/>
      <c r="P927" s="59"/>
      <c r="Q927" s="61"/>
    </row>
    <row r="928">
      <c r="B928" s="59"/>
      <c r="D928" s="59"/>
      <c r="F928" s="59"/>
      <c r="H928" s="59"/>
      <c r="J928" s="59"/>
      <c r="L928" s="59"/>
      <c r="N928" s="59"/>
      <c r="P928" s="59"/>
      <c r="Q928" s="61"/>
    </row>
    <row r="929">
      <c r="B929" s="59"/>
      <c r="D929" s="59"/>
      <c r="F929" s="59"/>
      <c r="H929" s="59"/>
      <c r="J929" s="59"/>
      <c r="L929" s="59"/>
      <c r="N929" s="59"/>
      <c r="P929" s="59"/>
      <c r="Q929" s="61"/>
    </row>
    <row r="930">
      <c r="B930" s="59"/>
      <c r="D930" s="59"/>
      <c r="F930" s="59"/>
      <c r="H930" s="59"/>
      <c r="J930" s="59"/>
      <c r="L930" s="59"/>
      <c r="N930" s="59"/>
      <c r="P930" s="59"/>
      <c r="Q930" s="61"/>
    </row>
    <row r="931">
      <c r="B931" s="59"/>
      <c r="D931" s="59"/>
      <c r="F931" s="59"/>
      <c r="H931" s="59"/>
      <c r="J931" s="59"/>
      <c r="L931" s="59"/>
      <c r="N931" s="59"/>
      <c r="P931" s="59"/>
      <c r="Q931" s="61"/>
    </row>
    <row r="932">
      <c r="B932" s="59"/>
      <c r="D932" s="59"/>
      <c r="F932" s="59"/>
      <c r="H932" s="59"/>
      <c r="J932" s="59"/>
      <c r="L932" s="59"/>
      <c r="N932" s="59"/>
      <c r="P932" s="59"/>
      <c r="Q932" s="61"/>
    </row>
    <row r="933">
      <c r="B933" s="59"/>
      <c r="D933" s="59"/>
      <c r="F933" s="59"/>
      <c r="H933" s="59"/>
      <c r="J933" s="59"/>
      <c r="L933" s="59"/>
      <c r="N933" s="59"/>
      <c r="P933" s="59"/>
      <c r="Q933" s="61"/>
    </row>
    <row r="934">
      <c r="B934" s="59"/>
      <c r="D934" s="59"/>
      <c r="F934" s="59"/>
      <c r="H934" s="59"/>
      <c r="J934" s="59"/>
      <c r="L934" s="59"/>
      <c r="N934" s="59"/>
      <c r="P934" s="59"/>
      <c r="Q934" s="61"/>
    </row>
    <row r="935">
      <c r="B935" s="59"/>
      <c r="D935" s="59"/>
      <c r="F935" s="59"/>
      <c r="H935" s="59"/>
      <c r="J935" s="59"/>
      <c r="L935" s="59"/>
      <c r="N935" s="59"/>
      <c r="P935" s="59"/>
      <c r="Q935" s="61"/>
    </row>
    <row r="936">
      <c r="B936" s="59"/>
      <c r="D936" s="59"/>
      <c r="F936" s="59"/>
      <c r="H936" s="59"/>
      <c r="J936" s="59"/>
      <c r="L936" s="59"/>
      <c r="N936" s="59"/>
      <c r="P936" s="59"/>
      <c r="Q936" s="61"/>
    </row>
    <row r="937">
      <c r="B937" s="59"/>
      <c r="D937" s="59"/>
      <c r="F937" s="59"/>
      <c r="H937" s="59"/>
      <c r="J937" s="59"/>
      <c r="L937" s="59"/>
      <c r="N937" s="59"/>
      <c r="P937" s="59"/>
      <c r="Q937" s="61"/>
    </row>
    <row r="938">
      <c r="B938" s="59"/>
      <c r="D938" s="59"/>
      <c r="F938" s="59"/>
      <c r="H938" s="59"/>
      <c r="J938" s="59"/>
      <c r="L938" s="59"/>
      <c r="N938" s="59"/>
      <c r="P938" s="59"/>
      <c r="Q938" s="61"/>
    </row>
    <row r="939">
      <c r="B939" s="59"/>
      <c r="D939" s="59"/>
      <c r="F939" s="59"/>
      <c r="H939" s="59"/>
      <c r="J939" s="59"/>
      <c r="L939" s="59"/>
      <c r="N939" s="59"/>
      <c r="P939" s="59"/>
      <c r="Q939" s="61"/>
    </row>
    <row r="940">
      <c r="B940" s="59"/>
      <c r="D940" s="59"/>
      <c r="F940" s="59"/>
      <c r="H940" s="59"/>
      <c r="J940" s="59"/>
      <c r="L940" s="59"/>
      <c r="N940" s="59"/>
      <c r="P940" s="59"/>
      <c r="Q940" s="61"/>
    </row>
    <row r="941">
      <c r="B941" s="59"/>
      <c r="D941" s="59"/>
      <c r="F941" s="59"/>
      <c r="H941" s="59"/>
      <c r="J941" s="59"/>
      <c r="L941" s="59"/>
      <c r="N941" s="59"/>
      <c r="P941" s="59"/>
      <c r="Q941" s="61"/>
    </row>
    <row r="942">
      <c r="B942" s="59"/>
      <c r="D942" s="59"/>
      <c r="F942" s="59"/>
      <c r="H942" s="59"/>
      <c r="J942" s="59"/>
      <c r="L942" s="59"/>
      <c r="N942" s="59"/>
      <c r="P942" s="59"/>
      <c r="Q942" s="61"/>
    </row>
    <row r="943">
      <c r="B943" s="59"/>
      <c r="D943" s="59"/>
      <c r="F943" s="59"/>
      <c r="H943" s="59"/>
      <c r="J943" s="59"/>
      <c r="L943" s="59"/>
      <c r="N943" s="59"/>
      <c r="P943" s="59"/>
      <c r="Q943" s="61"/>
    </row>
    <row r="944">
      <c r="B944" s="59"/>
      <c r="D944" s="59"/>
      <c r="F944" s="59"/>
      <c r="H944" s="59"/>
      <c r="J944" s="59"/>
      <c r="L944" s="59"/>
      <c r="N944" s="59"/>
      <c r="P944" s="59"/>
      <c r="Q944" s="61"/>
    </row>
    <row r="945">
      <c r="B945" s="59"/>
      <c r="D945" s="59"/>
      <c r="F945" s="59"/>
      <c r="H945" s="59"/>
      <c r="J945" s="59"/>
      <c r="L945" s="59"/>
      <c r="N945" s="59"/>
      <c r="P945" s="59"/>
      <c r="Q945" s="61"/>
    </row>
    <row r="946">
      <c r="B946" s="59"/>
      <c r="D946" s="59"/>
      <c r="F946" s="59"/>
      <c r="H946" s="59"/>
      <c r="J946" s="59"/>
      <c r="L946" s="59"/>
      <c r="N946" s="59"/>
      <c r="P946" s="59"/>
      <c r="Q946" s="61"/>
    </row>
    <row r="947">
      <c r="B947" s="59"/>
      <c r="D947" s="59"/>
      <c r="F947" s="59"/>
      <c r="H947" s="59"/>
      <c r="J947" s="59"/>
      <c r="L947" s="59"/>
      <c r="N947" s="59"/>
      <c r="P947" s="59"/>
      <c r="Q947" s="61"/>
    </row>
    <row r="948">
      <c r="B948" s="59"/>
      <c r="D948" s="59"/>
      <c r="F948" s="59"/>
      <c r="H948" s="59"/>
      <c r="J948" s="59"/>
      <c r="L948" s="59"/>
      <c r="N948" s="59"/>
      <c r="P948" s="59"/>
      <c r="Q948" s="61"/>
    </row>
    <row r="949">
      <c r="B949" s="59"/>
      <c r="D949" s="59"/>
      <c r="F949" s="59"/>
      <c r="H949" s="59"/>
      <c r="J949" s="59"/>
      <c r="L949" s="59"/>
      <c r="N949" s="59"/>
      <c r="P949" s="59"/>
      <c r="Q949" s="61"/>
    </row>
    <row r="950">
      <c r="B950" s="59"/>
      <c r="D950" s="59"/>
      <c r="F950" s="59"/>
      <c r="H950" s="59"/>
      <c r="J950" s="59"/>
      <c r="L950" s="59"/>
      <c r="N950" s="59"/>
      <c r="P950" s="59"/>
      <c r="Q950" s="61"/>
    </row>
    <row r="951">
      <c r="B951" s="59"/>
      <c r="D951" s="59"/>
      <c r="F951" s="59"/>
      <c r="H951" s="59"/>
      <c r="J951" s="59"/>
      <c r="L951" s="59"/>
      <c r="N951" s="59"/>
      <c r="P951" s="59"/>
      <c r="Q951" s="61"/>
    </row>
    <row r="952">
      <c r="B952" s="59"/>
      <c r="D952" s="59"/>
      <c r="F952" s="59"/>
      <c r="H952" s="59"/>
      <c r="J952" s="59"/>
      <c r="L952" s="59"/>
      <c r="N952" s="59"/>
      <c r="P952" s="59"/>
      <c r="Q952" s="61"/>
    </row>
    <row r="953">
      <c r="B953" s="59"/>
      <c r="D953" s="59"/>
      <c r="F953" s="59"/>
      <c r="H953" s="59"/>
      <c r="J953" s="59"/>
      <c r="L953" s="59"/>
      <c r="N953" s="59"/>
      <c r="P953" s="59"/>
      <c r="Q953" s="61"/>
    </row>
    <row r="954">
      <c r="B954" s="59"/>
      <c r="D954" s="59"/>
      <c r="F954" s="59"/>
      <c r="H954" s="59"/>
      <c r="J954" s="59"/>
      <c r="L954" s="59"/>
      <c r="N954" s="59"/>
      <c r="P954" s="59"/>
      <c r="Q954" s="61"/>
    </row>
    <row r="955">
      <c r="B955" s="59"/>
      <c r="D955" s="59"/>
      <c r="F955" s="59"/>
      <c r="H955" s="59"/>
      <c r="J955" s="59"/>
      <c r="L955" s="59"/>
      <c r="N955" s="59"/>
      <c r="P955" s="59"/>
      <c r="Q955" s="61"/>
    </row>
    <row r="956">
      <c r="B956" s="59"/>
      <c r="D956" s="59"/>
      <c r="F956" s="59"/>
      <c r="H956" s="59"/>
      <c r="J956" s="59"/>
      <c r="L956" s="59"/>
      <c r="N956" s="59"/>
      <c r="P956" s="59"/>
      <c r="Q956" s="61"/>
    </row>
    <row r="957">
      <c r="B957" s="59"/>
      <c r="D957" s="59"/>
      <c r="F957" s="59"/>
      <c r="H957" s="59"/>
      <c r="J957" s="59"/>
      <c r="L957" s="59"/>
      <c r="N957" s="59"/>
      <c r="P957" s="59"/>
      <c r="Q957" s="61"/>
    </row>
    <row r="958">
      <c r="B958" s="59"/>
      <c r="D958" s="59"/>
      <c r="F958" s="59"/>
      <c r="H958" s="59"/>
      <c r="J958" s="59"/>
      <c r="L958" s="59"/>
      <c r="N958" s="59"/>
      <c r="P958" s="59"/>
      <c r="Q958" s="61"/>
    </row>
    <row r="959">
      <c r="B959" s="59"/>
      <c r="D959" s="59"/>
      <c r="F959" s="59"/>
      <c r="H959" s="59"/>
      <c r="J959" s="59"/>
      <c r="L959" s="59"/>
      <c r="N959" s="59"/>
      <c r="P959" s="59"/>
      <c r="Q959" s="61"/>
    </row>
    <row r="960">
      <c r="B960" s="59"/>
      <c r="D960" s="59"/>
      <c r="F960" s="59"/>
      <c r="H960" s="59"/>
      <c r="J960" s="59"/>
      <c r="L960" s="59"/>
      <c r="N960" s="59"/>
      <c r="P960" s="59"/>
      <c r="Q960" s="61"/>
    </row>
    <row r="961">
      <c r="B961" s="59"/>
      <c r="D961" s="59"/>
      <c r="F961" s="59"/>
      <c r="H961" s="59"/>
      <c r="J961" s="59"/>
      <c r="L961" s="59"/>
      <c r="N961" s="59"/>
      <c r="P961" s="59"/>
      <c r="Q961" s="61"/>
    </row>
    <row r="962">
      <c r="B962" s="59"/>
      <c r="D962" s="59"/>
      <c r="F962" s="59"/>
      <c r="H962" s="59"/>
      <c r="J962" s="59"/>
      <c r="L962" s="59"/>
      <c r="N962" s="59"/>
      <c r="P962" s="59"/>
      <c r="Q962" s="61"/>
    </row>
    <row r="963">
      <c r="B963" s="59"/>
      <c r="D963" s="59"/>
      <c r="F963" s="59"/>
      <c r="H963" s="59"/>
      <c r="J963" s="59"/>
      <c r="L963" s="59"/>
      <c r="N963" s="59"/>
      <c r="P963" s="59"/>
      <c r="Q963" s="61"/>
    </row>
    <row r="964">
      <c r="B964" s="59"/>
      <c r="D964" s="59"/>
      <c r="F964" s="59"/>
      <c r="H964" s="59"/>
      <c r="J964" s="59"/>
      <c r="L964" s="59"/>
      <c r="N964" s="59"/>
      <c r="P964" s="59"/>
      <c r="Q964" s="61"/>
    </row>
    <row r="965">
      <c r="B965" s="59"/>
      <c r="D965" s="59"/>
      <c r="F965" s="59"/>
      <c r="H965" s="59"/>
      <c r="J965" s="59"/>
      <c r="L965" s="59"/>
      <c r="N965" s="59"/>
      <c r="P965" s="59"/>
      <c r="Q965" s="61"/>
    </row>
    <row r="966">
      <c r="B966" s="59"/>
      <c r="D966" s="59"/>
      <c r="F966" s="59"/>
      <c r="H966" s="59"/>
      <c r="J966" s="59"/>
      <c r="L966" s="59"/>
      <c r="N966" s="59"/>
      <c r="P966" s="59"/>
      <c r="Q966" s="61"/>
    </row>
    <row r="967">
      <c r="B967" s="59"/>
      <c r="D967" s="59"/>
      <c r="F967" s="59"/>
      <c r="H967" s="59"/>
      <c r="J967" s="59"/>
      <c r="L967" s="59"/>
      <c r="N967" s="59"/>
      <c r="P967" s="59"/>
      <c r="Q967" s="61"/>
    </row>
    <row r="968">
      <c r="B968" s="59"/>
      <c r="D968" s="59"/>
      <c r="F968" s="59"/>
      <c r="H968" s="59"/>
      <c r="J968" s="59"/>
      <c r="L968" s="59"/>
      <c r="N968" s="59"/>
      <c r="P968" s="59"/>
      <c r="Q968" s="61"/>
    </row>
    <row r="969">
      <c r="B969" s="59"/>
      <c r="D969" s="59"/>
      <c r="F969" s="59"/>
      <c r="H969" s="59"/>
      <c r="J969" s="59"/>
      <c r="L969" s="59"/>
      <c r="N969" s="59"/>
      <c r="P969" s="59"/>
      <c r="Q969" s="61"/>
    </row>
    <row r="970">
      <c r="B970" s="59"/>
      <c r="D970" s="59"/>
      <c r="F970" s="59"/>
      <c r="H970" s="59"/>
      <c r="J970" s="59"/>
      <c r="L970" s="59"/>
      <c r="N970" s="59"/>
      <c r="P970" s="59"/>
      <c r="Q970" s="61"/>
    </row>
    <row r="971">
      <c r="B971" s="59"/>
      <c r="D971" s="59"/>
      <c r="F971" s="59"/>
      <c r="H971" s="59"/>
      <c r="J971" s="59"/>
      <c r="L971" s="59"/>
      <c r="N971" s="59"/>
      <c r="P971" s="59"/>
      <c r="Q971" s="61"/>
    </row>
    <row r="972">
      <c r="B972" s="59"/>
      <c r="D972" s="59"/>
      <c r="F972" s="59"/>
      <c r="H972" s="59"/>
      <c r="J972" s="59"/>
      <c r="L972" s="59"/>
      <c r="N972" s="59"/>
      <c r="P972" s="59"/>
      <c r="Q972" s="61"/>
    </row>
    <row r="973">
      <c r="B973" s="59"/>
      <c r="D973" s="59"/>
      <c r="F973" s="59"/>
      <c r="H973" s="59"/>
      <c r="J973" s="59"/>
      <c r="L973" s="59"/>
      <c r="N973" s="59"/>
      <c r="P973" s="59"/>
      <c r="Q973" s="61"/>
    </row>
    <row r="974">
      <c r="B974" s="59"/>
      <c r="D974" s="59"/>
      <c r="F974" s="59"/>
      <c r="H974" s="59"/>
      <c r="J974" s="59"/>
      <c r="L974" s="59"/>
      <c r="N974" s="59"/>
      <c r="P974" s="59"/>
      <c r="Q974" s="61"/>
    </row>
    <row r="975">
      <c r="B975" s="59"/>
      <c r="D975" s="59"/>
      <c r="F975" s="59"/>
      <c r="H975" s="59"/>
      <c r="J975" s="59"/>
      <c r="L975" s="59"/>
      <c r="N975" s="59"/>
      <c r="P975" s="59"/>
      <c r="Q975" s="61"/>
    </row>
    <row r="976">
      <c r="B976" s="59"/>
      <c r="D976" s="59"/>
      <c r="F976" s="59"/>
      <c r="H976" s="59"/>
      <c r="J976" s="59"/>
      <c r="L976" s="59"/>
      <c r="N976" s="59"/>
      <c r="P976" s="59"/>
      <c r="Q976" s="61"/>
    </row>
    <row r="977">
      <c r="B977" s="59"/>
      <c r="D977" s="59"/>
      <c r="F977" s="59"/>
      <c r="H977" s="59"/>
      <c r="J977" s="59"/>
      <c r="L977" s="59"/>
      <c r="N977" s="59"/>
      <c r="P977" s="59"/>
      <c r="Q977" s="61"/>
    </row>
    <row r="978">
      <c r="B978" s="59"/>
      <c r="D978" s="59"/>
      <c r="F978" s="59"/>
      <c r="H978" s="59"/>
      <c r="J978" s="59"/>
      <c r="L978" s="59"/>
      <c r="N978" s="59"/>
      <c r="P978" s="59"/>
      <c r="Q978" s="61"/>
    </row>
    <row r="979">
      <c r="B979" s="59"/>
      <c r="D979" s="59"/>
      <c r="F979" s="59"/>
      <c r="H979" s="59"/>
      <c r="J979" s="59"/>
      <c r="L979" s="59"/>
      <c r="N979" s="59"/>
      <c r="P979" s="59"/>
      <c r="Q979" s="61"/>
    </row>
    <row r="980">
      <c r="B980" s="59"/>
      <c r="D980" s="59"/>
      <c r="F980" s="59"/>
      <c r="H980" s="59"/>
      <c r="J980" s="59"/>
      <c r="L980" s="59"/>
      <c r="N980" s="59"/>
      <c r="P980" s="59"/>
      <c r="Q980" s="61"/>
    </row>
    <row r="981">
      <c r="B981" s="59"/>
      <c r="D981" s="59"/>
      <c r="F981" s="59"/>
      <c r="H981" s="59"/>
      <c r="J981" s="59"/>
      <c r="L981" s="59"/>
      <c r="N981" s="59"/>
      <c r="P981" s="59"/>
      <c r="Q981" s="61"/>
    </row>
    <row r="982">
      <c r="B982" s="59"/>
      <c r="D982" s="59"/>
      <c r="F982" s="59"/>
      <c r="H982" s="59"/>
      <c r="J982" s="59"/>
      <c r="L982" s="59"/>
      <c r="N982" s="59"/>
      <c r="P982" s="59"/>
      <c r="Q982" s="61"/>
    </row>
    <row r="983">
      <c r="B983" s="59"/>
      <c r="D983" s="59"/>
      <c r="F983" s="59"/>
      <c r="H983" s="59"/>
      <c r="J983" s="59"/>
      <c r="L983" s="59"/>
      <c r="N983" s="59"/>
      <c r="P983" s="59"/>
      <c r="Q983" s="61"/>
    </row>
    <row r="984">
      <c r="B984" s="59"/>
      <c r="D984" s="59"/>
      <c r="F984" s="59"/>
      <c r="H984" s="59"/>
      <c r="J984" s="59"/>
      <c r="L984" s="59"/>
      <c r="N984" s="59"/>
      <c r="P984" s="59"/>
      <c r="Q984" s="61"/>
    </row>
    <row r="985">
      <c r="B985" s="59"/>
      <c r="D985" s="59"/>
      <c r="F985" s="59"/>
      <c r="H985" s="59"/>
      <c r="J985" s="59"/>
      <c r="L985" s="59"/>
      <c r="N985" s="59"/>
      <c r="P985" s="59"/>
      <c r="Q985" s="61"/>
    </row>
    <row r="986">
      <c r="B986" s="59"/>
      <c r="D986" s="59"/>
      <c r="F986" s="59"/>
      <c r="H986" s="59"/>
      <c r="J986" s="59"/>
      <c r="L986" s="59"/>
      <c r="N986" s="59"/>
      <c r="P986" s="59"/>
      <c r="Q986" s="61"/>
    </row>
    <row r="987">
      <c r="B987" s="59"/>
      <c r="D987" s="59"/>
      <c r="F987" s="59"/>
      <c r="H987" s="59"/>
      <c r="J987" s="59"/>
      <c r="L987" s="59"/>
      <c r="N987" s="59"/>
      <c r="P987" s="59"/>
      <c r="Q987" s="61"/>
    </row>
    <row r="988">
      <c r="B988" s="59"/>
      <c r="D988" s="59"/>
      <c r="F988" s="59"/>
      <c r="H988" s="59"/>
      <c r="J988" s="59"/>
      <c r="L988" s="59"/>
      <c r="N988" s="59"/>
      <c r="P988" s="59"/>
      <c r="Q988" s="61"/>
    </row>
    <row r="989">
      <c r="B989" s="59"/>
      <c r="D989" s="59"/>
      <c r="F989" s="59"/>
      <c r="H989" s="59"/>
      <c r="J989" s="59"/>
      <c r="L989" s="59"/>
      <c r="N989" s="59"/>
      <c r="P989" s="59"/>
      <c r="Q989" s="61"/>
    </row>
    <row r="990">
      <c r="B990" s="59"/>
      <c r="D990" s="59"/>
      <c r="F990" s="59"/>
      <c r="H990" s="59"/>
      <c r="J990" s="59"/>
      <c r="L990" s="59"/>
      <c r="N990" s="59"/>
      <c r="P990" s="59"/>
      <c r="Q990" s="61"/>
    </row>
    <row r="991">
      <c r="B991" s="59"/>
      <c r="D991" s="59"/>
      <c r="F991" s="59"/>
      <c r="H991" s="59"/>
      <c r="J991" s="59"/>
      <c r="L991" s="59"/>
      <c r="N991" s="59"/>
      <c r="P991" s="59"/>
      <c r="Q991" s="61"/>
    </row>
    <row r="992">
      <c r="B992" s="59"/>
      <c r="D992" s="59"/>
      <c r="F992" s="59"/>
      <c r="H992" s="59"/>
      <c r="J992" s="59"/>
      <c r="L992" s="59"/>
      <c r="N992" s="59"/>
      <c r="P992" s="59"/>
      <c r="Q992" s="61"/>
    </row>
    <row r="993">
      <c r="B993" s="59"/>
      <c r="D993" s="59"/>
      <c r="F993" s="59"/>
      <c r="H993" s="59"/>
      <c r="J993" s="59"/>
      <c r="L993" s="59"/>
      <c r="N993" s="59"/>
      <c r="P993" s="59"/>
      <c r="Q993" s="61"/>
    </row>
    <row r="994">
      <c r="B994" s="59"/>
      <c r="D994" s="59"/>
      <c r="F994" s="59"/>
      <c r="H994" s="59"/>
      <c r="J994" s="59"/>
      <c r="L994" s="59"/>
      <c r="N994" s="59"/>
      <c r="P994" s="59"/>
      <c r="Q994" s="61"/>
    </row>
    <row r="995">
      <c r="B995" s="59"/>
      <c r="D995" s="59"/>
      <c r="F995" s="59"/>
      <c r="H995" s="59"/>
      <c r="J995" s="59"/>
      <c r="L995" s="59"/>
      <c r="N995" s="59"/>
      <c r="P995" s="59"/>
      <c r="Q995" s="61"/>
    </row>
    <row r="996">
      <c r="B996" s="59"/>
      <c r="D996" s="59"/>
      <c r="F996" s="59"/>
      <c r="H996" s="59"/>
      <c r="J996" s="59"/>
      <c r="L996" s="59"/>
      <c r="N996" s="59"/>
      <c r="P996" s="59"/>
      <c r="Q996" s="61"/>
    </row>
    <row r="997">
      <c r="B997" s="59"/>
      <c r="D997" s="59"/>
      <c r="F997" s="59"/>
      <c r="H997" s="59"/>
      <c r="J997" s="59"/>
      <c r="L997" s="59"/>
      <c r="N997" s="59"/>
      <c r="P997" s="59"/>
      <c r="Q997" s="61"/>
    </row>
    <row r="998">
      <c r="B998" s="59"/>
      <c r="D998" s="59"/>
      <c r="F998" s="59"/>
      <c r="H998" s="59"/>
      <c r="J998" s="59"/>
      <c r="L998" s="59"/>
      <c r="N998" s="59"/>
      <c r="P998" s="59"/>
      <c r="Q998" s="61"/>
    </row>
    <row r="999">
      <c r="B999" s="59"/>
      <c r="D999" s="59"/>
      <c r="F999" s="59"/>
      <c r="H999" s="59"/>
      <c r="J999" s="59"/>
      <c r="L999" s="59"/>
      <c r="N999" s="59"/>
      <c r="P999" s="59"/>
      <c r="Q999" s="61"/>
    </row>
    <row r="1000">
      <c r="B1000" s="59"/>
      <c r="D1000" s="59"/>
      <c r="F1000" s="59"/>
      <c r="H1000" s="59"/>
      <c r="J1000" s="59"/>
      <c r="L1000" s="59"/>
      <c r="N1000" s="59"/>
      <c r="P1000" s="59"/>
      <c r="Q1000" s="6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5"/>
    <col customWidth="1" min="3" max="3" width="14.0"/>
    <col customWidth="1" min="5" max="5" width="20.75"/>
    <col customWidth="1" min="8" max="8" width="15.63"/>
    <col customWidth="1" min="15" max="16" width="21.75"/>
  </cols>
  <sheetData>
    <row r="1">
      <c r="A1" s="29" t="s">
        <v>29</v>
      </c>
      <c r="B1" s="30" t="s">
        <v>30</v>
      </c>
      <c r="C1" s="31" t="s">
        <v>31</v>
      </c>
      <c r="D1" s="30" t="s">
        <v>32</v>
      </c>
      <c r="E1" s="31" t="s">
        <v>33</v>
      </c>
      <c r="F1" s="30" t="s">
        <v>34</v>
      </c>
      <c r="G1" s="31" t="s">
        <v>35</v>
      </c>
      <c r="H1" s="32" t="s">
        <v>36</v>
      </c>
      <c r="I1" s="33" t="s">
        <v>37</v>
      </c>
      <c r="J1" s="30" t="s">
        <v>38</v>
      </c>
      <c r="K1" s="33" t="s">
        <v>39</v>
      </c>
      <c r="L1" s="30" t="s">
        <v>38</v>
      </c>
      <c r="M1" s="31" t="s">
        <v>40</v>
      </c>
      <c r="N1" s="30" t="s">
        <v>41</v>
      </c>
      <c r="O1" s="176" t="s">
        <v>460</v>
      </c>
      <c r="P1" s="176" t="s">
        <v>461</v>
      </c>
      <c r="Q1" s="34" t="s">
        <v>43</v>
      </c>
      <c r="R1" s="35">
        <f>SUM(H2:H27)</f>
        <v>1579.94</v>
      </c>
    </row>
    <row r="2">
      <c r="A2" s="17" t="s">
        <v>462</v>
      </c>
      <c r="B2" s="57"/>
      <c r="D2" s="81"/>
      <c r="F2" s="81" t="s">
        <v>463</v>
      </c>
      <c r="G2" s="22">
        <v>69.24</v>
      </c>
      <c r="H2" s="22">
        <v>69.24</v>
      </c>
      <c r="I2" s="17" t="s">
        <v>464</v>
      </c>
      <c r="J2" s="81" t="s">
        <v>241</v>
      </c>
      <c r="K2" s="17" t="s">
        <v>465</v>
      </c>
      <c r="L2" s="81" t="s">
        <v>241</v>
      </c>
      <c r="M2" s="17">
        <v>4709138.0</v>
      </c>
      <c r="N2" s="59"/>
      <c r="O2" s="158">
        <v>2155718.0</v>
      </c>
      <c r="Q2" s="59"/>
      <c r="R2" s="61"/>
    </row>
    <row r="3">
      <c r="A3" s="132" t="s">
        <v>466</v>
      </c>
      <c r="B3" s="177" t="s">
        <v>467</v>
      </c>
      <c r="C3" s="141" t="s">
        <v>404</v>
      </c>
      <c r="D3" s="81">
        <v>1.0</v>
      </c>
      <c r="E3" s="17" t="s">
        <v>468</v>
      </c>
      <c r="F3" s="81" t="s">
        <v>468</v>
      </c>
      <c r="G3" s="22">
        <v>595.0</v>
      </c>
      <c r="H3" s="22">
        <v>595.0</v>
      </c>
      <c r="I3" s="17" t="s">
        <v>469</v>
      </c>
      <c r="J3" s="81" t="s">
        <v>241</v>
      </c>
      <c r="K3" s="17" t="s">
        <v>470</v>
      </c>
      <c r="L3" s="81" t="s">
        <v>241</v>
      </c>
      <c r="M3" s="17">
        <v>4721414.0</v>
      </c>
      <c r="N3" s="59"/>
      <c r="O3" s="17" t="s">
        <v>471</v>
      </c>
      <c r="P3" s="86" t="s">
        <v>472</v>
      </c>
      <c r="Q3" s="59"/>
      <c r="R3" s="61"/>
    </row>
    <row r="4">
      <c r="A4" s="17" t="s">
        <v>473</v>
      </c>
      <c r="B4" s="84">
        <v>4489.0</v>
      </c>
      <c r="C4" s="17">
        <v>200.0</v>
      </c>
      <c r="D4" s="81">
        <v>1.0</v>
      </c>
      <c r="E4" s="17" t="s">
        <v>167</v>
      </c>
      <c r="F4" s="81" t="s">
        <v>474</v>
      </c>
      <c r="G4" s="22">
        <v>48.0</v>
      </c>
      <c r="H4" s="22">
        <v>48.0</v>
      </c>
      <c r="I4" s="17" t="s">
        <v>469</v>
      </c>
      <c r="J4" s="81" t="s">
        <v>241</v>
      </c>
      <c r="K4" s="17" t="s">
        <v>469</v>
      </c>
      <c r="L4" s="81" t="s">
        <v>241</v>
      </c>
      <c r="M4" s="17">
        <v>4721414.0</v>
      </c>
      <c r="N4" s="81" t="s">
        <v>172</v>
      </c>
      <c r="O4" s="158">
        <v>2157119.0</v>
      </c>
      <c r="P4" s="86" t="s">
        <v>475</v>
      </c>
      <c r="Q4" s="59"/>
      <c r="R4" s="61"/>
    </row>
    <row r="5">
      <c r="A5" s="17" t="s">
        <v>476</v>
      </c>
      <c r="B5" s="84" t="s">
        <v>477</v>
      </c>
      <c r="C5" s="17" t="s">
        <v>478</v>
      </c>
      <c r="D5" s="81">
        <v>1.0</v>
      </c>
      <c r="E5" s="17" t="s">
        <v>479</v>
      </c>
      <c r="F5" s="81" t="s">
        <v>480</v>
      </c>
      <c r="G5" s="22">
        <v>98.0</v>
      </c>
      <c r="H5" s="22">
        <v>98.0</v>
      </c>
      <c r="I5" s="17" t="s">
        <v>469</v>
      </c>
      <c r="J5" s="81" t="s">
        <v>241</v>
      </c>
      <c r="K5" s="17" t="s">
        <v>481</v>
      </c>
      <c r="L5" s="81" t="s">
        <v>241</v>
      </c>
      <c r="M5" s="17">
        <v>4721414.0</v>
      </c>
      <c r="N5" s="59"/>
      <c r="O5" s="158">
        <v>2157097.0</v>
      </c>
      <c r="P5" s="86" t="s">
        <v>482</v>
      </c>
      <c r="Q5" s="59"/>
      <c r="R5" s="61"/>
    </row>
    <row r="6">
      <c r="A6" s="17" t="s">
        <v>483</v>
      </c>
      <c r="B6" s="84" t="s">
        <v>484</v>
      </c>
      <c r="C6" s="17" t="s">
        <v>244</v>
      </c>
      <c r="D6" s="81">
        <v>1.0</v>
      </c>
      <c r="E6" s="17" t="s">
        <v>245</v>
      </c>
      <c r="F6" s="81" t="s">
        <v>480</v>
      </c>
      <c r="G6" s="22">
        <v>643.0</v>
      </c>
      <c r="H6" s="22">
        <v>643.0</v>
      </c>
      <c r="I6" s="17" t="s">
        <v>469</v>
      </c>
      <c r="J6" s="81" t="s">
        <v>241</v>
      </c>
      <c r="K6" s="17" t="s">
        <v>485</v>
      </c>
      <c r="L6" s="81" t="s">
        <v>241</v>
      </c>
      <c r="M6" s="17">
        <v>4721414.0</v>
      </c>
      <c r="N6" s="81" t="s">
        <v>486</v>
      </c>
      <c r="O6" s="158">
        <v>2157341.0</v>
      </c>
      <c r="P6" s="86" t="s">
        <v>487</v>
      </c>
      <c r="Q6" s="59"/>
      <c r="R6" s="61"/>
    </row>
    <row r="7">
      <c r="A7" s="17" t="s">
        <v>488</v>
      </c>
      <c r="B7" s="84">
        <v>1.7192182E7</v>
      </c>
      <c r="C7" s="17" t="s">
        <v>489</v>
      </c>
      <c r="D7" s="81">
        <v>1.0</v>
      </c>
      <c r="E7" s="17" t="s">
        <v>490</v>
      </c>
      <c r="F7" s="81" t="s">
        <v>491</v>
      </c>
      <c r="G7" s="22">
        <v>12.67</v>
      </c>
      <c r="H7" s="22">
        <f>G7*10</f>
        <v>126.7</v>
      </c>
      <c r="I7" s="17" t="s">
        <v>485</v>
      </c>
      <c r="J7" s="81" t="s">
        <v>241</v>
      </c>
      <c r="K7" s="17" t="s">
        <v>492</v>
      </c>
      <c r="L7" s="81" t="s">
        <v>83</v>
      </c>
      <c r="M7" s="17">
        <v>7.3040001E7</v>
      </c>
      <c r="N7" s="81" t="s">
        <v>172</v>
      </c>
      <c r="O7" s="158">
        <v>2158156.0</v>
      </c>
      <c r="P7" s="86" t="s">
        <v>493</v>
      </c>
      <c r="Q7" s="59"/>
      <c r="R7" s="61"/>
    </row>
    <row r="8">
      <c r="B8" s="57"/>
      <c r="D8" s="59"/>
      <c r="F8" s="59"/>
      <c r="G8" s="22"/>
      <c r="H8" s="22"/>
      <c r="J8" s="59"/>
      <c r="L8" s="59"/>
      <c r="M8" s="17"/>
      <c r="N8" s="59"/>
      <c r="O8" s="158">
        <v>2161443.0</v>
      </c>
      <c r="Q8" s="59"/>
      <c r="R8" s="61"/>
    </row>
    <row r="9">
      <c r="B9" s="57"/>
      <c r="D9" s="59"/>
      <c r="F9" s="59"/>
      <c r="G9" s="22"/>
      <c r="H9" s="22"/>
      <c r="J9" s="59"/>
      <c r="L9" s="59"/>
      <c r="M9" s="17"/>
      <c r="N9" s="59"/>
      <c r="Q9" s="59"/>
      <c r="R9" s="61"/>
    </row>
    <row r="10">
      <c r="B10" s="57"/>
      <c r="D10" s="59"/>
      <c r="F10" s="59"/>
      <c r="G10" s="22"/>
      <c r="H10" s="22"/>
      <c r="J10" s="59"/>
      <c r="L10" s="59"/>
      <c r="M10" s="17"/>
      <c r="N10" s="59"/>
      <c r="Q10" s="59"/>
      <c r="R10" s="61"/>
    </row>
    <row r="11">
      <c r="B11" s="57"/>
      <c r="D11" s="59"/>
      <c r="F11" s="59"/>
      <c r="G11" s="22"/>
      <c r="H11" s="22"/>
      <c r="J11" s="59"/>
      <c r="L11" s="59"/>
      <c r="M11" s="17"/>
      <c r="N11" s="59"/>
      <c r="Q11" s="59"/>
      <c r="R11" s="61"/>
    </row>
    <row r="12">
      <c r="B12" s="57"/>
      <c r="D12" s="59"/>
      <c r="F12" s="59"/>
      <c r="G12" s="22"/>
      <c r="H12" s="22"/>
      <c r="J12" s="59"/>
      <c r="L12" s="59"/>
      <c r="M12" s="17"/>
      <c r="N12" s="59"/>
      <c r="Q12" s="59"/>
      <c r="R12" s="61"/>
    </row>
    <row r="13">
      <c r="B13" s="57"/>
      <c r="D13" s="59"/>
      <c r="F13" s="59"/>
      <c r="G13" s="22"/>
      <c r="H13" s="22"/>
      <c r="J13" s="59"/>
      <c r="L13" s="59"/>
      <c r="M13" s="17"/>
      <c r="N13" s="59"/>
      <c r="Q13" s="59"/>
      <c r="R13" s="61"/>
    </row>
    <row r="14">
      <c r="B14" s="57"/>
      <c r="D14" s="59"/>
      <c r="F14" s="59"/>
      <c r="G14" s="22"/>
      <c r="H14" s="22"/>
      <c r="J14" s="59"/>
      <c r="L14" s="59"/>
      <c r="M14" s="17"/>
      <c r="N14" s="59"/>
      <c r="Q14" s="59"/>
      <c r="R14" s="61"/>
    </row>
    <row r="15">
      <c r="B15" s="57"/>
      <c r="D15" s="59"/>
      <c r="F15" s="59"/>
      <c r="G15" s="22"/>
      <c r="H15" s="22"/>
      <c r="J15" s="59"/>
      <c r="L15" s="59"/>
      <c r="M15" s="17"/>
      <c r="N15" s="59"/>
      <c r="Q15" s="59"/>
      <c r="R15" s="61"/>
    </row>
    <row r="16">
      <c r="B16" s="57"/>
      <c r="D16" s="59"/>
      <c r="F16" s="59"/>
      <c r="G16" s="22"/>
      <c r="H16" s="22"/>
      <c r="J16" s="59"/>
      <c r="L16" s="59"/>
      <c r="M16" s="17"/>
      <c r="N16" s="59"/>
      <c r="Q16" s="59"/>
      <c r="R16" s="61"/>
    </row>
    <row r="17">
      <c r="B17" s="57"/>
      <c r="D17" s="59"/>
      <c r="F17" s="59"/>
      <c r="G17" s="22"/>
      <c r="H17" s="22"/>
      <c r="J17" s="59"/>
      <c r="L17" s="59"/>
      <c r="M17" s="17"/>
      <c r="N17" s="59"/>
      <c r="Q17" s="59"/>
      <c r="R17" s="61"/>
    </row>
    <row r="18">
      <c r="B18" s="57"/>
      <c r="D18" s="59"/>
      <c r="F18" s="59"/>
      <c r="G18" s="22"/>
      <c r="H18" s="22"/>
      <c r="J18" s="59"/>
      <c r="L18" s="59"/>
      <c r="M18" s="17"/>
      <c r="N18" s="59"/>
      <c r="Q18" s="59"/>
      <c r="R18" s="61"/>
    </row>
    <row r="19">
      <c r="B19" s="57"/>
      <c r="D19" s="59"/>
      <c r="F19" s="59"/>
      <c r="G19" s="22"/>
      <c r="H19" s="22"/>
      <c r="J19" s="59"/>
      <c r="L19" s="59"/>
      <c r="M19" s="17"/>
      <c r="N19" s="59"/>
      <c r="Q19" s="59"/>
      <c r="R19" s="61"/>
    </row>
    <row r="20">
      <c r="B20" s="57"/>
      <c r="D20" s="59"/>
      <c r="F20" s="59"/>
      <c r="G20" s="22"/>
      <c r="H20" s="22"/>
      <c r="J20" s="59"/>
      <c r="L20" s="59"/>
      <c r="M20" s="17"/>
      <c r="N20" s="59"/>
      <c r="Q20" s="59"/>
      <c r="R20" s="61"/>
    </row>
    <row r="21">
      <c r="B21" s="57"/>
      <c r="D21" s="59"/>
      <c r="F21" s="59"/>
      <c r="G21" s="22"/>
      <c r="H21" s="22"/>
      <c r="J21" s="59"/>
      <c r="L21" s="59"/>
      <c r="M21" s="17"/>
      <c r="N21" s="59"/>
      <c r="Q21" s="59"/>
      <c r="R21" s="61"/>
    </row>
    <row r="22">
      <c r="B22" s="57"/>
      <c r="D22" s="59"/>
      <c r="F22" s="59"/>
      <c r="G22" s="22"/>
      <c r="H22" s="22"/>
      <c r="J22" s="59"/>
      <c r="L22" s="59"/>
      <c r="M22" s="17"/>
      <c r="N22" s="59"/>
      <c r="Q22" s="59"/>
      <c r="R22" s="61"/>
    </row>
    <row r="23">
      <c r="B23" s="57"/>
      <c r="D23" s="59"/>
      <c r="F23" s="59"/>
      <c r="G23" s="22"/>
      <c r="H23" s="22"/>
      <c r="J23" s="59"/>
      <c r="L23" s="59"/>
      <c r="M23" s="17"/>
      <c r="N23" s="59"/>
      <c r="Q23" s="59"/>
      <c r="R23" s="61"/>
    </row>
    <row r="24">
      <c r="B24" s="57"/>
      <c r="D24" s="59"/>
      <c r="F24" s="59"/>
      <c r="G24" s="22"/>
      <c r="H24" s="22"/>
      <c r="J24" s="59"/>
      <c r="L24" s="59"/>
      <c r="N24" s="59"/>
      <c r="Q24" s="59"/>
      <c r="R24" s="61"/>
    </row>
    <row r="25">
      <c r="B25" s="57"/>
      <c r="D25" s="59"/>
      <c r="F25" s="59"/>
      <c r="G25" s="22"/>
      <c r="H25" s="22"/>
      <c r="J25" s="59"/>
      <c r="L25" s="59"/>
      <c r="N25" s="59"/>
      <c r="Q25" s="59"/>
      <c r="R25" s="61"/>
    </row>
    <row r="26">
      <c r="B26" s="57"/>
      <c r="D26" s="59"/>
      <c r="F26" s="59"/>
      <c r="G26" s="22"/>
      <c r="H26" s="22"/>
      <c r="J26" s="59"/>
      <c r="L26" s="59"/>
      <c r="N26" s="59"/>
      <c r="Q26" s="59"/>
      <c r="R26" s="61"/>
    </row>
    <row r="27">
      <c r="B27" s="57"/>
      <c r="D27" s="59"/>
      <c r="F27" s="59"/>
      <c r="G27" s="22"/>
      <c r="H27" s="22"/>
      <c r="J27" s="59"/>
      <c r="L27" s="59"/>
      <c r="N27" s="59"/>
      <c r="Q27" s="59"/>
      <c r="R27" s="61"/>
    </row>
    <row r="28">
      <c r="B28" s="57"/>
      <c r="D28" s="59"/>
      <c r="F28" s="59"/>
      <c r="G28" s="22"/>
      <c r="H28" s="22"/>
      <c r="J28" s="59"/>
      <c r="L28" s="59"/>
      <c r="N28" s="59"/>
      <c r="Q28" s="59"/>
      <c r="R28" s="61"/>
    </row>
    <row r="29">
      <c r="B29" s="57"/>
      <c r="D29" s="59"/>
      <c r="F29" s="59"/>
      <c r="G29" s="22"/>
      <c r="H29" s="22"/>
      <c r="J29" s="59"/>
      <c r="L29" s="59"/>
      <c r="N29" s="59"/>
      <c r="Q29" s="59"/>
      <c r="R29" s="61"/>
    </row>
    <row r="30">
      <c r="B30" s="59"/>
      <c r="D30" s="59"/>
      <c r="F30" s="59"/>
      <c r="G30" s="22"/>
      <c r="H30" s="22"/>
      <c r="J30" s="59"/>
      <c r="L30" s="59"/>
      <c r="N30" s="59"/>
      <c r="Q30" s="59"/>
      <c r="R30" s="61"/>
    </row>
    <row r="31">
      <c r="B31" s="59"/>
      <c r="D31" s="59"/>
      <c r="F31" s="59"/>
      <c r="G31" s="22"/>
      <c r="H31" s="22"/>
      <c r="J31" s="59"/>
      <c r="L31" s="59"/>
      <c r="N31" s="59"/>
      <c r="Q31" s="59"/>
      <c r="R31" s="61"/>
    </row>
    <row r="32">
      <c r="B32" s="59"/>
      <c r="D32" s="59"/>
      <c r="F32" s="59"/>
      <c r="G32" s="22"/>
      <c r="H32" s="22"/>
      <c r="J32" s="59"/>
      <c r="L32" s="59"/>
      <c r="N32" s="59"/>
      <c r="Q32" s="59"/>
      <c r="R32" s="61"/>
    </row>
    <row r="33">
      <c r="B33" s="59"/>
      <c r="D33" s="59"/>
      <c r="F33" s="59"/>
      <c r="G33" s="22"/>
      <c r="H33" s="22"/>
      <c r="J33" s="59"/>
      <c r="L33" s="59"/>
      <c r="N33" s="59"/>
      <c r="Q33" s="59"/>
      <c r="R33" s="61"/>
    </row>
    <row r="34">
      <c r="B34" s="59"/>
      <c r="D34" s="59"/>
      <c r="F34" s="59"/>
      <c r="G34" s="22"/>
      <c r="H34" s="59"/>
      <c r="J34" s="59"/>
      <c r="L34" s="59"/>
      <c r="N34" s="59"/>
      <c r="Q34" s="59"/>
      <c r="R34" s="61"/>
    </row>
    <row r="35">
      <c r="B35" s="59"/>
      <c r="D35" s="59"/>
      <c r="F35" s="59"/>
      <c r="G35" s="22"/>
      <c r="H35" s="59"/>
      <c r="J35" s="59"/>
      <c r="L35" s="59"/>
      <c r="N35" s="59"/>
      <c r="Q35" s="59"/>
      <c r="R35" s="61"/>
    </row>
    <row r="36">
      <c r="B36" s="59"/>
      <c r="D36" s="59"/>
      <c r="F36" s="59"/>
      <c r="G36" s="22"/>
      <c r="H36" s="59"/>
      <c r="J36" s="59"/>
      <c r="L36" s="59"/>
      <c r="N36" s="59"/>
      <c r="Q36" s="59"/>
      <c r="R36" s="61"/>
    </row>
    <row r="37">
      <c r="B37" s="59"/>
      <c r="D37" s="59"/>
      <c r="F37" s="59"/>
      <c r="H37" s="59"/>
      <c r="J37" s="59"/>
      <c r="L37" s="59"/>
      <c r="N37" s="59"/>
      <c r="Q37" s="59"/>
      <c r="R37" s="61"/>
    </row>
    <row r="38">
      <c r="B38" s="59"/>
      <c r="D38" s="59"/>
      <c r="F38" s="59"/>
      <c r="H38" s="59"/>
      <c r="J38" s="59"/>
      <c r="L38" s="59"/>
      <c r="N38" s="59"/>
      <c r="Q38" s="59"/>
      <c r="R38" s="61"/>
    </row>
    <row r="39">
      <c r="B39" s="59"/>
      <c r="D39" s="59"/>
      <c r="F39" s="59"/>
      <c r="H39" s="59"/>
      <c r="J39" s="59"/>
      <c r="L39" s="59"/>
      <c r="N39" s="59"/>
      <c r="Q39" s="59"/>
      <c r="R39" s="61"/>
    </row>
    <row r="40">
      <c r="B40" s="59"/>
      <c r="D40" s="59"/>
      <c r="F40" s="59"/>
      <c r="H40" s="59"/>
      <c r="J40" s="59"/>
      <c r="L40" s="59"/>
      <c r="N40" s="59"/>
      <c r="Q40" s="59"/>
      <c r="R40" s="61"/>
    </row>
    <row r="41">
      <c r="B41" s="59"/>
      <c r="D41" s="59"/>
      <c r="F41" s="59"/>
      <c r="H41" s="59"/>
      <c r="J41" s="59"/>
      <c r="L41" s="59"/>
      <c r="N41" s="59"/>
      <c r="Q41" s="59"/>
      <c r="R41" s="61"/>
    </row>
    <row r="42">
      <c r="B42" s="59"/>
      <c r="D42" s="59"/>
      <c r="F42" s="59"/>
      <c r="H42" s="59"/>
      <c r="J42" s="59"/>
      <c r="L42" s="59"/>
      <c r="N42" s="59"/>
      <c r="Q42" s="59"/>
      <c r="R42" s="61"/>
    </row>
    <row r="43">
      <c r="B43" s="59"/>
      <c r="D43" s="59"/>
      <c r="F43" s="59"/>
      <c r="H43" s="59"/>
      <c r="J43" s="59"/>
      <c r="L43" s="59"/>
      <c r="N43" s="59"/>
      <c r="Q43" s="59"/>
      <c r="R43" s="61"/>
    </row>
    <row r="44">
      <c r="B44" s="59"/>
      <c r="D44" s="59"/>
      <c r="F44" s="59"/>
      <c r="H44" s="59"/>
      <c r="J44" s="59"/>
      <c r="L44" s="59"/>
      <c r="N44" s="59"/>
      <c r="Q44" s="59"/>
      <c r="R44" s="61"/>
    </row>
    <row r="45">
      <c r="B45" s="59"/>
      <c r="D45" s="59"/>
      <c r="F45" s="59"/>
      <c r="H45" s="59"/>
      <c r="J45" s="59"/>
      <c r="L45" s="59"/>
      <c r="N45" s="59"/>
      <c r="Q45" s="59"/>
      <c r="R45" s="61"/>
    </row>
    <row r="46">
      <c r="B46" s="59"/>
      <c r="D46" s="59"/>
      <c r="F46" s="59"/>
      <c r="H46" s="59"/>
      <c r="J46" s="59"/>
      <c r="L46" s="59"/>
      <c r="N46" s="59"/>
      <c r="Q46" s="59"/>
      <c r="R46" s="61"/>
    </row>
    <row r="47">
      <c r="B47" s="59"/>
      <c r="D47" s="59"/>
      <c r="F47" s="59"/>
      <c r="H47" s="59"/>
      <c r="J47" s="59"/>
      <c r="L47" s="59"/>
      <c r="N47" s="59"/>
      <c r="Q47" s="59"/>
      <c r="R47" s="61"/>
    </row>
    <row r="48">
      <c r="B48" s="59"/>
      <c r="D48" s="59"/>
      <c r="F48" s="59"/>
      <c r="H48" s="59"/>
      <c r="J48" s="59"/>
      <c r="L48" s="59"/>
      <c r="N48" s="59"/>
      <c r="Q48" s="59"/>
      <c r="R48" s="61"/>
    </row>
    <row r="49">
      <c r="B49" s="59"/>
      <c r="D49" s="59"/>
      <c r="F49" s="59"/>
      <c r="H49" s="59"/>
      <c r="J49" s="59"/>
      <c r="L49" s="59"/>
      <c r="N49" s="59"/>
      <c r="Q49" s="59"/>
      <c r="R49" s="61"/>
    </row>
    <row r="50">
      <c r="B50" s="59"/>
      <c r="D50" s="59"/>
      <c r="F50" s="59"/>
      <c r="H50" s="59"/>
      <c r="J50" s="59"/>
      <c r="L50" s="59"/>
      <c r="N50" s="59"/>
      <c r="Q50" s="59"/>
      <c r="R50" s="61"/>
    </row>
    <row r="51">
      <c r="B51" s="59"/>
      <c r="D51" s="59"/>
      <c r="F51" s="59"/>
      <c r="H51" s="59"/>
      <c r="J51" s="59"/>
      <c r="L51" s="59"/>
      <c r="N51" s="59"/>
      <c r="Q51" s="59"/>
      <c r="R51" s="61"/>
    </row>
    <row r="52">
      <c r="B52" s="59"/>
      <c r="D52" s="59"/>
      <c r="F52" s="59"/>
      <c r="H52" s="59"/>
      <c r="J52" s="59"/>
      <c r="L52" s="59"/>
      <c r="N52" s="59"/>
      <c r="Q52" s="59"/>
      <c r="R52" s="61"/>
    </row>
    <row r="53">
      <c r="B53" s="59"/>
      <c r="D53" s="59"/>
      <c r="F53" s="59"/>
      <c r="H53" s="59"/>
      <c r="J53" s="59"/>
      <c r="L53" s="59"/>
      <c r="N53" s="59"/>
      <c r="Q53" s="59"/>
      <c r="R53" s="61"/>
    </row>
    <row r="54">
      <c r="B54" s="59"/>
      <c r="D54" s="59"/>
      <c r="F54" s="59"/>
      <c r="H54" s="59"/>
      <c r="J54" s="59"/>
      <c r="L54" s="59"/>
      <c r="N54" s="59"/>
      <c r="Q54" s="59"/>
      <c r="R54" s="61"/>
    </row>
    <row r="55">
      <c r="B55" s="59"/>
      <c r="D55" s="59"/>
      <c r="F55" s="59"/>
      <c r="H55" s="59"/>
      <c r="J55" s="59"/>
      <c r="L55" s="59"/>
      <c r="N55" s="59"/>
      <c r="Q55" s="59"/>
      <c r="R55" s="61"/>
    </row>
    <row r="56">
      <c r="B56" s="59"/>
      <c r="D56" s="59"/>
      <c r="F56" s="59"/>
      <c r="H56" s="59"/>
      <c r="J56" s="59"/>
      <c r="L56" s="59"/>
      <c r="N56" s="59"/>
      <c r="Q56" s="59"/>
      <c r="R56" s="61"/>
    </row>
    <row r="57">
      <c r="B57" s="59"/>
      <c r="D57" s="59"/>
      <c r="F57" s="59"/>
      <c r="H57" s="59"/>
      <c r="J57" s="59"/>
      <c r="L57" s="59"/>
      <c r="N57" s="59"/>
      <c r="Q57" s="59"/>
      <c r="R57" s="61"/>
    </row>
    <row r="58">
      <c r="B58" s="59"/>
      <c r="D58" s="59"/>
      <c r="F58" s="59"/>
      <c r="H58" s="59"/>
      <c r="J58" s="59"/>
      <c r="L58" s="59"/>
      <c r="N58" s="59"/>
      <c r="Q58" s="59"/>
      <c r="R58" s="61"/>
    </row>
    <row r="59">
      <c r="B59" s="59"/>
      <c r="D59" s="59"/>
      <c r="F59" s="59"/>
      <c r="H59" s="59"/>
      <c r="J59" s="59"/>
      <c r="L59" s="59"/>
      <c r="N59" s="59"/>
      <c r="Q59" s="59"/>
      <c r="R59" s="61"/>
    </row>
    <row r="60">
      <c r="B60" s="59"/>
      <c r="D60" s="59"/>
      <c r="F60" s="59"/>
      <c r="H60" s="59"/>
      <c r="J60" s="59"/>
      <c r="L60" s="59"/>
      <c r="N60" s="59"/>
      <c r="Q60" s="59"/>
      <c r="R60" s="61"/>
    </row>
    <row r="61">
      <c r="B61" s="59"/>
      <c r="D61" s="59"/>
      <c r="F61" s="59"/>
      <c r="H61" s="59"/>
      <c r="J61" s="59"/>
      <c r="L61" s="59"/>
      <c r="N61" s="59"/>
      <c r="Q61" s="59"/>
      <c r="R61" s="61"/>
    </row>
    <row r="62">
      <c r="B62" s="59"/>
      <c r="D62" s="59"/>
      <c r="F62" s="59"/>
      <c r="H62" s="59"/>
      <c r="J62" s="59"/>
      <c r="L62" s="59"/>
      <c r="N62" s="59"/>
      <c r="Q62" s="59"/>
      <c r="R62" s="61"/>
    </row>
    <row r="63">
      <c r="B63" s="59"/>
      <c r="D63" s="59"/>
      <c r="F63" s="59"/>
      <c r="H63" s="59"/>
      <c r="J63" s="59"/>
      <c r="L63" s="59"/>
      <c r="N63" s="59"/>
      <c r="Q63" s="59"/>
      <c r="R63" s="61"/>
    </row>
    <row r="64">
      <c r="B64" s="59"/>
      <c r="D64" s="59"/>
      <c r="F64" s="59"/>
      <c r="H64" s="59"/>
      <c r="J64" s="59"/>
      <c r="L64" s="59"/>
      <c r="N64" s="59"/>
      <c r="Q64" s="59"/>
      <c r="R64" s="61"/>
    </row>
    <row r="65">
      <c r="B65" s="59"/>
      <c r="D65" s="59"/>
      <c r="F65" s="59"/>
      <c r="H65" s="59"/>
      <c r="J65" s="59"/>
      <c r="L65" s="59"/>
      <c r="N65" s="59"/>
      <c r="Q65" s="59"/>
      <c r="R65" s="61"/>
    </row>
    <row r="66">
      <c r="B66" s="59"/>
      <c r="D66" s="59"/>
      <c r="F66" s="59"/>
      <c r="H66" s="59"/>
      <c r="J66" s="59"/>
      <c r="L66" s="59"/>
      <c r="N66" s="59"/>
      <c r="Q66" s="59"/>
      <c r="R66" s="61"/>
    </row>
    <row r="67">
      <c r="B67" s="59"/>
      <c r="D67" s="59"/>
      <c r="F67" s="59"/>
      <c r="H67" s="59"/>
      <c r="J67" s="59"/>
      <c r="L67" s="59"/>
      <c r="N67" s="59"/>
      <c r="Q67" s="59"/>
      <c r="R67" s="61"/>
    </row>
    <row r="68">
      <c r="B68" s="59"/>
      <c r="D68" s="59"/>
      <c r="F68" s="59"/>
      <c r="H68" s="59"/>
      <c r="J68" s="59"/>
      <c r="L68" s="59"/>
      <c r="N68" s="59"/>
      <c r="Q68" s="59"/>
      <c r="R68" s="61"/>
    </row>
    <row r="69">
      <c r="B69" s="59"/>
      <c r="D69" s="59"/>
      <c r="F69" s="59"/>
      <c r="H69" s="59"/>
      <c r="J69" s="59"/>
      <c r="L69" s="59"/>
      <c r="N69" s="59"/>
      <c r="Q69" s="59"/>
      <c r="R69" s="61"/>
    </row>
    <row r="70">
      <c r="B70" s="59"/>
      <c r="D70" s="59"/>
      <c r="F70" s="59"/>
      <c r="H70" s="59"/>
      <c r="J70" s="59"/>
      <c r="L70" s="59"/>
      <c r="N70" s="59"/>
      <c r="Q70" s="59"/>
      <c r="R70" s="61"/>
    </row>
    <row r="71">
      <c r="B71" s="59"/>
      <c r="D71" s="59"/>
      <c r="F71" s="59"/>
      <c r="H71" s="59"/>
      <c r="J71" s="59"/>
      <c r="L71" s="59"/>
      <c r="N71" s="59"/>
      <c r="Q71" s="59"/>
      <c r="R71" s="61"/>
    </row>
    <row r="72">
      <c r="B72" s="59"/>
      <c r="D72" s="59"/>
      <c r="F72" s="59"/>
      <c r="H72" s="59"/>
      <c r="J72" s="59"/>
      <c r="L72" s="59"/>
      <c r="N72" s="59"/>
      <c r="Q72" s="59"/>
      <c r="R72" s="61"/>
    </row>
    <row r="73">
      <c r="B73" s="59"/>
      <c r="D73" s="59"/>
      <c r="F73" s="59"/>
      <c r="H73" s="59"/>
      <c r="J73" s="59"/>
      <c r="L73" s="59"/>
      <c r="N73" s="59"/>
      <c r="Q73" s="59"/>
      <c r="R73" s="61"/>
    </row>
    <row r="74">
      <c r="B74" s="59"/>
      <c r="D74" s="59"/>
      <c r="F74" s="59"/>
      <c r="H74" s="59"/>
      <c r="J74" s="59"/>
      <c r="L74" s="59"/>
      <c r="N74" s="59"/>
      <c r="Q74" s="59"/>
      <c r="R74" s="61"/>
    </row>
    <row r="75">
      <c r="B75" s="59"/>
      <c r="D75" s="59"/>
      <c r="F75" s="59"/>
      <c r="H75" s="59"/>
      <c r="J75" s="59"/>
      <c r="L75" s="59"/>
      <c r="N75" s="59"/>
      <c r="Q75" s="59"/>
      <c r="R75" s="61"/>
    </row>
    <row r="76">
      <c r="B76" s="59"/>
      <c r="D76" s="59"/>
      <c r="F76" s="59"/>
      <c r="H76" s="59"/>
      <c r="J76" s="59"/>
      <c r="L76" s="59"/>
      <c r="N76" s="59"/>
      <c r="Q76" s="59"/>
      <c r="R76" s="61"/>
    </row>
    <row r="77">
      <c r="B77" s="59"/>
      <c r="D77" s="59"/>
      <c r="F77" s="59"/>
      <c r="H77" s="59"/>
      <c r="J77" s="59"/>
      <c r="L77" s="59"/>
      <c r="N77" s="59"/>
      <c r="Q77" s="59"/>
      <c r="R77" s="61"/>
    </row>
    <row r="78">
      <c r="B78" s="59"/>
      <c r="D78" s="59"/>
      <c r="F78" s="59"/>
      <c r="H78" s="59"/>
      <c r="J78" s="59"/>
      <c r="L78" s="59"/>
      <c r="N78" s="59"/>
      <c r="Q78" s="59"/>
      <c r="R78" s="61"/>
    </row>
    <row r="79">
      <c r="B79" s="59"/>
      <c r="D79" s="59"/>
      <c r="F79" s="59"/>
      <c r="H79" s="59"/>
      <c r="J79" s="59"/>
      <c r="L79" s="59"/>
      <c r="N79" s="59"/>
      <c r="Q79" s="59"/>
      <c r="R79" s="61"/>
    </row>
    <row r="80">
      <c r="B80" s="59"/>
      <c r="D80" s="59"/>
      <c r="F80" s="59"/>
      <c r="H80" s="59"/>
      <c r="J80" s="59"/>
      <c r="L80" s="59"/>
      <c r="N80" s="59"/>
      <c r="Q80" s="59"/>
      <c r="R80" s="61"/>
    </row>
    <row r="81">
      <c r="B81" s="59"/>
      <c r="D81" s="59"/>
      <c r="F81" s="59"/>
      <c r="H81" s="59"/>
      <c r="J81" s="59"/>
      <c r="L81" s="59"/>
      <c r="N81" s="59"/>
      <c r="Q81" s="59"/>
      <c r="R81" s="61"/>
    </row>
    <row r="82">
      <c r="B82" s="59"/>
      <c r="D82" s="59"/>
      <c r="F82" s="59"/>
      <c r="H82" s="59"/>
      <c r="J82" s="59"/>
      <c r="L82" s="59"/>
      <c r="N82" s="59"/>
      <c r="Q82" s="59"/>
      <c r="R82" s="61"/>
    </row>
    <row r="83">
      <c r="B83" s="59"/>
      <c r="D83" s="59"/>
      <c r="F83" s="59"/>
      <c r="H83" s="59"/>
      <c r="J83" s="59"/>
      <c r="L83" s="59"/>
      <c r="N83" s="59"/>
      <c r="Q83" s="59"/>
      <c r="R83" s="61"/>
    </row>
    <row r="84">
      <c r="B84" s="59"/>
      <c r="D84" s="59"/>
      <c r="F84" s="59"/>
      <c r="H84" s="59"/>
      <c r="J84" s="59"/>
      <c r="L84" s="59"/>
      <c r="N84" s="59"/>
      <c r="Q84" s="59"/>
      <c r="R84" s="61"/>
    </row>
    <row r="85">
      <c r="B85" s="59"/>
      <c r="D85" s="59"/>
      <c r="F85" s="59"/>
      <c r="H85" s="59"/>
      <c r="J85" s="59"/>
      <c r="L85" s="59"/>
      <c r="N85" s="59"/>
      <c r="Q85" s="59"/>
      <c r="R85" s="61"/>
    </row>
    <row r="86">
      <c r="B86" s="59"/>
      <c r="D86" s="59"/>
      <c r="F86" s="59"/>
      <c r="H86" s="59"/>
      <c r="J86" s="59"/>
      <c r="L86" s="59"/>
      <c r="N86" s="59"/>
      <c r="Q86" s="59"/>
      <c r="R86" s="61"/>
    </row>
    <row r="87">
      <c r="B87" s="59"/>
      <c r="D87" s="59"/>
      <c r="F87" s="59"/>
      <c r="H87" s="59"/>
      <c r="J87" s="59"/>
      <c r="L87" s="59"/>
      <c r="N87" s="59"/>
      <c r="Q87" s="59"/>
      <c r="R87" s="61"/>
    </row>
    <row r="88">
      <c r="B88" s="59"/>
      <c r="D88" s="59"/>
      <c r="F88" s="59"/>
      <c r="H88" s="59"/>
      <c r="J88" s="59"/>
      <c r="L88" s="59"/>
      <c r="N88" s="59"/>
      <c r="Q88" s="59"/>
      <c r="R88" s="61"/>
    </row>
    <row r="89">
      <c r="B89" s="59"/>
      <c r="D89" s="59"/>
      <c r="F89" s="59"/>
      <c r="H89" s="59"/>
      <c r="J89" s="59"/>
      <c r="L89" s="59"/>
      <c r="N89" s="59"/>
      <c r="Q89" s="59"/>
      <c r="R89" s="61"/>
    </row>
    <row r="90">
      <c r="B90" s="59"/>
      <c r="D90" s="59"/>
      <c r="F90" s="59"/>
      <c r="H90" s="59"/>
      <c r="J90" s="59"/>
      <c r="L90" s="59"/>
      <c r="N90" s="59"/>
      <c r="Q90" s="59"/>
      <c r="R90" s="61"/>
    </row>
    <row r="91">
      <c r="B91" s="59"/>
      <c r="D91" s="59"/>
      <c r="F91" s="59"/>
      <c r="H91" s="59"/>
      <c r="J91" s="59"/>
      <c r="L91" s="59"/>
      <c r="N91" s="59"/>
      <c r="Q91" s="59"/>
      <c r="R91" s="61"/>
    </row>
    <row r="92">
      <c r="B92" s="59"/>
      <c r="D92" s="59"/>
      <c r="F92" s="59"/>
      <c r="H92" s="59"/>
      <c r="J92" s="59"/>
      <c r="L92" s="59"/>
      <c r="N92" s="59"/>
      <c r="Q92" s="59"/>
      <c r="R92" s="61"/>
    </row>
    <row r="93">
      <c r="B93" s="59"/>
      <c r="D93" s="59"/>
      <c r="F93" s="59"/>
      <c r="H93" s="59"/>
      <c r="J93" s="59"/>
      <c r="L93" s="59"/>
      <c r="N93" s="59"/>
      <c r="Q93" s="59"/>
      <c r="R93" s="61"/>
    </row>
    <row r="94">
      <c r="B94" s="59"/>
      <c r="D94" s="59"/>
      <c r="F94" s="59"/>
      <c r="H94" s="59"/>
      <c r="J94" s="59"/>
      <c r="L94" s="59"/>
      <c r="N94" s="59"/>
      <c r="Q94" s="59"/>
      <c r="R94" s="61"/>
    </row>
    <row r="95">
      <c r="B95" s="59"/>
      <c r="D95" s="59"/>
      <c r="F95" s="59"/>
      <c r="H95" s="59"/>
      <c r="J95" s="59"/>
      <c r="L95" s="59"/>
      <c r="N95" s="59"/>
      <c r="Q95" s="59"/>
      <c r="R95" s="61"/>
    </row>
    <row r="96">
      <c r="B96" s="59"/>
      <c r="D96" s="59"/>
      <c r="F96" s="59"/>
      <c r="H96" s="59"/>
      <c r="J96" s="59"/>
      <c r="L96" s="59"/>
      <c r="N96" s="59"/>
      <c r="Q96" s="59"/>
      <c r="R96" s="61"/>
    </row>
    <row r="97">
      <c r="B97" s="59"/>
      <c r="D97" s="59"/>
      <c r="F97" s="59"/>
      <c r="H97" s="59"/>
      <c r="J97" s="59"/>
      <c r="L97" s="59"/>
      <c r="N97" s="59"/>
      <c r="Q97" s="59"/>
      <c r="R97" s="61"/>
    </row>
    <row r="98">
      <c r="B98" s="59"/>
      <c r="D98" s="59"/>
      <c r="F98" s="59"/>
      <c r="H98" s="59"/>
      <c r="J98" s="59"/>
      <c r="L98" s="59"/>
      <c r="N98" s="59"/>
      <c r="Q98" s="59"/>
      <c r="R98" s="61"/>
    </row>
    <row r="99">
      <c r="B99" s="59"/>
      <c r="D99" s="59"/>
      <c r="F99" s="59"/>
      <c r="H99" s="59"/>
      <c r="J99" s="59"/>
      <c r="L99" s="59"/>
      <c r="N99" s="59"/>
      <c r="Q99" s="59"/>
      <c r="R99" s="61"/>
    </row>
    <row r="100">
      <c r="B100" s="59"/>
      <c r="D100" s="59"/>
      <c r="F100" s="59"/>
      <c r="H100" s="59"/>
      <c r="J100" s="59"/>
      <c r="L100" s="59"/>
      <c r="N100" s="59"/>
      <c r="Q100" s="59"/>
      <c r="R100" s="61"/>
    </row>
    <row r="101">
      <c r="B101" s="59"/>
      <c r="D101" s="59"/>
      <c r="F101" s="59"/>
      <c r="H101" s="59"/>
      <c r="J101" s="59"/>
      <c r="L101" s="59"/>
      <c r="N101" s="59"/>
      <c r="Q101" s="59"/>
      <c r="R101" s="61"/>
    </row>
    <row r="102">
      <c r="B102" s="59"/>
      <c r="D102" s="59"/>
      <c r="F102" s="59"/>
      <c r="H102" s="59"/>
      <c r="J102" s="59"/>
      <c r="L102" s="59"/>
      <c r="N102" s="59"/>
      <c r="Q102" s="59"/>
      <c r="R102" s="61"/>
    </row>
    <row r="103">
      <c r="B103" s="59"/>
      <c r="D103" s="59"/>
      <c r="F103" s="59"/>
      <c r="H103" s="59"/>
      <c r="J103" s="59"/>
      <c r="L103" s="59"/>
      <c r="N103" s="59"/>
      <c r="Q103" s="59"/>
      <c r="R103" s="61"/>
    </row>
    <row r="104">
      <c r="B104" s="59"/>
      <c r="D104" s="59"/>
      <c r="F104" s="59"/>
      <c r="H104" s="59"/>
      <c r="J104" s="59"/>
      <c r="L104" s="59"/>
      <c r="N104" s="59"/>
      <c r="Q104" s="59"/>
      <c r="R104" s="61"/>
    </row>
    <row r="105">
      <c r="B105" s="59"/>
      <c r="D105" s="59"/>
      <c r="F105" s="59"/>
      <c r="H105" s="59"/>
      <c r="J105" s="59"/>
      <c r="L105" s="59"/>
      <c r="N105" s="59"/>
      <c r="Q105" s="59"/>
      <c r="R105" s="61"/>
    </row>
    <row r="106">
      <c r="B106" s="59"/>
      <c r="D106" s="59"/>
      <c r="F106" s="59"/>
      <c r="H106" s="59"/>
      <c r="J106" s="59"/>
      <c r="L106" s="59"/>
      <c r="N106" s="59"/>
      <c r="Q106" s="59"/>
      <c r="R106" s="61"/>
    </row>
    <row r="107">
      <c r="B107" s="59"/>
      <c r="D107" s="59"/>
      <c r="F107" s="59"/>
      <c r="H107" s="59"/>
      <c r="J107" s="59"/>
      <c r="L107" s="59"/>
      <c r="N107" s="59"/>
      <c r="Q107" s="59"/>
      <c r="R107" s="61"/>
    </row>
    <row r="108">
      <c r="B108" s="59"/>
      <c r="D108" s="59"/>
      <c r="F108" s="59"/>
      <c r="H108" s="59"/>
      <c r="J108" s="59"/>
      <c r="L108" s="59"/>
      <c r="N108" s="59"/>
      <c r="Q108" s="59"/>
      <c r="R108" s="61"/>
    </row>
    <row r="109">
      <c r="B109" s="59"/>
      <c r="D109" s="59"/>
      <c r="F109" s="59"/>
      <c r="H109" s="59"/>
      <c r="J109" s="59"/>
      <c r="L109" s="59"/>
      <c r="N109" s="59"/>
      <c r="Q109" s="59"/>
      <c r="R109" s="61"/>
    </row>
    <row r="110">
      <c r="B110" s="59"/>
      <c r="D110" s="59"/>
      <c r="F110" s="59"/>
      <c r="H110" s="59"/>
      <c r="J110" s="59"/>
      <c r="L110" s="59"/>
      <c r="N110" s="59"/>
      <c r="Q110" s="59"/>
      <c r="R110" s="61"/>
    </row>
    <row r="111">
      <c r="B111" s="59"/>
      <c r="D111" s="59"/>
      <c r="F111" s="59"/>
      <c r="H111" s="59"/>
      <c r="J111" s="59"/>
      <c r="L111" s="59"/>
      <c r="N111" s="59"/>
      <c r="Q111" s="59"/>
      <c r="R111" s="61"/>
    </row>
    <row r="112">
      <c r="B112" s="59"/>
      <c r="D112" s="59"/>
      <c r="F112" s="59"/>
      <c r="H112" s="59"/>
      <c r="J112" s="59"/>
      <c r="L112" s="59"/>
      <c r="N112" s="59"/>
      <c r="Q112" s="59"/>
      <c r="R112" s="61"/>
    </row>
    <row r="113">
      <c r="B113" s="59"/>
      <c r="D113" s="59"/>
      <c r="F113" s="59"/>
      <c r="H113" s="59"/>
      <c r="J113" s="59"/>
      <c r="L113" s="59"/>
      <c r="N113" s="59"/>
      <c r="Q113" s="59"/>
      <c r="R113" s="61"/>
    </row>
    <row r="114">
      <c r="B114" s="59"/>
      <c r="D114" s="59"/>
      <c r="F114" s="59"/>
      <c r="H114" s="59"/>
      <c r="J114" s="59"/>
      <c r="L114" s="59"/>
      <c r="N114" s="59"/>
      <c r="Q114" s="59"/>
      <c r="R114" s="61"/>
    </row>
    <row r="115">
      <c r="B115" s="59"/>
      <c r="D115" s="59"/>
      <c r="F115" s="59"/>
      <c r="H115" s="59"/>
      <c r="J115" s="59"/>
      <c r="L115" s="59"/>
      <c r="N115" s="59"/>
      <c r="Q115" s="59"/>
      <c r="R115" s="61"/>
    </row>
    <row r="116">
      <c r="B116" s="59"/>
      <c r="D116" s="59"/>
      <c r="F116" s="59"/>
      <c r="H116" s="59"/>
      <c r="J116" s="59"/>
      <c r="L116" s="59"/>
      <c r="N116" s="59"/>
      <c r="Q116" s="59"/>
      <c r="R116" s="61"/>
    </row>
    <row r="117">
      <c r="B117" s="59"/>
      <c r="D117" s="59"/>
      <c r="F117" s="59"/>
      <c r="H117" s="59"/>
      <c r="J117" s="59"/>
      <c r="L117" s="59"/>
      <c r="N117" s="59"/>
      <c r="Q117" s="59"/>
      <c r="R117" s="61"/>
    </row>
    <row r="118">
      <c r="B118" s="59"/>
      <c r="D118" s="59"/>
      <c r="F118" s="59"/>
      <c r="H118" s="59"/>
      <c r="J118" s="59"/>
      <c r="L118" s="59"/>
      <c r="N118" s="59"/>
      <c r="Q118" s="59"/>
      <c r="R118" s="61"/>
    </row>
    <row r="119">
      <c r="B119" s="59"/>
      <c r="D119" s="59"/>
      <c r="F119" s="59"/>
      <c r="H119" s="59"/>
      <c r="J119" s="59"/>
      <c r="L119" s="59"/>
      <c r="N119" s="59"/>
      <c r="Q119" s="59"/>
      <c r="R119" s="61"/>
    </row>
    <row r="120">
      <c r="B120" s="59"/>
      <c r="D120" s="59"/>
      <c r="F120" s="59"/>
      <c r="H120" s="59"/>
      <c r="J120" s="59"/>
      <c r="L120" s="59"/>
      <c r="N120" s="59"/>
      <c r="Q120" s="59"/>
      <c r="R120" s="61"/>
    </row>
    <row r="121">
      <c r="B121" s="59"/>
      <c r="D121" s="59"/>
      <c r="F121" s="59"/>
      <c r="H121" s="59"/>
      <c r="J121" s="59"/>
      <c r="L121" s="59"/>
      <c r="N121" s="59"/>
      <c r="Q121" s="59"/>
      <c r="R121" s="61"/>
    </row>
    <row r="122">
      <c r="B122" s="59"/>
      <c r="D122" s="59"/>
      <c r="F122" s="59"/>
      <c r="H122" s="59"/>
      <c r="J122" s="59"/>
      <c r="L122" s="59"/>
      <c r="N122" s="59"/>
      <c r="Q122" s="59"/>
      <c r="R122" s="61"/>
    </row>
    <row r="123">
      <c r="B123" s="59"/>
      <c r="D123" s="59"/>
      <c r="F123" s="59"/>
      <c r="H123" s="59"/>
      <c r="J123" s="59"/>
      <c r="L123" s="59"/>
      <c r="N123" s="59"/>
      <c r="Q123" s="59"/>
      <c r="R123" s="61"/>
    </row>
    <row r="124">
      <c r="B124" s="59"/>
      <c r="D124" s="59"/>
      <c r="F124" s="59"/>
      <c r="H124" s="59"/>
      <c r="J124" s="59"/>
      <c r="L124" s="59"/>
      <c r="N124" s="59"/>
      <c r="Q124" s="59"/>
      <c r="R124" s="61"/>
    </row>
    <row r="125">
      <c r="B125" s="59"/>
      <c r="D125" s="59"/>
      <c r="F125" s="59"/>
      <c r="H125" s="59"/>
      <c r="J125" s="59"/>
      <c r="L125" s="59"/>
      <c r="N125" s="59"/>
      <c r="Q125" s="59"/>
      <c r="R125" s="61"/>
    </row>
    <row r="126">
      <c r="B126" s="59"/>
      <c r="D126" s="59"/>
      <c r="F126" s="59"/>
      <c r="H126" s="59"/>
      <c r="J126" s="59"/>
      <c r="L126" s="59"/>
      <c r="N126" s="59"/>
      <c r="Q126" s="59"/>
      <c r="R126" s="61"/>
    </row>
    <row r="127">
      <c r="B127" s="59"/>
      <c r="D127" s="59"/>
      <c r="F127" s="59"/>
      <c r="H127" s="59"/>
      <c r="J127" s="59"/>
      <c r="L127" s="59"/>
      <c r="N127" s="59"/>
      <c r="Q127" s="59"/>
      <c r="R127" s="61"/>
    </row>
    <row r="128">
      <c r="B128" s="59"/>
      <c r="D128" s="59"/>
      <c r="F128" s="59"/>
      <c r="H128" s="59"/>
      <c r="J128" s="59"/>
      <c r="L128" s="59"/>
      <c r="N128" s="59"/>
      <c r="Q128" s="59"/>
      <c r="R128" s="61"/>
    </row>
    <row r="129">
      <c r="B129" s="59"/>
      <c r="D129" s="59"/>
      <c r="F129" s="59"/>
      <c r="H129" s="59"/>
      <c r="J129" s="59"/>
      <c r="L129" s="59"/>
      <c r="N129" s="59"/>
      <c r="Q129" s="59"/>
      <c r="R129" s="61"/>
    </row>
    <row r="130">
      <c r="B130" s="59"/>
      <c r="D130" s="59"/>
      <c r="F130" s="59"/>
      <c r="H130" s="59"/>
      <c r="J130" s="59"/>
      <c r="L130" s="59"/>
      <c r="N130" s="59"/>
      <c r="Q130" s="59"/>
      <c r="R130" s="61"/>
    </row>
    <row r="131">
      <c r="B131" s="59"/>
      <c r="D131" s="59"/>
      <c r="F131" s="59"/>
      <c r="H131" s="59"/>
      <c r="J131" s="59"/>
      <c r="L131" s="59"/>
      <c r="N131" s="59"/>
      <c r="Q131" s="59"/>
      <c r="R131" s="61"/>
    </row>
    <row r="132">
      <c r="B132" s="59"/>
      <c r="D132" s="59"/>
      <c r="F132" s="59"/>
      <c r="H132" s="59"/>
      <c r="J132" s="59"/>
      <c r="L132" s="59"/>
      <c r="N132" s="59"/>
      <c r="Q132" s="59"/>
      <c r="R132" s="61"/>
    </row>
    <row r="133">
      <c r="B133" s="59"/>
      <c r="D133" s="59"/>
      <c r="F133" s="59"/>
      <c r="H133" s="59"/>
      <c r="J133" s="59"/>
      <c r="L133" s="59"/>
      <c r="N133" s="59"/>
      <c r="Q133" s="59"/>
      <c r="R133" s="61"/>
    </row>
    <row r="134">
      <c r="B134" s="59"/>
      <c r="D134" s="59"/>
      <c r="F134" s="59"/>
      <c r="H134" s="59"/>
      <c r="J134" s="59"/>
      <c r="L134" s="59"/>
      <c r="N134" s="59"/>
      <c r="Q134" s="59"/>
      <c r="R134" s="61"/>
    </row>
    <row r="135">
      <c r="B135" s="59"/>
      <c r="D135" s="59"/>
      <c r="F135" s="59"/>
      <c r="H135" s="59"/>
      <c r="J135" s="59"/>
      <c r="L135" s="59"/>
      <c r="N135" s="59"/>
      <c r="Q135" s="59"/>
      <c r="R135" s="61"/>
    </row>
    <row r="136">
      <c r="B136" s="59"/>
      <c r="D136" s="59"/>
      <c r="F136" s="59"/>
      <c r="H136" s="59"/>
      <c r="J136" s="59"/>
      <c r="L136" s="59"/>
      <c r="N136" s="59"/>
      <c r="Q136" s="59"/>
      <c r="R136" s="61"/>
    </row>
    <row r="137">
      <c r="B137" s="59"/>
      <c r="D137" s="59"/>
      <c r="F137" s="59"/>
      <c r="H137" s="59"/>
      <c r="J137" s="59"/>
      <c r="L137" s="59"/>
      <c r="N137" s="59"/>
      <c r="Q137" s="59"/>
      <c r="R137" s="61"/>
    </row>
    <row r="138">
      <c r="B138" s="59"/>
      <c r="D138" s="59"/>
      <c r="F138" s="59"/>
      <c r="H138" s="59"/>
      <c r="J138" s="59"/>
      <c r="L138" s="59"/>
      <c r="N138" s="59"/>
      <c r="Q138" s="59"/>
      <c r="R138" s="61"/>
    </row>
    <row r="139">
      <c r="B139" s="59"/>
      <c r="D139" s="59"/>
      <c r="F139" s="59"/>
      <c r="H139" s="59"/>
      <c r="J139" s="59"/>
      <c r="L139" s="59"/>
      <c r="N139" s="59"/>
      <c r="Q139" s="59"/>
      <c r="R139" s="61"/>
    </row>
    <row r="140">
      <c r="B140" s="59"/>
      <c r="D140" s="59"/>
      <c r="F140" s="59"/>
      <c r="H140" s="59"/>
      <c r="J140" s="59"/>
      <c r="L140" s="59"/>
      <c r="N140" s="59"/>
      <c r="Q140" s="59"/>
      <c r="R140" s="61"/>
    </row>
    <row r="141">
      <c r="B141" s="59"/>
      <c r="D141" s="59"/>
      <c r="F141" s="59"/>
      <c r="H141" s="59"/>
      <c r="J141" s="59"/>
      <c r="L141" s="59"/>
      <c r="N141" s="59"/>
      <c r="Q141" s="59"/>
      <c r="R141" s="61"/>
    </row>
    <row r="142">
      <c r="B142" s="59"/>
      <c r="D142" s="59"/>
      <c r="F142" s="59"/>
      <c r="H142" s="59"/>
      <c r="J142" s="59"/>
      <c r="L142" s="59"/>
      <c r="N142" s="59"/>
      <c r="Q142" s="59"/>
      <c r="R142" s="61"/>
    </row>
    <row r="143">
      <c r="B143" s="59"/>
      <c r="D143" s="59"/>
      <c r="F143" s="59"/>
      <c r="H143" s="59"/>
      <c r="J143" s="59"/>
      <c r="L143" s="59"/>
      <c r="N143" s="59"/>
      <c r="Q143" s="59"/>
      <c r="R143" s="61"/>
    </row>
    <row r="144">
      <c r="B144" s="59"/>
      <c r="D144" s="59"/>
      <c r="F144" s="59"/>
      <c r="H144" s="59"/>
      <c r="J144" s="59"/>
      <c r="L144" s="59"/>
      <c r="N144" s="59"/>
      <c r="Q144" s="59"/>
      <c r="R144" s="61"/>
    </row>
    <row r="145">
      <c r="B145" s="59"/>
      <c r="D145" s="59"/>
      <c r="F145" s="59"/>
      <c r="H145" s="59"/>
      <c r="J145" s="59"/>
      <c r="L145" s="59"/>
      <c r="N145" s="59"/>
      <c r="Q145" s="59"/>
      <c r="R145" s="61"/>
    </row>
    <row r="146">
      <c r="B146" s="59"/>
      <c r="D146" s="59"/>
      <c r="F146" s="59"/>
      <c r="H146" s="59"/>
      <c r="J146" s="59"/>
      <c r="L146" s="59"/>
      <c r="N146" s="59"/>
      <c r="Q146" s="59"/>
      <c r="R146" s="61"/>
    </row>
    <row r="147">
      <c r="B147" s="59"/>
      <c r="D147" s="59"/>
      <c r="F147" s="59"/>
      <c r="H147" s="59"/>
      <c r="J147" s="59"/>
      <c r="L147" s="59"/>
      <c r="N147" s="59"/>
      <c r="Q147" s="59"/>
      <c r="R147" s="61"/>
    </row>
    <row r="148">
      <c r="B148" s="59"/>
      <c r="D148" s="59"/>
      <c r="F148" s="59"/>
      <c r="H148" s="59"/>
      <c r="J148" s="59"/>
      <c r="L148" s="59"/>
      <c r="N148" s="59"/>
      <c r="Q148" s="59"/>
      <c r="R148" s="61"/>
    </row>
    <row r="149">
      <c r="B149" s="59"/>
      <c r="D149" s="59"/>
      <c r="F149" s="59"/>
      <c r="H149" s="59"/>
      <c r="J149" s="59"/>
      <c r="L149" s="59"/>
      <c r="N149" s="59"/>
      <c r="Q149" s="59"/>
      <c r="R149" s="61"/>
    </row>
    <row r="150">
      <c r="B150" s="59"/>
      <c r="D150" s="59"/>
      <c r="F150" s="59"/>
      <c r="H150" s="59"/>
      <c r="J150" s="59"/>
      <c r="L150" s="59"/>
      <c r="N150" s="59"/>
      <c r="Q150" s="59"/>
      <c r="R150" s="61"/>
    </row>
    <row r="151">
      <c r="B151" s="59"/>
      <c r="D151" s="59"/>
      <c r="F151" s="59"/>
      <c r="H151" s="59"/>
      <c r="J151" s="59"/>
      <c r="L151" s="59"/>
      <c r="N151" s="59"/>
      <c r="Q151" s="59"/>
      <c r="R151" s="61"/>
    </row>
    <row r="152">
      <c r="B152" s="59"/>
      <c r="D152" s="59"/>
      <c r="F152" s="59"/>
      <c r="H152" s="59"/>
      <c r="J152" s="59"/>
      <c r="L152" s="59"/>
      <c r="N152" s="59"/>
      <c r="Q152" s="59"/>
      <c r="R152" s="61"/>
    </row>
    <row r="153">
      <c r="B153" s="59"/>
      <c r="D153" s="59"/>
      <c r="F153" s="59"/>
      <c r="H153" s="59"/>
      <c r="J153" s="59"/>
      <c r="L153" s="59"/>
      <c r="N153" s="59"/>
      <c r="Q153" s="59"/>
      <c r="R153" s="61"/>
    </row>
    <row r="154">
      <c r="B154" s="59"/>
      <c r="D154" s="59"/>
      <c r="F154" s="59"/>
      <c r="H154" s="59"/>
      <c r="J154" s="59"/>
      <c r="L154" s="59"/>
      <c r="N154" s="59"/>
      <c r="Q154" s="59"/>
      <c r="R154" s="61"/>
    </row>
    <row r="155">
      <c r="B155" s="59"/>
      <c r="D155" s="59"/>
      <c r="F155" s="59"/>
      <c r="H155" s="59"/>
      <c r="J155" s="59"/>
      <c r="L155" s="59"/>
      <c r="N155" s="59"/>
      <c r="Q155" s="59"/>
      <c r="R155" s="61"/>
    </row>
    <row r="156">
      <c r="B156" s="59"/>
      <c r="D156" s="59"/>
      <c r="F156" s="59"/>
      <c r="H156" s="59"/>
      <c r="J156" s="59"/>
      <c r="L156" s="59"/>
      <c r="N156" s="59"/>
      <c r="Q156" s="59"/>
      <c r="R156" s="61"/>
    </row>
    <row r="157">
      <c r="B157" s="59"/>
      <c r="D157" s="59"/>
      <c r="F157" s="59"/>
      <c r="H157" s="59"/>
      <c r="J157" s="59"/>
      <c r="L157" s="59"/>
      <c r="N157" s="59"/>
      <c r="Q157" s="59"/>
      <c r="R157" s="61"/>
    </row>
    <row r="158">
      <c r="B158" s="59"/>
      <c r="D158" s="59"/>
      <c r="F158" s="59"/>
      <c r="H158" s="59"/>
      <c r="J158" s="59"/>
      <c r="L158" s="59"/>
      <c r="N158" s="59"/>
      <c r="Q158" s="59"/>
      <c r="R158" s="61"/>
    </row>
    <row r="159">
      <c r="B159" s="59"/>
      <c r="D159" s="59"/>
      <c r="F159" s="59"/>
      <c r="H159" s="59"/>
      <c r="J159" s="59"/>
      <c r="L159" s="59"/>
      <c r="N159" s="59"/>
      <c r="Q159" s="59"/>
      <c r="R159" s="61"/>
    </row>
    <row r="160">
      <c r="B160" s="59"/>
      <c r="D160" s="59"/>
      <c r="F160" s="59"/>
      <c r="H160" s="59"/>
      <c r="J160" s="59"/>
      <c r="L160" s="59"/>
      <c r="N160" s="59"/>
      <c r="Q160" s="59"/>
      <c r="R160" s="61"/>
    </row>
    <row r="161">
      <c r="B161" s="59"/>
      <c r="D161" s="59"/>
      <c r="F161" s="59"/>
      <c r="H161" s="59"/>
      <c r="J161" s="59"/>
      <c r="L161" s="59"/>
      <c r="N161" s="59"/>
      <c r="Q161" s="59"/>
      <c r="R161" s="61"/>
    </row>
    <row r="162">
      <c r="B162" s="59"/>
      <c r="D162" s="59"/>
      <c r="F162" s="59"/>
      <c r="H162" s="59"/>
      <c r="J162" s="59"/>
      <c r="L162" s="59"/>
      <c r="N162" s="59"/>
      <c r="Q162" s="59"/>
      <c r="R162" s="61"/>
    </row>
    <row r="163">
      <c r="B163" s="59"/>
      <c r="D163" s="59"/>
      <c r="F163" s="59"/>
      <c r="H163" s="59"/>
      <c r="J163" s="59"/>
      <c r="L163" s="59"/>
      <c r="N163" s="59"/>
      <c r="Q163" s="59"/>
      <c r="R163" s="61"/>
    </row>
    <row r="164">
      <c r="B164" s="59"/>
      <c r="D164" s="59"/>
      <c r="F164" s="59"/>
      <c r="H164" s="59"/>
      <c r="J164" s="59"/>
      <c r="L164" s="59"/>
      <c r="N164" s="59"/>
      <c r="Q164" s="59"/>
      <c r="R164" s="61"/>
    </row>
    <row r="165">
      <c r="B165" s="59"/>
      <c r="D165" s="59"/>
      <c r="F165" s="59"/>
      <c r="H165" s="59"/>
      <c r="J165" s="59"/>
      <c r="L165" s="59"/>
      <c r="N165" s="59"/>
      <c r="Q165" s="59"/>
      <c r="R165" s="61"/>
    </row>
    <row r="166">
      <c r="B166" s="59"/>
      <c r="D166" s="59"/>
      <c r="F166" s="59"/>
      <c r="H166" s="59"/>
      <c r="J166" s="59"/>
      <c r="L166" s="59"/>
      <c r="N166" s="59"/>
      <c r="Q166" s="59"/>
      <c r="R166" s="61"/>
    </row>
    <row r="167">
      <c r="B167" s="59"/>
      <c r="D167" s="59"/>
      <c r="F167" s="59"/>
      <c r="H167" s="59"/>
      <c r="J167" s="59"/>
      <c r="L167" s="59"/>
      <c r="N167" s="59"/>
      <c r="Q167" s="59"/>
      <c r="R167" s="61"/>
    </row>
    <row r="168">
      <c r="B168" s="59"/>
      <c r="D168" s="59"/>
      <c r="F168" s="59"/>
      <c r="H168" s="59"/>
      <c r="J168" s="59"/>
      <c r="L168" s="59"/>
      <c r="N168" s="59"/>
      <c r="Q168" s="59"/>
      <c r="R168" s="61"/>
    </row>
    <row r="169">
      <c r="B169" s="59"/>
      <c r="D169" s="59"/>
      <c r="F169" s="59"/>
      <c r="H169" s="59"/>
      <c r="J169" s="59"/>
      <c r="L169" s="59"/>
      <c r="N169" s="59"/>
      <c r="Q169" s="59"/>
      <c r="R169" s="61"/>
    </row>
    <row r="170">
      <c r="B170" s="59"/>
      <c r="D170" s="59"/>
      <c r="F170" s="59"/>
      <c r="H170" s="59"/>
      <c r="J170" s="59"/>
      <c r="L170" s="59"/>
      <c r="N170" s="59"/>
      <c r="Q170" s="59"/>
      <c r="R170" s="61"/>
    </row>
    <row r="171">
      <c r="B171" s="59"/>
      <c r="D171" s="59"/>
      <c r="F171" s="59"/>
      <c r="H171" s="59"/>
      <c r="J171" s="59"/>
      <c r="L171" s="59"/>
      <c r="N171" s="59"/>
      <c r="Q171" s="59"/>
      <c r="R171" s="61"/>
    </row>
    <row r="172">
      <c r="B172" s="59"/>
      <c r="D172" s="59"/>
      <c r="F172" s="59"/>
      <c r="H172" s="59"/>
      <c r="J172" s="59"/>
      <c r="L172" s="59"/>
      <c r="N172" s="59"/>
      <c r="Q172" s="59"/>
      <c r="R172" s="61"/>
    </row>
    <row r="173">
      <c r="B173" s="59"/>
      <c r="D173" s="59"/>
      <c r="F173" s="59"/>
      <c r="H173" s="59"/>
      <c r="J173" s="59"/>
      <c r="L173" s="59"/>
      <c r="N173" s="59"/>
      <c r="Q173" s="59"/>
      <c r="R173" s="61"/>
    </row>
    <row r="174">
      <c r="B174" s="59"/>
      <c r="D174" s="59"/>
      <c r="F174" s="59"/>
      <c r="H174" s="59"/>
      <c r="J174" s="59"/>
      <c r="L174" s="59"/>
      <c r="N174" s="59"/>
      <c r="Q174" s="59"/>
      <c r="R174" s="61"/>
    </row>
    <row r="175">
      <c r="B175" s="59"/>
      <c r="D175" s="59"/>
      <c r="F175" s="59"/>
      <c r="H175" s="59"/>
      <c r="J175" s="59"/>
      <c r="L175" s="59"/>
      <c r="N175" s="59"/>
      <c r="Q175" s="59"/>
      <c r="R175" s="61"/>
    </row>
    <row r="176">
      <c r="B176" s="59"/>
      <c r="D176" s="59"/>
      <c r="F176" s="59"/>
      <c r="H176" s="59"/>
      <c r="J176" s="59"/>
      <c r="L176" s="59"/>
      <c r="N176" s="59"/>
      <c r="Q176" s="59"/>
      <c r="R176" s="61"/>
    </row>
    <row r="177">
      <c r="B177" s="59"/>
      <c r="D177" s="59"/>
      <c r="F177" s="59"/>
      <c r="H177" s="59"/>
      <c r="J177" s="59"/>
      <c r="L177" s="59"/>
      <c r="N177" s="59"/>
      <c r="Q177" s="59"/>
      <c r="R177" s="61"/>
    </row>
    <row r="178">
      <c r="B178" s="59"/>
      <c r="D178" s="59"/>
      <c r="F178" s="59"/>
      <c r="H178" s="59"/>
      <c r="J178" s="59"/>
      <c r="L178" s="59"/>
      <c r="N178" s="59"/>
      <c r="Q178" s="59"/>
      <c r="R178" s="61"/>
    </row>
    <row r="179">
      <c r="B179" s="59"/>
      <c r="D179" s="59"/>
      <c r="F179" s="59"/>
      <c r="H179" s="59"/>
      <c r="J179" s="59"/>
      <c r="L179" s="59"/>
      <c r="N179" s="59"/>
      <c r="Q179" s="59"/>
      <c r="R179" s="61"/>
    </row>
    <row r="180">
      <c r="B180" s="59"/>
      <c r="D180" s="59"/>
      <c r="F180" s="59"/>
      <c r="H180" s="59"/>
      <c r="J180" s="59"/>
      <c r="L180" s="59"/>
      <c r="N180" s="59"/>
      <c r="Q180" s="59"/>
      <c r="R180" s="61"/>
    </row>
    <row r="181">
      <c r="B181" s="59"/>
      <c r="D181" s="59"/>
      <c r="F181" s="59"/>
      <c r="H181" s="59"/>
      <c r="J181" s="59"/>
      <c r="L181" s="59"/>
      <c r="N181" s="59"/>
      <c r="Q181" s="59"/>
      <c r="R181" s="61"/>
    </row>
    <row r="182">
      <c r="B182" s="59"/>
      <c r="D182" s="59"/>
      <c r="F182" s="59"/>
      <c r="H182" s="59"/>
      <c r="J182" s="59"/>
      <c r="L182" s="59"/>
      <c r="N182" s="59"/>
      <c r="Q182" s="59"/>
      <c r="R182" s="61"/>
    </row>
    <row r="183">
      <c r="B183" s="59"/>
      <c r="D183" s="59"/>
      <c r="F183" s="59"/>
      <c r="H183" s="59"/>
      <c r="J183" s="59"/>
      <c r="L183" s="59"/>
      <c r="N183" s="59"/>
      <c r="Q183" s="59"/>
      <c r="R183" s="61"/>
    </row>
    <row r="184">
      <c r="B184" s="59"/>
      <c r="D184" s="59"/>
      <c r="F184" s="59"/>
      <c r="H184" s="59"/>
      <c r="J184" s="59"/>
      <c r="L184" s="59"/>
      <c r="N184" s="59"/>
      <c r="Q184" s="59"/>
      <c r="R184" s="61"/>
    </row>
    <row r="185">
      <c r="B185" s="59"/>
      <c r="D185" s="59"/>
      <c r="F185" s="59"/>
      <c r="H185" s="59"/>
      <c r="J185" s="59"/>
      <c r="L185" s="59"/>
      <c r="N185" s="59"/>
      <c r="Q185" s="59"/>
      <c r="R185" s="61"/>
    </row>
    <row r="186">
      <c r="B186" s="59"/>
      <c r="D186" s="59"/>
      <c r="F186" s="59"/>
      <c r="H186" s="59"/>
      <c r="J186" s="59"/>
      <c r="L186" s="59"/>
      <c r="N186" s="59"/>
      <c r="Q186" s="59"/>
      <c r="R186" s="61"/>
    </row>
    <row r="187">
      <c r="B187" s="59"/>
      <c r="D187" s="59"/>
      <c r="F187" s="59"/>
      <c r="H187" s="59"/>
      <c r="J187" s="59"/>
      <c r="L187" s="59"/>
      <c r="N187" s="59"/>
      <c r="Q187" s="59"/>
      <c r="R187" s="61"/>
    </row>
    <row r="188">
      <c r="B188" s="59"/>
      <c r="D188" s="59"/>
      <c r="F188" s="59"/>
      <c r="H188" s="59"/>
      <c r="J188" s="59"/>
      <c r="L188" s="59"/>
      <c r="N188" s="59"/>
      <c r="Q188" s="59"/>
      <c r="R188" s="61"/>
    </row>
    <row r="189">
      <c r="B189" s="59"/>
      <c r="D189" s="59"/>
      <c r="F189" s="59"/>
      <c r="H189" s="59"/>
      <c r="J189" s="59"/>
      <c r="L189" s="59"/>
      <c r="N189" s="59"/>
      <c r="Q189" s="59"/>
      <c r="R189" s="61"/>
    </row>
    <row r="190">
      <c r="B190" s="59"/>
      <c r="D190" s="59"/>
      <c r="F190" s="59"/>
      <c r="H190" s="59"/>
      <c r="J190" s="59"/>
      <c r="L190" s="59"/>
      <c r="N190" s="59"/>
      <c r="Q190" s="59"/>
      <c r="R190" s="61"/>
    </row>
    <row r="191">
      <c r="B191" s="59"/>
      <c r="D191" s="59"/>
      <c r="F191" s="59"/>
      <c r="H191" s="59"/>
      <c r="J191" s="59"/>
      <c r="L191" s="59"/>
      <c r="N191" s="59"/>
      <c r="Q191" s="59"/>
      <c r="R191" s="61"/>
    </row>
    <row r="192">
      <c r="B192" s="59"/>
      <c r="D192" s="59"/>
      <c r="F192" s="59"/>
      <c r="H192" s="59"/>
      <c r="J192" s="59"/>
      <c r="L192" s="59"/>
      <c r="N192" s="59"/>
      <c r="Q192" s="59"/>
      <c r="R192" s="61"/>
    </row>
    <row r="193">
      <c r="B193" s="59"/>
      <c r="D193" s="59"/>
      <c r="F193" s="59"/>
      <c r="H193" s="59"/>
      <c r="J193" s="59"/>
      <c r="L193" s="59"/>
      <c r="N193" s="59"/>
      <c r="Q193" s="59"/>
      <c r="R193" s="61"/>
    </row>
    <row r="194">
      <c r="B194" s="59"/>
      <c r="D194" s="59"/>
      <c r="F194" s="59"/>
      <c r="H194" s="59"/>
      <c r="J194" s="59"/>
      <c r="L194" s="59"/>
      <c r="N194" s="59"/>
      <c r="Q194" s="59"/>
      <c r="R194" s="61"/>
    </row>
    <row r="195">
      <c r="B195" s="59"/>
      <c r="D195" s="59"/>
      <c r="F195" s="59"/>
      <c r="H195" s="59"/>
      <c r="J195" s="59"/>
      <c r="L195" s="59"/>
      <c r="N195" s="59"/>
      <c r="Q195" s="59"/>
      <c r="R195" s="61"/>
    </row>
    <row r="196">
      <c r="B196" s="59"/>
      <c r="D196" s="59"/>
      <c r="F196" s="59"/>
      <c r="H196" s="59"/>
      <c r="J196" s="59"/>
      <c r="L196" s="59"/>
      <c r="N196" s="59"/>
      <c r="Q196" s="59"/>
      <c r="R196" s="61"/>
    </row>
    <row r="197">
      <c r="B197" s="59"/>
      <c r="D197" s="59"/>
      <c r="F197" s="59"/>
      <c r="H197" s="59"/>
      <c r="J197" s="59"/>
      <c r="L197" s="59"/>
      <c r="N197" s="59"/>
      <c r="Q197" s="59"/>
      <c r="R197" s="61"/>
    </row>
    <row r="198">
      <c r="B198" s="59"/>
      <c r="D198" s="59"/>
      <c r="F198" s="59"/>
      <c r="H198" s="59"/>
      <c r="J198" s="59"/>
      <c r="L198" s="59"/>
      <c r="N198" s="59"/>
      <c r="Q198" s="59"/>
      <c r="R198" s="61"/>
    </row>
    <row r="199">
      <c r="B199" s="59"/>
      <c r="D199" s="59"/>
      <c r="F199" s="59"/>
      <c r="H199" s="59"/>
      <c r="J199" s="59"/>
      <c r="L199" s="59"/>
      <c r="N199" s="59"/>
      <c r="Q199" s="59"/>
      <c r="R199" s="61"/>
    </row>
    <row r="200">
      <c r="B200" s="59"/>
      <c r="D200" s="59"/>
      <c r="F200" s="59"/>
      <c r="H200" s="59"/>
      <c r="J200" s="59"/>
      <c r="L200" s="59"/>
      <c r="N200" s="59"/>
      <c r="Q200" s="59"/>
      <c r="R200" s="61"/>
    </row>
    <row r="201">
      <c r="B201" s="59"/>
      <c r="D201" s="59"/>
      <c r="F201" s="59"/>
      <c r="H201" s="59"/>
      <c r="J201" s="59"/>
      <c r="L201" s="59"/>
      <c r="N201" s="59"/>
      <c r="Q201" s="59"/>
      <c r="R201" s="61"/>
    </row>
    <row r="202">
      <c r="B202" s="59"/>
      <c r="D202" s="59"/>
      <c r="F202" s="59"/>
      <c r="H202" s="59"/>
      <c r="J202" s="59"/>
      <c r="L202" s="59"/>
      <c r="N202" s="59"/>
      <c r="Q202" s="59"/>
      <c r="R202" s="61"/>
    </row>
    <row r="203">
      <c r="B203" s="59"/>
      <c r="D203" s="59"/>
      <c r="F203" s="59"/>
      <c r="H203" s="59"/>
      <c r="J203" s="59"/>
      <c r="L203" s="59"/>
      <c r="N203" s="59"/>
      <c r="Q203" s="59"/>
      <c r="R203" s="61"/>
    </row>
    <row r="204">
      <c r="B204" s="59"/>
      <c r="D204" s="59"/>
      <c r="F204" s="59"/>
      <c r="H204" s="59"/>
      <c r="J204" s="59"/>
      <c r="L204" s="59"/>
      <c r="N204" s="59"/>
      <c r="Q204" s="59"/>
      <c r="R204" s="61"/>
    </row>
    <row r="205">
      <c r="B205" s="59"/>
      <c r="D205" s="59"/>
      <c r="F205" s="59"/>
      <c r="H205" s="59"/>
      <c r="J205" s="59"/>
      <c r="L205" s="59"/>
      <c r="N205" s="59"/>
      <c r="Q205" s="59"/>
      <c r="R205" s="61"/>
    </row>
    <row r="206">
      <c r="B206" s="59"/>
      <c r="D206" s="59"/>
      <c r="F206" s="59"/>
      <c r="H206" s="59"/>
      <c r="J206" s="59"/>
      <c r="L206" s="59"/>
      <c r="N206" s="59"/>
      <c r="Q206" s="59"/>
      <c r="R206" s="61"/>
    </row>
    <row r="207">
      <c r="B207" s="59"/>
      <c r="D207" s="59"/>
      <c r="F207" s="59"/>
      <c r="H207" s="59"/>
      <c r="J207" s="59"/>
      <c r="L207" s="59"/>
      <c r="N207" s="59"/>
      <c r="Q207" s="59"/>
      <c r="R207" s="61"/>
    </row>
    <row r="208">
      <c r="B208" s="59"/>
      <c r="D208" s="59"/>
      <c r="F208" s="59"/>
      <c r="H208" s="59"/>
      <c r="J208" s="59"/>
      <c r="L208" s="59"/>
      <c r="N208" s="59"/>
      <c r="Q208" s="59"/>
      <c r="R208" s="61"/>
    </row>
    <row r="209">
      <c r="B209" s="59"/>
      <c r="D209" s="59"/>
      <c r="F209" s="59"/>
      <c r="H209" s="59"/>
      <c r="J209" s="59"/>
      <c r="L209" s="59"/>
      <c r="N209" s="59"/>
      <c r="Q209" s="59"/>
      <c r="R209" s="61"/>
    </row>
    <row r="210">
      <c r="B210" s="59"/>
      <c r="D210" s="59"/>
      <c r="F210" s="59"/>
      <c r="H210" s="59"/>
      <c r="J210" s="59"/>
      <c r="L210" s="59"/>
      <c r="N210" s="59"/>
      <c r="Q210" s="59"/>
      <c r="R210" s="61"/>
    </row>
    <row r="211">
      <c r="B211" s="59"/>
      <c r="D211" s="59"/>
      <c r="F211" s="59"/>
      <c r="H211" s="59"/>
      <c r="J211" s="59"/>
      <c r="L211" s="59"/>
      <c r="N211" s="59"/>
      <c r="Q211" s="59"/>
      <c r="R211" s="61"/>
    </row>
    <row r="212">
      <c r="B212" s="59"/>
      <c r="D212" s="59"/>
      <c r="F212" s="59"/>
      <c r="H212" s="59"/>
      <c r="J212" s="59"/>
      <c r="L212" s="59"/>
      <c r="N212" s="59"/>
      <c r="Q212" s="59"/>
      <c r="R212" s="61"/>
    </row>
    <row r="213">
      <c r="B213" s="59"/>
      <c r="D213" s="59"/>
      <c r="F213" s="59"/>
      <c r="H213" s="59"/>
      <c r="J213" s="59"/>
      <c r="L213" s="59"/>
      <c r="N213" s="59"/>
      <c r="Q213" s="59"/>
      <c r="R213" s="61"/>
    </row>
    <row r="214">
      <c r="B214" s="59"/>
      <c r="D214" s="59"/>
      <c r="F214" s="59"/>
      <c r="H214" s="59"/>
      <c r="J214" s="59"/>
      <c r="L214" s="59"/>
      <c r="N214" s="59"/>
      <c r="Q214" s="59"/>
      <c r="R214" s="61"/>
    </row>
    <row r="215">
      <c r="B215" s="59"/>
      <c r="D215" s="59"/>
      <c r="F215" s="59"/>
      <c r="H215" s="59"/>
      <c r="J215" s="59"/>
      <c r="L215" s="59"/>
      <c r="N215" s="59"/>
      <c r="Q215" s="59"/>
      <c r="R215" s="61"/>
    </row>
    <row r="216">
      <c r="B216" s="59"/>
      <c r="D216" s="59"/>
      <c r="F216" s="59"/>
      <c r="H216" s="59"/>
      <c r="J216" s="59"/>
      <c r="L216" s="59"/>
      <c r="N216" s="59"/>
      <c r="Q216" s="59"/>
      <c r="R216" s="61"/>
    </row>
    <row r="217">
      <c r="B217" s="59"/>
      <c r="D217" s="59"/>
      <c r="F217" s="59"/>
      <c r="H217" s="59"/>
      <c r="J217" s="59"/>
      <c r="L217" s="59"/>
      <c r="N217" s="59"/>
      <c r="Q217" s="59"/>
      <c r="R217" s="61"/>
    </row>
    <row r="218">
      <c r="B218" s="59"/>
      <c r="D218" s="59"/>
      <c r="F218" s="59"/>
      <c r="H218" s="59"/>
      <c r="J218" s="59"/>
      <c r="L218" s="59"/>
      <c r="N218" s="59"/>
      <c r="Q218" s="59"/>
      <c r="R218" s="61"/>
    </row>
    <row r="219">
      <c r="B219" s="59"/>
      <c r="D219" s="59"/>
      <c r="F219" s="59"/>
      <c r="H219" s="59"/>
      <c r="J219" s="59"/>
      <c r="L219" s="59"/>
      <c r="N219" s="59"/>
      <c r="Q219" s="59"/>
      <c r="R219" s="61"/>
    </row>
    <row r="220">
      <c r="B220" s="59"/>
      <c r="D220" s="59"/>
      <c r="F220" s="59"/>
      <c r="H220" s="59"/>
      <c r="J220" s="59"/>
      <c r="L220" s="59"/>
      <c r="N220" s="59"/>
      <c r="Q220" s="59"/>
      <c r="R220" s="61"/>
    </row>
    <row r="221">
      <c r="B221" s="59"/>
      <c r="D221" s="59"/>
      <c r="F221" s="59"/>
      <c r="H221" s="59"/>
      <c r="J221" s="59"/>
      <c r="L221" s="59"/>
      <c r="N221" s="59"/>
      <c r="Q221" s="59"/>
      <c r="R221" s="61"/>
    </row>
    <row r="222">
      <c r="B222" s="59"/>
      <c r="D222" s="59"/>
      <c r="F222" s="59"/>
      <c r="H222" s="59"/>
      <c r="J222" s="59"/>
      <c r="L222" s="59"/>
      <c r="N222" s="59"/>
      <c r="Q222" s="59"/>
      <c r="R222" s="61"/>
    </row>
    <row r="223">
      <c r="B223" s="59"/>
      <c r="D223" s="59"/>
      <c r="F223" s="59"/>
      <c r="H223" s="59"/>
      <c r="J223" s="59"/>
      <c r="L223" s="59"/>
      <c r="N223" s="59"/>
      <c r="Q223" s="59"/>
      <c r="R223" s="61"/>
    </row>
    <row r="224">
      <c r="B224" s="59"/>
      <c r="D224" s="59"/>
      <c r="F224" s="59"/>
      <c r="H224" s="59"/>
      <c r="J224" s="59"/>
      <c r="L224" s="59"/>
      <c r="N224" s="59"/>
      <c r="Q224" s="59"/>
      <c r="R224" s="61"/>
    </row>
    <row r="225">
      <c r="B225" s="59"/>
      <c r="D225" s="59"/>
      <c r="F225" s="59"/>
      <c r="H225" s="59"/>
      <c r="J225" s="59"/>
      <c r="L225" s="59"/>
      <c r="N225" s="59"/>
      <c r="Q225" s="59"/>
      <c r="R225" s="61"/>
    </row>
    <row r="226">
      <c r="B226" s="59"/>
      <c r="D226" s="59"/>
      <c r="F226" s="59"/>
      <c r="H226" s="59"/>
      <c r="J226" s="59"/>
      <c r="L226" s="59"/>
      <c r="N226" s="59"/>
      <c r="Q226" s="59"/>
      <c r="R226" s="61"/>
    </row>
    <row r="227">
      <c r="B227" s="59"/>
      <c r="D227" s="59"/>
      <c r="F227" s="59"/>
      <c r="H227" s="59"/>
      <c r="J227" s="59"/>
      <c r="L227" s="59"/>
      <c r="N227" s="59"/>
      <c r="Q227" s="59"/>
      <c r="R227" s="61"/>
    </row>
    <row r="228">
      <c r="B228" s="59"/>
      <c r="D228" s="59"/>
      <c r="F228" s="59"/>
      <c r="H228" s="59"/>
      <c r="J228" s="59"/>
      <c r="L228" s="59"/>
      <c r="N228" s="59"/>
      <c r="Q228" s="59"/>
      <c r="R228" s="61"/>
    </row>
    <row r="229">
      <c r="B229" s="59"/>
      <c r="D229" s="59"/>
      <c r="F229" s="59"/>
      <c r="H229" s="59"/>
      <c r="J229" s="59"/>
      <c r="L229" s="59"/>
      <c r="N229" s="59"/>
      <c r="Q229" s="59"/>
      <c r="R229" s="61"/>
    </row>
    <row r="230">
      <c r="B230" s="59"/>
      <c r="D230" s="59"/>
      <c r="F230" s="59"/>
      <c r="H230" s="59"/>
      <c r="J230" s="59"/>
      <c r="L230" s="59"/>
      <c r="N230" s="59"/>
      <c r="Q230" s="59"/>
      <c r="R230" s="61"/>
    </row>
    <row r="231">
      <c r="B231" s="59"/>
      <c r="D231" s="59"/>
      <c r="F231" s="59"/>
      <c r="H231" s="59"/>
      <c r="J231" s="59"/>
      <c r="L231" s="59"/>
      <c r="N231" s="59"/>
      <c r="Q231" s="59"/>
      <c r="R231" s="61"/>
    </row>
    <row r="232">
      <c r="B232" s="59"/>
      <c r="D232" s="59"/>
      <c r="F232" s="59"/>
      <c r="H232" s="59"/>
      <c r="J232" s="59"/>
      <c r="L232" s="59"/>
      <c r="N232" s="59"/>
      <c r="Q232" s="59"/>
      <c r="R232" s="61"/>
    </row>
    <row r="233">
      <c r="B233" s="59"/>
      <c r="D233" s="59"/>
      <c r="F233" s="59"/>
      <c r="H233" s="59"/>
      <c r="J233" s="59"/>
      <c r="L233" s="59"/>
      <c r="N233" s="59"/>
      <c r="Q233" s="59"/>
      <c r="R233" s="61"/>
    </row>
    <row r="234">
      <c r="B234" s="59"/>
      <c r="D234" s="59"/>
      <c r="F234" s="59"/>
      <c r="H234" s="59"/>
      <c r="J234" s="59"/>
      <c r="L234" s="59"/>
      <c r="N234" s="59"/>
      <c r="Q234" s="59"/>
      <c r="R234" s="61"/>
    </row>
    <row r="235">
      <c r="B235" s="59"/>
      <c r="D235" s="59"/>
      <c r="F235" s="59"/>
      <c r="H235" s="59"/>
      <c r="J235" s="59"/>
      <c r="L235" s="59"/>
      <c r="N235" s="59"/>
      <c r="Q235" s="59"/>
      <c r="R235" s="61"/>
    </row>
    <row r="236">
      <c r="B236" s="59"/>
      <c r="D236" s="59"/>
      <c r="F236" s="59"/>
      <c r="H236" s="59"/>
      <c r="J236" s="59"/>
      <c r="L236" s="59"/>
      <c r="N236" s="59"/>
      <c r="Q236" s="59"/>
      <c r="R236" s="61"/>
    </row>
    <row r="237">
      <c r="B237" s="59"/>
      <c r="D237" s="59"/>
      <c r="F237" s="59"/>
      <c r="H237" s="59"/>
      <c r="J237" s="59"/>
      <c r="L237" s="59"/>
      <c r="N237" s="59"/>
      <c r="Q237" s="59"/>
      <c r="R237" s="61"/>
    </row>
    <row r="238">
      <c r="B238" s="59"/>
      <c r="D238" s="59"/>
      <c r="F238" s="59"/>
      <c r="H238" s="59"/>
      <c r="J238" s="59"/>
      <c r="L238" s="59"/>
      <c r="N238" s="59"/>
      <c r="Q238" s="59"/>
      <c r="R238" s="61"/>
    </row>
    <row r="239">
      <c r="B239" s="59"/>
      <c r="D239" s="59"/>
      <c r="F239" s="59"/>
      <c r="H239" s="59"/>
      <c r="J239" s="59"/>
      <c r="L239" s="59"/>
      <c r="N239" s="59"/>
      <c r="Q239" s="59"/>
      <c r="R239" s="61"/>
    </row>
    <row r="240">
      <c r="B240" s="59"/>
      <c r="D240" s="59"/>
      <c r="F240" s="59"/>
      <c r="H240" s="59"/>
      <c r="J240" s="59"/>
      <c r="L240" s="59"/>
      <c r="N240" s="59"/>
      <c r="Q240" s="59"/>
      <c r="R240" s="61"/>
    </row>
    <row r="241">
      <c r="B241" s="59"/>
      <c r="D241" s="59"/>
      <c r="F241" s="59"/>
      <c r="H241" s="59"/>
      <c r="J241" s="59"/>
      <c r="L241" s="59"/>
      <c r="N241" s="59"/>
      <c r="Q241" s="59"/>
      <c r="R241" s="61"/>
    </row>
    <row r="242">
      <c r="B242" s="59"/>
      <c r="D242" s="59"/>
      <c r="F242" s="59"/>
      <c r="H242" s="59"/>
      <c r="J242" s="59"/>
      <c r="L242" s="59"/>
      <c r="N242" s="59"/>
      <c r="Q242" s="59"/>
      <c r="R242" s="61"/>
    </row>
    <row r="243">
      <c r="B243" s="59"/>
      <c r="D243" s="59"/>
      <c r="F243" s="59"/>
      <c r="H243" s="59"/>
      <c r="J243" s="59"/>
      <c r="L243" s="59"/>
      <c r="N243" s="59"/>
      <c r="Q243" s="59"/>
      <c r="R243" s="61"/>
    </row>
    <row r="244">
      <c r="B244" s="59"/>
      <c r="D244" s="59"/>
      <c r="F244" s="59"/>
      <c r="H244" s="59"/>
      <c r="J244" s="59"/>
      <c r="L244" s="59"/>
      <c r="N244" s="59"/>
      <c r="Q244" s="59"/>
      <c r="R244" s="61"/>
    </row>
    <row r="245">
      <c r="B245" s="59"/>
      <c r="D245" s="59"/>
      <c r="F245" s="59"/>
      <c r="H245" s="59"/>
      <c r="J245" s="59"/>
      <c r="L245" s="59"/>
      <c r="N245" s="59"/>
      <c r="Q245" s="59"/>
      <c r="R245" s="61"/>
    </row>
    <row r="246">
      <c r="B246" s="59"/>
      <c r="D246" s="59"/>
      <c r="F246" s="59"/>
      <c r="H246" s="59"/>
      <c r="J246" s="59"/>
      <c r="L246" s="59"/>
      <c r="N246" s="59"/>
      <c r="Q246" s="59"/>
      <c r="R246" s="61"/>
    </row>
    <row r="247">
      <c r="B247" s="59"/>
      <c r="D247" s="59"/>
      <c r="F247" s="59"/>
      <c r="H247" s="59"/>
      <c r="J247" s="59"/>
      <c r="L247" s="59"/>
      <c r="N247" s="59"/>
      <c r="Q247" s="59"/>
      <c r="R247" s="61"/>
    </row>
    <row r="248">
      <c r="B248" s="59"/>
      <c r="D248" s="59"/>
      <c r="F248" s="59"/>
      <c r="H248" s="59"/>
      <c r="J248" s="59"/>
      <c r="L248" s="59"/>
      <c r="N248" s="59"/>
      <c r="Q248" s="59"/>
      <c r="R248" s="61"/>
    </row>
    <row r="249">
      <c r="B249" s="59"/>
      <c r="D249" s="59"/>
      <c r="F249" s="59"/>
      <c r="H249" s="59"/>
      <c r="J249" s="59"/>
      <c r="L249" s="59"/>
      <c r="N249" s="59"/>
      <c r="Q249" s="59"/>
      <c r="R249" s="61"/>
    </row>
    <row r="250">
      <c r="B250" s="59"/>
      <c r="D250" s="59"/>
      <c r="F250" s="59"/>
      <c r="H250" s="59"/>
      <c r="J250" s="59"/>
      <c r="L250" s="59"/>
      <c r="N250" s="59"/>
      <c r="Q250" s="59"/>
      <c r="R250" s="61"/>
    </row>
    <row r="251">
      <c r="B251" s="59"/>
      <c r="D251" s="59"/>
      <c r="F251" s="59"/>
      <c r="H251" s="59"/>
      <c r="J251" s="59"/>
      <c r="L251" s="59"/>
      <c r="N251" s="59"/>
      <c r="Q251" s="59"/>
      <c r="R251" s="61"/>
    </row>
    <row r="252">
      <c r="B252" s="59"/>
      <c r="D252" s="59"/>
      <c r="F252" s="59"/>
      <c r="H252" s="59"/>
      <c r="J252" s="59"/>
      <c r="L252" s="59"/>
      <c r="N252" s="59"/>
      <c r="Q252" s="59"/>
      <c r="R252" s="61"/>
    </row>
    <row r="253">
      <c r="B253" s="59"/>
      <c r="D253" s="59"/>
      <c r="F253" s="59"/>
      <c r="H253" s="59"/>
      <c r="J253" s="59"/>
      <c r="L253" s="59"/>
      <c r="N253" s="59"/>
      <c r="Q253" s="59"/>
      <c r="R253" s="61"/>
    </row>
    <row r="254">
      <c r="B254" s="59"/>
      <c r="D254" s="59"/>
      <c r="F254" s="59"/>
      <c r="H254" s="59"/>
      <c r="J254" s="59"/>
      <c r="L254" s="59"/>
      <c r="N254" s="59"/>
      <c r="Q254" s="59"/>
      <c r="R254" s="61"/>
    </row>
    <row r="255">
      <c r="B255" s="59"/>
      <c r="D255" s="59"/>
      <c r="F255" s="59"/>
      <c r="H255" s="59"/>
      <c r="J255" s="59"/>
      <c r="L255" s="59"/>
      <c r="N255" s="59"/>
      <c r="Q255" s="59"/>
      <c r="R255" s="61"/>
    </row>
    <row r="256">
      <c r="B256" s="59"/>
      <c r="D256" s="59"/>
      <c r="F256" s="59"/>
      <c r="H256" s="59"/>
      <c r="J256" s="59"/>
      <c r="L256" s="59"/>
      <c r="N256" s="59"/>
      <c r="Q256" s="59"/>
      <c r="R256" s="61"/>
    </row>
    <row r="257">
      <c r="B257" s="59"/>
      <c r="D257" s="59"/>
      <c r="F257" s="59"/>
      <c r="H257" s="59"/>
      <c r="J257" s="59"/>
      <c r="L257" s="59"/>
      <c r="N257" s="59"/>
      <c r="Q257" s="59"/>
      <c r="R257" s="61"/>
    </row>
    <row r="258">
      <c r="B258" s="59"/>
      <c r="D258" s="59"/>
      <c r="F258" s="59"/>
      <c r="H258" s="59"/>
      <c r="J258" s="59"/>
      <c r="L258" s="59"/>
      <c r="N258" s="59"/>
      <c r="Q258" s="59"/>
      <c r="R258" s="61"/>
    </row>
    <row r="259">
      <c r="B259" s="59"/>
      <c r="D259" s="59"/>
      <c r="F259" s="59"/>
      <c r="H259" s="59"/>
      <c r="J259" s="59"/>
      <c r="L259" s="59"/>
      <c r="N259" s="59"/>
      <c r="Q259" s="59"/>
      <c r="R259" s="61"/>
    </row>
    <row r="260">
      <c r="B260" s="59"/>
      <c r="D260" s="59"/>
      <c r="F260" s="59"/>
      <c r="H260" s="59"/>
      <c r="J260" s="59"/>
      <c r="L260" s="59"/>
      <c r="N260" s="59"/>
      <c r="Q260" s="59"/>
      <c r="R260" s="61"/>
    </row>
    <row r="261">
      <c r="B261" s="59"/>
      <c r="D261" s="59"/>
      <c r="F261" s="59"/>
      <c r="H261" s="59"/>
      <c r="J261" s="59"/>
      <c r="L261" s="59"/>
      <c r="N261" s="59"/>
      <c r="Q261" s="59"/>
      <c r="R261" s="61"/>
    </row>
    <row r="262">
      <c r="B262" s="59"/>
      <c r="D262" s="59"/>
      <c r="F262" s="59"/>
      <c r="H262" s="59"/>
      <c r="J262" s="59"/>
      <c r="L262" s="59"/>
      <c r="N262" s="59"/>
      <c r="Q262" s="59"/>
      <c r="R262" s="61"/>
    </row>
    <row r="263">
      <c r="B263" s="59"/>
      <c r="D263" s="59"/>
      <c r="F263" s="59"/>
      <c r="H263" s="59"/>
      <c r="J263" s="59"/>
      <c r="L263" s="59"/>
      <c r="N263" s="59"/>
      <c r="Q263" s="59"/>
      <c r="R263" s="61"/>
    </row>
    <row r="264">
      <c r="B264" s="59"/>
      <c r="D264" s="59"/>
      <c r="F264" s="59"/>
      <c r="H264" s="59"/>
      <c r="J264" s="59"/>
      <c r="L264" s="59"/>
      <c r="N264" s="59"/>
      <c r="Q264" s="59"/>
      <c r="R264" s="61"/>
    </row>
    <row r="265">
      <c r="B265" s="59"/>
      <c r="D265" s="59"/>
      <c r="F265" s="59"/>
      <c r="H265" s="59"/>
      <c r="J265" s="59"/>
      <c r="L265" s="59"/>
      <c r="N265" s="59"/>
      <c r="Q265" s="59"/>
      <c r="R265" s="61"/>
    </row>
    <row r="266">
      <c r="B266" s="59"/>
      <c r="D266" s="59"/>
      <c r="F266" s="59"/>
      <c r="H266" s="59"/>
      <c r="J266" s="59"/>
      <c r="L266" s="59"/>
      <c r="N266" s="59"/>
      <c r="Q266" s="59"/>
      <c r="R266" s="61"/>
    </row>
    <row r="267">
      <c r="B267" s="59"/>
      <c r="D267" s="59"/>
      <c r="F267" s="59"/>
      <c r="H267" s="59"/>
      <c r="J267" s="59"/>
      <c r="L267" s="59"/>
      <c r="N267" s="59"/>
      <c r="Q267" s="59"/>
      <c r="R267" s="61"/>
    </row>
    <row r="268">
      <c r="B268" s="59"/>
      <c r="D268" s="59"/>
      <c r="F268" s="59"/>
      <c r="H268" s="59"/>
      <c r="J268" s="59"/>
      <c r="L268" s="59"/>
      <c r="N268" s="59"/>
      <c r="Q268" s="59"/>
      <c r="R268" s="61"/>
    </row>
    <row r="269">
      <c r="B269" s="59"/>
      <c r="D269" s="59"/>
      <c r="F269" s="59"/>
      <c r="H269" s="59"/>
      <c r="J269" s="59"/>
      <c r="L269" s="59"/>
      <c r="N269" s="59"/>
      <c r="Q269" s="59"/>
      <c r="R269" s="61"/>
    </row>
    <row r="270">
      <c r="B270" s="59"/>
      <c r="D270" s="59"/>
      <c r="F270" s="59"/>
      <c r="H270" s="59"/>
      <c r="J270" s="59"/>
      <c r="L270" s="59"/>
      <c r="N270" s="59"/>
      <c r="Q270" s="59"/>
      <c r="R270" s="61"/>
    </row>
    <row r="271">
      <c r="B271" s="59"/>
      <c r="D271" s="59"/>
      <c r="F271" s="59"/>
      <c r="H271" s="59"/>
      <c r="J271" s="59"/>
      <c r="L271" s="59"/>
      <c r="N271" s="59"/>
      <c r="Q271" s="59"/>
      <c r="R271" s="61"/>
    </row>
    <row r="272">
      <c r="B272" s="59"/>
      <c r="D272" s="59"/>
      <c r="F272" s="59"/>
      <c r="H272" s="59"/>
      <c r="J272" s="59"/>
      <c r="L272" s="59"/>
      <c r="N272" s="59"/>
      <c r="Q272" s="59"/>
      <c r="R272" s="61"/>
    </row>
    <row r="273">
      <c r="B273" s="59"/>
      <c r="D273" s="59"/>
      <c r="F273" s="59"/>
      <c r="H273" s="59"/>
      <c r="J273" s="59"/>
      <c r="L273" s="59"/>
      <c r="N273" s="59"/>
      <c r="Q273" s="59"/>
      <c r="R273" s="61"/>
    </row>
    <row r="274">
      <c r="B274" s="59"/>
      <c r="D274" s="59"/>
      <c r="F274" s="59"/>
      <c r="H274" s="59"/>
      <c r="J274" s="59"/>
      <c r="L274" s="59"/>
      <c r="N274" s="59"/>
      <c r="Q274" s="59"/>
      <c r="R274" s="61"/>
    </row>
    <row r="275">
      <c r="B275" s="59"/>
      <c r="D275" s="59"/>
      <c r="F275" s="59"/>
      <c r="H275" s="59"/>
      <c r="J275" s="59"/>
      <c r="L275" s="59"/>
      <c r="N275" s="59"/>
      <c r="Q275" s="59"/>
      <c r="R275" s="61"/>
    </row>
    <row r="276">
      <c r="B276" s="59"/>
      <c r="D276" s="59"/>
      <c r="F276" s="59"/>
      <c r="H276" s="59"/>
      <c r="J276" s="59"/>
      <c r="L276" s="59"/>
      <c r="N276" s="59"/>
      <c r="Q276" s="59"/>
      <c r="R276" s="61"/>
    </row>
    <row r="277">
      <c r="B277" s="59"/>
      <c r="D277" s="59"/>
      <c r="F277" s="59"/>
      <c r="H277" s="59"/>
      <c r="J277" s="59"/>
      <c r="L277" s="59"/>
      <c r="N277" s="59"/>
      <c r="Q277" s="59"/>
      <c r="R277" s="61"/>
    </row>
    <row r="278">
      <c r="B278" s="59"/>
      <c r="D278" s="59"/>
      <c r="F278" s="59"/>
      <c r="H278" s="59"/>
      <c r="J278" s="59"/>
      <c r="L278" s="59"/>
      <c r="N278" s="59"/>
      <c r="Q278" s="59"/>
      <c r="R278" s="61"/>
    </row>
    <row r="279">
      <c r="B279" s="59"/>
      <c r="D279" s="59"/>
      <c r="F279" s="59"/>
      <c r="H279" s="59"/>
      <c r="J279" s="59"/>
      <c r="L279" s="59"/>
      <c r="N279" s="59"/>
      <c r="Q279" s="59"/>
      <c r="R279" s="61"/>
    </row>
    <row r="280">
      <c r="B280" s="59"/>
      <c r="D280" s="59"/>
      <c r="F280" s="59"/>
      <c r="H280" s="59"/>
      <c r="J280" s="59"/>
      <c r="L280" s="59"/>
      <c r="N280" s="59"/>
      <c r="Q280" s="59"/>
      <c r="R280" s="61"/>
    </row>
    <row r="281">
      <c r="B281" s="59"/>
      <c r="D281" s="59"/>
      <c r="F281" s="59"/>
      <c r="H281" s="59"/>
      <c r="J281" s="59"/>
      <c r="L281" s="59"/>
      <c r="N281" s="59"/>
      <c r="Q281" s="59"/>
      <c r="R281" s="61"/>
    </row>
    <row r="282">
      <c r="B282" s="59"/>
      <c r="D282" s="59"/>
      <c r="F282" s="59"/>
      <c r="H282" s="59"/>
      <c r="J282" s="59"/>
      <c r="L282" s="59"/>
      <c r="N282" s="59"/>
      <c r="Q282" s="59"/>
      <c r="R282" s="61"/>
    </row>
    <row r="283">
      <c r="B283" s="59"/>
      <c r="D283" s="59"/>
      <c r="F283" s="59"/>
      <c r="H283" s="59"/>
      <c r="J283" s="59"/>
      <c r="L283" s="59"/>
      <c r="N283" s="59"/>
      <c r="Q283" s="59"/>
      <c r="R283" s="61"/>
    </row>
    <row r="284">
      <c r="B284" s="59"/>
      <c r="D284" s="59"/>
      <c r="F284" s="59"/>
      <c r="H284" s="59"/>
      <c r="J284" s="59"/>
      <c r="L284" s="59"/>
      <c r="N284" s="59"/>
      <c r="Q284" s="59"/>
      <c r="R284" s="61"/>
    </row>
    <row r="285">
      <c r="B285" s="59"/>
      <c r="D285" s="59"/>
      <c r="F285" s="59"/>
      <c r="H285" s="59"/>
      <c r="J285" s="59"/>
      <c r="L285" s="59"/>
      <c r="N285" s="59"/>
      <c r="Q285" s="59"/>
      <c r="R285" s="61"/>
    </row>
    <row r="286">
      <c r="B286" s="59"/>
      <c r="D286" s="59"/>
      <c r="F286" s="59"/>
      <c r="H286" s="59"/>
      <c r="J286" s="59"/>
      <c r="L286" s="59"/>
      <c r="N286" s="59"/>
      <c r="Q286" s="59"/>
      <c r="R286" s="61"/>
    </row>
    <row r="287">
      <c r="B287" s="59"/>
      <c r="D287" s="59"/>
      <c r="F287" s="59"/>
      <c r="H287" s="59"/>
      <c r="J287" s="59"/>
      <c r="L287" s="59"/>
      <c r="N287" s="59"/>
      <c r="Q287" s="59"/>
      <c r="R287" s="61"/>
    </row>
    <row r="288">
      <c r="B288" s="59"/>
      <c r="D288" s="59"/>
      <c r="F288" s="59"/>
      <c r="H288" s="59"/>
      <c r="J288" s="59"/>
      <c r="L288" s="59"/>
      <c r="N288" s="59"/>
      <c r="Q288" s="59"/>
      <c r="R288" s="61"/>
    </row>
    <row r="289">
      <c r="B289" s="59"/>
      <c r="D289" s="59"/>
      <c r="F289" s="59"/>
      <c r="H289" s="59"/>
      <c r="J289" s="59"/>
      <c r="L289" s="59"/>
      <c r="N289" s="59"/>
      <c r="Q289" s="59"/>
      <c r="R289" s="61"/>
    </row>
    <row r="290">
      <c r="B290" s="59"/>
      <c r="D290" s="59"/>
      <c r="F290" s="59"/>
      <c r="H290" s="59"/>
      <c r="J290" s="59"/>
      <c r="L290" s="59"/>
      <c r="N290" s="59"/>
      <c r="Q290" s="59"/>
      <c r="R290" s="61"/>
    </row>
    <row r="291">
      <c r="B291" s="59"/>
      <c r="D291" s="59"/>
      <c r="F291" s="59"/>
      <c r="H291" s="59"/>
      <c r="J291" s="59"/>
      <c r="L291" s="59"/>
      <c r="N291" s="59"/>
      <c r="Q291" s="59"/>
      <c r="R291" s="61"/>
    </row>
    <row r="292">
      <c r="B292" s="59"/>
      <c r="D292" s="59"/>
      <c r="F292" s="59"/>
      <c r="H292" s="59"/>
      <c r="J292" s="59"/>
      <c r="L292" s="59"/>
      <c r="N292" s="59"/>
      <c r="Q292" s="59"/>
      <c r="R292" s="61"/>
    </row>
    <row r="293">
      <c r="B293" s="59"/>
      <c r="D293" s="59"/>
      <c r="F293" s="59"/>
      <c r="H293" s="59"/>
      <c r="J293" s="59"/>
      <c r="L293" s="59"/>
      <c r="N293" s="59"/>
      <c r="Q293" s="59"/>
      <c r="R293" s="61"/>
    </row>
    <row r="294">
      <c r="B294" s="59"/>
      <c r="D294" s="59"/>
      <c r="F294" s="59"/>
      <c r="H294" s="59"/>
      <c r="J294" s="59"/>
      <c r="L294" s="59"/>
      <c r="N294" s="59"/>
      <c r="Q294" s="59"/>
      <c r="R294" s="61"/>
    </row>
    <row r="295">
      <c r="B295" s="59"/>
      <c r="D295" s="59"/>
      <c r="F295" s="59"/>
      <c r="H295" s="59"/>
      <c r="J295" s="59"/>
      <c r="L295" s="59"/>
      <c r="N295" s="59"/>
      <c r="Q295" s="59"/>
      <c r="R295" s="61"/>
    </row>
    <row r="296">
      <c r="B296" s="59"/>
      <c r="D296" s="59"/>
      <c r="F296" s="59"/>
      <c r="H296" s="59"/>
      <c r="J296" s="59"/>
      <c r="L296" s="59"/>
      <c r="N296" s="59"/>
      <c r="Q296" s="59"/>
      <c r="R296" s="61"/>
    </row>
    <row r="297">
      <c r="B297" s="59"/>
      <c r="D297" s="59"/>
      <c r="F297" s="59"/>
      <c r="H297" s="59"/>
      <c r="J297" s="59"/>
      <c r="L297" s="59"/>
      <c r="N297" s="59"/>
      <c r="Q297" s="59"/>
      <c r="R297" s="61"/>
    </row>
    <row r="298">
      <c r="B298" s="59"/>
      <c r="D298" s="59"/>
      <c r="F298" s="59"/>
      <c r="H298" s="59"/>
      <c r="J298" s="59"/>
      <c r="L298" s="59"/>
      <c r="N298" s="59"/>
      <c r="Q298" s="59"/>
      <c r="R298" s="61"/>
    </row>
    <row r="299">
      <c r="B299" s="59"/>
      <c r="D299" s="59"/>
      <c r="F299" s="59"/>
      <c r="H299" s="59"/>
      <c r="J299" s="59"/>
      <c r="L299" s="59"/>
      <c r="N299" s="59"/>
      <c r="Q299" s="59"/>
      <c r="R299" s="61"/>
    </row>
    <row r="300">
      <c r="B300" s="59"/>
      <c r="D300" s="59"/>
      <c r="F300" s="59"/>
      <c r="H300" s="59"/>
      <c r="J300" s="59"/>
      <c r="L300" s="59"/>
      <c r="N300" s="59"/>
      <c r="Q300" s="59"/>
      <c r="R300" s="61"/>
    </row>
    <row r="301">
      <c r="B301" s="59"/>
      <c r="D301" s="59"/>
      <c r="F301" s="59"/>
      <c r="H301" s="59"/>
      <c r="J301" s="59"/>
      <c r="L301" s="59"/>
      <c r="N301" s="59"/>
      <c r="Q301" s="59"/>
      <c r="R301" s="61"/>
    </row>
    <row r="302">
      <c r="B302" s="59"/>
      <c r="D302" s="59"/>
      <c r="F302" s="59"/>
      <c r="H302" s="59"/>
      <c r="J302" s="59"/>
      <c r="L302" s="59"/>
      <c r="N302" s="59"/>
      <c r="Q302" s="59"/>
      <c r="R302" s="61"/>
    </row>
    <row r="303">
      <c r="B303" s="59"/>
      <c r="D303" s="59"/>
      <c r="F303" s="59"/>
      <c r="H303" s="59"/>
      <c r="J303" s="59"/>
      <c r="L303" s="59"/>
      <c r="N303" s="59"/>
      <c r="Q303" s="59"/>
      <c r="R303" s="61"/>
    </row>
    <row r="304">
      <c r="B304" s="59"/>
      <c r="D304" s="59"/>
      <c r="F304" s="59"/>
      <c r="H304" s="59"/>
      <c r="J304" s="59"/>
      <c r="L304" s="59"/>
      <c r="N304" s="59"/>
      <c r="Q304" s="59"/>
      <c r="R304" s="61"/>
    </row>
    <row r="305">
      <c r="B305" s="59"/>
      <c r="D305" s="59"/>
      <c r="F305" s="59"/>
      <c r="H305" s="59"/>
      <c r="J305" s="59"/>
      <c r="L305" s="59"/>
      <c r="N305" s="59"/>
      <c r="Q305" s="59"/>
      <c r="R305" s="61"/>
    </row>
    <row r="306">
      <c r="B306" s="59"/>
      <c r="D306" s="59"/>
      <c r="F306" s="59"/>
      <c r="H306" s="59"/>
      <c r="J306" s="59"/>
      <c r="L306" s="59"/>
      <c r="N306" s="59"/>
      <c r="Q306" s="59"/>
      <c r="R306" s="61"/>
    </row>
    <row r="307">
      <c r="B307" s="59"/>
      <c r="D307" s="59"/>
      <c r="F307" s="59"/>
      <c r="H307" s="59"/>
      <c r="J307" s="59"/>
      <c r="L307" s="59"/>
      <c r="N307" s="59"/>
      <c r="Q307" s="59"/>
      <c r="R307" s="61"/>
    </row>
    <row r="308">
      <c r="B308" s="59"/>
      <c r="D308" s="59"/>
      <c r="F308" s="59"/>
      <c r="H308" s="59"/>
      <c r="J308" s="59"/>
      <c r="L308" s="59"/>
      <c r="N308" s="59"/>
      <c r="Q308" s="59"/>
      <c r="R308" s="61"/>
    </row>
    <row r="309">
      <c r="B309" s="59"/>
      <c r="D309" s="59"/>
      <c r="F309" s="59"/>
      <c r="H309" s="59"/>
      <c r="J309" s="59"/>
      <c r="L309" s="59"/>
      <c r="N309" s="59"/>
      <c r="Q309" s="59"/>
      <c r="R309" s="61"/>
    </row>
    <row r="310">
      <c r="B310" s="59"/>
      <c r="D310" s="59"/>
      <c r="F310" s="59"/>
      <c r="H310" s="59"/>
      <c r="J310" s="59"/>
      <c r="L310" s="59"/>
      <c r="N310" s="59"/>
      <c r="Q310" s="59"/>
      <c r="R310" s="61"/>
    </row>
    <row r="311">
      <c r="B311" s="59"/>
      <c r="D311" s="59"/>
      <c r="F311" s="59"/>
      <c r="H311" s="59"/>
      <c r="J311" s="59"/>
      <c r="L311" s="59"/>
      <c r="N311" s="59"/>
      <c r="Q311" s="59"/>
      <c r="R311" s="61"/>
    </row>
    <row r="312">
      <c r="B312" s="59"/>
      <c r="D312" s="59"/>
      <c r="F312" s="59"/>
      <c r="H312" s="59"/>
      <c r="J312" s="59"/>
      <c r="L312" s="59"/>
      <c r="N312" s="59"/>
      <c r="Q312" s="59"/>
      <c r="R312" s="61"/>
    </row>
    <row r="313">
      <c r="B313" s="59"/>
      <c r="D313" s="59"/>
      <c r="F313" s="59"/>
      <c r="H313" s="59"/>
      <c r="J313" s="59"/>
      <c r="L313" s="59"/>
      <c r="N313" s="59"/>
      <c r="Q313" s="59"/>
      <c r="R313" s="61"/>
    </row>
    <row r="314">
      <c r="B314" s="59"/>
      <c r="D314" s="59"/>
      <c r="F314" s="59"/>
      <c r="H314" s="59"/>
      <c r="J314" s="59"/>
      <c r="L314" s="59"/>
      <c r="N314" s="59"/>
      <c r="Q314" s="59"/>
      <c r="R314" s="61"/>
    </row>
    <row r="315">
      <c r="B315" s="59"/>
      <c r="D315" s="59"/>
      <c r="F315" s="59"/>
      <c r="H315" s="59"/>
      <c r="J315" s="59"/>
      <c r="L315" s="59"/>
      <c r="N315" s="59"/>
      <c r="Q315" s="59"/>
      <c r="R315" s="61"/>
    </row>
    <row r="316">
      <c r="B316" s="59"/>
      <c r="D316" s="59"/>
      <c r="F316" s="59"/>
      <c r="H316" s="59"/>
      <c r="J316" s="59"/>
      <c r="L316" s="59"/>
      <c r="N316" s="59"/>
      <c r="Q316" s="59"/>
      <c r="R316" s="61"/>
    </row>
    <row r="317">
      <c r="B317" s="59"/>
      <c r="D317" s="59"/>
      <c r="F317" s="59"/>
      <c r="H317" s="59"/>
      <c r="J317" s="59"/>
      <c r="L317" s="59"/>
      <c r="N317" s="59"/>
      <c r="Q317" s="59"/>
      <c r="R317" s="61"/>
    </row>
    <row r="318">
      <c r="B318" s="59"/>
      <c r="D318" s="59"/>
      <c r="F318" s="59"/>
      <c r="H318" s="59"/>
      <c r="J318" s="59"/>
      <c r="L318" s="59"/>
      <c r="N318" s="59"/>
      <c r="Q318" s="59"/>
      <c r="R318" s="61"/>
    </row>
    <row r="319">
      <c r="B319" s="59"/>
      <c r="D319" s="59"/>
      <c r="F319" s="59"/>
      <c r="H319" s="59"/>
      <c r="J319" s="59"/>
      <c r="L319" s="59"/>
      <c r="N319" s="59"/>
      <c r="Q319" s="59"/>
      <c r="R319" s="61"/>
    </row>
    <row r="320">
      <c r="B320" s="59"/>
      <c r="D320" s="59"/>
      <c r="F320" s="59"/>
      <c r="H320" s="59"/>
      <c r="J320" s="59"/>
      <c r="L320" s="59"/>
      <c r="N320" s="59"/>
      <c r="Q320" s="59"/>
      <c r="R320" s="61"/>
    </row>
    <row r="321">
      <c r="B321" s="59"/>
      <c r="D321" s="59"/>
      <c r="F321" s="59"/>
      <c r="H321" s="59"/>
      <c r="J321" s="59"/>
      <c r="L321" s="59"/>
      <c r="N321" s="59"/>
      <c r="Q321" s="59"/>
      <c r="R321" s="61"/>
    </row>
    <row r="322">
      <c r="B322" s="59"/>
      <c r="D322" s="59"/>
      <c r="F322" s="59"/>
      <c r="H322" s="59"/>
      <c r="J322" s="59"/>
      <c r="L322" s="59"/>
      <c r="N322" s="59"/>
      <c r="Q322" s="59"/>
      <c r="R322" s="61"/>
    </row>
    <row r="323">
      <c r="B323" s="59"/>
      <c r="D323" s="59"/>
      <c r="F323" s="59"/>
      <c r="H323" s="59"/>
      <c r="J323" s="59"/>
      <c r="L323" s="59"/>
      <c r="N323" s="59"/>
      <c r="Q323" s="59"/>
      <c r="R323" s="61"/>
    </row>
    <row r="324">
      <c r="B324" s="59"/>
      <c r="D324" s="59"/>
      <c r="F324" s="59"/>
      <c r="H324" s="59"/>
      <c r="J324" s="59"/>
      <c r="L324" s="59"/>
      <c r="N324" s="59"/>
      <c r="Q324" s="59"/>
      <c r="R324" s="61"/>
    </row>
    <row r="325">
      <c r="B325" s="59"/>
      <c r="D325" s="59"/>
      <c r="F325" s="59"/>
      <c r="H325" s="59"/>
      <c r="J325" s="59"/>
      <c r="L325" s="59"/>
      <c r="N325" s="59"/>
      <c r="Q325" s="59"/>
      <c r="R325" s="61"/>
    </row>
    <row r="326">
      <c r="B326" s="59"/>
      <c r="D326" s="59"/>
      <c r="F326" s="59"/>
      <c r="H326" s="59"/>
      <c r="J326" s="59"/>
      <c r="L326" s="59"/>
      <c r="N326" s="59"/>
      <c r="Q326" s="59"/>
      <c r="R326" s="61"/>
    </row>
    <row r="327">
      <c r="B327" s="59"/>
      <c r="D327" s="59"/>
      <c r="F327" s="59"/>
      <c r="H327" s="59"/>
      <c r="J327" s="59"/>
      <c r="L327" s="59"/>
      <c r="N327" s="59"/>
      <c r="Q327" s="59"/>
      <c r="R327" s="61"/>
    </row>
    <row r="328">
      <c r="B328" s="59"/>
      <c r="D328" s="59"/>
      <c r="F328" s="59"/>
      <c r="H328" s="59"/>
      <c r="J328" s="59"/>
      <c r="L328" s="59"/>
      <c r="N328" s="59"/>
      <c r="Q328" s="59"/>
      <c r="R328" s="61"/>
    </row>
    <row r="329">
      <c r="B329" s="59"/>
      <c r="D329" s="59"/>
      <c r="F329" s="59"/>
      <c r="H329" s="59"/>
      <c r="J329" s="59"/>
      <c r="L329" s="59"/>
      <c r="N329" s="59"/>
      <c r="Q329" s="59"/>
      <c r="R329" s="61"/>
    </row>
    <row r="330">
      <c r="B330" s="59"/>
      <c r="D330" s="59"/>
      <c r="F330" s="59"/>
      <c r="H330" s="59"/>
      <c r="J330" s="59"/>
      <c r="L330" s="59"/>
      <c r="N330" s="59"/>
      <c r="Q330" s="59"/>
      <c r="R330" s="61"/>
    </row>
    <row r="331">
      <c r="B331" s="59"/>
      <c r="D331" s="59"/>
      <c r="F331" s="59"/>
      <c r="H331" s="59"/>
      <c r="J331" s="59"/>
      <c r="L331" s="59"/>
      <c r="N331" s="59"/>
      <c r="Q331" s="59"/>
      <c r="R331" s="61"/>
    </row>
    <row r="332">
      <c r="B332" s="59"/>
      <c r="D332" s="59"/>
      <c r="F332" s="59"/>
      <c r="H332" s="59"/>
      <c r="J332" s="59"/>
      <c r="L332" s="59"/>
      <c r="N332" s="59"/>
      <c r="Q332" s="59"/>
      <c r="R332" s="61"/>
    </row>
    <row r="333">
      <c r="B333" s="59"/>
      <c r="D333" s="59"/>
      <c r="F333" s="59"/>
      <c r="H333" s="59"/>
      <c r="J333" s="59"/>
      <c r="L333" s="59"/>
      <c r="N333" s="59"/>
      <c r="Q333" s="59"/>
      <c r="R333" s="61"/>
    </row>
    <row r="334">
      <c r="B334" s="59"/>
      <c r="D334" s="59"/>
      <c r="F334" s="59"/>
      <c r="H334" s="59"/>
      <c r="J334" s="59"/>
      <c r="L334" s="59"/>
      <c r="N334" s="59"/>
      <c r="Q334" s="59"/>
      <c r="R334" s="61"/>
    </row>
    <row r="335">
      <c r="B335" s="59"/>
      <c r="D335" s="59"/>
      <c r="F335" s="59"/>
      <c r="H335" s="59"/>
      <c r="J335" s="59"/>
      <c r="L335" s="59"/>
      <c r="N335" s="59"/>
      <c r="Q335" s="59"/>
      <c r="R335" s="61"/>
    </row>
    <row r="336">
      <c r="B336" s="59"/>
      <c r="D336" s="59"/>
      <c r="F336" s="59"/>
      <c r="H336" s="59"/>
      <c r="J336" s="59"/>
      <c r="L336" s="59"/>
      <c r="N336" s="59"/>
      <c r="Q336" s="59"/>
      <c r="R336" s="61"/>
    </row>
    <row r="337">
      <c r="B337" s="59"/>
      <c r="D337" s="59"/>
      <c r="F337" s="59"/>
      <c r="H337" s="59"/>
      <c r="J337" s="59"/>
      <c r="L337" s="59"/>
      <c r="N337" s="59"/>
      <c r="Q337" s="59"/>
      <c r="R337" s="61"/>
    </row>
    <row r="338">
      <c r="B338" s="59"/>
      <c r="D338" s="59"/>
      <c r="F338" s="59"/>
      <c r="H338" s="59"/>
      <c r="J338" s="59"/>
      <c r="L338" s="59"/>
      <c r="N338" s="59"/>
      <c r="Q338" s="59"/>
      <c r="R338" s="61"/>
    </row>
    <row r="339">
      <c r="B339" s="59"/>
      <c r="D339" s="59"/>
      <c r="F339" s="59"/>
      <c r="H339" s="59"/>
      <c r="J339" s="59"/>
      <c r="L339" s="59"/>
      <c r="N339" s="59"/>
      <c r="Q339" s="59"/>
      <c r="R339" s="61"/>
    </row>
    <row r="340">
      <c r="B340" s="59"/>
      <c r="D340" s="59"/>
      <c r="F340" s="59"/>
      <c r="H340" s="59"/>
      <c r="J340" s="59"/>
      <c r="L340" s="59"/>
      <c r="N340" s="59"/>
      <c r="Q340" s="59"/>
      <c r="R340" s="61"/>
    </row>
    <row r="341">
      <c r="B341" s="59"/>
      <c r="D341" s="59"/>
      <c r="F341" s="59"/>
      <c r="H341" s="59"/>
      <c r="J341" s="59"/>
      <c r="L341" s="59"/>
      <c r="N341" s="59"/>
      <c r="Q341" s="59"/>
      <c r="R341" s="61"/>
    </row>
    <row r="342">
      <c r="B342" s="59"/>
      <c r="D342" s="59"/>
      <c r="F342" s="59"/>
      <c r="H342" s="59"/>
      <c r="J342" s="59"/>
      <c r="L342" s="59"/>
      <c r="N342" s="59"/>
      <c r="Q342" s="59"/>
      <c r="R342" s="61"/>
    </row>
    <row r="343">
      <c r="B343" s="59"/>
      <c r="D343" s="59"/>
      <c r="F343" s="59"/>
      <c r="H343" s="59"/>
      <c r="J343" s="59"/>
      <c r="L343" s="59"/>
      <c r="N343" s="59"/>
      <c r="Q343" s="59"/>
      <c r="R343" s="61"/>
    </row>
    <row r="344">
      <c r="B344" s="59"/>
      <c r="D344" s="59"/>
      <c r="F344" s="59"/>
      <c r="H344" s="59"/>
      <c r="J344" s="59"/>
      <c r="L344" s="59"/>
      <c r="N344" s="59"/>
      <c r="Q344" s="59"/>
      <c r="R344" s="61"/>
    </row>
    <row r="345">
      <c r="B345" s="59"/>
      <c r="D345" s="59"/>
      <c r="F345" s="59"/>
      <c r="H345" s="59"/>
      <c r="J345" s="59"/>
      <c r="L345" s="59"/>
      <c r="N345" s="59"/>
      <c r="Q345" s="59"/>
      <c r="R345" s="61"/>
    </row>
    <row r="346">
      <c r="B346" s="59"/>
      <c r="D346" s="59"/>
      <c r="F346" s="59"/>
      <c r="H346" s="59"/>
      <c r="J346" s="59"/>
      <c r="L346" s="59"/>
      <c r="N346" s="59"/>
      <c r="Q346" s="59"/>
      <c r="R346" s="61"/>
    </row>
    <row r="347">
      <c r="B347" s="59"/>
      <c r="D347" s="59"/>
      <c r="F347" s="59"/>
      <c r="H347" s="59"/>
      <c r="J347" s="59"/>
      <c r="L347" s="59"/>
      <c r="N347" s="59"/>
      <c r="Q347" s="59"/>
      <c r="R347" s="61"/>
    </row>
    <row r="348">
      <c r="B348" s="59"/>
      <c r="D348" s="59"/>
      <c r="F348" s="59"/>
      <c r="H348" s="59"/>
      <c r="J348" s="59"/>
      <c r="L348" s="59"/>
      <c r="N348" s="59"/>
      <c r="Q348" s="59"/>
      <c r="R348" s="61"/>
    </row>
    <row r="349">
      <c r="B349" s="59"/>
      <c r="D349" s="59"/>
      <c r="F349" s="59"/>
      <c r="H349" s="59"/>
      <c r="J349" s="59"/>
      <c r="L349" s="59"/>
      <c r="N349" s="59"/>
      <c r="Q349" s="59"/>
      <c r="R349" s="61"/>
    </row>
    <row r="350">
      <c r="B350" s="59"/>
      <c r="D350" s="59"/>
      <c r="F350" s="59"/>
      <c r="H350" s="59"/>
      <c r="J350" s="59"/>
      <c r="L350" s="59"/>
      <c r="N350" s="59"/>
      <c r="Q350" s="59"/>
      <c r="R350" s="61"/>
    </row>
    <row r="351">
      <c r="B351" s="59"/>
      <c r="D351" s="59"/>
      <c r="F351" s="59"/>
      <c r="H351" s="59"/>
      <c r="J351" s="59"/>
      <c r="L351" s="59"/>
      <c r="N351" s="59"/>
      <c r="Q351" s="59"/>
      <c r="R351" s="61"/>
    </row>
    <row r="352">
      <c r="B352" s="59"/>
      <c r="D352" s="59"/>
      <c r="F352" s="59"/>
      <c r="H352" s="59"/>
      <c r="J352" s="59"/>
      <c r="L352" s="59"/>
      <c r="N352" s="59"/>
      <c r="Q352" s="59"/>
      <c r="R352" s="61"/>
    </row>
    <row r="353">
      <c r="B353" s="59"/>
      <c r="D353" s="59"/>
      <c r="F353" s="59"/>
      <c r="H353" s="59"/>
      <c r="J353" s="59"/>
      <c r="L353" s="59"/>
      <c r="N353" s="59"/>
      <c r="Q353" s="59"/>
      <c r="R353" s="61"/>
    </row>
    <row r="354">
      <c r="B354" s="59"/>
      <c r="D354" s="59"/>
      <c r="F354" s="59"/>
      <c r="H354" s="59"/>
      <c r="J354" s="59"/>
      <c r="L354" s="59"/>
      <c r="N354" s="59"/>
      <c r="Q354" s="59"/>
      <c r="R354" s="61"/>
    </row>
    <row r="355">
      <c r="B355" s="59"/>
      <c r="D355" s="59"/>
      <c r="F355" s="59"/>
      <c r="H355" s="59"/>
      <c r="J355" s="59"/>
      <c r="L355" s="59"/>
      <c r="N355" s="59"/>
      <c r="Q355" s="59"/>
      <c r="R355" s="61"/>
    </row>
    <row r="356">
      <c r="B356" s="59"/>
      <c r="D356" s="59"/>
      <c r="F356" s="59"/>
      <c r="H356" s="59"/>
      <c r="J356" s="59"/>
      <c r="L356" s="59"/>
      <c r="N356" s="59"/>
      <c r="Q356" s="59"/>
      <c r="R356" s="61"/>
    </row>
    <row r="357">
      <c r="B357" s="59"/>
      <c r="D357" s="59"/>
      <c r="F357" s="59"/>
      <c r="H357" s="59"/>
      <c r="J357" s="59"/>
      <c r="L357" s="59"/>
      <c r="N357" s="59"/>
      <c r="Q357" s="59"/>
      <c r="R357" s="61"/>
    </row>
    <row r="358">
      <c r="B358" s="59"/>
      <c r="D358" s="59"/>
      <c r="F358" s="59"/>
      <c r="H358" s="59"/>
      <c r="J358" s="59"/>
      <c r="L358" s="59"/>
      <c r="N358" s="59"/>
      <c r="Q358" s="59"/>
      <c r="R358" s="61"/>
    </row>
    <row r="359">
      <c r="B359" s="59"/>
      <c r="D359" s="59"/>
      <c r="F359" s="59"/>
      <c r="H359" s="59"/>
      <c r="J359" s="59"/>
      <c r="L359" s="59"/>
      <c r="N359" s="59"/>
      <c r="Q359" s="59"/>
      <c r="R359" s="61"/>
    </row>
    <row r="360">
      <c r="B360" s="59"/>
      <c r="D360" s="59"/>
      <c r="F360" s="59"/>
      <c r="H360" s="59"/>
      <c r="J360" s="59"/>
      <c r="L360" s="59"/>
      <c r="N360" s="59"/>
      <c r="Q360" s="59"/>
      <c r="R360" s="61"/>
    </row>
    <row r="361">
      <c r="B361" s="59"/>
      <c r="D361" s="59"/>
      <c r="F361" s="59"/>
      <c r="H361" s="59"/>
      <c r="J361" s="59"/>
      <c r="L361" s="59"/>
      <c r="N361" s="59"/>
      <c r="Q361" s="59"/>
      <c r="R361" s="61"/>
    </row>
    <row r="362">
      <c r="B362" s="59"/>
      <c r="D362" s="59"/>
      <c r="F362" s="59"/>
      <c r="H362" s="59"/>
      <c r="J362" s="59"/>
      <c r="L362" s="59"/>
      <c r="N362" s="59"/>
      <c r="Q362" s="59"/>
      <c r="R362" s="61"/>
    </row>
    <row r="363">
      <c r="B363" s="59"/>
      <c r="D363" s="59"/>
      <c r="F363" s="59"/>
      <c r="H363" s="59"/>
      <c r="J363" s="59"/>
      <c r="L363" s="59"/>
      <c r="N363" s="59"/>
      <c r="Q363" s="59"/>
      <c r="R363" s="61"/>
    </row>
    <row r="364">
      <c r="B364" s="59"/>
      <c r="D364" s="59"/>
      <c r="F364" s="59"/>
      <c r="H364" s="59"/>
      <c r="J364" s="59"/>
      <c r="L364" s="59"/>
      <c r="N364" s="59"/>
      <c r="Q364" s="59"/>
      <c r="R364" s="61"/>
    </row>
    <row r="365">
      <c r="B365" s="59"/>
      <c r="D365" s="59"/>
      <c r="F365" s="59"/>
      <c r="H365" s="59"/>
      <c r="J365" s="59"/>
      <c r="L365" s="59"/>
      <c r="N365" s="59"/>
      <c r="Q365" s="59"/>
      <c r="R365" s="61"/>
    </row>
    <row r="366">
      <c r="B366" s="59"/>
      <c r="D366" s="59"/>
      <c r="F366" s="59"/>
      <c r="H366" s="59"/>
      <c r="J366" s="59"/>
      <c r="L366" s="59"/>
      <c r="N366" s="59"/>
      <c r="Q366" s="59"/>
      <c r="R366" s="61"/>
    </row>
    <row r="367">
      <c r="B367" s="59"/>
      <c r="D367" s="59"/>
      <c r="F367" s="59"/>
      <c r="H367" s="59"/>
      <c r="J367" s="59"/>
      <c r="L367" s="59"/>
      <c r="N367" s="59"/>
      <c r="Q367" s="59"/>
      <c r="R367" s="61"/>
    </row>
    <row r="368">
      <c r="B368" s="59"/>
      <c r="D368" s="59"/>
      <c r="F368" s="59"/>
      <c r="H368" s="59"/>
      <c r="J368" s="59"/>
      <c r="L368" s="59"/>
      <c r="N368" s="59"/>
      <c r="Q368" s="59"/>
      <c r="R368" s="61"/>
    </row>
    <row r="369">
      <c r="B369" s="59"/>
      <c r="D369" s="59"/>
      <c r="F369" s="59"/>
      <c r="H369" s="59"/>
      <c r="J369" s="59"/>
      <c r="L369" s="59"/>
      <c r="N369" s="59"/>
      <c r="Q369" s="59"/>
      <c r="R369" s="61"/>
    </row>
    <row r="370">
      <c r="B370" s="59"/>
      <c r="D370" s="59"/>
      <c r="F370" s="59"/>
      <c r="H370" s="59"/>
      <c r="J370" s="59"/>
      <c r="L370" s="59"/>
      <c r="N370" s="59"/>
      <c r="Q370" s="59"/>
      <c r="R370" s="61"/>
    </row>
    <row r="371">
      <c r="B371" s="59"/>
      <c r="D371" s="59"/>
      <c r="F371" s="59"/>
      <c r="H371" s="59"/>
      <c r="J371" s="59"/>
      <c r="L371" s="59"/>
      <c r="N371" s="59"/>
      <c r="Q371" s="59"/>
      <c r="R371" s="61"/>
    </row>
    <row r="372">
      <c r="B372" s="59"/>
      <c r="D372" s="59"/>
      <c r="F372" s="59"/>
      <c r="H372" s="59"/>
      <c r="J372" s="59"/>
      <c r="L372" s="59"/>
      <c r="N372" s="59"/>
      <c r="Q372" s="59"/>
      <c r="R372" s="61"/>
    </row>
    <row r="373">
      <c r="B373" s="59"/>
      <c r="D373" s="59"/>
      <c r="F373" s="59"/>
      <c r="H373" s="59"/>
      <c r="J373" s="59"/>
      <c r="L373" s="59"/>
      <c r="N373" s="59"/>
      <c r="Q373" s="59"/>
      <c r="R373" s="61"/>
    </row>
    <row r="374">
      <c r="B374" s="59"/>
      <c r="D374" s="59"/>
      <c r="F374" s="59"/>
      <c r="H374" s="59"/>
      <c r="J374" s="59"/>
      <c r="L374" s="59"/>
      <c r="N374" s="59"/>
      <c r="Q374" s="59"/>
      <c r="R374" s="61"/>
    </row>
    <row r="375">
      <c r="B375" s="59"/>
      <c r="D375" s="59"/>
      <c r="F375" s="59"/>
      <c r="H375" s="59"/>
      <c r="J375" s="59"/>
      <c r="L375" s="59"/>
      <c r="N375" s="59"/>
      <c r="Q375" s="59"/>
      <c r="R375" s="61"/>
    </row>
    <row r="376">
      <c r="B376" s="59"/>
      <c r="D376" s="59"/>
      <c r="F376" s="59"/>
      <c r="H376" s="59"/>
      <c r="J376" s="59"/>
      <c r="L376" s="59"/>
      <c r="N376" s="59"/>
      <c r="Q376" s="59"/>
      <c r="R376" s="61"/>
    </row>
    <row r="377">
      <c r="B377" s="59"/>
      <c r="D377" s="59"/>
      <c r="F377" s="59"/>
      <c r="H377" s="59"/>
      <c r="J377" s="59"/>
      <c r="L377" s="59"/>
      <c r="N377" s="59"/>
      <c r="Q377" s="59"/>
      <c r="R377" s="61"/>
    </row>
    <row r="378">
      <c r="B378" s="59"/>
      <c r="D378" s="59"/>
      <c r="F378" s="59"/>
      <c r="H378" s="59"/>
      <c r="J378" s="59"/>
      <c r="L378" s="59"/>
      <c r="N378" s="59"/>
      <c r="Q378" s="59"/>
      <c r="R378" s="61"/>
    </row>
    <row r="379">
      <c r="B379" s="59"/>
      <c r="D379" s="59"/>
      <c r="F379" s="59"/>
      <c r="H379" s="59"/>
      <c r="J379" s="59"/>
      <c r="L379" s="59"/>
      <c r="N379" s="59"/>
      <c r="Q379" s="59"/>
      <c r="R379" s="61"/>
    </row>
    <row r="380">
      <c r="B380" s="59"/>
      <c r="D380" s="59"/>
      <c r="F380" s="59"/>
      <c r="H380" s="59"/>
      <c r="J380" s="59"/>
      <c r="L380" s="59"/>
      <c r="N380" s="59"/>
      <c r="Q380" s="59"/>
      <c r="R380" s="61"/>
    </row>
    <row r="381">
      <c r="B381" s="59"/>
      <c r="D381" s="59"/>
      <c r="F381" s="59"/>
      <c r="H381" s="59"/>
      <c r="J381" s="59"/>
      <c r="L381" s="59"/>
      <c r="N381" s="59"/>
      <c r="Q381" s="59"/>
      <c r="R381" s="61"/>
    </row>
    <row r="382">
      <c r="B382" s="59"/>
      <c r="D382" s="59"/>
      <c r="F382" s="59"/>
      <c r="H382" s="59"/>
      <c r="J382" s="59"/>
      <c r="L382" s="59"/>
      <c r="N382" s="59"/>
      <c r="Q382" s="59"/>
      <c r="R382" s="61"/>
    </row>
    <row r="383">
      <c r="B383" s="59"/>
      <c r="D383" s="59"/>
      <c r="F383" s="59"/>
      <c r="H383" s="59"/>
      <c r="J383" s="59"/>
      <c r="L383" s="59"/>
      <c r="N383" s="59"/>
      <c r="Q383" s="59"/>
      <c r="R383" s="61"/>
    </row>
    <row r="384">
      <c r="B384" s="59"/>
      <c r="D384" s="59"/>
      <c r="F384" s="59"/>
      <c r="H384" s="59"/>
      <c r="J384" s="59"/>
      <c r="L384" s="59"/>
      <c r="N384" s="59"/>
      <c r="Q384" s="59"/>
      <c r="R384" s="61"/>
    </row>
    <row r="385">
      <c r="B385" s="59"/>
      <c r="D385" s="59"/>
      <c r="F385" s="59"/>
      <c r="H385" s="59"/>
      <c r="J385" s="59"/>
      <c r="L385" s="59"/>
      <c r="N385" s="59"/>
      <c r="Q385" s="59"/>
      <c r="R385" s="61"/>
    </row>
    <row r="386">
      <c r="B386" s="59"/>
      <c r="D386" s="59"/>
      <c r="F386" s="59"/>
      <c r="H386" s="59"/>
      <c r="J386" s="59"/>
      <c r="L386" s="59"/>
      <c r="N386" s="59"/>
      <c r="Q386" s="59"/>
      <c r="R386" s="61"/>
    </row>
    <row r="387">
      <c r="B387" s="59"/>
      <c r="D387" s="59"/>
      <c r="F387" s="59"/>
      <c r="H387" s="59"/>
      <c r="J387" s="59"/>
      <c r="L387" s="59"/>
      <c r="N387" s="59"/>
      <c r="Q387" s="59"/>
      <c r="R387" s="61"/>
    </row>
    <row r="388">
      <c r="B388" s="59"/>
      <c r="D388" s="59"/>
      <c r="F388" s="59"/>
      <c r="H388" s="59"/>
      <c r="J388" s="59"/>
      <c r="L388" s="59"/>
      <c r="N388" s="59"/>
      <c r="Q388" s="59"/>
      <c r="R388" s="61"/>
    </row>
    <row r="389">
      <c r="B389" s="59"/>
      <c r="D389" s="59"/>
      <c r="F389" s="59"/>
      <c r="H389" s="59"/>
      <c r="J389" s="59"/>
      <c r="L389" s="59"/>
      <c r="N389" s="59"/>
      <c r="Q389" s="59"/>
      <c r="R389" s="61"/>
    </row>
    <row r="390">
      <c r="B390" s="59"/>
      <c r="D390" s="59"/>
      <c r="F390" s="59"/>
      <c r="H390" s="59"/>
      <c r="J390" s="59"/>
      <c r="L390" s="59"/>
      <c r="N390" s="59"/>
      <c r="Q390" s="59"/>
      <c r="R390" s="61"/>
    </row>
    <row r="391">
      <c r="B391" s="59"/>
      <c r="D391" s="59"/>
      <c r="F391" s="59"/>
      <c r="H391" s="59"/>
      <c r="J391" s="59"/>
      <c r="L391" s="59"/>
      <c r="N391" s="59"/>
      <c r="Q391" s="59"/>
      <c r="R391" s="61"/>
    </row>
    <row r="392">
      <c r="B392" s="59"/>
      <c r="D392" s="59"/>
      <c r="F392" s="59"/>
      <c r="H392" s="59"/>
      <c r="J392" s="59"/>
      <c r="L392" s="59"/>
      <c r="N392" s="59"/>
      <c r="Q392" s="59"/>
      <c r="R392" s="61"/>
    </row>
    <row r="393">
      <c r="B393" s="59"/>
      <c r="D393" s="59"/>
      <c r="F393" s="59"/>
      <c r="H393" s="59"/>
      <c r="J393" s="59"/>
      <c r="L393" s="59"/>
      <c r="N393" s="59"/>
      <c r="Q393" s="59"/>
      <c r="R393" s="61"/>
    </row>
    <row r="394">
      <c r="B394" s="59"/>
      <c r="D394" s="59"/>
      <c r="F394" s="59"/>
      <c r="H394" s="59"/>
      <c r="J394" s="59"/>
      <c r="L394" s="59"/>
      <c r="N394" s="59"/>
      <c r="Q394" s="59"/>
      <c r="R394" s="61"/>
    </row>
    <row r="395">
      <c r="B395" s="59"/>
      <c r="D395" s="59"/>
      <c r="F395" s="59"/>
      <c r="H395" s="59"/>
      <c r="J395" s="59"/>
      <c r="L395" s="59"/>
      <c r="N395" s="59"/>
      <c r="Q395" s="59"/>
      <c r="R395" s="61"/>
    </row>
    <row r="396">
      <c r="B396" s="59"/>
      <c r="D396" s="59"/>
      <c r="F396" s="59"/>
      <c r="H396" s="59"/>
      <c r="J396" s="59"/>
      <c r="L396" s="59"/>
      <c r="N396" s="59"/>
      <c r="Q396" s="59"/>
      <c r="R396" s="61"/>
    </row>
    <row r="397">
      <c r="B397" s="59"/>
      <c r="D397" s="59"/>
      <c r="F397" s="59"/>
      <c r="H397" s="59"/>
      <c r="J397" s="59"/>
      <c r="L397" s="59"/>
      <c r="N397" s="59"/>
      <c r="Q397" s="59"/>
      <c r="R397" s="61"/>
    </row>
    <row r="398">
      <c r="B398" s="59"/>
      <c r="D398" s="59"/>
      <c r="F398" s="59"/>
      <c r="H398" s="59"/>
      <c r="J398" s="59"/>
      <c r="L398" s="59"/>
      <c r="N398" s="59"/>
      <c r="Q398" s="59"/>
      <c r="R398" s="61"/>
    </row>
    <row r="399">
      <c r="B399" s="59"/>
      <c r="D399" s="59"/>
      <c r="F399" s="59"/>
      <c r="H399" s="59"/>
      <c r="J399" s="59"/>
      <c r="L399" s="59"/>
      <c r="N399" s="59"/>
      <c r="Q399" s="59"/>
      <c r="R399" s="61"/>
    </row>
    <row r="400">
      <c r="B400" s="59"/>
      <c r="D400" s="59"/>
      <c r="F400" s="59"/>
      <c r="H400" s="59"/>
      <c r="J400" s="59"/>
      <c r="L400" s="59"/>
      <c r="N400" s="59"/>
      <c r="Q400" s="59"/>
      <c r="R400" s="61"/>
    </row>
    <row r="401">
      <c r="B401" s="59"/>
      <c r="D401" s="59"/>
      <c r="F401" s="59"/>
      <c r="H401" s="59"/>
      <c r="J401" s="59"/>
      <c r="L401" s="59"/>
      <c r="N401" s="59"/>
      <c r="Q401" s="59"/>
      <c r="R401" s="61"/>
    </row>
    <row r="402">
      <c r="B402" s="59"/>
      <c r="D402" s="59"/>
      <c r="F402" s="59"/>
      <c r="H402" s="59"/>
      <c r="J402" s="59"/>
      <c r="L402" s="59"/>
      <c r="N402" s="59"/>
      <c r="Q402" s="59"/>
      <c r="R402" s="61"/>
    </row>
    <row r="403">
      <c r="B403" s="59"/>
      <c r="D403" s="59"/>
      <c r="F403" s="59"/>
      <c r="H403" s="59"/>
      <c r="J403" s="59"/>
      <c r="L403" s="59"/>
      <c r="N403" s="59"/>
      <c r="Q403" s="59"/>
      <c r="R403" s="61"/>
    </row>
    <row r="404">
      <c r="B404" s="59"/>
      <c r="D404" s="59"/>
      <c r="F404" s="59"/>
      <c r="H404" s="59"/>
      <c r="J404" s="59"/>
      <c r="L404" s="59"/>
      <c r="N404" s="59"/>
      <c r="Q404" s="59"/>
      <c r="R404" s="61"/>
    </row>
    <row r="405">
      <c r="B405" s="59"/>
      <c r="D405" s="59"/>
      <c r="F405" s="59"/>
      <c r="H405" s="59"/>
      <c r="J405" s="59"/>
      <c r="L405" s="59"/>
      <c r="N405" s="59"/>
      <c r="Q405" s="59"/>
      <c r="R405" s="61"/>
    </row>
    <row r="406">
      <c r="B406" s="59"/>
      <c r="D406" s="59"/>
      <c r="F406" s="59"/>
      <c r="H406" s="59"/>
      <c r="J406" s="59"/>
      <c r="L406" s="59"/>
      <c r="N406" s="59"/>
      <c r="Q406" s="59"/>
      <c r="R406" s="61"/>
    </row>
    <row r="407">
      <c r="B407" s="59"/>
      <c r="D407" s="59"/>
      <c r="F407" s="59"/>
      <c r="H407" s="59"/>
      <c r="J407" s="59"/>
      <c r="L407" s="59"/>
      <c r="N407" s="59"/>
      <c r="Q407" s="59"/>
      <c r="R407" s="61"/>
    </row>
    <row r="408">
      <c r="B408" s="59"/>
      <c r="D408" s="59"/>
      <c r="F408" s="59"/>
      <c r="H408" s="59"/>
      <c r="J408" s="59"/>
      <c r="L408" s="59"/>
      <c r="N408" s="59"/>
      <c r="Q408" s="59"/>
      <c r="R408" s="61"/>
    </row>
    <row r="409">
      <c r="B409" s="59"/>
      <c r="D409" s="59"/>
      <c r="F409" s="59"/>
      <c r="H409" s="59"/>
      <c r="J409" s="59"/>
      <c r="L409" s="59"/>
      <c r="N409" s="59"/>
      <c r="Q409" s="59"/>
      <c r="R409" s="61"/>
    </row>
    <row r="410">
      <c r="B410" s="59"/>
      <c r="D410" s="59"/>
      <c r="F410" s="59"/>
      <c r="H410" s="59"/>
      <c r="J410" s="59"/>
      <c r="L410" s="59"/>
      <c r="N410" s="59"/>
      <c r="Q410" s="59"/>
      <c r="R410" s="61"/>
    </row>
    <row r="411">
      <c r="B411" s="59"/>
      <c r="D411" s="59"/>
      <c r="F411" s="59"/>
      <c r="H411" s="59"/>
      <c r="J411" s="59"/>
      <c r="L411" s="59"/>
      <c r="N411" s="59"/>
      <c r="Q411" s="59"/>
      <c r="R411" s="61"/>
    </row>
    <row r="412">
      <c r="B412" s="59"/>
      <c r="D412" s="59"/>
      <c r="F412" s="59"/>
      <c r="H412" s="59"/>
      <c r="J412" s="59"/>
      <c r="L412" s="59"/>
      <c r="N412" s="59"/>
      <c r="Q412" s="59"/>
      <c r="R412" s="61"/>
    </row>
    <row r="413">
      <c r="B413" s="59"/>
      <c r="D413" s="59"/>
      <c r="F413" s="59"/>
      <c r="H413" s="59"/>
      <c r="J413" s="59"/>
      <c r="L413" s="59"/>
      <c r="N413" s="59"/>
      <c r="Q413" s="59"/>
      <c r="R413" s="61"/>
    </row>
    <row r="414">
      <c r="B414" s="59"/>
      <c r="D414" s="59"/>
      <c r="F414" s="59"/>
      <c r="H414" s="59"/>
      <c r="J414" s="59"/>
      <c r="L414" s="59"/>
      <c r="N414" s="59"/>
      <c r="Q414" s="59"/>
      <c r="R414" s="61"/>
    </row>
    <row r="415">
      <c r="B415" s="59"/>
      <c r="D415" s="59"/>
      <c r="F415" s="59"/>
      <c r="H415" s="59"/>
      <c r="J415" s="59"/>
      <c r="L415" s="59"/>
      <c r="N415" s="59"/>
      <c r="Q415" s="59"/>
      <c r="R415" s="61"/>
    </row>
    <row r="416">
      <c r="B416" s="59"/>
      <c r="D416" s="59"/>
      <c r="F416" s="59"/>
      <c r="H416" s="59"/>
      <c r="J416" s="59"/>
      <c r="L416" s="59"/>
      <c r="N416" s="59"/>
      <c r="Q416" s="59"/>
      <c r="R416" s="61"/>
    </row>
    <row r="417">
      <c r="B417" s="59"/>
      <c r="D417" s="59"/>
      <c r="F417" s="59"/>
      <c r="H417" s="59"/>
      <c r="J417" s="59"/>
      <c r="L417" s="59"/>
      <c r="N417" s="59"/>
      <c r="Q417" s="59"/>
      <c r="R417" s="61"/>
    </row>
    <row r="418">
      <c r="B418" s="59"/>
      <c r="D418" s="59"/>
      <c r="F418" s="59"/>
      <c r="H418" s="59"/>
      <c r="J418" s="59"/>
      <c r="L418" s="59"/>
      <c r="N418" s="59"/>
      <c r="Q418" s="59"/>
      <c r="R418" s="61"/>
    </row>
    <row r="419">
      <c r="B419" s="59"/>
      <c r="D419" s="59"/>
      <c r="F419" s="59"/>
      <c r="H419" s="59"/>
      <c r="J419" s="59"/>
      <c r="L419" s="59"/>
      <c r="N419" s="59"/>
      <c r="Q419" s="59"/>
      <c r="R419" s="61"/>
    </row>
    <row r="420">
      <c r="B420" s="59"/>
      <c r="D420" s="59"/>
      <c r="F420" s="59"/>
      <c r="H420" s="59"/>
      <c r="J420" s="59"/>
      <c r="L420" s="59"/>
      <c r="N420" s="59"/>
      <c r="Q420" s="59"/>
      <c r="R420" s="61"/>
    </row>
    <row r="421">
      <c r="B421" s="59"/>
      <c r="D421" s="59"/>
      <c r="F421" s="59"/>
      <c r="H421" s="59"/>
      <c r="J421" s="59"/>
      <c r="L421" s="59"/>
      <c r="N421" s="59"/>
      <c r="Q421" s="59"/>
      <c r="R421" s="61"/>
    </row>
    <row r="422">
      <c r="B422" s="59"/>
      <c r="D422" s="59"/>
      <c r="F422" s="59"/>
      <c r="H422" s="59"/>
      <c r="J422" s="59"/>
      <c r="L422" s="59"/>
      <c r="N422" s="59"/>
      <c r="Q422" s="59"/>
      <c r="R422" s="61"/>
    </row>
    <row r="423">
      <c r="B423" s="59"/>
      <c r="D423" s="59"/>
      <c r="F423" s="59"/>
      <c r="H423" s="59"/>
      <c r="J423" s="59"/>
      <c r="L423" s="59"/>
      <c r="N423" s="59"/>
      <c r="Q423" s="59"/>
      <c r="R423" s="61"/>
    </row>
    <row r="424">
      <c r="B424" s="59"/>
      <c r="D424" s="59"/>
      <c r="F424" s="59"/>
      <c r="H424" s="59"/>
      <c r="J424" s="59"/>
      <c r="L424" s="59"/>
      <c r="N424" s="59"/>
      <c r="Q424" s="59"/>
      <c r="R424" s="61"/>
    </row>
    <row r="425">
      <c r="B425" s="59"/>
      <c r="D425" s="59"/>
      <c r="F425" s="59"/>
      <c r="H425" s="59"/>
      <c r="J425" s="59"/>
      <c r="L425" s="59"/>
      <c r="N425" s="59"/>
      <c r="Q425" s="59"/>
      <c r="R425" s="61"/>
    </row>
    <row r="426">
      <c r="B426" s="59"/>
      <c r="D426" s="59"/>
      <c r="F426" s="59"/>
      <c r="H426" s="59"/>
      <c r="J426" s="59"/>
      <c r="L426" s="59"/>
      <c r="N426" s="59"/>
      <c r="Q426" s="59"/>
      <c r="R426" s="61"/>
    </row>
    <row r="427">
      <c r="B427" s="59"/>
      <c r="D427" s="59"/>
      <c r="F427" s="59"/>
      <c r="H427" s="59"/>
      <c r="J427" s="59"/>
      <c r="L427" s="59"/>
      <c r="N427" s="59"/>
      <c r="Q427" s="59"/>
      <c r="R427" s="61"/>
    </row>
    <row r="428">
      <c r="B428" s="59"/>
      <c r="D428" s="59"/>
      <c r="F428" s="59"/>
      <c r="H428" s="59"/>
      <c r="J428" s="59"/>
      <c r="L428" s="59"/>
      <c r="N428" s="59"/>
      <c r="Q428" s="59"/>
      <c r="R428" s="61"/>
    </row>
    <row r="429">
      <c r="B429" s="59"/>
      <c r="D429" s="59"/>
      <c r="F429" s="59"/>
      <c r="H429" s="59"/>
      <c r="J429" s="59"/>
      <c r="L429" s="59"/>
      <c r="N429" s="59"/>
      <c r="Q429" s="59"/>
      <c r="R429" s="61"/>
    </row>
    <row r="430">
      <c r="B430" s="59"/>
      <c r="D430" s="59"/>
      <c r="F430" s="59"/>
      <c r="H430" s="59"/>
      <c r="J430" s="59"/>
      <c r="L430" s="59"/>
      <c r="N430" s="59"/>
      <c r="Q430" s="59"/>
      <c r="R430" s="61"/>
    </row>
    <row r="431">
      <c r="B431" s="59"/>
      <c r="D431" s="59"/>
      <c r="F431" s="59"/>
      <c r="H431" s="59"/>
      <c r="J431" s="59"/>
      <c r="L431" s="59"/>
      <c r="N431" s="59"/>
      <c r="Q431" s="59"/>
      <c r="R431" s="61"/>
    </row>
    <row r="432">
      <c r="B432" s="59"/>
      <c r="D432" s="59"/>
      <c r="F432" s="59"/>
      <c r="H432" s="59"/>
      <c r="J432" s="59"/>
      <c r="L432" s="59"/>
      <c r="N432" s="59"/>
      <c r="Q432" s="59"/>
      <c r="R432" s="61"/>
    </row>
    <row r="433">
      <c r="B433" s="59"/>
      <c r="D433" s="59"/>
      <c r="F433" s="59"/>
      <c r="H433" s="59"/>
      <c r="J433" s="59"/>
      <c r="L433" s="59"/>
      <c r="N433" s="59"/>
      <c r="Q433" s="59"/>
      <c r="R433" s="61"/>
    </row>
    <row r="434">
      <c r="B434" s="59"/>
      <c r="D434" s="59"/>
      <c r="F434" s="59"/>
      <c r="H434" s="59"/>
      <c r="J434" s="59"/>
      <c r="L434" s="59"/>
      <c r="N434" s="59"/>
      <c r="Q434" s="59"/>
      <c r="R434" s="61"/>
    </row>
    <row r="435">
      <c r="B435" s="59"/>
      <c r="D435" s="59"/>
      <c r="F435" s="59"/>
      <c r="H435" s="59"/>
      <c r="J435" s="59"/>
      <c r="L435" s="59"/>
      <c r="N435" s="59"/>
      <c r="Q435" s="59"/>
      <c r="R435" s="61"/>
    </row>
    <row r="436">
      <c r="B436" s="59"/>
      <c r="D436" s="59"/>
      <c r="F436" s="59"/>
      <c r="H436" s="59"/>
      <c r="J436" s="59"/>
      <c r="L436" s="59"/>
      <c r="N436" s="59"/>
      <c r="Q436" s="59"/>
      <c r="R436" s="61"/>
    </row>
    <row r="437">
      <c r="B437" s="59"/>
      <c r="D437" s="59"/>
      <c r="F437" s="59"/>
      <c r="H437" s="59"/>
      <c r="J437" s="59"/>
      <c r="L437" s="59"/>
      <c r="N437" s="59"/>
      <c r="Q437" s="59"/>
      <c r="R437" s="61"/>
    </row>
    <row r="438">
      <c r="B438" s="59"/>
      <c r="D438" s="59"/>
      <c r="F438" s="59"/>
      <c r="H438" s="59"/>
      <c r="J438" s="59"/>
      <c r="L438" s="59"/>
      <c r="N438" s="59"/>
      <c r="Q438" s="59"/>
      <c r="R438" s="61"/>
    </row>
    <row r="439">
      <c r="B439" s="59"/>
      <c r="D439" s="59"/>
      <c r="F439" s="59"/>
      <c r="H439" s="59"/>
      <c r="J439" s="59"/>
      <c r="L439" s="59"/>
      <c r="N439" s="59"/>
      <c r="Q439" s="59"/>
      <c r="R439" s="61"/>
    </row>
    <row r="440">
      <c r="B440" s="59"/>
      <c r="D440" s="59"/>
      <c r="F440" s="59"/>
      <c r="H440" s="59"/>
      <c r="J440" s="59"/>
      <c r="L440" s="59"/>
      <c r="N440" s="59"/>
      <c r="Q440" s="59"/>
      <c r="R440" s="61"/>
    </row>
    <row r="441">
      <c r="B441" s="59"/>
      <c r="D441" s="59"/>
      <c r="F441" s="59"/>
      <c r="H441" s="59"/>
      <c r="J441" s="59"/>
      <c r="L441" s="59"/>
      <c r="N441" s="59"/>
      <c r="Q441" s="59"/>
      <c r="R441" s="61"/>
    </row>
    <row r="442">
      <c r="B442" s="59"/>
      <c r="D442" s="59"/>
      <c r="F442" s="59"/>
      <c r="H442" s="59"/>
      <c r="J442" s="59"/>
      <c r="L442" s="59"/>
      <c r="N442" s="59"/>
      <c r="Q442" s="59"/>
      <c r="R442" s="61"/>
    </row>
    <row r="443">
      <c r="B443" s="59"/>
      <c r="D443" s="59"/>
      <c r="F443" s="59"/>
      <c r="H443" s="59"/>
      <c r="J443" s="59"/>
      <c r="L443" s="59"/>
      <c r="N443" s="59"/>
      <c r="Q443" s="59"/>
      <c r="R443" s="61"/>
    </row>
    <row r="444">
      <c r="B444" s="59"/>
      <c r="D444" s="59"/>
      <c r="F444" s="59"/>
      <c r="H444" s="59"/>
      <c r="J444" s="59"/>
      <c r="L444" s="59"/>
      <c r="N444" s="59"/>
      <c r="Q444" s="59"/>
      <c r="R444" s="61"/>
    </row>
    <row r="445">
      <c r="B445" s="59"/>
      <c r="D445" s="59"/>
      <c r="F445" s="59"/>
      <c r="H445" s="59"/>
      <c r="J445" s="59"/>
      <c r="L445" s="59"/>
      <c r="N445" s="59"/>
      <c r="Q445" s="59"/>
      <c r="R445" s="61"/>
    </row>
    <row r="446">
      <c r="B446" s="59"/>
      <c r="D446" s="59"/>
      <c r="F446" s="59"/>
      <c r="H446" s="59"/>
      <c r="J446" s="59"/>
      <c r="L446" s="59"/>
      <c r="N446" s="59"/>
      <c r="Q446" s="59"/>
      <c r="R446" s="61"/>
    </row>
    <row r="447">
      <c r="B447" s="59"/>
      <c r="D447" s="59"/>
      <c r="F447" s="59"/>
      <c r="H447" s="59"/>
      <c r="J447" s="59"/>
      <c r="L447" s="59"/>
      <c r="N447" s="59"/>
      <c r="Q447" s="59"/>
      <c r="R447" s="61"/>
    </row>
    <row r="448">
      <c r="B448" s="59"/>
      <c r="D448" s="59"/>
      <c r="F448" s="59"/>
      <c r="H448" s="59"/>
      <c r="J448" s="59"/>
      <c r="L448" s="59"/>
      <c r="N448" s="59"/>
      <c r="Q448" s="59"/>
      <c r="R448" s="61"/>
    </row>
    <row r="449">
      <c r="B449" s="59"/>
      <c r="D449" s="59"/>
      <c r="F449" s="59"/>
      <c r="H449" s="59"/>
      <c r="J449" s="59"/>
      <c r="L449" s="59"/>
      <c r="N449" s="59"/>
      <c r="Q449" s="59"/>
      <c r="R449" s="61"/>
    </row>
    <row r="450">
      <c r="B450" s="59"/>
      <c r="D450" s="59"/>
      <c r="F450" s="59"/>
      <c r="H450" s="59"/>
      <c r="J450" s="59"/>
      <c r="L450" s="59"/>
      <c r="N450" s="59"/>
      <c r="Q450" s="59"/>
      <c r="R450" s="61"/>
    </row>
    <row r="451">
      <c r="B451" s="59"/>
      <c r="D451" s="59"/>
      <c r="F451" s="59"/>
      <c r="H451" s="59"/>
      <c r="J451" s="59"/>
      <c r="L451" s="59"/>
      <c r="N451" s="59"/>
      <c r="Q451" s="59"/>
      <c r="R451" s="61"/>
    </row>
    <row r="452">
      <c r="B452" s="59"/>
      <c r="D452" s="59"/>
      <c r="F452" s="59"/>
      <c r="H452" s="59"/>
      <c r="J452" s="59"/>
      <c r="L452" s="59"/>
      <c r="N452" s="59"/>
      <c r="Q452" s="59"/>
      <c r="R452" s="61"/>
    </row>
    <row r="453">
      <c r="B453" s="59"/>
      <c r="D453" s="59"/>
      <c r="F453" s="59"/>
      <c r="H453" s="59"/>
      <c r="J453" s="59"/>
      <c r="L453" s="59"/>
      <c r="N453" s="59"/>
      <c r="Q453" s="59"/>
      <c r="R453" s="61"/>
    </row>
    <row r="454">
      <c r="B454" s="59"/>
      <c r="D454" s="59"/>
      <c r="F454" s="59"/>
      <c r="H454" s="59"/>
      <c r="J454" s="59"/>
      <c r="L454" s="59"/>
      <c r="N454" s="59"/>
      <c r="Q454" s="59"/>
      <c r="R454" s="61"/>
    </row>
    <row r="455">
      <c r="B455" s="59"/>
      <c r="D455" s="59"/>
      <c r="F455" s="59"/>
      <c r="H455" s="59"/>
      <c r="J455" s="59"/>
      <c r="L455" s="59"/>
      <c r="N455" s="59"/>
      <c r="Q455" s="59"/>
      <c r="R455" s="61"/>
    </row>
    <row r="456">
      <c r="B456" s="59"/>
      <c r="D456" s="59"/>
      <c r="F456" s="59"/>
      <c r="H456" s="59"/>
      <c r="J456" s="59"/>
      <c r="L456" s="59"/>
      <c r="N456" s="59"/>
      <c r="Q456" s="59"/>
      <c r="R456" s="61"/>
    </row>
    <row r="457">
      <c r="B457" s="59"/>
      <c r="D457" s="59"/>
      <c r="F457" s="59"/>
      <c r="H457" s="59"/>
      <c r="J457" s="59"/>
      <c r="L457" s="59"/>
      <c r="N457" s="59"/>
      <c r="Q457" s="59"/>
      <c r="R457" s="61"/>
    </row>
    <row r="458">
      <c r="B458" s="59"/>
      <c r="D458" s="59"/>
      <c r="F458" s="59"/>
      <c r="H458" s="59"/>
      <c r="J458" s="59"/>
      <c r="L458" s="59"/>
      <c r="N458" s="59"/>
      <c r="Q458" s="59"/>
      <c r="R458" s="61"/>
    </row>
    <row r="459">
      <c r="B459" s="59"/>
      <c r="D459" s="59"/>
      <c r="F459" s="59"/>
      <c r="H459" s="59"/>
      <c r="J459" s="59"/>
      <c r="L459" s="59"/>
      <c r="N459" s="59"/>
      <c r="Q459" s="59"/>
      <c r="R459" s="61"/>
    </row>
    <row r="460">
      <c r="B460" s="59"/>
      <c r="D460" s="59"/>
      <c r="F460" s="59"/>
      <c r="H460" s="59"/>
      <c r="J460" s="59"/>
      <c r="L460" s="59"/>
      <c r="N460" s="59"/>
      <c r="Q460" s="59"/>
      <c r="R460" s="61"/>
    </row>
    <row r="461">
      <c r="B461" s="59"/>
      <c r="D461" s="59"/>
      <c r="F461" s="59"/>
      <c r="H461" s="59"/>
      <c r="J461" s="59"/>
      <c r="L461" s="59"/>
      <c r="N461" s="59"/>
      <c r="Q461" s="59"/>
      <c r="R461" s="61"/>
    </row>
    <row r="462">
      <c r="B462" s="59"/>
      <c r="D462" s="59"/>
      <c r="F462" s="59"/>
      <c r="H462" s="59"/>
      <c r="J462" s="59"/>
      <c r="L462" s="59"/>
      <c r="N462" s="59"/>
      <c r="Q462" s="59"/>
      <c r="R462" s="61"/>
    </row>
    <row r="463">
      <c r="B463" s="59"/>
      <c r="D463" s="59"/>
      <c r="F463" s="59"/>
      <c r="H463" s="59"/>
      <c r="J463" s="59"/>
      <c r="L463" s="59"/>
      <c r="N463" s="59"/>
      <c r="Q463" s="59"/>
      <c r="R463" s="61"/>
    </row>
    <row r="464">
      <c r="B464" s="59"/>
      <c r="D464" s="59"/>
      <c r="F464" s="59"/>
      <c r="H464" s="59"/>
      <c r="J464" s="59"/>
      <c r="L464" s="59"/>
      <c r="N464" s="59"/>
      <c r="Q464" s="59"/>
      <c r="R464" s="61"/>
    </row>
    <row r="465">
      <c r="B465" s="59"/>
      <c r="D465" s="59"/>
      <c r="F465" s="59"/>
      <c r="H465" s="59"/>
      <c r="J465" s="59"/>
      <c r="L465" s="59"/>
      <c r="N465" s="59"/>
      <c r="Q465" s="59"/>
      <c r="R465" s="61"/>
    </row>
    <row r="466">
      <c r="B466" s="59"/>
      <c r="D466" s="59"/>
      <c r="F466" s="59"/>
      <c r="H466" s="59"/>
      <c r="J466" s="59"/>
      <c r="L466" s="59"/>
      <c r="N466" s="59"/>
      <c r="Q466" s="59"/>
      <c r="R466" s="61"/>
    </row>
    <row r="467">
      <c r="B467" s="59"/>
      <c r="D467" s="59"/>
      <c r="F467" s="59"/>
      <c r="H467" s="59"/>
      <c r="J467" s="59"/>
      <c r="L467" s="59"/>
      <c r="N467" s="59"/>
      <c r="Q467" s="59"/>
      <c r="R467" s="61"/>
    </row>
    <row r="468">
      <c r="B468" s="59"/>
      <c r="D468" s="59"/>
      <c r="F468" s="59"/>
      <c r="H468" s="59"/>
      <c r="J468" s="59"/>
      <c r="L468" s="59"/>
      <c r="N468" s="59"/>
      <c r="Q468" s="59"/>
      <c r="R468" s="61"/>
    </row>
    <row r="469">
      <c r="B469" s="59"/>
      <c r="D469" s="59"/>
      <c r="F469" s="59"/>
      <c r="H469" s="59"/>
      <c r="J469" s="59"/>
      <c r="L469" s="59"/>
      <c r="N469" s="59"/>
      <c r="Q469" s="59"/>
      <c r="R469" s="61"/>
    </row>
    <row r="470">
      <c r="B470" s="59"/>
      <c r="D470" s="59"/>
      <c r="F470" s="59"/>
      <c r="H470" s="59"/>
      <c r="J470" s="59"/>
      <c r="L470" s="59"/>
      <c r="N470" s="59"/>
      <c r="Q470" s="59"/>
      <c r="R470" s="61"/>
    </row>
    <row r="471">
      <c r="B471" s="59"/>
      <c r="D471" s="59"/>
      <c r="F471" s="59"/>
      <c r="H471" s="59"/>
      <c r="J471" s="59"/>
      <c r="L471" s="59"/>
      <c r="N471" s="59"/>
      <c r="Q471" s="59"/>
      <c r="R471" s="61"/>
    </row>
    <row r="472">
      <c r="B472" s="59"/>
      <c r="D472" s="59"/>
      <c r="F472" s="59"/>
      <c r="H472" s="59"/>
      <c r="J472" s="59"/>
      <c r="L472" s="59"/>
      <c r="N472" s="59"/>
      <c r="Q472" s="59"/>
      <c r="R472" s="61"/>
    </row>
    <row r="473">
      <c r="B473" s="59"/>
      <c r="D473" s="59"/>
      <c r="F473" s="59"/>
      <c r="H473" s="59"/>
      <c r="J473" s="59"/>
      <c r="L473" s="59"/>
      <c r="N473" s="59"/>
      <c r="Q473" s="59"/>
      <c r="R473" s="61"/>
    </row>
    <row r="474">
      <c r="B474" s="59"/>
      <c r="D474" s="59"/>
      <c r="F474" s="59"/>
      <c r="H474" s="59"/>
      <c r="J474" s="59"/>
      <c r="L474" s="59"/>
      <c r="N474" s="59"/>
      <c r="Q474" s="59"/>
      <c r="R474" s="61"/>
    </row>
    <row r="475">
      <c r="B475" s="59"/>
      <c r="D475" s="59"/>
      <c r="F475" s="59"/>
      <c r="H475" s="59"/>
      <c r="J475" s="59"/>
      <c r="L475" s="59"/>
      <c r="N475" s="59"/>
      <c r="Q475" s="59"/>
      <c r="R475" s="61"/>
    </row>
    <row r="476">
      <c r="B476" s="59"/>
      <c r="D476" s="59"/>
      <c r="F476" s="59"/>
      <c r="H476" s="59"/>
      <c r="J476" s="59"/>
      <c r="L476" s="59"/>
      <c r="N476" s="59"/>
      <c r="Q476" s="59"/>
      <c r="R476" s="61"/>
    </row>
    <row r="477">
      <c r="B477" s="59"/>
      <c r="D477" s="59"/>
      <c r="F477" s="59"/>
      <c r="H477" s="59"/>
      <c r="J477" s="59"/>
      <c r="L477" s="59"/>
      <c r="N477" s="59"/>
      <c r="Q477" s="59"/>
      <c r="R477" s="61"/>
    </row>
    <row r="478">
      <c r="B478" s="59"/>
      <c r="D478" s="59"/>
      <c r="F478" s="59"/>
      <c r="H478" s="59"/>
      <c r="J478" s="59"/>
      <c r="L478" s="59"/>
      <c r="N478" s="59"/>
      <c r="Q478" s="59"/>
      <c r="R478" s="61"/>
    </row>
    <row r="479">
      <c r="B479" s="59"/>
      <c r="D479" s="59"/>
      <c r="F479" s="59"/>
      <c r="H479" s="59"/>
      <c r="J479" s="59"/>
      <c r="L479" s="59"/>
      <c r="N479" s="59"/>
      <c r="Q479" s="59"/>
      <c r="R479" s="61"/>
    </row>
    <row r="480">
      <c r="B480" s="59"/>
      <c r="D480" s="59"/>
      <c r="F480" s="59"/>
      <c r="H480" s="59"/>
      <c r="J480" s="59"/>
      <c r="L480" s="59"/>
      <c r="N480" s="59"/>
      <c r="Q480" s="59"/>
      <c r="R480" s="61"/>
    </row>
    <row r="481">
      <c r="B481" s="59"/>
      <c r="D481" s="59"/>
      <c r="F481" s="59"/>
      <c r="H481" s="59"/>
      <c r="J481" s="59"/>
      <c r="L481" s="59"/>
      <c r="N481" s="59"/>
      <c r="Q481" s="59"/>
      <c r="R481" s="61"/>
    </row>
    <row r="482">
      <c r="B482" s="59"/>
      <c r="D482" s="59"/>
      <c r="F482" s="59"/>
      <c r="H482" s="59"/>
      <c r="J482" s="59"/>
      <c r="L482" s="59"/>
      <c r="N482" s="59"/>
      <c r="Q482" s="59"/>
      <c r="R482" s="61"/>
    </row>
    <row r="483">
      <c r="B483" s="59"/>
      <c r="D483" s="59"/>
      <c r="F483" s="59"/>
      <c r="H483" s="59"/>
      <c r="J483" s="59"/>
      <c r="L483" s="59"/>
      <c r="N483" s="59"/>
      <c r="Q483" s="59"/>
      <c r="R483" s="61"/>
    </row>
    <row r="484">
      <c r="B484" s="59"/>
      <c r="D484" s="59"/>
      <c r="F484" s="59"/>
      <c r="H484" s="59"/>
      <c r="J484" s="59"/>
      <c r="L484" s="59"/>
      <c r="N484" s="59"/>
      <c r="Q484" s="59"/>
      <c r="R484" s="61"/>
    </row>
    <row r="485">
      <c r="B485" s="59"/>
      <c r="D485" s="59"/>
      <c r="F485" s="59"/>
      <c r="H485" s="59"/>
      <c r="J485" s="59"/>
      <c r="L485" s="59"/>
      <c r="N485" s="59"/>
      <c r="Q485" s="59"/>
      <c r="R485" s="61"/>
    </row>
    <row r="486">
      <c r="B486" s="59"/>
      <c r="D486" s="59"/>
      <c r="F486" s="59"/>
      <c r="H486" s="59"/>
      <c r="J486" s="59"/>
      <c r="L486" s="59"/>
      <c r="N486" s="59"/>
      <c r="Q486" s="59"/>
      <c r="R486" s="61"/>
    </row>
    <row r="487">
      <c r="B487" s="59"/>
      <c r="D487" s="59"/>
      <c r="F487" s="59"/>
      <c r="H487" s="59"/>
      <c r="J487" s="59"/>
      <c r="L487" s="59"/>
      <c r="N487" s="59"/>
      <c r="Q487" s="59"/>
      <c r="R487" s="61"/>
    </row>
    <row r="488">
      <c r="B488" s="59"/>
      <c r="D488" s="59"/>
      <c r="F488" s="59"/>
      <c r="H488" s="59"/>
      <c r="J488" s="59"/>
      <c r="L488" s="59"/>
      <c r="N488" s="59"/>
      <c r="Q488" s="59"/>
      <c r="R488" s="61"/>
    </row>
    <row r="489">
      <c r="B489" s="59"/>
      <c r="D489" s="59"/>
      <c r="F489" s="59"/>
      <c r="H489" s="59"/>
      <c r="J489" s="59"/>
      <c r="L489" s="59"/>
      <c r="N489" s="59"/>
      <c r="Q489" s="59"/>
      <c r="R489" s="61"/>
    </row>
    <row r="490">
      <c r="B490" s="59"/>
      <c r="D490" s="59"/>
      <c r="F490" s="59"/>
      <c r="H490" s="59"/>
      <c r="J490" s="59"/>
      <c r="L490" s="59"/>
      <c r="N490" s="59"/>
      <c r="Q490" s="59"/>
      <c r="R490" s="61"/>
    </row>
    <row r="491">
      <c r="B491" s="59"/>
      <c r="D491" s="59"/>
      <c r="F491" s="59"/>
      <c r="H491" s="59"/>
      <c r="J491" s="59"/>
      <c r="L491" s="59"/>
      <c r="N491" s="59"/>
      <c r="Q491" s="59"/>
      <c r="R491" s="61"/>
    </row>
    <row r="492">
      <c r="B492" s="59"/>
      <c r="D492" s="59"/>
      <c r="F492" s="59"/>
      <c r="H492" s="59"/>
      <c r="J492" s="59"/>
      <c r="L492" s="59"/>
      <c r="N492" s="59"/>
      <c r="Q492" s="59"/>
      <c r="R492" s="61"/>
    </row>
    <row r="493">
      <c r="B493" s="59"/>
      <c r="D493" s="59"/>
      <c r="F493" s="59"/>
      <c r="H493" s="59"/>
      <c r="J493" s="59"/>
      <c r="L493" s="59"/>
      <c r="N493" s="59"/>
      <c r="Q493" s="59"/>
      <c r="R493" s="61"/>
    </row>
    <row r="494">
      <c r="B494" s="59"/>
      <c r="D494" s="59"/>
      <c r="F494" s="59"/>
      <c r="H494" s="59"/>
      <c r="J494" s="59"/>
      <c r="L494" s="59"/>
      <c r="N494" s="59"/>
      <c r="Q494" s="59"/>
      <c r="R494" s="61"/>
    </row>
    <row r="495">
      <c r="B495" s="59"/>
      <c r="D495" s="59"/>
      <c r="F495" s="59"/>
      <c r="H495" s="59"/>
      <c r="J495" s="59"/>
      <c r="L495" s="59"/>
      <c r="N495" s="59"/>
      <c r="Q495" s="59"/>
      <c r="R495" s="61"/>
    </row>
    <row r="496">
      <c r="B496" s="59"/>
      <c r="D496" s="59"/>
      <c r="F496" s="59"/>
      <c r="H496" s="59"/>
      <c r="J496" s="59"/>
      <c r="L496" s="59"/>
      <c r="N496" s="59"/>
      <c r="Q496" s="59"/>
      <c r="R496" s="61"/>
    </row>
    <row r="497">
      <c r="B497" s="59"/>
      <c r="D497" s="59"/>
      <c r="F497" s="59"/>
      <c r="H497" s="59"/>
      <c r="J497" s="59"/>
      <c r="L497" s="59"/>
      <c r="N497" s="59"/>
      <c r="Q497" s="59"/>
      <c r="R497" s="61"/>
    </row>
    <row r="498">
      <c r="B498" s="59"/>
      <c r="D498" s="59"/>
      <c r="F498" s="59"/>
      <c r="H498" s="59"/>
      <c r="J498" s="59"/>
      <c r="L498" s="59"/>
      <c r="N498" s="59"/>
      <c r="Q498" s="59"/>
      <c r="R498" s="61"/>
    </row>
    <row r="499">
      <c r="B499" s="59"/>
      <c r="D499" s="59"/>
      <c r="F499" s="59"/>
      <c r="H499" s="59"/>
      <c r="J499" s="59"/>
      <c r="L499" s="59"/>
      <c r="N499" s="59"/>
      <c r="Q499" s="59"/>
      <c r="R499" s="61"/>
    </row>
    <row r="500">
      <c r="B500" s="59"/>
      <c r="D500" s="59"/>
      <c r="F500" s="59"/>
      <c r="H500" s="59"/>
      <c r="J500" s="59"/>
      <c r="L500" s="59"/>
      <c r="N500" s="59"/>
      <c r="Q500" s="59"/>
      <c r="R500" s="61"/>
    </row>
    <row r="501">
      <c r="B501" s="59"/>
      <c r="D501" s="59"/>
      <c r="F501" s="59"/>
      <c r="H501" s="59"/>
      <c r="J501" s="59"/>
      <c r="L501" s="59"/>
      <c r="N501" s="59"/>
      <c r="Q501" s="59"/>
      <c r="R501" s="61"/>
    </row>
    <row r="502">
      <c r="B502" s="59"/>
      <c r="D502" s="59"/>
      <c r="F502" s="59"/>
      <c r="H502" s="59"/>
      <c r="J502" s="59"/>
      <c r="L502" s="59"/>
      <c r="N502" s="59"/>
      <c r="Q502" s="59"/>
      <c r="R502" s="61"/>
    </row>
    <row r="503">
      <c r="B503" s="59"/>
      <c r="D503" s="59"/>
      <c r="F503" s="59"/>
      <c r="H503" s="59"/>
      <c r="J503" s="59"/>
      <c r="L503" s="59"/>
      <c r="N503" s="59"/>
      <c r="Q503" s="59"/>
      <c r="R503" s="61"/>
    </row>
    <row r="504">
      <c r="B504" s="59"/>
      <c r="D504" s="59"/>
      <c r="F504" s="59"/>
      <c r="H504" s="59"/>
      <c r="J504" s="59"/>
      <c r="L504" s="59"/>
      <c r="N504" s="59"/>
      <c r="Q504" s="59"/>
      <c r="R504" s="61"/>
    </row>
    <row r="505">
      <c r="B505" s="59"/>
      <c r="D505" s="59"/>
      <c r="F505" s="59"/>
      <c r="H505" s="59"/>
      <c r="J505" s="59"/>
      <c r="L505" s="59"/>
      <c r="N505" s="59"/>
      <c r="Q505" s="59"/>
      <c r="R505" s="61"/>
    </row>
    <row r="506">
      <c r="B506" s="59"/>
      <c r="D506" s="59"/>
      <c r="F506" s="59"/>
      <c r="H506" s="59"/>
      <c r="J506" s="59"/>
      <c r="L506" s="59"/>
      <c r="N506" s="59"/>
      <c r="Q506" s="59"/>
      <c r="R506" s="61"/>
    </row>
    <row r="507">
      <c r="B507" s="59"/>
      <c r="D507" s="59"/>
      <c r="F507" s="59"/>
      <c r="H507" s="59"/>
      <c r="J507" s="59"/>
      <c r="L507" s="59"/>
      <c r="N507" s="59"/>
      <c r="Q507" s="59"/>
      <c r="R507" s="61"/>
    </row>
    <row r="508">
      <c r="B508" s="59"/>
      <c r="D508" s="59"/>
      <c r="F508" s="59"/>
      <c r="H508" s="59"/>
      <c r="J508" s="59"/>
      <c r="L508" s="59"/>
      <c r="N508" s="59"/>
      <c r="Q508" s="59"/>
      <c r="R508" s="61"/>
    </row>
    <row r="509">
      <c r="B509" s="59"/>
      <c r="D509" s="59"/>
      <c r="F509" s="59"/>
      <c r="H509" s="59"/>
      <c r="J509" s="59"/>
      <c r="L509" s="59"/>
      <c r="N509" s="59"/>
      <c r="Q509" s="59"/>
      <c r="R509" s="61"/>
    </row>
    <row r="510">
      <c r="B510" s="59"/>
      <c r="D510" s="59"/>
      <c r="F510" s="59"/>
      <c r="H510" s="59"/>
      <c r="J510" s="59"/>
      <c r="L510" s="59"/>
      <c r="N510" s="59"/>
      <c r="Q510" s="59"/>
      <c r="R510" s="61"/>
    </row>
    <row r="511">
      <c r="B511" s="59"/>
      <c r="D511" s="59"/>
      <c r="F511" s="59"/>
      <c r="H511" s="59"/>
      <c r="J511" s="59"/>
      <c r="L511" s="59"/>
      <c r="N511" s="59"/>
      <c r="Q511" s="59"/>
      <c r="R511" s="61"/>
    </row>
    <row r="512">
      <c r="B512" s="59"/>
      <c r="D512" s="59"/>
      <c r="F512" s="59"/>
      <c r="H512" s="59"/>
      <c r="J512" s="59"/>
      <c r="L512" s="59"/>
      <c r="N512" s="59"/>
      <c r="Q512" s="59"/>
      <c r="R512" s="61"/>
    </row>
    <row r="513">
      <c r="B513" s="59"/>
      <c r="D513" s="59"/>
      <c r="F513" s="59"/>
      <c r="H513" s="59"/>
      <c r="J513" s="59"/>
      <c r="L513" s="59"/>
      <c r="N513" s="59"/>
      <c r="Q513" s="59"/>
      <c r="R513" s="61"/>
    </row>
    <row r="514">
      <c r="B514" s="59"/>
      <c r="D514" s="59"/>
      <c r="F514" s="59"/>
      <c r="H514" s="59"/>
      <c r="J514" s="59"/>
      <c r="L514" s="59"/>
      <c r="N514" s="59"/>
      <c r="Q514" s="59"/>
      <c r="R514" s="61"/>
    </row>
    <row r="515">
      <c r="B515" s="59"/>
      <c r="D515" s="59"/>
      <c r="F515" s="59"/>
      <c r="H515" s="59"/>
      <c r="J515" s="59"/>
      <c r="L515" s="59"/>
      <c r="N515" s="59"/>
      <c r="Q515" s="59"/>
      <c r="R515" s="61"/>
    </row>
    <row r="516">
      <c r="B516" s="59"/>
      <c r="D516" s="59"/>
      <c r="F516" s="59"/>
      <c r="H516" s="59"/>
      <c r="J516" s="59"/>
      <c r="L516" s="59"/>
      <c r="N516" s="59"/>
      <c r="Q516" s="59"/>
      <c r="R516" s="61"/>
    </row>
    <row r="517">
      <c r="B517" s="59"/>
      <c r="D517" s="59"/>
      <c r="F517" s="59"/>
      <c r="H517" s="59"/>
      <c r="J517" s="59"/>
      <c r="L517" s="59"/>
      <c r="N517" s="59"/>
      <c r="Q517" s="59"/>
      <c r="R517" s="61"/>
    </row>
    <row r="518">
      <c r="B518" s="59"/>
      <c r="D518" s="59"/>
      <c r="F518" s="59"/>
      <c r="H518" s="59"/>
      <c r="J518" s="59"/>
      <c r="L518" s="59"/>
      <c r="N518" s="59"/>
      <c r="Q518" s="59"/>
      <c r="R518" s="61"/>
    </row>
    <row r="519">
      <c r="B519" s="59"/>
      <c r="D519" s="59"/>
      <c r="F519" s="59"/>
      <c r="H519" s="59"/>
      <c r="J519" s="59"/>
      <c r="L519" s="59"/>
      <c r="N519" s="59"/>
      <c r="Q519" s="59"/>
      <c r="R519" s="61"/>
    </row>
    <row r="520">
      <c r="B520" s="59"/>
      <c r="D520" s="59"/>
      <c r="F520" s="59"/>
      <c r="H520" s="59"/>
      <c r="J520" s="59"/>
      <c r="L520" s="59"/>
      <c r="N520" s="59"/>
      <c r="Q520" s="59"/>
      <c r="R520" s="61"/>
    </row>
    <row r="521">
      <c r="B521" s="59"/>
      <c r="D521" s="59"/>
      <c r="F521" s="59"/>
      <c r="H521" s="59"/>
      <c r="J521" s="59"/>
      <c r="L521" s="59"/>
      <c r="N521" s="59"/>
      <c r="Q521" s="59"/>
      <c r="R521" s="61"/>
    </row>
    <row r="522">
      <c r="B522" s="59"/>
      <c r="D522" s="59"/>
      <c r="F522" s="59"/>
      <c r="H522" s="59"/>
      <c r="J522" s="59"/>
      <c r="L522" s="59"/>
      <c r="N522" s="59"/>
      <c r="Q522" s="59"/>
      <c r="R522" s="61"/>
    </row>
    <row r="523">
      <c r="B523" s="59"/>
      <c r="D523" s="59"/>
      <c r="F523" s="59"/>
      <c r="H523" s="59"/>
      <c r="J523" s="59"/>
      <c r="L523" s="59"/>
      <c r="N523" s="59"/>
      <c r="Q523" s="59"/>
      <c r="R523" s="61"/>
    </row>
    <row r="524">
      <c r="B524" s="59"/>
      <c r="D524" s="59"/>
      <c r="F524" s="59"/>
      <c r="H524" s="59"/>
      <c r="J524" s="59"/>
      <c r="L524" s="59"/>
      <c r="N524" s="59"/>
      <c r="Q524" s="59"/>
      <c r="R524" s="61"/>
    </row>
    <row r="525">
      <c r="B525" s="59"/>
      <c r="D525" s="59"/>
      <c r="F525" s="59"/>
      <c r="H525" s="59"/>
      <c r="J525" s="59"/>
      <c r="L525" s="59"/>
      <c r="N525" s="59"/>
      <c r="Q525" s="59"/>
      <c r="R525" s="61"/>
    </row>
    <row r="526">
      <c r="B526" s="59"/>
      <c r="D526" s="59"/>
      <c r="F526" s="59"/>
      <c r="H526" s="59"/>
      <c r="J526" s="59"/>
      <c r="L526" s="59"/>
      <c r="N526" s="59"/>
      <c r="Q526" s="59"/>
      <c r="R526" s="61"/>
    </row>
    <row r="527">
      <c r="B527" s="59"/>
      <c r="D527" s="59"/>
      <c r="F527" s="59"/>
      <c r="H527" s="59"/>
      <c r="J527" s="59"/>
      <c r="L527" s="59"/>
      <c r="N527" s="59"/>
      <c r="Q527" s="59"/>
      <c r="R527" s="61"/>
    </row>
    <row r="528">
      <c r="B528" s="59"/>
      <c r="D528" s="59"/>
      <c r="F528" s="59"/>
      <c r="H528" s="59"/>
      <c r="J528" s="59"/>
      <c r="L528" s="59"/>
      <c r="N528" s="59"/>
      <c r="Q528" s="59"/>
      <c r="R528" s="61"/>
    </row>
    <row r="529">
      <c r="B529" s="59"/>
      <c r="D529" s="59"/>
      <c r="F529" s="59"/>
      <c r="H529" s="59"/>
      <c r="J529" s="59"/>
      <c r="L529" s="59"/>
      <c r="N529" s="59"/>
      <c r="Q529" s="59"/>
      <c r="R529" s="61"/>
    </row>
    <row r="530">
      <c r="B530" s="59"/>
      <c r="D530" s="59"/>
      <c r="F530" s="59"/>
      <c r="H530" s="59"/>
      <c r="J530" s="59"/>
      <c r="L530" s="59"/>
      <c r="N530" s="59"/>
      <c r="Q530" s="59"/>
      <c r="R530" s="61"/>
    </row>
    <row r="531">
      <c r="B531" s="59"/>
      <c r="D531" s="59"/>
      <c r="F531" s="59"/>
      <c r="H531" s="59"/>
      <c r="J531" s="59"/>
      <c r="L531" s="59"/>
      <c r="N531" s="59"/>
      <c r="Q531" s="59"/>
      <c r="R531" s="61"/>
    </row>
    <row r="532">
      <c r="B532" s="59"/>
      <c r="D532" s="59"/>
      <c r="F532" s="59"/>
      <c r="H532" s="59"/>
      <c r="J532" s="59"/>
      <c r="L532" s="59"/>
      <c r="N532" s="59"/>
      <c r="Q532" s="59"/>
      <c r="R532" s="61"/>
    </row>
    <row r="533">
      <c r="B533" s="59"/>
      <c r="D533" s="59"/>
      <c r="F533" s="59"/>
      <c r="H533" s="59"/>
      <c r="J533" s="59"/>
      <c r="L533" s="59"/>
      <c r="N533" s="59"/>
      <c r="Q533" s="59"/>
      <c r="R533" s="61"/>
    </row>
    <row r="534">
      <c r="B534" s="59"/>
      <c r="D534" s="59"/>
      <c r="F534" s="59"/>
      <c r="H534" s="59"/>
      <c r="J534" s="59"/>
      <c r="L534" s="59"/>
      <c r="N534" s="59"/>
      <c r="Q534" s="59"/>
      <c r="R534" s="61"/>
    </row>
    <row r="535">
      <c r="B535" s="59"/>
      <c r="D535" s="59"/>
      <c r="F535" s="59"/>
      <c r="H535" s="59"/>
      <c r="J535" s="59"/>
      <c r="L535" s="59"/>
      <c r="N535" s="59"/>
      <c r="Q535" s="59"/>
      <c r="R535" s="61"/>
    </row>
    <row r="536">
      <c r="B536" s="59"/>
      <c r="D536" s="59"/>
      <c r="F536" s="59"/>
      <c r="H536" s="59"/>
      <c r="J536" s="59"/>
      <c r="L536" s="59"/>
      <c r="N536" s="59"/>
      <c r="Q536" s="59"/>
      <c r="R536" s="61"/>
    </row>
    <row r="537">
      <c r="B537" s="59"/>
      <c r="D537" s="59"/>
      <c r="F537" s="59"/>
      <c r="H537" s="59"/>
      <c r="J537" s="59"/>
      <c r="L537" s="59"/>
      <c r="N537" s="59"/>
      <c r="Q537" s="59"/>
      <c r="R537" s="61"/>
    </row>
    <row r="538">
      <c r="B538" s="59"/>
      <c r="D538" s="59"/>
      <c r="F538" s="59"/>
      <c r="H538" s="59"/>
      <c r="J538" s="59"/>
      <c r="L538" s="59"/>
      <c r="N538" s="59"/>
      <c r="Q538" s="59"/>
      <c r="R538" s="61"/>
    </row>
    <row r="539">
      <c r="B539" s="59"/>
      <c r="D539" s="59"/>
      <c r="F539" s="59"/>
      <c r="H539" s="59"/>
      <c r="J539" s="59"/>
      <c r="L539" s="59"/>
      <c r="N539" s="59"/>
      <c r="Q539" s="59"/>
      <c r="R539" s="61"/>
    </row>
    <row r="540">
      <c r="B540" s="59"/>
      <c r="D540" s="59"/>
      <c r="F540" s="59"/>
      <c r="H540" s="59"/>
      <c r="J540" s="59"/>
      <c r="L540" s="59"/>
      <c r="N540" s="59"/>
      <c r="Q540" s="59"/>
      <c r="R540" s="61"/>
    </row>
    <row r="541">
      <c r="B541" s="59"/>
      <c r="D541" s="59"/>
      <c r="F541" s="59"/>
      <c r="H541" s="59"/>
      <c r="J541" s="59"/>
      <c r="L541" s="59"/>
      <c r="N541" s="59"/>
      <c r="Q541" s="59"/>
      <c r="R541" s="61"/>
    </row>
    <row r="542">
      <c r="B542" s="59"/>
      <c r="D542" s="59"/>
      <c r="F542" s="59"/>
      <c r="H542" s="59"/>
      <c r="J542" s="59"/>
      <c r="L542" s="59"/>
      <c r="N542" s="59"/>
      <c r="Q542" s="59"/>
      <c r="R542" s="61"/>
    </row>
    <row r="543">
      <c r="B543" s="59"/>
      <c r="D543" s="59"/>
      <c r="F543" s="59"/>
      <c r="H543" s="59"/>
      <c r="J543" s="59"/>
      <c r="L543" s="59"/>
      <c r="N543" s="59"/>
      <c r="Q543" s="59"/>
      <c r="R543" s="61"/>
    </row>
    <row r="544">
      <c r="B544" s="59"/>
      <c r="D544" s="59"/>
      <c r="F544" s="59"/>
      <c r="H544" s="59"/>
      <c r="J544" s="59"/>
      <c r="L544" s="59"/>
      <c r="N544" s="59"/>
      <c r="Q544" s="59"/>
      <c r="R544" s="61"/>
    </row>
    <row r="545">
      <c r="B545" s="59"/>
      <c r="D545" s="59"/>
      <c r="F545" s="59"/>
      <c r="H545" s="59"/>
      <c r="J545" s="59"/>
      <c r="L545" s="59"/>
      <c r="N545" s="59"/>
      <c r="Q545" s="59"/>
      <c r="R545" s="61"/>
    </row>
    <row r="546">
      <c r="B546" s="59"/>
      <c r="D546" s="59"/>
      <c r="F546" s="59"/>
      <c r="H546" s="59"/>
      <c r="J546" s="59"/>
      <c r="L546" s="59"/>
      <c r="N546" s="59"/>
      <c r="Q546" s="59"/>
      <c r="R546" s="61"/>
    </row>
    <row r="547">
      <c r="B547" s="59"/>
      <c r="D547" s="59"/>
      <c r="F547" s="59"/>
      <c r="H547" s="59"/>
      <c r="J547" s="59"/>
      <c r="L547" s="59"/>
      <c r="N547" s="59"/>
      <c r="Q547" s="59"/>
      <c r="R547" s="61"/>
    </row>
    <row r="548">
      <c r="B548" s="59"/>
      <c r="D548" s="59"/>
      <c r="F548" s="59"/>
      <c r="H548" s="59"/>
      <c r="J548" s="59"/>
      <c r="L548" s="59"/>
      <c r="N548" s="59"/>
      <c r="Q548" s="59"/>
      <c r="R548" s="61"/>
    </row>
    <row r="549">
      <c r="B549" s="59"/>
      <c r="D549" s="59"/>
      <c r="F549" s="59"/>
      <c r="H549" s="59"/>
      <c r="J549" s="59"/>
      <c r="L549" s="59"/>
      <c r="N549" s="59"/>
      <c r="Q549" s="59"/>
      <c r="R549" s="61"/>
    </row>
    <row r="550">
      <c r="B550" s="59"/>
      <c r="D550" s="59"/>
      <c r="F550" s="59"/>
      <c r="H550" s="59"/>
      <c r="J550" s="59"/>
      <c r="L550" s="59"/>
      <c r="N550" s="59"/>
      <c r="Q550" s="59"/>
      <c r="R550" s="61"/>
    </row>
    <row r="551">
      <c r="B551" s="59"/>
      <c r="D551" s="59"/>
      <c r="F551" s="59"/>
      <c r="H551" s="59"/>
      <c r="J551" s="59"/>
      <c r="L551" s="59"/>
      <c r="N551" s="59"/>
      <c r="Q551" s="59"/>
      <c r="R551" s="61"/>
    </row>
    <row r="552">
      <c r="B552" s="59"/>
      <c r="D552" s="59"/>
      <c r="F552" s="59"/>
      <c r="H552" s="59"/>
      <c r="J552" s="59"/>
      <c r="L552" s="59"/>
      <c r="N552" s="59"/>
      <c r="Q552" s="59"/>
      <c r="R552" s="61"/>
    </row>
    <row r="553">
      <c r="B553" s="59"/>
      <c r="D553" s="59"/>
      <c r="F553" s="59"/>
      <c r="H553" s="59"/>
      <c r="J553" s="59"/>
      <c r="L553" s="59"/>
      <c r="N553" s="59"/>
      <c r="Q553" s="59"/>
      <c r="R553" s="61"/>
    </row>
    <row r="554">
      <c r="B554" s="59"/>
      <c r="D554" s="59"/>
      <c r="F554" s="59"/>
      <c r="H554" s="59"/>
      <c r="J554" s="59"/>
      <c r="L554" s="59"/>
      <c r="N554" s="59"/>
      <c r="Q554" s="59"/>
      <c r="R554" s="61"/>
    </row>
    <row r="555">
      <c r="B555" s="59"/>
      <c r="D555" s="59"/>
      <c r="F555" s="59"/>
      <c r="H555" s="59"/>
      <c r="J555" s="59"/>
      <c r="L555" s="59"/>
      <c r="N555" s="59"/>
      <c r="Q555" s="59"/>
      <c r="R555" s="61"/>
    </row>
    <row r="556">
      <c r="B556" s="59"/>
      <c r="D556" s="59"/>
      <c r="F556" s="59"/>
      <c r="H556" s="59"/>
      <c r="J556" s="59"/>
      <c r="L556" s="59"/>
      <c r="N556" s="59"/>
      <c r="Q556" s="59"/>
      <c r="R556" s="61"/>
    </row>
    <row r="557">
      <c r="B557" s="59"/>
      <c r="D557" s="59"/>
      <c r="F557" s="59"/>
      <c r="H557" s="59"/>
      <c r="J557" s="59"/>
      <c r="L557" s="59"/>
      <c r="N557" s="59"/>
      <c r="Q557" s="59"/>
      <c r="R557" s="61"/>
    </row>
    <row r="558">
      <c r="B558" s="59"/>
      <c r="D558" s="59"/>
      <c r="F558" s="59"/>
      <c r="H558" s="59"/>
      <c r="J558" s="59"/>
      <c r="L558" s="59"/>
      <c r="N558" s="59"/>
      <c r="Q558" s="59"/>
      <c r="R558" s="61"/>
    </row>
    <row r="559">
      <c r="B559" s="59"/>
      <c r="D559" s="59"/>
      <c r="F559" s="59"/>
      <c r="H559" s="59"/>
      <c r="J559" s="59"/>
      <c r="L559" s="59"/>
      <c r="N559" s="59"/>
      <c r="Q559" s="59"/>
      <c r="R559" s="61"/>
    </row>
    <row r="560">
      <c r="B560" s="59"/>
      <c r="D560" s="59"/>
      <c r="F560" s="59"/>
      <c r="H560" s="59"/>
      <c r="J560" s="59"/>
      <c r="L560" s="59"/>
      <c r="N560" s="59"/>
      <c r="Q560" s="59"/>
      <c r="R560" s="61"/>
    </row>
    <row r="561">
      <c r="B561" s="59"/>
      <c r="D561" s="59"/>
      <c r="F561" s="59"/>
      <c r="H561" s="59"/>
      <c r="J561" s="59"/>
      <c r="L561" s="59"/>
      <c r="N561" s="59"/>
      <c r="Q561" s="59"/>
      <c r="R561" s="61"/>
    </row>
    <row r="562">
      <c r="B562" s="59"/>
      <c r="D562" s="59"/>
      <c r="F562" s="59"/>
      <c r="H562" s="59"/>
      <c r="J562" s="59"/>
      <c r="L562" s="59"/>
      <c r="N562" s="59"/>
      <c r="Q562" s="59"/>
      <c r="R562" s="61"/>
    </row>
    <row r="563">
      <c r="B563" s="59"/>
      <c r="D563" s="59"/>
      <c r="F563" s="59"/>
      <c r="H563" s="59"/>
      <c r="J563" s="59"/>
      <c r="L563" s="59"/>
      <c r="N563" s="59"/>
      <c r="Q563" s="59"/>
      <c r="R563" s="61"/>
    </row>
    <row r="564">
      <c r="B564" s="59"/>
      <c r="D564" s="59"/>
      <c r="F564" s="59"/>
      <c r="H564" s="59"/>
      <c r="J564" s="59"/>
      <c r="L564" s="59"/>
      <c r="N564" s="59"/>
      <c r="Q564" s="59"/>
      <c r="R564" s="61"/>
    </row>
    <row r="565">
      <c r="B565" s="59"/>
      <c r="D565" s="59"/>
      <c r="F565" s="59"/>
      <c r="H565" s="59"/>
      <c r="J565" s="59"/>
      <c r="L565" s="59"/>
      <c r="N565" s="59"/>
      <c r="Q565" s="59"/>
      <c r="R565" s="61"/>
    </row>
    <row r="566">
      <c r="B566" s="59"/>
      <c r="D566" s="59"/>
      <c r="F566" s="59"/>
      <c r="H566" s="59"/>
      <c r="J566" s="59"/>
      <c r="L566" s="59"/>
      <c r="N566" s="59"/>
      <c r="Q566" s="59"/>
      <c r="R566" s="61"/>
    </row>
    <row r="567">
      <c r="B567" s="59"/>
      <c r="D567" s="59"/>
      <c r="F567" s="59"/>
      <c r="H567" s="59"/>
      <c r="J567" s="59"/>
      <c r="L567" s="59"/>
      <c r="N567" s="59"/>
      <c r="Q567" s="59"/>
      <c r="R567" s="61"/>
    </row>
    <row r="568">
      <c r="B568" s="59"/>
      <c r="D568" s="59"/>
      <c r="F568" s="59"/>
      <c r="H568" s="59"/>
      <c r="J568" s="59"/>
      <c r="L568" s="59"/>
      <c r="N568" s="59"/>
      <c r="Q568" s="59"/>
      <c r="R568" s="61"/>
    </row>
    <row r="569">
      <c r="B569" s="59"/>
      <c r="D569" s="59"/>
      <c r="F569" s="59"/>
      <c r="H569" s="59"/>
      <c r="J569" s="59"/>
      <c r="L569" s="59"/>
      <c r="N569" s="59"/>
      <c r="Q569" s="59"/>
      <c r="R569" s="61"/>
    </row>
    <row r="570">
      <c r="B570" s="59"/>
      <c r="D570" s="59"/>
      <c r="F570" s="59"/>
      <c r="H570" s="59"/>
      <c r="J570" s="59"/>
      <c r="L570" s="59"/>
      <c r="N570" s="59"/>
      <c r="Q570" s="59"/>
      <c r="R570" s="61"/>
    </row>
    <row r="571">
      <c r="B571" s="59"/>
      <c r="D571" s="59"/>
      <c r="F571" s="59"/>
      <c r="H571" s="59"/>
      <c r="J571" s="59"/>
      <c r="L571" s="59"/>
      <c r="N571" s="59"/>
      <c r="Q571" s="59"/>
      <c r="R571" s="61"/>
    </row>
    <row r="572">
      <c r="B572" s="59"/>
      <c r="D572" s="59"/>
      <c r="F572" s="59"/>
      <c r="H572" s="59"/>
      <c r="J572" s="59"/>
      <c r="L572" s="59"/>
      <c r="N572" s="59"/>
      <c r="Q572" s="59"/>
      <c r="R572" s="61"/>
    </row>
    <row r="573">
      <c r="B573" s="59"/>
      <c r="D573" s="59"/>
      <c r="F573" s="59"/>
      <c r="H573" s="59"/>
      <c r="J573" s="59"/>
      <c r="L573" s="59"/>
      <c r="N573" s="59"/>
      <c r="Q573" s="59"/>
      <c r="R573" s="61"/>
    </row>
    <row r="574">
      <c r="B574" s="59"/>
      <c r="D574" s="59"/>
      <c r="F574" s="59"/>
      <c r="H574" s="59"/>
      <c r="J574" s="59"/>
      <c r="L574" s="59"/>
      <c r="N574" s="59"/>
      <c r="Q574" s="59"/>
      <c r="R574" s="61"/>
    </row>
    <row r="575">
      <c r="B575" s="59"/>
      <c r="D575" s="59"/>
      <c r="F575" s="59"/>
      <c r="H575" s="59"/>
      <c r="J575" s="59"/>
      <c r="L575" s="59"/>
      <c r="N575" s="59"/>
      <c r="Q575" s="59"/>
      <c r="R575" s="61"/>
    </row>
    <row r="576">
      <c r="B576" s="59"/>
      <c r="D576" s="59"/>
      <c r="F576" s="59"/>
      <c r="H576" s="59"/>
      <c r="J576" s="59"/>
      <c r="L576" s="59"/>
      <c r="N576" s="59"/>
      <c r="Q576" s="59"/>
      <c r="R576" s="61"/>
    </row>
    <row r="577">
      <c r="B577" s="59"/>
      <c r="D577" s="59"/>
      <c r="F577" s="59"/>
      <c r="H577" s="59"/>
      <c r="J577" s="59"/>
      <c r="L577" s="59"/>
      <c r="N577" s="59"/>
      <c r="Q577" s="59"/>
      <c r="R577" s="61"/>
    </row>
    <row r="578">
      <c r="B578" s="59"/>
      <c r="D578" s="59"/>
      <c r="F578" s="59"/>
      <c r="H578" s="59"/>
      <c r="J578" s="59"/>
      <c r="L578" s="59"/>
      <c r="N578" s="59"/>
      <c r="Q578" s="59"/>
      <c r="R578" s="61"/>
    </row>
    <row r="579">
      <c r="B579" s="59"/>
      <c r="D579" s="59"/>
      <c r="F579" s="59"/>
      <c r="H579" s="59"/>
      <c r="J579" s="59"/>
      <c r="L579" s="59"/>
      <c r="N579" s="59"/>
      <c r="Q579" s="59"/>
      <c r="R579" s="61"/>
    </row>
    <row r="580">
      <c r="B580" s="59"/>
      <c r="D580" s="59"/>
      <c r="F580" s="59"/>
      <c r="H580" s="59"/>
      <c r="J580" s="59"/>
      <c r="L580" s="59"/>
      <c r="N580" s="59"/>
      <c r="Q580" s="59"/>
      <c r="R580" s="61"/>
    </row>
    <row r="581">
      <c r="B581" s="59"/>
      <c r="D581" s="59"/>
      <c r="F581" s="59"/>
      <c r="H581" s="59"/>
      <c r="J581" s="59"/>
      <c r="L581" s="59"/>
      <c r="N581" s="59"/>
      <c r="Q581" s="59"/>
      <c r="R581" s="61"/>
    </row>
    <row r="582">
      <c r="B582" s="59"/>
      <c r="D582" s="59"/>
      <c r="F582" s="59"/>
      <c r="H582" s="59"/>
      <c r="J582" s="59"/>
      <c r="L582" s="59"/>
      <c r="N582" s="59"/>
      <c r="Q582" s="59"/>
      <c r="R582" s="61"/>
    </row>
    <row r="583">
      <c r="B583" s="59"/>
      <c r="D583" s="59"/>
      <c r="F583" s="59"/>
      <c r="H583" s="59"/>
      <c r="J583" s="59"/>
      <c r="L583" s="59"/>
      <c r="N583" s="59"/>
      <c r="Q583" s="59"/>
      <c r="R583" s="61"/>
    </row>
    <row r="584">
      <c r="B584" s="59"/>
      <c r="D584" s="59"/>
      <c r="F584" s="59"/>
      <c r="H584" s="59"/>
      <c r="J584" s="59"/>
      <c r="L584" s="59"/>
      <c r="N584" s="59"/>
      <c r="Q584" s="59"/>
      <c r="R584" s="61"/>
    </row>
    <row r="585">
      <c r="B585" s="59"/>
      <c r="D585" s="59"/>
      <c r="F585" s="59"/>
      <c r="H585" s="59"/>
      <c r="J585" s="59"/>
      <c r="L585" s="59"/>
      <c r="N585" s="59"/>
      <c r="Q585" s="59"/>
      <c r="R585" s="61"/>
    </row>
    <row r="586">
      <c r="B586" s="59"/>
      <c r="D586" s="59"/>
      <c r="F586" s="59"/>
      <c r="H586" s="59"/>
      <c r="J586" s="59"/>
      <c r="L586" s="59"/>
      <c r="N586" s="59"/>
      <c r="Q586" s="59"/>
      <c r="R586" s="61"/>
    </row>
    <row r="587">
      <c r="B587" s="59"/>
      <c r="D587" s="59"/>
      <c r="F587" s="59"/>
      <c r="H587" s="59"/>
      <c r="J587" s="59"/>
      <c r="L587" s="59"/>
      <c r="N587" s="59"/>
      <c r="Q587" s="59"/>
      <c r="R587" s="61"/>
    </row>
    <row r="588">
      <c r="B588" s="59"/>
      <c r="D588" s="59"/>
      <c r="F588" s="59"/>
      <c r="H588" s="59"/>
      <c r="J588" s="59"/>
      <c r="L588" s="59"/>
      <c r="N588" s="59"/>
      <c r="Q588" s="59"/>
      <c r="R588" s="61"/>
    </row>
    <row r="589">
      <c r="B589" s="59"/>
      <c r="D589" s="59"/>
      <c r="F589" s="59"/>
      <c r="H589" s="59"/>
      <c r="J589" s="59"/>
      <c r="L589" s="59"/>
      <c r="N589" s="59"/>
      <c r="Q589" s="59"/>
      <c r="R589" s="61"/>
    </row>
    <row r="590">
      <c r="B590" s="59"/>
      <c r="D590" s="59"/>
      <c r="F590" s="59"/>
      <c r="H590" s="59"/>
      <c r="J590" s="59"/>
      <c r="L590" s="59"/>
      <c r="N590" s="59"/>
      <c r="Q590" s="59"/>
      <c r="R590" s="61"/>
    </row>
    <row r="591">
      <c r="B591" s="59"/>
      <c r="D591" s="59"/>
      <c r="F591" s="59"/>
      <c r="H591" s="59"/>
      <c r="J591" s="59"/>
      <c r="L591" s="59"/>
      <c r="N591" s="59"/>
      <c r="Q591" s="59"/>
      <c r="R591" s="61"/>
    </row>
    <row r="592">
      <c r="B592" s="59"/>
      <c r="D592" s="59"/>
      <c r="F592" s="59"/>
      <c r="H592" s="59"/>
      <c r="J592" s="59"/>
      <c r="L592" s="59"/>
      <c r="N592" s="59"/>
      <c r="Q592" s="59"/>
      <c r="R592" s="61"/>
    </row>
    <row r="593">
      <c r="B593" s="59"/>
      <c r="D593" s="59"/>
      <c r="F593" s="59"/>
      <c r="H593" s="59"/>
      <c r="J593" s="59"/>
      <c r="L593" s="59"/>
      <c r="N593" s="59"/>
      <c r="Q593" s="59"/>
      <c r="R593" s="61"/>
    </row>
    <row r="594">
      <c r="B594" s="59"/>
      <c r="D594" s="59"/>
      <c r="F594" s="59"/>
      <c r="H594" s="59"/>
      <c r="J594" s="59"/>
      <c r="L594" s="59"/>
      <c r="N594" s="59"/>
      <c r="Q594" s="59"/>
      <c r="R594" s="61"/>
    </row>
    <row r="595">
      <c r="B595" s="59"/>
      <c r="D595" s="59"/>
      <c r="F595" s="59"/>
      <c r="H595" s="59"/>
      <c r="J595" s="59"/>
      <c r="L595" s="59"/>
      <c r="N595" s="59"/>
      <c r="Q595" s="59"/>
      <c r="R595" s="61"/>
    </row>
    <row r="596">
      <c r="B596" s="59"/>
      <c r="D596" s="59"/>
      <c r="F596" s="59"/>
      <c r="H596" s="59"/>
      <c r="J596" s="59"/>
      <c r="L596" s="59"/>
      <c r="N596" s="59"/>
      <c r="Q596" s="59"/>
      <c r="R596" s="61"/>
    </row>
    <row r="597">
      <c r="B597" s="59"/>
      <c r="D597" s="59"/>
      <c r="F597" s="59"/>
      <c r="H597" s="59"/>
      <c r="J597" s="59"/>
      <c r="L597" s="59"/>
      <c r="N597" s="59"/>
      <c r="Q597" s="59"/>
      <c r="R597" s="61"/>
    </row>
    <row r="598">
      <c r="B598" s="59"/>
      <c r="D598" s="59"/>
      <c r="F598" s="59"/>
      <c r="H598" s="59"/>
      <c r="J598" s="59"/>
      <c r="L598" s="59"/>
      <c r="N598" s="59"/>
      <c r="Q598" s="59"/>
      <c r="R598" s="61"/>
    </row>
    <row r="599">
      <c r="B599" s="59"/>
      <c r="D599" s="59"/>
      <c r="F599" s="59"/>
      <c r="H599" s="59"/>
      <c r="J599" s="59"/>
      <c r="L599" s="59"/>
      <c r="N599" s="59"/>
      <c r="Q599" s="59"/>
      <c r="R599" s="61"/>
    </row>
    <row r="600">
      <c r="B600" s="59"/>
      <c r="D600" s="59"/>
      <c r="F600" s="59"/>
      <c r="H600" s="59"/>
      <c r="J600" s="59"/>
      <c r="L600" s="59"/>
      <c r="N600" s="59"/>
      <c r="Q600" s="59"/>
      <c r="R600" s="61"/>
    </row>
    <row r="601">
      <c r="B601" s="59"/>
      <c r="D601" s="59"/>
      <c r="F601" s="59"/>
      <c r="H601" s="59"/>
      <c r="J601" s="59"/>
      <c r="L601" s="59"/>
      <c r="N601" s="59"/>
      <c r="Q601" s="59"/>
      <c r="R601" s="61"/>
    </row>
    <row r="602">
      <c r="B602" s="59"/>
      <c r="D602" s="59"/>
      <c r="F602" s="59"/>
      <c r="H602" s="59"/>
      <c r="J602" s="59"/>
      <c r="L602" s="59"/>
      <c r="N602" s="59"/>
      <c r="Q602" s="59"/>
      <c r="R602" s="61"/>
    </row>
    <row r="603">
      <c r="B603" s="59"/>
      <c r="D603" s="59"/>
      <c r="F603" s="59"/>
      <c r="H603" s="59"/>
      <c r="J603" s="59"/>
      <c r="L603" s="59"/>
      <c r="N603" s="59"/>
      <c r="Q603" s="59"/>
      <c r="R603" s="61"/>
    </row>
    <row r="604">
      <c r="B604" s="59"/>
      <c r="D604" s="59"/>
      <c r="F604" s="59"/>
      <c r="H604" s="59"/>
      <c r="J604" s="59"/>
      <c r="L604" s="59"/>
      <c r="N604" s="59"/>
      <c r="Q604" s="59"/>
      <c r="R604" s="61"/>
    </row>
    <row r="605">
      <c r="B605" s="59"/>
      <c r="D605" s="59"/>
      <c r="F605" s="59"/>
      <c r="H605" s="59"/>
      <c r="J605" s="59"/>
      <c r="L605" s="59"/>
      <c r="N605" s="59"/>
      <c r="Q605" s="59"/>
      <c r="R605" s="61"/>
    </row>
    <row r="606">
      <c r="B606" s="59"/>
      <c r="D606" s="59"/>
      <c r="F606" s="59"/>
      <c r="H606" s="59"/>
      <c r="J606" s="59"/>
      <c r="L606" s="59"/>
      <c r="N606" s="59"/>
      <c r="Q606" s="59"/>
      <c r="R606" s="61"/>
    </row>
    <row r="607">
      <c r="B607" s="59"/>
      <c r="D607" s="59"/>
      <c r="F607" s="59"/>
      <c r="H607" s="59"/>
      <c r="J607" s="59"/>
      <c r="L607" s="59"/>
      <c r="N607" s="59"/>
      <c r="Q607" s="59"/>
      <c r="R607" s="61"/>
    </row>
    <row r="608">
      <c r="B608" s="59"/>
      <c r="D608" s="59"/>
      <c r="F608" s="59"/>
      <c r="H608" s="59"/>
      <c r="J608" s="59"/>
      <c r="L608" s="59"/>
      <c r="N608" s="59"/>
      <c r="Q608" s="59"/>
      <c r="R608" s="61"/>
    </row>
    <row r="609">
      <c r="B609" s="59"/>
      <c r="D609" s="59"/>
      <c r="F609" s="59"/>
      <c r="H609" s="59"/>
      <c r="J609" s="59"/>
      <c r="L609" s="59"/>
      <c r="N609" s="59"/>
      <c r="Q609" s="59"/>
      <c r="R609" s="61"/>
    </row>
    <row r="610">
      <c r="B610" s="59"/>
      <c r="D610" s="59"/>
      <c r="F610" s="59"/>
      <c r="H610" s="59"/>
      <c r="J610" s="59"/>
      <c r="L610" s="59"/>
      <c r="N610" s="59"/>
      <c r="Q610" s="59"/>
      <c r="R610" s="61"/>
    </row>
    <row r="611">
      <c r="B611" s="59"/>
      <c r="D611" s="59"/>
      <c r="F611" s="59"/>
      <c r="H611" s="59"/>
      <c r="J611" s="59"/>
      <c r="L611" s="59"/>
      <c r="N611" s="59"/>
      <c r="Q611" s="59"/>
      <c r="R611" s="61"/>
    </row>
    <row r="612">
      <c r="B612" s="59"/>
      <c r="D612" s="59"/>
      <c r="F612" s="59"/>
      <c r="H612" s="59"/>
      <c r="J612" s="59"/>
      <c r="L612" s="59"/>
      <c r="N612" s="59"/>
      <c r="Q612" s="59"/>
      <c r="R612" s="61"/>
    </row>
    <row r="613">
      <c r="B613" s="59"/>
      <c r="D613" s="59"/>
      <c r="F613" s="59"/>
      <c r="H613" s="59"/>
      <c r="J613" s="59"/>
      <c r="L613" s="59"/>
      <c r="N613" s="59"/>
      <c r="Q613" s="59"/>
      <c r="R613" s="61"/>
    </row>
    <row r="614">
      <c r="B614" s="59"/>
      <c r="D614" s="59"/>
      <c r="F614" s="59"/>
      <c r="H614" s="59"/>
      <c r="J614" s="59"/>
      <c r="L614" s="59"/>
      <c r="N614" s="59"/>
      <c r="Q614" s="59"/>
      <c r="R614" s="61"/>
    </row>
    <row r="615">
      <c r="B615" s="59"/>
      <c r="D615" s="59"/>
      <c r="F615" s="59"/>
      <c r="H615" s="59"/>
      <c r="J615" s="59"/>
      <c r="L615" s="59"/>
      <c r="N615" s="59"/>
      <c r="Q615" s="59"/>
      <c r="R615" s="61"/>
    </row>
    <row r="616">
      <c r="B616" s="59"/>
      <c r="D616" s="59"/>
      <c r="F616" s="59"/>
      <c r="H616" s="59"/>
      <c r="J616" s="59"/>
      <c r="L616" s="59"/>
      <c r="N616" s="59"/>
      <c r="Q616" s="59"/>
      <c r="R616" s="61"/>
    </row>
    <row r="617">
      <c r="B617" s="59"/>
      <c r="D617" s="59"/>
      <c r="F617" s="59"/>
      <c r="H617" s="59"/>
      <c r="J617" s="59"/>
      <c r="L617" s="59"/>
      <c r="N617" s="59"/>
      <c r="Q617" s="59"/>
      <c r="R617" s="61"/>
    </row>
    <row r="618">
      <c r="B618" s="59"/>
      <c r="D618" s="59"/>
      <c r="F618" s="59"/>
      <c r="H618" s="59"/>
      <c r="J618" s="59"/>
      <c r="L618" s="59"/>
      <c r="N618" s="59"/>
      <c r="Q618" s="59"/>
      <c r="R618" s="61"/>
    </row>
    <row r="619">
      <c r="B619" s="59"/>
      <c r="D619" s="59"/>
      <c r="F619" s="59"/>
      <c r="H619" s="59"/>
      <c r="J619" s="59"/>
      <c r="L619" s="59"/>
      <c r="N619" s="59"/>
      <c r="Q619" s="59"/>
      <c r="R619" s="61"/>
    </row>
    <row r="620">
      <c r="B620" s="59"/>
      <c r="D620" s="59"/>
      <c r="F620" s="59"/>
      <c r="H620" s="59"/>
      <c r="J620" s="59"/>
      <c r="L620" s="59"/>
      <c r="N620" s="59"/>
      <c r="Q620" s="59"/>
      <c r="R620" s="61"/>
    </row>
    <row r="621">
      <c r="B621" s="59"/>
      <c r="D621" s="59"/>
      <c r="F621" s="59"/>
      <c r="H621" s="59"/>
      <c r="J621" s="59"/>
      <c r="L621" s="59"/>
      <c r="N621" s="59"/>
      <c r="Q621" s="59"/>
      <c r="R621" s="61"/>
    </row>
    <row r="622">
      <c r="B622" s="59"/>
      <c r="D622" s="59"/>
      <c r="F622" s="59"/>
      <c r="H622" s="59"/>
      <c r="J622" s="59"/>
      <c r="L622" s="59"/>
      <c r="N622" s="59"/>
      <c r="Q622" s="59"/>
      <c r="R622" s="61"/>
    </row>
    <row r="623">
      <c r="B623" s="59"/>
      <c r="D623" s="59"/>
      <c r="F623" s="59"/>
      <c r="H623" s="59"/>
      <c r="J623" s="59"/>
      <c r="L623" s="59"/>
      <c r="N623" s="59"/>
      <c r="Q623" s="59"/>
      <c r="R623" s="61"/>
    </row>
    <row r="624">
      <c r="B624" s="59"/>
      <c r="D624" s="59"/>
      <c r="F624" s="59"/>
      <c r="H624" s="59"/>
      <c r="J624" s="59"/>
      <c r="L624" s="59"/>
      <c r="N624" s="59"/>
      <c r="Q624" s="59"/>
      <c r="R624" s="61"/>
    </row>
    <row r="625">
      <c r="B625" s="59"/>
      <c r="D625" s="59"/>
      <c r="F625" s="59"/>
      <c r="H625" s="59"/>
      <c r="J625" s="59"/>
      <c r="L625" s="59"/>
      <c r="N625" s="59"/>
      <c r="Q625" s="59"/>
      <c r="R625" s="61"/>
    </row>
    <row r="626">
      <c r="B626" s="59"/>
      <c r="D626" s="59"/>
      <c r="F626" s="59"/>
      <c r="H626" s="59"/>
      <c r="J626" s="59"/>
      <c r="L626" s="59"/>
      <c r="N626" s="59"/>
      <c r="Q626" s="59"/>
      <c r="R626" s="61"/>
    </row>
    <row r="627">
      <c r="B627" s="59"/>
      <c r="D627" s="59"/>
      <c r="F627" s="59"/>
      <c r="H627" s="59"/>
      <c r="J627" s="59"/>
      <c r="L627" s="59"/>
      <c r="N627" s="59"/>
      <c r="Q627" s="59"/>
      <c r="R627" s="61"/>
    </row>
    <row r="628">
      <c r="B628" s="59"/>
      <c r="D628" s="59"/>
      <c r="F628" s="59"/>
      <c r="H628" s="59"/>
      <c r="J628" s="59"/>
      <c r="L628" s="59"/>
      <c r="N628" s="59"/>
      <c r="Q628" s="59"/>
      <c r="R628" s="61"/>
    </row>
    <row r="629">
      <c r="B629" s="59"/>
      <c r="D629" s="59"/>
      <c r="F629" s="59"/>
      <c r="H629" s="59"/>
      <c r="J629" s="59"/>
      <c r="L629" s="59"/>
      <c r="N629" s="59"/>
      <c r="Q629" s="59"/>
      <c r="R629" s="61"/>
    </row>
    <row r="630">
      <c r="B630" s="59"/>
      <c r="D630" s="59"/>
      <c r="F630" s="59"/>
      <c r="H630" s="59"/>
      <c r="J630" s="59"/>
      <c r="L630" s="59"/>
      <c r="N630" s="59"/>
      <c r="Q630" s="59"/>
      <c r="R630" s="61"/>
    </row>
    <row r="631">
      <c r="B631" s="59"/>
      <c r="D631" s="59"/>
      <c r="F631" s="59"/>
      <c r="H631" s="59"/>
      <c r="J631" s="59"/>
      <c r="L631" s="59"/>
      <c r="N631" s="59"/>
      <c r="Q631" s="59"/>
      <c r="R631" s="61"/>
    </row>
    <row r="632">
      <c r="B632" s="59"/>
      <c r="D632" s="59"/>
      <c r="F632" s="59"/>
      <c r="H632" s="59"/>
      <c r="J632" s="59"/>
      <c r="L632" s="59"/>
      <c r="N632" s="59"/>
      <c r="Q632" s="59"/>
      <c r="R632" s="61"/>
    </row>
    <row r="633">
      <c r="B633" s="59"/>
      <c r="D633" s="59"/>
      <c r="F633" s="59"/>
      <c r="H633" s="59"/>
      <c r="J633" s="59"/>
      <c r="L633" s="59"/>
      <c r="N633" s="59"/>
      <c r="Q633" s="59"/>
      <c r="R633" s="61"/>
    </row>
    <row r="634">
      <c r="B634" s="59"/>
      <c r="D634" s="59"/>
      <c r="F634" s="59"/>
      <c r="H634" s="59"/>
      <c r="J634" s="59"/>
      <c r="L634" s="59"/>
      <c r="N634" s="59"/>
      <c r="Q634" s="59"/>
      <c r="R634" s="61"/>
    </row>
    <row r="635">
      <c r="B635" s="59"/>
      <c r="D635" s="59"/>
      <c r="F635" s="59"/>
      <c r="H635" s="59"/>
      <c r="J635" s="59"/>
      <c r="L635" s="59"/>
      <c r="N635" s="59"/>
      <c r="Q635" s="59"/>
      <c r="R635" s="61"/>
    </row>
    <row r="636">
      <c r="B636" s="59"/>
      <c r="D636" s="59"/>
      <c r="F636" s="59"/>
      <c r="H636" s="59"/>
      <c r="J636" s="59"/>
      <c r="L636" s="59"/>
      <c r="N636" s="59"/>
      <c r="Q636" s="59"/>
      <c r="R636" s="61"/>
    </row>
    <row r="637">
      <c r="B637" s="59"/>
      <c r="D637" s="59"/>
      <c r="F637" s="59"/>
      <c r="H637" s="59"/>
      <c r="J637" s="59"/>
      <c r="L637" s="59"/>
      <c r="N637" s="59"/>
      <c r="Q637" s="59"/>
      <c r="R637" s="61"/>
    </row>
    <row r="638">
      <c r="B638" s="59"/>
      <c r="D638" s="59"/>
      <c r="F638" s="59"/>
      <c r="H638" s="59"/>
      <c r="J638" s="59"/>
      <c r="L638" s="59"/>
      <c r="N638" s="59"/>
      <c r="Q638" s="59"/>
      <c r="R638" s="61"/>
    </row>
    <row r="639">
      <c r="B639" s="59"/>
      <c r="D639" s="59"/>
      <c r="F639" s="59"/>
      <c r="H639" s="59"/>
      <c r="J639" s="59"/>
      <c r="L639" s="59"/>
      <c r="N639" s="59"/>
      <c r="Q639" s="59"/>
      <c r="R639" s="61"/>
    </row>
    <row r="640">
      <c r="B640" s="59"/>
      <c r="D640" s="59"/>
      <c r="F640" s="59"/>
      <c r="H640" s="59"/>
      <c r="J640" s="59"/>
      <c r="L640" s="59"/>
      <c r="N640" s="59"/>
      <c r="Q640" s="59"/>
      <c r="R640" s="61"/>
    </row>
    <row r="641">
      <c r="B641" s="59"/>
      <c r="D641" s="59"/>
      <c r="F641" s="59"/>
      <c r="H641" s="59"/>
      <c r="J641" s="59"/>
      <c r="L641" s="59"/>
      <c r="N641" s="59"/>
      <c r="Q641" s="59"/>
      <c r="R641" s="61"/>
    </row>
    <row r="642">
      <c r="B642" s="59"/>
      <c r="D642" s="59"/>
      <c r="F642" s="59"/>
      <c r="H642" s="59"/>
      <c r="J642" s="59"/>
      <c r="L642" s="59"/>
      <c r="N642" s="59"/>
      <c r="Q642" s="59"/>
      <c r="R642" s="61"/>
    </row>
    <row r="643">
      <c r="B643" s="59"/>
      <c r="D643" s="59"/>
      <c r="F643" s="59"/>
      <c r="H643" s="59"/>
      <c r="J643" s="59"/>
      <c r="L643" s="59"/>
      <c r="N643" s="59"/>
      <c r="Q643" s="59"/>
      <c r="R643" s="61"/>
    </row>
    <row r="644">
      <c r="B644" s="59"/>
      <c r="D644" s="59"/>
      <c r="F644" s="59"/>
      <c r="H644" s="59"/>
      <c r="J644" s="59"/>
      <c r="L644" s="59"/>
      <c r="N644" s="59"/>
      <c r="Q644" s="59"/>
      <c r="R644" s="61"/>
    </row>
    <row r="645">
      <c r="B645" s="59"/>
      <c r="D645" s="59"/>
      <c r="F645" s="59"/>
      <c r="H645" s="59"/>
      <c r="J645" s="59"/>
      <c r="L645" s="59"/>
      <c r="N645" s="59"/>
      <c r="Q645" s="59"/>
      <c r="R645" s="61"/>
    </row>
    <row r="646">
      <c r="B646" s="59"/>
      <c r="D646" s="59"/>
      <c r="F646" s="59"/>
      <c r="H646" s="59"/>
      <c r="J646" s="59"/>
      <c r="L646" s="59"/>
      <c r="N646" s="59"/>
      <c r="Q646" s="59"/>
      <c r="R646" s="61"/>
    </row>
    <row r="647">
      <c r="B647" s="59"/>
      <c r="D647" s="59"/>
      <c r="F647" s="59"/>
      <c r="H647" s="59"/>
      <c r="J647" s="59"/>
      <c r="L647" s="59"/>
      <c r="N647" s="59"/>
      <c r="Q647" s="59"/>
      <c r="R647" s="61"/>
    </row>
    <row r="648">
      <c r="B648" s="59"/>
      <c r="D648" s="59"/>
      <c r="F648" s="59"/>
      <c r="H648" s="59"/>
      <c r="J648" s="59"/>
      <c r="L648" s="59"/>
      <c r="N648" s="59"/>
      <c r="Q648" s="59"/>
      <c r="R648" s="61"/>
    </row>
    <row r="649">
      <c r="B649" s="59"/>
      <c r="D649" s="59"/>
      <c r="F649" s="59"/>
      <c r="H649" s="59"/>
      <c r="J649" s="59"/>
      <c r="L649" s="59"/>
      <c r="N649" s="59"/>
      <c r="Q649" s="59"/>
      <c r="R649" s="61"/>
    </row>
    <row r="650">
      <c r="B650" s="59"/>
      <c r="D650" s="59"/>
      <c r="F650" s="59"/>
      <c r="H650" s="59"/>
      <c r="J650" s="59"/>
      <c r="L650" s="59"/>
      <c r="N650" s="59"/>
      <c r="Q650" s="59"/>
      <c r="R650" s="61"/>
    </row>
    <row r="651">
      <c r="B651" s="59"/>
      <c r="D651" s="59"/>
      <c r="F651" s="59"/>
      <c r="H651" s="59"/>
      <c r="J651" s="59"/>
      <c r="L651" s="59"/>
      <c r="N651" s="59"/>
      <c r="Q651" s="59"/>
      <c r="R651" s="61"/>
    </row>
    <row r="652">
      <c r="B652" s="59"/>
      <c r="D652" s="59"/>
      <c r="F652" s="59"/>
      <c r="H652" s="59"/>
      <c r="J652" s="59"/>
      <c r="L652" s="59"/>
      <c r="N652" s="59"/>
      <c r="Q652" s="59"/>
      <c r="R652" s="61"/>
    </row>
    <row r="653">
      <c r="B653" s="59"/>
      <c r="D653" s="59"/>
      <c r="F653" s="59"/>
      <c r="H653" s="59"/>
      <c r="J653" s="59"/>
      <c r="L653" s="59"/>
      <c r="N653" s="59"/>
      <c r="Q653" s="59"/>
      <c r="R653" s="61"/>
    </row>
    <row r="654">
      <c r="B654" s="59"/>
      <c r="D654" s="59"/>
      <c r="F654" s="59"/>
      <c r="H654" s="59"/>
      <c r="J654" s="59"/>
      <c r="L654" s="59"/>
      <c r="N654" s="59"/>
      <c r="Q654" s="59"/>
      <c r="R654" s="61"/>
    </row>
    <row r="655">
      <c r="B655" s="59"/>
      <c r="D655" s="59"/>
      <c r="F655" s="59"/>
      <c r="H655" s="59"/>
      <c r="J655" s="59"/>
      <c r="L655" s="59"/>
      <c r="N655" s="59"/>
      <c r="Q655" s="59"/>
      <c r="R655" s="61"/>
    </row>
    <row r="656">
      <c r="B656" s="59"/>
      <c r="D656" s="59"/>
      <c r="F656" s="59"/>
      <c r="H656" s="59"/>
      <c r="J656" s="59"/>
      <c r="L656" s="59"/>
      <c r="N656" s="59"/>
      <c r="Q656" s="59"/>
      <c r="R656" s="61"/>
    </row>
    <row r="657">
      <c r="B657" s="59"/>
      <c r="D657" s="59"/>
      <c r="F657" s="59"/>
      <c r="H657" s="59"/>
      <c r="J657" s="59"/>
      <c r="L657" s="59"/>
      <c r="N657" s="59"/>
      <c r="Q657" s="59"/>
      <c r="R657" s="61"/>
    </row>
    <row r="658">
      <c r="B658" s="59"/>
      <c r="D658" s="59"/>
      <c r="F658" s="59"/>
      <c r="H658" s="59"/>
      <c r="J658" s="59"/>
      <c r="L658" s="59"/>
      <c r="N658" s="59"/>
      <c r="Q658" s="59"/>
      <c r="R658" s="61"/>
    </row>
    <row r="659">
      <c r="B659" s="59"/>
      <c r="D659" s="59"/>
      <c r="F659" s="59"/>
      <c r="H659" s="59"/>
      <c r="J659" s="59"/>
      <c r="L659" s="59"/>
      <c r="N659" s="59"/>
      <c r="Q659" s="59"/>
      <c r="R659" s="61"/>
    </row>
    <row r="660">
      <c r="B660" s="59"/>
      <c r="D660" s="59"/>
      <c r="F660" s="59"/>
      <c r="H660" s="59"/>
      <c r="J660" s="59"/>
      <c r="L660" s="59"/>
      <c r="N660" s="59"/>
      <c r="Q660" s="59"/>
      <c r="R660" s="61"/>
    </row>
    <row r="661">
      <c r="B661" s="59"/>
      <c r="D661" s="59"/>
      <c r="F661" s="59"/>
      <c r="H661" s="59"/>
      <c r="J661" s="59"/>
      <c r="L661" s="59"/>
      <c r="N661" s="59"/>
      <c r="Q661" s="59"/>
      <c r="R661" s="61"/>
    </row>
    <row r="662">
      <c r="B662" s="59"/>
      <c r="D662" s="59"/>
      <c r="F662" s="59"/>
      <c r="H662" s="59"/>
      <c r="J662" s="59"/>
      <c r="L662" s="59"/>
      <c r="N662" s="59"/>
      <c r="Q662" s="59"/>
      <c r="R662" s="61"/>
    </row>
    <row r="663">
      <c r="B663" s="59"/>
      <c r="D663" s="59"/>
      <c r="F663" s="59"/>
      <c r="H663" s="59"/>
      <c r="J663" s="59"/>
      <c r="L663" s="59"/>
      <c r="N663" s="59"/>
      <c r="Q663" s="59"/>
      <c r="R663" s="61"/>
    </row>
    <row r="664">
      <c r="B664" s="59"/>
      <c r="D664" s="59"/>
      <c r="F664" s="59"/>
      <c r="H664" s="59"/>
      <c r="J664" s="59"/>
      <c r="L664" s="59"/>
      <c r="N664" s="59"/>
      <c r="Q664" s="59"/>
      <c r="R664" s="61"/>
    </row>
    <row r="665">
      <c r="B665" s="59"/>
      <c r="D665" s="59"/>
      <c r="F665" s="59"/>
      <c r="H665" s="59"/>
      <c r="J665" s="59"/>
      <c r="L665" s="59"/>
      <c r="N665" s="59"/>
      <c r="Q665" s="59"/>
      <c r="R665" s="61"/>
    </row>
    <row r="666">
      <c r="B666" s="59"/>
      <c r="D666" s="59"/>
      <c r="F666" s="59"/>
      <c r="H666" s="59"/>
      <c r="J666" s="59"/>
      <c r="L666" s="59"/>
      <c r="N666" s="59"/>
      <c r="Q666" s="59"/>
      <c r="R666" s="61"/>
    </row>
    <row r="667">
      <c r="B667" s="59"/>
      <c r="D667" s="59"/>
      <c r="F667" s="59"/>
      <c r="H667" s="59"/>
      <c r="J667" s="59"/>
      <c r="L667" s="59"/>
      <c r="N667" s="59"/>
      <c r="Q667" s="59"/>
      <c r="R667" s="61"/>
    </row>
    <row r="668">
      <c r="B668" s="59"/>
      <c r="D668" s="59"/>
      <c r="F668" s="59"/>
      <c r="H668" s="59"/>
      <c r="J668" s="59"/>
      <c r="L668" s="59"/>
      <c r="N668" s="59"/>
      <c r="Q668" s="59"/>
      <c r="R668" s="61"/>
    </row>
    <row r="669">
      <c r="B669" s="59"/>
      <c r="D669" s="59"/>
      <c r="F669" s="59"/>
      <c r="H669" s="59"/>
      <c r="J669" s="59"/>
      <c r="L669" s="59"/>
      <c r="N669" s="59"/>
      <c r="Q669" s="59"/>
      <c r="R669" s="61"/>
    </row>
    <row r="670">
      <c r="B670" s="59"/>
      <c r="D670" s="59"/>
      <c r="F670" s="59"/>
      <c r="H670" s="59"/>
      <c r="J670" s="59"/>
      <c r="L670" s="59"/>
      <c r="N670" s="59"/>
      <c r="Q670" s="59"/>
      <c r="R670" s="61"/>
    </row>
    <row r="671">
      <c r="B671" s="59"/>
      <c r="D671" s="59"/>
      <c r="F671" s="59"/>
      <c r="H671" s="59"/>
      <c r="J671" s="59"/>
      <c r="L671" s="59"/>
      <c r="N671" s="59"/>
      <c r="Q671" s="59"/>
      <c r="R671" s="61"/>
    </row>
    <row r="672">
      <c r="B672" s="59"/>
      <c r="D672" s="59"/>
      <c r="F672" s="59"/>
      <c r="H672" s="59"/>
      <c r="J672" s="59"/>
      <c r="L672" s="59"/>
      <c r="N672" s="59"/>
      <c r="Q672" s="59"/>
      <c r="R672" s="61"/>
    </row>
    <row r="673">
      <c r="B673" s="59"/>
      <c r="D673" s="59"/>
      <c r="F673" s="59"/>
      <c r="H673" s="59"/>
      <c r="J673" s="59"/>
      <c r="L673" s="59"/>
      <c r="N673" s="59"/>
      <c r="Q673" s="59"/>
      <c r="R673" s="61"/>
    </row>
    <row r="674">
      <c r="B674" s="59"/>
      <c r="D674" s="59"/>
      <c r="F674" s="59"/>
      <c r="H674" s="59"/>
      <c r="J674" s="59"/>
      <c r="L674" s="59"/>
      <c r="N674" s="59"/>
      <c r="Q674" s="59"/>
      <c r="R674" s="61"/>
    </row>
    <row r="675">
      <c r="B675" s="59"/>
      <c r="D675" s="59"/>
      <c r="F675" s="59"/>
      <c r="H675" s="59"/>
      <c r="J675" s="59"/>
      <c r="L675" s="59"/>
      <c r="N675" s="59"/>
      <c r="Q675" s="59"/>
      <c r="R675" s="61"/>
    </row>
    <row r="676">
      <c r="B676" s="59"/>
      <c r="D676" s="59"/>
      <c r="F676" s="59"/>
      <c r="H676" s="59"/>
      <c r="J676" s="59"/>
      <c r="L676" s="59"/>
      <c r="N676" s="59"/>
      <c r="Q676" s="59"/>
      <c r="R676" s="61"/>
    </row>
    <row r="677">
      <c r="B677" s="59"/>
      <c r="D677" s="59"/>
      <c r="F677" s="59"/>
      <c r="H677" s="59"/>
      <c r="J677" s="59"/>
      <c r="L677" s="59"/>
      <c r="N677" s="59"/>
      <c r="Q677" s="59"/>
      <c r="R677" s="61"/>
    </row>
    <row r="678">
      <c r="B678" s="59"/>
      <c r="D678" s="59"/>
      <c r="F678" s="59"/>
      <c r="H678" s="59"/>
      <c r="J678" s="59"/>
      <c r="L678" s="59"/>
      <c r="N678" s="59"/>
      <c r="Q678" s="59"/>
      <c r="R678" s="61"/>
    </row>
    <row r="679">
      <c r="B679" s="59"/>
      <c r="D679" s="59"/>
      <c r="F679" s="59"/>
      <c r="H679" s="59"/>
      <c r="J679" s="59"/>
      <c r="L679" s="59"/>
      <c r="N679" s="59"/>
      <c r="Q679" s="59"/>
      <c r="R679" s="61"/>
    </row>
    <row r="680">
      <c r="B680" s="59"/>
      <c r="D680" s="59"/>
      <c r="F680" s="59"/>
      <c r="H680" s="59"/>
      <c r="J680" s="59"/>
      <c r="L680" s="59"/>
      <c r="N680" s="59"/>
      <c r="Q680" s="59"/>
      <c r="R680" s="61"/>
    </row>
    <row r="681">
      <c r="B681" s="59"/>
      <c r="D681" s="59"/>
      <c r="F681" s="59"/>
      <c r="H681" s="59"/>
      <c r="J681" s="59"/>
      <c r="L681" s="59"/>
      <c r="N681" s="59"/>
      <c r="Q681" s="59"/>
      <c r="R681" s="61"/>
    </row>
    <row r="682">
      <c r="B682" s="59"/>
      <c r="D682" s="59"/>
      <c r="F682" s="59"/>
      <c r="H682" s="59"/>
      <c r="J682" s="59"/>
      <c r="L682" s="59"/>
      <c r="N682" s="59"/>
      <c r="Q682" s="59"/>
      <c r="R682" s="61"/>
    </row>
    <row r="683">
      <c r="B683" s="59"/>
      <c r="D683" s="59"/>
      <c r="F683" s="59"/>
      <c r="H683" s="59"/>
      <c r="J683" s="59"/>
      <c r="L683" s="59"/>
      <c r="N683" s="59"/>
      <c r="Q683" s="59"/>
      <c r="R683" s="61"/>
    </row>
    <row r="684">
      <c r="B684" s="59"/>
      <c r="D684" s="59"/>
      <c r="F684" s="59"/>
      <c r="H684" s="59"/>
      <c r="J684" s="59"/>
      <c r="L684" s="59"/>
      <c r="N684" s="59"/>
      <c r="Q684" s="59"/>
      <c r="R684" s="61"/>
    </row>
    <row r="685">
      <c r="B685" s="59"/>
      <c r="D685" s="59"/>
      <c r="F685" s="59"/>
      <c r="H685" s="59"/>
      <c r="J685" s="59"/>
      <c r="L685" s="59"/>
      <c r="N685" s="59"/>
      <c r="Q685" s="59"/>
      <c r="R685" s="61"/>
    </row>
    <row r="686">
      <c r="B686" s="59"/>
      <c r="D686" s="59"/>
      <c r="F686" s="59"/>
      <c r="H686" s="59"/>
      <c r="J686" s="59"/>
      <c r="L686" s="59"/>
      <c r="N686" s="59"/>
      <c r="Q686" s="59"/>
      <c r="R686" s="61"/>
    </row>
    <row r="687">
      <c r="B687" s="59"/>
      <c r="D687" s="59"/>
      <c r="F687" s="59"/>
      <c r="H687" s="59"/>
      <c r="J687" s="59"/>
      <c r="L687" s="59"/>
      <c r="N687" s="59"/>
      <c r="Q687" s="59"/>
      <c r="R687" s="61"/>
    </row>
    <row r="688">
      <c r="B688" s="59"/>
      <c r="D688" s="59"/>
      <c r="F688" s="59"/>
      <c r="H688" s="59"/>
      <c r="J688" s="59"/>
      <c r="L688" s="59"/>
      <c r="N688" s="59"/>
      <c r="Q688" s="59"/>
      <c r="R688" s="61"/>
    </row>
    <row r="689">
      <c r="B689" s="59"/>
      <c r="D689" s="59"/>
      <c r="F689" s="59"/>
      <c r="H689" s="59"/>
      <c r="J689" s="59"/>
      <c r="L689" s="59"/>
      <c r="N689" s="59"/>
      <c r="Q689" s="59"/>
      <c r="R689" s="61"/>
    </row>
    <row r="690">
      <c r="B690" s="59"/>
      <c r="D690" s="59"/>
      <c r="F690" s="59"/>
      <c r="H690" s="59"/>
      <c r="J690" s="59"/>
      <c r="L690" s="59"/>
      <c r="N690" s="59"/>
      <c r="Q690" s="59"/>
      <c r="R690" s="61"/>
    </row>
    <row r="691">
      <c r="B691" s="59"/>
      <c r="D691" s="59"/>
      <c r="F691" s="59"/>
      <c r="H691" s="59"/>
      <c r="J691" s="59"/>
      <c r="L691" s="59"/>
      <c r="N691" s="59"/>
      <c r="Q691" s="59"/>
      <c r="R691" s="61"/>
    </row>
    <row r="692">
      <c r="B692" s="59"/>
      <c r="D692" s="59"/>
      <c r="F692" s="59"/>
      <c r="H692" s="59"/>
      <c r="J692" s="59"/>
      <c r="L692" s="59"/>
      <c r="N692" s="59"/>
      <c r="Q692" s="59"/>
      <c r="R692" s="61"/>
    </row>
    <row r="693">
      <c r="B693" s="59"/>
      <c r="D693" s="59"/>
      <c r="F693" s="59"/>
      <c r="H693" s="59"/>
      <c r="J693" s="59"/>
      <c r="L693" s="59"/>
      <c r="N693" s="59"/>
      <c r="Q693" s="59"/>
      <c r="R693" s="61"/>
    </row>
    <row r="694">
      <c r="B694" s="59"/>
      <c r="D694" s="59"/>
      <c r="F694" s="59"/>
      <c r="H694" s="59"/>
      <c r="J694" s="59"/>
      <c r="L694" s="59"/>
      <c r="N694" s="59"/>
      <c r="Q694" s="59"/>
      <c r="R694" s="61"/>
    </row>
    <row r="695">
      <c r="B695" s="59"/>
      <c r="D695" s="59"/>
      <c r="F695" s="59"/>
      <c r="H695" s="59"/>
      <c r="J695" s="59"/>
      <c r="L695" s="59"/>
      <c r="N695" s="59"/>
      <c r="Q695" s="59"/>
      <c r="R695" s="61"/>
    </row>
    <row r="696">
      <c r="B696" s="59"/>
      <c r="D696" s="59"/>
      <c r="F696" s="59"/>
      <c r="H696" s="59"/>
      <c r="J696" s="59"/>
      <c r="L696" s="59"/>
      <c r="N696" s="59"/>
      <c r="Q696" s="59"/>
      <c r="R696" s="61"/>
    </row>
    <row r="697">
      <c r="B697" s="59"/>
      <c r="D697" s="59"/>
      <c r="F697" s="59"/>
      <c r="H697" s="59"/>
      <c r="J697" s="59"/>
      <c r="L697" s="59"/>
      <c r="N697" s="59"/>
      <c r="Q697" s="59"/>
      <c r="R697" s="61"/>
    </row>
    <row r="698">
      <c r="B698" s="59"/>
      <c r="D698" s="59"/>
      <c r="F698" s="59"/>
      <c r="H698" s="59"/>
      <c r="J698" s="59"/>
      <c r="L698" s="59"/>
      <c r="N698" s="59"/>
      <c r="Q698" s="59"/>
      <c r="R698" s="61"/>
    </row>
    <row r="699">
      <c r="B699" s="59"/>
      <c r="D699" s="59"/>
      <c r="F699" s="59"/>
      <c r="H699" s="59"/>
      <c r="J699" s="59"/>
      <c r="L699" s="59"/>
      <c r="N699" s="59"/>
      <c r="Q699" s="59"/>
      <c r="R699" s="61"/>
    </row>
    <row r="700">
      <c r="B700" s="59"/>
      <c r="D700" s="59"/>
      <c r="F700" s="59"/>
      <c r="H700" s="59"/>
      <c r="J700" s="59"/>
      <c r="L700" s="59"/>
      <c r="N700" s="59"/>
      <c r="Q700" s="59"/>
      <c r="R700" s="61"/>
    </row>
    <row r="701">
      <c r="B701" s="59"/>
      <c r="D701" s="59"/>
      <c r="F701" s="59"/>
      <c r="H701" s="59"/>
      <c r="J701" s="59"/>
      <c r="L701" s="59"/>
      <c r="N701" s="59"/>
      <c r="Q701" s="59"/>
      <c r="R701" s="61"/>
    </row>
    <row r="702">
      <c r="B702" s="59"/>
      <c r="D702" s="59"/>
      <c r="F702" s="59"/>
      <c r="H702" s="59"/>
      <c r="J702" s="59"/>
      <c r="L702" s="59"/>
      <c r="N702" s="59"/>
      <c r="Q702" s="59"/>
      <c r="R702" s="61"/>
    </row>
    <row r="703">
      <c r="B703" s="59"/>
      <c r="D703" s="59"/>
      <c r="F703" s="59"/>
      <c r="H703" s="59"/>
      <c r="J703" s="59"/>
      <c r="L703" s="59"/>
      <c r="N703" s="59"/>
      <c r="Q703" s="59"/>
      <c r="R703" s="61"/>
    </row>
    <row r="704">
      <c r="B704" s="59"/>
      <c r="D704" s="59"/>
      <c r="F704" s="59"/>
      <c r="H704" s="59"/>
      <c r="J704" s="59"/>
      <c r="L704" s="59"/>
      <c r="N704" s="59"/>
      <c r="Q704" s="59"/>
      <c r="R704" s="61"/>
    </row>
    <row r="705">
      <c r="B705" s="59"/>
      <c r="D705" s="59"/>
      <c r="F705" s="59"/>
      <c r="H705" s="59"/>
      <c r="J705" s="59"/>
      <c r="L705" s="59"/>
      <c r="N705" s="59"/>
      <c r="Q705" s="59"/>
      <c r="R705" s="61"/>
    </row>
    <row r="706">
      <c r="B706" s="59"/>
      <c r="D706" s="59"/>
      <c r="F706" s="59"/>
      <c r="H706" s="59"/>
      <c r="J706" s="59"/>
      <c r="L706" s="59"/>
      <c r="N706" s="59"/>
      <c r="Q706" s="59"/>
      <c r="R706" s="61"/>
    </row>
    <row r="707">
      <c r="B707" s="59"/>
      <c r="D707" s="59"/>
      <c r="F707" s="59"/>
      <c r="H707" s="59"/>
      <c r="J707" s="59"/>
      <c r="L707" s="59"/>
      <c r="N707" s="59"/>
      <c r="Q707" s="59"/>
      <c r="R707" s="61"/>
    </row>
    <row r="708">
      <c r="B708" s="59"/>
      <c r="D708" s="59"/>
      <c r="F708" s="59"/>
      <c r="H708" s="59"/>
      <c r="J708" s="59"/>
      <c r="L708" s="59"/>
      <c r="N708" s="59"/>
      <c r="Q708" s="59"/>
      <c r="R708" s="61"/>
    </row>
    <row r="709">
      <c r="B709" s="59"/>
      <c r="D709" s="59"/>
      <c r="F709" s="59"/>
      <c r="H709" s="59"/>
      <c r="J709" s="59"/>
      <c r="L709" s="59"/>
      <c r="N709" s="59"/>
      <c r="Q709" s="59"/>
      <c r="R709" s="61"/>
    </row>
    <row r="710">
      <c r="B710" s="59"/>
      <c r="D710" s="59"/>
      <c r="F710" s="59"/>
      <c r="H710" s="59"/>
      <c r="J710" s="59"/>
      <c r="L710" s="59"/>
      <c r="N710" s="59"/>
      <c r="Q710" s="59"/>
      <c r="R710" s="61"/>
    </row>
    <row r="711">
      <c r="B711" s="59"/>
      <c r="D711" s="59"/>
      <c r="F711" s="59"/>
      <c r="H711" s="59"/>
      <c r="J711" s="59"/>
      <c r="L711" s="59"/>
      <c r="N711" s="59"/>
      <c r="Q711" s="59"/>
      <c r="R711" s="61"/>
    </row>
    <row r="712">
      <c r="B712" s="59"/>
      <c r="D712" s="59"/>
      <c r="F712" s="59"/>
      <c r="H712" s="59"/>
      <c r="J712" s="59"/>
      <c r="L712" s="59"/>
      <c r="N712" s="59"/>
      <c r="Q712" s="59"/>
      <c r="R712" s="61"/>
    </row>
    <row r="713">
      <c r="B713" s="59"/>
      <c r="D713" s="59"/>
      <c r="F713" s="59"/>
      <c r="H713" s="59"/>
      <c r="J713" s="59"/>
      <c r="L713" s="59"/>
      <c r="N713" s="59"/>
      <c r="Q713" s="59"/>
      <c r="R713" s="61"/>
    </row>
    <row r="714">
      <c r="B714" s="59"/>
      <c r="D714" s="59"/>
      <c r="F714" s="59"/>
      <c r="H714" s="59"/>
      <c r="J714" s="59"/>
      <c r="L714" s="59"/>
      <c r="N714" s="59"/>
      <c r="Q714" s="59"/>
      <c r="R714" s="61"/>
    </row>
    <row r="715">
      <c r="B715" s="59"/>
      <c r="D715" s="59"/>
      <c r="F715" s="59"/>
      <c r="H715" s="59"/>
      <c r="J715" s="59"/>
      <c r="L715" s="59"/>
      <c r="N715" s="59"/>
      <c r="Q715" s="59"/>
      <c r="R715" s="61"/>
    </row>
    <row r="716">
      <c r="B716" s="59"/>
      <c r="D716" s="59"/>
      <c r="F716" s="59"/>
      <c r="H716" s="59"/>
      <c r="J716" s="59"/>
      <c r="L716" s="59"/>
      <c r="N716" s="59"/>
      <c r="Q716" s="59"/>
      <c r="R716" s="61"/>
    </row>
    <row r="717">
      <c r="B717" s="59"/>
      <c r="D717" s="59"/>
      <c r="F717" s="59"/>
      <c r="H717" s="59"/>
      <c r="J717" s="59"/>
      <c r="L717" s="59"/>
      <c r="N717" s="59"/>
      <c r="Q717" s="59"/>
      <c r="R717" s="61"/>
    </row>
    <row r="718">
      <c r="B718" s="59"/>
      <c r="D718" s="59"/>
      <c r="F718" s="59"/>
      <c r="H718" s="59"/>
      <c r="J718" s="59"/>
      <c r="L718" s="59"/>
      <c r="N718" s="59"/>
      <c r="Q718" s="59"/>
      <c r="R718" s="61"/>
    </row>
    <row r="719">
      <c r="B719" s="59"/>
      <c r="D719" s="59"/>
      <c r="F719" s="59"/>
      <c r="H719" s="59"/>
      <c r="J719" s="59"/>
      <c r="L719" s="59"/>
      <c r="N719" s="59"/>
      <c r="Q719" s="59"/>
      <c r="R719" s="61"/>
    </row>
    <row r="720">
      <c r="B720" s="59"/>
      <c r="D720" s="59"/>
      <c r="F720" s="59"/>
      <c r="H720" s="59"/>
      <c r="J720" s="59"/>
      <c r="L720" s="59"/>
      <c r="N720" s="59"/>
      <c r="Q720" s="59"/>
      <c r="R720" s="61"/>
    </row>
    <row r="721">
      <c r="B721" s="59"/>
      <c r="D721" s="59"/>
      <c r="F721" s="59"/>
      <c r="H721" s="59"/>
      <c r="J721" s="59"/>
      <c r="L721" s="59"/>
      <c r="N721" s="59"/>
      <c r="Q721" s="59"/>
      <c r="R721" s="61"/>
    </row>
    <row r="722">
      <c r="B722" s="59"/>
      <c r="D722" s="59"/>
      <c r="F722" s="59"/>
      <c r="H722" s="59"/>
      <c r="J722" s="59"/>
      <c r="L722" s="59"/>
      <c r="N722" s="59"/>
      <c r="Q722" s="59"/>
      <c r="R722" s="61"/>
    </row>
    <row r="723">
      <c r="B723" s="59"/>
      <c r="D723" s="59"/>
      <c r="F723" s="59"/>
      <c r="H723" s="59"/>
      <c r="J723" s="59"/>
      <c r="L723" s="59"/>
      <c r="N723" s="59"/>
      <c r="Q723" s="59"/>
      <c r="R723" s="61"/>
    </row>
    <row r="724">
      <c r="B724" s="59"/>
      <c r="D724" s="59"/>
      <c r="F724" s="59"/>
      <c r="H724" s="59"/>
      <c r="J724" s="59"/>
      <c r="L724" s="59"/>
      <c r="N724" s="59"/>
      <c r="Q724" s="59"/>
      <c r="R724" s="61"/>
    </row>
    <row r="725">
      <c r="B725" s="59"/>
      <c r="D725" s="59"/>
      <c r="F725" s="59"/>
      <c r="H725" s="59"/>
      <c r="J725" s="59"/>
      <c r="L725" s="59"/>
      <c r="N725" s="59"/>
      <c r="Q725" s="59"/>
      <c r="R725" s="61"/>
    </row>
    <row r="726">
      <c r="B726" s="59"/>
      <c r="D726" s="59"/>
      <c r="F726" s="59"/>
      <c r="H726" s="59"/>
      <c r="J726" s="59"/>
      <c r="L726" s="59"/>
      <c r="N726" s="59"/>
      <c r="Q726" s="59"/>
      <c r="R726" s="61"/>
    </row>
    <row r="727">
      <c r="B727" s="59"/>
      <c r="D727" s="59"/>
      <c r="F727" s="59"/>
      <c r="H727" s="59"/>
      <c r="J727" s="59"/>
      <c r="L727" s="59"/>
      <c r="N727" s="59"/>
      <c r="Q727" s="59"/>
      <c r="R727" s="61"/>
    </row>
    <row r="728">
      <c r="B728" s="59"/>
      <c r="D728" s="59"/>
      <c r="F728" s="59"/>
      <c r="H728" s="59"/>
      <c r="J728" s="59"/>
      <c r="L728" s="59"/>
      <c r="N728" s="59"/>
      <c r="Q728" s="59"/>
      <c r="R728" s="61"/>
    </row>
    <row r="729">
      <c r="B729" s="59"/>
      <c r="D729" s="59"/>
      <c r="F729" s="59"/>
      <c r="H729" s="59"/>
      <c r="J729" s="59"/>
      <c r="L729" s="59"/>
      <c r="N729" s="59"/>
      <c r="Q729" s="59"/>
      <c r="R729" s="61"/>
    </row>
    <row r="730">
      <c r="B730" s="59"/>
      <c r="D730" s="59"/>
      <c r="F730" s="59"/>
      <c r="H730" s="59"/>
      <c r="J730" s="59"/>
      <c r="L730" s="59"/>
      <c r="N730" s="59"/>
      <c r="Q730" s="59"/>
      <c r="R730" s="61"/>
    </row>
    <row r="731">
      <c r="B731" s="59"/>
      <c r="D731" s="59"/>
      <c r="F731" s="59"/>
      <c r="H731" s="59"/>
      <c r="J731" s="59"/>
      <c r="L731" s="59"/>
      <c r="N731" s="59"/>
      <c r="Q731" s="59"/>
      <c r="R731" s="61"/>
    </row>
    <row r="732">
      <c r="B732" s="59"/>
      <c r="D732" s="59"/>
      <c r="F732" s="59"/>
      <c r="H732" s="59"/>
      <c r="J732" s="59"/>
      <c r="L732" s="59"/>
      <c r="N732" s="59"/>
      <c r="Q732" s="59"/>
      <c r="R732" s="61"/>
    </row>
    <row r="733">
      <c r="B733" s="59"/>
      <c r="D733" s="59"/>
      <c r="F733" s="59"/>
      <c r="H733" s="59"/>
      <c r="J733" s="59"/>
      <c r="L733" s="59"/>
      <c r="N733" s="59"/>
      <c r="Q733" s="59"/>
      <c r="R733" s="61"/>
    </row>
    <row r="734">
      <c r="B734" s="59"/>
      <c r="D734" s="59"/>
      <c r="F734" s="59"/>
      <c r="H734" s="59"/>
      <c r="J734" s="59"/>
      <c r="L734" s="59"/>
      <c r="N734" s="59"/>
      <c r="Q734" s="59"/>
      <c r="R734" s="61"/>
    </row>
    <row r="735">
      <c r="B735" s="59"/>
      <c r="D735" s="59"/>
      <c r="F735" s="59"/>
      <c r="H735" s="59"/>
      <c r="J735" s="59"/>
      <c r="L735" s="59"/>
      <c r="N735" s="59"/>
      <c r="Q735" s="59"/>
      <c r="R735" s="61"/>
    </row>
    <row r="736">
      <c r="B736" s="59"/>
      <c r="D736" s="59"/>
      <c r="F736" s="59"/>
      <c r="H736" s="59"/>
      <c r="J736" s="59"/>
      <c r="L736" s="59"/>
      <c r="N736" s="59"/>
      <c r="Q736" s="59"/>
      <c r="R736" s="61"/>
    </row>
    <row r="737">
      <c r="B737" s="59"/>
      <c r="D737" s="59"/>
      <c r="F737" s="59"/>
      <c r="H737" s="59"/>
      <c r="J737" s="59"/>
      <c r="L737" s="59"/>
      <c r="N737" s="59"/>
      <c r="Q737" s="59"/>
      <c r="R737" s="61"/>
    </row>
    <row r="738">
      <c r="B738" s="59"/>
      <c r="D738" s="59"/>
      <c r="F738" s="59"/>
      <c r="H738" s="59"/>
      <c r="J738" s="59"/>
      <c r="L738" s="59"/>
      <c r="N738" s="59"/>
      <c r="Q738" s="59"/>
      <c r="R738" s="61"/>
    </row>
    <row r="739">
      <c r="B739" s="59"/>
      <c r="D739" s="59"/>
      <c r="F739" s="59"/>
      <c r="H739" s="59"/>
      <c r="J739" s="59"/>
      <c r="L739" s="59"/>
      <c r="N739" s="59"/>
      <c r="Q739" s="59"/>
      <c r="R739" s="61"/>
    </row>
    <row r="740">
      <c r="B740" s="59"/>
      <c r="D740" s="59"/>
      <c r="F740" s="59"/>
      <c r="H740" s="59"/>
      <c r="J740" s="59"/>
      <c r="L740" s="59"/>
      <c r="N740" s="59"/>
      <c r="Q740" s="59"/>
      <c r="R740" s="61"/>
    </row>
    <row r="741">
      <c r="B741" s="59"/>
      <c r="D741" s="59"/>
      <c r="F741" s="59"/>
      <c r="H741" s="59"/>
      <c r="J741" s="59"/>
      <c r="L741" s="59"/>
      <c r="N741" s="59"/>
      <c r="Q741" s="59"/>
      <c r="R741" s="61"/>
    </row>
    <row r="742">
      <c r="B742" s="59"/>
      <c r="D742" s="59"/>
      <c r="F742" s="59"/>
      <c r="H742" s="59"/>
      <c r="J742" s="59"/>
      <c r="L742" s="59"/>
      <c r="N742" s="59"/>
      <c r="Q742" s="59"/>
      <c r="R742" s="61"/>
    </row>
    <row r="743">
      <c r="B743" s="59"/>
      <c r="D743" s="59"/>
      <c r="F743" s="59"/>
      <c r="H743" s="59"/>
      <c r="J743" s="59"/>
      <c r="L743" s="59"/>
      <c r="N743" s="59"/>
      <c r="Q743" s="59"/>
      <c r="R743" s="61"/>
    </row>
    <row r="744">
      <c r="B744" s="59"/>
      <c r="D744" s="59"/>
      <c r="F744" s="59"/>
      <c r="H744" s="59"/>
      <c r="J744" s="59"/>
      <c r="L744" s="59"/>
      <c r="N744" s="59"/>
      <c r="Q744" s="59"/>
      <c r="R744" s="61"/>
    </row>
    <row r="745">
      <c r="B745" s="59"/>
      <c r="D745" s="59"/>
      <c r="F745" s="59"/>
      <c r="H745" s="59"/>
      <c r="J745" s="59"/>
      <c r="L745" s="59"/>
      <c r="N745" s="59"/>
      <c r="Q745" s="59"/>
      <c r="R745" s="61"/>
    </row>
    <row r="746">
      <c r="B746" s="59"/>
      <c r="D746" s="59"/>
      <c r="F746" s="59"/>
      <c r="H746" s="59"/>
      <c r="J746" s="59"/>
      <c r="L746" s="59"/>
      <c r="N746" s="59"/>
      <c r="Q746" s="59"/>
      <c r="R746" s="61"/>
    </row>
    <row r="747">
      <c r="B747" s="59"/>
      <c r="D747" s="59"/>
      <c r="F747" s="59"/>
      <c r="H747" s="59"/>
      <c r="J747" s="59"/>
      <c r="L747" s="59"/>
      <c r="N747" s="59"/>
      <c r="Q747" s="59"/>
      <c r="R747" s="61"/>
    </row>
    <row r="748">
      <c r="B748" s="59"/>
      <c r="D748" s="59"/>
      <c r="F748" s="59"/>
      <c r="H748" s="59"/>
      <c r="J748" s="59"/>
      <c r="L748" s="59"/>
      <c r="N748" s="59"/>
      <c r="Q748" s="59"/>
      <c r="R748" s="61"/>
    </row>
    <row r="749">
      <c r="B749" s="59"/>
      <c r="D749" s="59"/>
      <c r="F749" s="59"/>
      <c r="H749" s="59"/>
      <c r="J749" s="59"/>
      <c r="L749" s="59"/>
      <c r="N749" s="59"/>
      <c r="Q749" s="59"/>
      <c r="R749" s="61"/>
    </row>
    <row r="750">
      <c r="B750" s="59"/>
      <c r="D750" s="59"/>
      <c r="F750" s="59"/>
      <c r="H750" s="59"/>
      <c r="J750" s="59"/>
      <c r="L750" s="59"/>
      <c r="N750" s="59"/>
      <c r="Q750" s="59"/>
      <c r="R750" s="61"/>
    </row>
    <row r="751">
      <c r="B751" s="59"/>
      <c r="D751" s="59"/>
      <c r="F751" s="59"/>
      <c r="H751" s="59"/>
      <c r="J751" s="59"/>
      <c r="L751" s="59"/>
      <c r="N751" s="59"/>
      <c r="Q751" s="59"/>
      <c r="R751" s="61"/>
    </row>
    <row r="752">
      <c r="B752" s="59"/>
      <c r="D752" s="59"/>
      <c r="F752" s="59"/>
      <c r="H752" s="59"/>
      <c r="J752" s="59"/>
      <c r="L752" s="59"/>
      <c r="N752" s="59"/>
      <c r="Q752" s="59"/>
      <c r="R752" s="61"/>
    </row>
    <row r="753">
      <c r="B753" s="59"/>
      <c r="D753" s="59"/>
      <c r="F753" s="59"/>
      <c r="H753" s="59"/>
      <c r="J753" s="59"/>
      <c r="L753" s="59"/>
      <c r="N753" s="59"/>
      <c r="Q753" s="59"/>
      <c r="R753" s="61"/>
    </row>
    <row r="754">
      <c r="B754" s="59"/>
      <c r="D754" s="59"/>
      <c r="F754" s="59"/>
      <c r="H754" s="59"/>
      <c r="J754" s="59"/>
      <c r="L754" s="59"/>
      <c r="N754" s="59"/>
      <c r="Q754" s="59"/>
      <c r="R754" s="61"/>
    </row>
    <row r="755">
      <c r="B755" s="59"/>
      <c r="D755" s="59"/>
      <c r="F755" s="59"/>
      <c r="H755" s="59"/>
      <c r="J755" s="59"/>
      <c r="L755" s="59"/>
      <c r="N755" s="59"/>
      <c r="Q755" s="59"/>
      <c r="R755" s="61"/>
    </row>
    <row r="756">
      <c r="B756" s="59"/>
      <c r="D756" s="59"/>
      <c r="F756" s="59"/>
      <c r="H756" s="59"/>
      <c r="J756" s="59"/>
      <c r="L756" s="59"/>
      <c r="N756" s="59"/>
      <c r="Q756" s="59"/>
      <c r="R756" s="61"/>
    </row>
    <row r="757">
      <c r="B757" s="59"/>
      <c r="D757" s="59"/>
      <c r="F757" s="59"/>
      <c r="H757" s="59"/>
      <c r="J757" s="59"/>
      <c r="L757" s="59"/>
      <c r="N757" s="59"/>
      <c r="Q757" s="59"/>
      <c r="R757" s="61"/>
    </row>
    <row r="758">
      <c r="B758" s="59"/>
      <c r="D758" s="59"/>
      <c r="F758" s="59"/>
      <c r="H758" s="59"/>
      <c r="J758" s="59"/>
      <c r="L758" s="59"/>
      <c r="N758" s="59"/>
      <c r="Q758" s="59"/>
      <c r="R758" s="61"/>
    </row>
    <row r="759">
      <c r="B759" s="59"/>
      <c r="D759" s="59"/>
      <c r="F759" s="59"/>
      <c r="H759" s="59"/>
      <c r="J759" s="59"/>
      <c r="L759" s="59"/>
      <c r="N759" s="59"/>
      <c r="Q759" s="59"/>
      <c r="R759" s="61"/>
    </row>
    <row r="760">
      <c r="B760" s="59"/>
      <c r="D760" s="59"/>
      <c r="F760" s="59"/>
      <c r="H760" s="59"/>
      <c r="J760" s="59"/>
      <c r="L760" s="59"/>
      <c r="N760" s="59"/>
      <c r="Q760" s="59"/>
      <c r="R760" s="61"/>
    </row>
    <row r="761">
      <c r="B761" s="59"/>
      <c r="D761" s="59"/>
      <c r="F761" s="59"/>
      <c r="H761" s="59"/>
      <c r="J761" s="59"/>
      <c r="L761" s="59"/>
      <c r="N761" s="59"/>
      <c r="Q761" s="59"/>
      <c r="R761" s="61"/>
    </row>
    <row r="762">
      <c r="B762" s="59"/>
      <c r="D762" s="59"/>
      <c r="F762" s="59"/>
      <c r="H762" s="59"/>
      <c r="J762" s="59"/>
      <c r="L762" s="59"/>
      <c r="N762" s="59"/>
      <c r="Q762" s="59"/>
      <c r="R762" s="61"/>
    </row>
    <row r="763">
      <c r="B763" s="59"/>
      <c r="D763" s="59"/>
      <c r="F763" s="59"/>
      <c r="H763" s="59"/>
      <c r="J763" s="59"/>
      <c r="L763" s="59"/>
      <c r="N763" s="59"/>
      <c r="Q763" s="59"/>
      <c r="R763" s="61"/>
    </row>
    <row r="764">
      <c r="B764" s="59"/>
      <c r="D764" s="59"/>
      <c r="F764" s="59"/>
      <c r="H764" s="59"/>
      <c r="J764" s="59"/>
      <c r="L764" s="59"/>
      <c r="N764" s="59"/>
      <c r="Q764" s="59"/>
      <c r="R764" s="61"/>
    </row>
    <row r="765">
      <c r="B765" s="59"/>
      <c r="D765" s="59"/>
      <c r="F765" s="59"/>
      <c r="H765" s="59"/>
      <c r="J765" s="59"/>
      <c r="L765" s="59"/>
      <c r="N765" s="59"/>
      <c r="Q765" s="59"/>
      <c r="R765" s="61"/>
    </row>
    <row r="766">
      <c r="B766" s="59"/>
      <c r="D766" s="59"/>
      <c r="F766" s="59"/>
      <c r="H766" s="59"/>
      <c r="J766" s="59"/>
      <c r="L766" s="59"/>
      <c r="N766" s="59"/>
      <c r="Q766" s="59"/>
      <c r="R766" s="61"/>
    </row>
    <row r="767">
      <c r="B767" s="59"/>
      <c r="D767" s="59"/>
      <c r="F767" s="59"/>
      <c r="H767" s="59"/>
      <c r="J767" s="59"/>
      <c r="L767" s="59"/>
      <c r="N767" s="59"/>
      <c r="Q767" s="59"/>
      <c r="R767" s="61"/>
    </row>
    <row r="768">
      <c r="B768" s="59"/>
      <c r="D768" s="59"/>
      <c r="F768" s="59"/>
      <c r="H768" s="59"/>
      <c r="J768" s="59"/>
      <c r="L768" s="59"/>
      <c r="N768" s="59"/>
      <c r="Q768" s="59"/>
      <c r="R768" s="61"/>
    </row>
    <row r="769">
      <c r="B769" s="59"/>
      <c r="D769" s="59"/>
      <c r="F769" s="59"/>
      <c r="H769" s="59"/>
      <c r="J769" s="59"/>
      <c r="L769" s="59"/>
      <c r="N769" s="59"/>
      <c r="Q769" s="59"/>
      <c r="R769" s="61"/>
    </row>
    <row r="770">
      <c r="B770" s="59"/>
      <c r="D770" s="59"/>
      <c r="F770" s="59"/>
      <c r="H770" s="59"/>
      <c r="J770" s="59"/>
      <c r="L770" s="59"/>
      <c r="N770" s="59"/>
      <c r="Q770" s="59"/>
      <c r="R770" s="61"/>
    </row>
    <row r="771">
      <c r="B771" s="59"/>
      <c r="D771" s="59"/>
      <c r="F771" s="59"/>
      <c r="H771" s="59"/>
      <c r="J771" s="59"/>
      <c r="L771" s="59"/>
      <c r="N771" s="59"/>
      <c r="Q771" s="59"/>
      <c r="R771" s="61"/>
    </row>
    <row r="772">
      <c r="B772" s="59"/>
      <c r="D772" s="59"/>
      <c r="F772" s="59"/>
      <c r="H772" s="59"/>
      <c r="J772" s="59"/>
      <c r="L772" s="59"/>
      <c r="N772" s="59"/>
      <c r="Q772" s="59"/>
      <c r="R772" s="61"/>
    </row>
    <row r="773">
      <c r="B773" s="59"/>
      <c r="D773" s="59"/>
      <c r="F773" s="59"/>
      <c r="H773" s="59"/>
      <c r="J773" s="59"/>
      <c r="L773" s="59"/>
      <c r="N773" s="59"/>
      <c r="Q773" s="59"/>
      <c r="R773" s="61"/>
    </row>
    <row r="774">
      <c r="B774" s="59"/>
      <c r="D774" s="59"/>
      <c r="F774" s="59"/>
      <c r="H774" s="59"/>
      <c r="J774" s="59"/>
      <c r="L774" s="59"/>
      <c r="N774" s="59"/>
      <c r="Q774" s="59"/>
      <c r="R774" s="61"/>
    </row>
    <row r="775">
      <c r="B775" s="59"/>
      <c r="D775" s="59"/>
      <c r="F775" s="59"/>
      <c r="H775" s="59"/>
      <c r="J775" s="59"/>
      <c r="L775" s="59"/>
      <c r="N775" s="59"/>
      <c r="Q775" s="59"/>
      <c r="R775" s="61"/>
    </row>
    <row r="776">
      <c r="B776" s="59"/>
      <c r="D776" s="59"/>
      <c r="F776" s="59"/>
      <c r="H776" s="59"/>
      <c r="J776" s="59"/>
      <c r="L776" s="59"/>
      <c r="N776" s="59"/>
      <c r="Q776" s="59"/>
      <c r="R776" s="61"/>
    </row>
    <row r="777">
      <c r="B777" s="59"/>
      <c r="D777" s="59"/>
      <c r="F777" s="59"/>
      <c r="H777" s="59"/>
      <c r="J777" s="59"/>
      <c r="L777" s="59"/>
      <c r="N777" s="59"/>
      <c r="Q777" s="59"/>
      <c r="R777" s="61"/>
    </row>
    <row r="778">
      <c r="B778" s="59"/>
      <c r="D778" s="59"/>
      <c r="F778" s="59"/>
      <c r="H778" s="59"/>
      <c r="J778" s="59"/>
      <c r="L778" s="59"/>
      <c r="N778" s="59"/>
      <c r="Q778" s="59"/>
      <c r="R778" s="61"/>
    </row>
    <row r="779">
      <c r="B779" s="59"/>
      <c r="D779" s="59"/>
      <c r="F779" s="59"/>
      <c r="H779" s="59"/>
      <c r="J779" s="59"/>
      <c r="L779" s="59"/>
      <c r="N779" s="59"/>
      <c r="Q779" s="59"/>
      <c r="R779" s="61"/>
    </row>
    <row r="780">
      <c r="B780" s="59"/>
      <c r="D780" s="59"/>
      <c r="F780" s="59"/>
      <c r="H780" s="59"/>
      <c r="J780" s="59"/>
      <c r="L780" s="59"/>
      <c r="N780" s="59"/>
      <c r="Q780" s="59"/>
      <c r="R780" s="61"/>
    </row>
    <row r="781">
      <c r="B781" s="59"/>
      <c r="D781" s="59"/>
      <c r="F781" s="59"/>
      <c r="H781" s="59"/>
      <c r="J781" s="59"/>
      <c r="L781" s="59"/>
      <c r="N781" s="59"/>
      <c r="Q781" s="59"/>
      <c r="R781" s="61"/>
    </row>
    <row r="782">
      <c r="B782" s="59"/>
      <c r="D782" s="59"/>
      <c r="F782" s="59"/>
      <c r="H782" s="59"/>
      <c r="J782" s="59"/>
      <c r="L782" s="59"/>
      <c r="N782" s="59"/>
      <c r="Q782" s="59"/>
      <c r="R782" s="61"/>
    </row>
    <row r="783">
      <c r="B783" s="59"/>
      <c r="D783" s="59"/>
      <c r="F783" s="59"/>
      <c r="H783" s="59"/>
      <c r="J783" s="59"/>
      <c r="L783" s="59"/>
      <c r="N783" s="59"/>
      <c r="Q783" s="59"/>
      <c r="R783" s="61"/>
    </row>
    <row r="784">
      <c r="B784" s="59"/>
      <c r="D784" s="59"/>
      <c r="F784" s="59"/>
      <c r="H784" s="59"/>
      <c r="J784" s="59"/>
      <c r="L784" s="59"/>
      <c r="N784" s="59"/>
      <c r="Q784" s="59"/>
      <c r="R784" s="61"/>
    </row>
    <row r="785">
      <c r="B785" s="59"/>
      <c r="D785" s="59"/>
      <c r="F785" s="59"/>
      <c r="H785" s="59"/>
      <c r="J785" s="59"/>
      <c r="L785" s="59"/>
      <c r="N785" s="59"/>
      <c r="Q785" s="59"/>
      <c r="R785" s="61"/>
    </row>
    <row r="786">
      <c r="B786" s="59"/>
      <c r="D786" s="59"/>
      <c r="F786" s="59"/>
      <c r="H786" s="59"/>
      <c r="J786" s="59"/>
      <c r="L786" s="59"/>
      <c r="N786" s="59"/>
      <c r="Q786" s="59"/>
      <c r="R786" s="61"/>
    </row>
    <row r="787">
      <c r="B787" s="59"/>
      <c r="D787" s="59"/>
      <c r="F787" s="59"/>
      <c r="H787" s="59"/>
      <c r="J787" s="59"/>
      <c r="L787" s="59"/>
      <c r="N787" s="59"/>
      <c r="Q787" s="59"/>
      <c r="R787" s="61"/>
    </row>
    <row r="788">
      <c r="B788" s="59"/>
      <c r="D788" s="59"/>
      <c r="F788" s="59"/>
      <c r="H788" s="59"/>
      <c r="J788" s="59"/>
      <c r="L788" s="59"/>
      <c r="N788" s="59"/>
      <c r="Q788" s="59"/>
      <c r="R788" s="61"/>
    </row>
    <row r="789">
      <c r="B789" s="59"/>
      <c r="D789" s="59"/>
      <c r="F789" s="59"/>
      <c r="H789" s="59"/>
      <c r="J789" s="59"/>
      <c r="L789" s="59"/>
      <c r="N789" s="59"/>
      <c r="Q789" s="59"/>
      <c r="R789" s="61"/>
    </row>
    <row r="790">
      <c r="B790" s="59"/>
      <c r="D790" s="59"/>
      <c r="F790" s="59"/>
      <c r="H790" s="59"/>
      <c r="J790" s="59"/>
      <c r="L790" s="59"/>
      <c r="N790" s="59"/>
      <c r="Q790" s="59"/>
      <c r="R790" s="61"/>
    </row>
    <row r="791">
      <c r="B791" s="59"/>
      <c r="D791" s="59"/>
      <c r="F791" s="59"/>
      <c r="H791" s="59"/>
      <c r="J791" s="59"/>
      <c r="L791" s="59"/>
      <c r="N791" s="59"/>
      <c r="Q791" s="59"/>
      <c r="R791" s="61"/>
    </row>
    <row r="792">
      <c r="B792" s="59"/>
      <c r="D792" s="59"/>
      <c r="F792" s="59"/>
      <c r="H792" s="59"/>
      <c r="J792" s="59"/>
      <c r="L792" s="59"/>
      <c r="N792" s="59"/>
      <c r="Q792" s="59"/>
      <c r="R792" s="61"/>
    </row>
    <row r="793">
      <c r="B793" s="59"/>
      <c r="D793" s="59"/>
      <c r="F793" s="59"/>
      <c r="H793" s="59"/>
      <c r="J793" s="59"/>
      <c r="L793" s="59"/>
      <c r="N793" s="59"/>
      <c r="Q793" s="59"/>
      <c r="R793" s="61"/>
    </row>
    <row r="794">
      <c r="B794" s="59"/>
      <c r="D794" s="59"/>
      <c r="F794" s="59"/>
      <c r="H794" s="59"/>
      <c r="J794" s="59"/>
      <c r="L794" s="59"/>
      <c r="N794" s="59"/>
      <c r="Q794" s="59"/>
      <c r="R794" s="61"/>
    </row>
    <row r="795">
      <c r="B795" s="59"/>
      <c r="D795" s="59"/>
      <c r="F795" s="59"/>
      <c r="H795" s="59"/>
      <c r="J795" s="59"/>
      <c r="L795" s="59"/>
      <c r="N795" s="59"/>
      <c r="Q795" s="59"/>
      <c r="R795" s="61"/>
    </row>
    <row r="796">
      <c r="B796" s="59"/>
      <c r="D796" s="59"/>
      <c r="F796" s="59"/>
      <c r="H796" s="59"/>
      <c r="J796" s="59"/>
      <c r="L796" s="59"/>
      <c r="N796" s="59"/>
      <c r="Q796" s="59"/>
      <c r="R796" s="61"/>
    </row>
    <row r="797">
      <c r="B797" s="59"/>
      <c r="D797" s="59"/>
      <c r="F797" s="59"/>
      <c r="H797" s="59"/>
      <c r="J797" s="59"/>
      <c r="L797" s="59"/>
      <c r="N797" s="59"/>
      <c r="Q797" s="59"/>
      <c r="R797" s="61"/>
    </row>
    <row r="798">
      <c r="B798" s="59"/>
      <c r="D798" s="59"/>
      <c r="F798" s="59"/>
      <c r="H798" s="59"/>
      <c r="J798" s="59"/>
      <c r="L798" s="59"/>
      <c r="N798" s="59"/>
      <c r="Q798" s="59"/>
      <c r="R798" s="61"/>
    </row>
    <row r="799">
      <c r="B799" s="59"/>
      <c r="D799" s="59"/>
      <c r="F799" s="59"/>
      <c r="H799" s="59"/>
      <c r="J799" s="59"/>
      <c r="L799" s="59"/>
      <c r="N799" s="59"/>
      <c r="Q799" s="59"/>
      <c r="R799" s="61"/>
    </row>
    <row r="800">
      <c r="B800" s="59"/>
      <c r="D800" s="59"/>
      <c r="F800" s="59"/>
      <c r="H800" s="59"/>
      <c r="J800" s="59"/>
      <c r="L800" s="59"/>
      <c r="N800" s="59"/>
      <c r="Q800" s="59"/>
      <c r="R800" s="61"/>
    </row>
    <row r="801">
      <c r="B801" s="59"/>
      <c r="D801" s="59"/>
      <c r="F801" s="59"/>
      <c r="H801" s="59"/>
      <c r="J801" s="59"/>
      <c r="L801" s="59"/>
      <c r="N801" s="59"/>
      <c r="Q801" s="59"/>
      <c r="R801" s="61"/>
    </row>
    <row r="802">
      <c r="B802" s="59"/>
      <c r="D802" s="59"/>
      <c r="F802" s="59"/>
      <c r="H802" s="59"/>
      <c r="J802" s="59"/>
      <c r="L802" s="59"/>
      <c r="N802" s="59"/>
      <c r="Q802" s="59"/>
      <c r="R802" s="61"/>
    </row>
    <row r="803">
      <c r="B803" s="59"/>
      <c r="D803" s="59"/>
      <c r="F803" s="59"/>
      <c r="H803" s="59"/>
      <c r="J803" s="59"/>
      <c r="L803" s="59"/>
      <c r="N803" s="59"/>
      <c r="Q803" s="59"/>
      <c r="R803" s="61"/>
    </row>
    <row r="804">
      <c r="B804" s="59"/>
      <c r="D804" s="59"/>
      <c r="F804" s="59"/>
      <c r="H804" s="59"/>
      <c r="J804" s="59"/>
      <c r="L804" s="59"/>
      <c r="N804" s="59"/>
      <c r="Q804" s="59"/>
      <c r="R804" s="61"/>
    </row>
    <row r="805">
      <c r="B805" s="59"/>
      <c r="D805" s="59"/>
      <c r="F805" s="59"/>
      <c r="H805" s="59"/>
      <c r="J805" s="59"/>
      <c r="L805" s="59"/>
      <c r="N805" s="59"/>
      <c r="Q805" s="59"/>
      <c r="R805" s="61"/>
    </row>
    <row r="806">
      <c r="B806" s="59"/>
      <c r="D806" s="59"/>
      <c r="F806" s="59"/>
      <c r="H806" s="59"/>
      <c r="J806" s="59"/>
      <c r="L806" s="59"/>
      <c r="N806" s="59"/>
      <c r="Q806" s="59"/>
      <c r="R806" s="61"/>
    </row>
    <row r="807">
      <c r="B807" s="59"/>
      <c r="D807" s="59"/>
      <c r="F807" s="59"/>
      <c r="H807" s="59"/>
      <c r="J807" s="59"/>
      <c r="L807" s="59"/>
      <c r="N807" s="59"/>
      <c r="Q807" s="59"/>
      <c r="R807" s="61"/>
    </row>
    <row r="808">
      <c r="B808" s="59"/>
      <c r="D808" s="59"/>
      <c r="F808" s="59"/>
      <c r="H808" s="59"/>
      <c r="J808" s="59"/>
      <c r="L808" s="59"/>
      <c r="N808" s="59"/>
      <c r="Q808" s="59"/>
      <c r="R808" s="61"/>
    </row>
    <row r="809">
      <c r="B809" s="59"/>
      <c r="D809" s="59"/>
      <c r="F809" s="59"/>
      <c r="H809" s="59"/>
      <c r="J809" s="59"/>
      <c r="L809" s="59"/>
      <c r="N809" s="59"/>
      <c r="Q809" s="59"/>
      <c r="R809" s="61"/>
    </row>
    <row r="810">
      <c r="B810" s="59"/>
      <c r="D810" s="59"/>
      <c r="F810" s="59"/>
      <c r="H810" s="59"/>
      <c r="J810" s="59"/>
      <c r="L810" s="59"/>
      <c r="N810" s="59"/>
      <c r="Q810" s="59"/>
      <c r="R810" s="61"/>
    </row>
    <row r="811">
      <c r="B811" s="59"/>
      <c r="D811" s="59"/>
      <c r="F811" s="59"/>
      <c r="H811" s="59"/>
      <c r="J811" s="59"/>
      <c r="L811" s="59"/>
      <c r="N811" s="59"/>
      <c r="Q811" s="59"/>
      <c r="R811" s="61"/>
    </row>
    <row r="812">
      <c r="B812" s="59"/>
      <c r="D812" s="59"/>
      <c r="F812" s="59"/>
      <c r="H812" s="59"/>
      <c r="J812" s="59"/>
      <c r="L812" s="59"/>
      <c r="N812" s="59"/>
      <c r="Q812" s="59"/>
      <c r="R812" s="61"/>
    </row>
    <row r="813">
      <c r="B813" s="59"/>
      <c r="D813" s="59"/>
      <c r="F813" s="59"/>
      <c r="H813" s="59"/>
      <c r="J813" s="59"/>
      <c r="L813" s="59"/>
      <c r="N813" s="59"/>
      <c r="Q813" s="59"/>
      <c r="R813" s="61"/>
    </row>
    <row r="814">
      <c r="B814" s="59"/>
      <c r="D814" s="59"/>
      <c r="F814" s="59"/>
      <c r="H814" s="59"/>
      <c r="J814" s="59"/>
      <c r="L814" s="59"/>
      <c r="N814" s="59"/>
      <c r="Q814" s="59"/>
      <c r="R814" s="61"/>
    </row>
    <row r="815">
      <c r="B815" s="59"/>
      <c r="D815" s="59"/>
      <c r="F815" s="59"/>
      <c r="H815" s="59"/>
      <c r="J815" s="59"/>
      <c r="L815" s="59"/>
      <c r="N815" s="59"/>
      <c r="Q815" s="59"/>
      <c r="R815" s="61"/>
    </row>
    <row r="816">
      <c r="B816" s="59"/>
      <c r="D816" s="59"/>
      <c r="F816" s="59"/>
      <c r="H816" s="59"/>
      <c r="J816" s="59"/>
      <c r="L816" s="59"/>
      <c r="N816" s="59"/>
      <c r="Q816" s="59"/>
      <c r="R816" s="61"/>
    </row>
    <row r="817">
      <c r="B817" s="59"/>
      <c r="D817" s="59"/>
      <c r="F817" s="59"/>
      <c r="H817" s="59"/>
      <c r="J817" s="59"/>
      <c r="L817" s="59"/>
      <c r="N817" s="59"/>
      <c r="Q817" s="59"/>
      <c r="R817" s="61"/>
    </row>
    <row r="818">
      <c r="B818" s="59"/>
      <c r="D818" s="59"/>
      <c r="F818" s="59"/>
      <c r="H818" s="59"/>
      <c r="J818" s="59"/>
      <c r="L818" s="59"/>
      <c r="N818" s="59"/>
      <c r="Q818" s="59"/>
      <c r="R818" s="61"/>
    </row>
    <row r="819">
      <c r="B819" s="59"/>
      <c r="D819" s="59"/>
      <c r="F819" s="59"/>
      <c r="H819" s="59"/>
      <c r="J819" s="59"/>
      <c r="L819" s="59"/>
      <c r="N819" s="59"/>
      <c r="Q819" s="59"/>
      <c r="R819" s="61"/>
    </row>
    <row r="820">
      <c r="B820" s="59"/>
      <c r="D820" s="59"/>
      <c r="F820" s="59"/>
      <c r="H820" s="59"/>
      <c r="J820" s="59"/>
      <c r="L820" s="59"/>
      <c r="N820" s="59"/>
      <c r="Q820" s="59"/>
      <c r="R820" s="61"/>
    </row>
    <row r="821">
      <c r="B821" s="59"/>
      <c r="D821" s="59"/>
      <c r="F821" s="59"/>
      <c r="H821" s="59"/>
      <c r="J821" s="59"/>
      <c r="L821" s="59"/>
      <c r="N821" s="59"/>
      <c r="Q821" s="59"/>
      <c r="R821" s="61"/>
    </row>
    <row r="822">
      <c r="B822" s="59"/>
      <c r="D822" s="59"/>
      <c r="F822" s="59"/>
      <c r="H822" s="59"/>
      <c r="J822" s="59"/>
      <c r="L822" s="59"/>
      <c r="N822" s="59"/>
      <c r="Q822" s="59"/>
      <c r="R822" s="61"/>
    </row>
    <row r="823">
      <c r="B823" s="59"/>
      <c r="D823" s="59"/>
      <c r="F823" s="59"/>
      <c r="H823" s="59"/>
      <c r="J823" s="59"/>
      <c r="L823" s="59"/>
      <c r="N823" s="59"/>
      <c r="Q823" s="59"/>
      <c r="R823" s="61"/>
    </row>
    <row r="824">
      <c r="B824" s="59"/>
      <c r="D824" s="59"/>
      <c r="F824" s="59"/>
      <c r="H824" s="59"/>
      <c r="J824" s="59"/>
      <c r="L824" s="59"/>
      <c r="N824" s="59"/>
      <c r="Q824" s="59"/>
      <c r="R824" s="61"/>
    </row>
    <row r="825">
      <c r="B825" s="59"/>
      <c r="D825" s="59"/>
      <c r="F825" s="59"/>
      <c r="H825" s="59"/>
      <c r="J825" s="59"/>
      <c r="L825" s="59"/>
      <c r="N825" s="59"/>
      <c r="Q825" s="59"/>
      <c r="R825" s="61"/>
    </row>
    <row r="826">
      <c r="B826" s="59"/>
      <c r="D826" s="59"/>
      <c r="F826" s="59"/>
      <c r="H826" s="59"/>
      <c r="J826" s="59"/>
      <c r="L826" s="59"/>
      <c r="N826" s="59"/>
      <c r="Q826" s="59"/>
      <c r="R826" s="61"/>
    </row>
    <row r="827">
      <c r="B827" s="59"/>
      <c r="D827" s="59"/>
      <c r="F827" s="59"/>
      <c r="H827" s="59"/>
      <c r="J827" s="59"/>
      <c r="L827" s="59"/>
      <c r="N827" s="59"/>
      <c r="Q827" s="59"/>
      <c r="R827" s="61"/>
    </row>
    <row r="828">
      <c r="B828" s="59"/>
      <c r="D828" s="59"/>
      <c r="F828" s="59"/>
      <c r="H828" s="59"/>
      <c r="J828" s="59"/>
      <c r="L828" s="59"/>
      <c r="N828" s="59"/>
      <c r="Q828" s="59"/>
      <c r="R828" s="61"/>
    </row>
    <row r="829">
      <c r="B829" s="59"/>
      <c r="D829" s="59"/>
      <c r="F829" s="59"/>
      <c r="H829" s="59"/>
      <c r="J829" s="59"/>
      <c r="L829" s="59"/>
      <c r="N829" s="59"/>
      <c r="Q829" s="59"/>
      <c r="R829" s="61"/>
    </row>
    <row r="830">
      <c r="B830" s="59"/>
      <c r="D830" s="59"/>
      <c r="F830" s="59"/>
      <c r="H830" s="59"/>
      <c r="J830" s="59"/>
      <c r="L830" s="59"/>
      <c r="N830" s="59"/>
      <c r="Q830" s="59"/>
      <c r="R830" s="61"/>
    </row>
    <row r="831">
      <c r="B831" s="59"/>
      <c r="D831" s="59"/>
      <c r="F831" s="59"/>
      <c r="H831" s="59"/>
      <c r="J831" s="59"/>
      <c r="L831" s="59"/>
      <c r="N831" s="59"/>
      <c r="Q831" s="59"/>
      <c r="R831" s="61"/>
    </row>
    <row r="832">
      <c r="B832" s="59"/>
      <c r="D832" s="59"/>
      <c r="F832" s="59"/>
      <c r="H832" s="59"/>
      <c r="J832" s="59"/>
      <c r="L832" s="59"/>
      <c r="N832" s="59"/>
      <c r="Q832" s="59"/>
      <c r="R832" s="61"/>
    </row>
    <row r="833">
      <c r="B833" s="59"/>
      <c r="D833" s="59"/>
      <c r="F833" s="59"/>
      <c r="H833" s="59"/>
      <c r="J833" s="59"/>
      <c r="L833" s="59"/>
      <c r="N833" s="59"/>
      <c r="Q833" s="59"/>
      <c r="R833" s="61"/>
    </row>
    <row r="834">
      <c r="B834" s="59"/>
      <c r="D834" s="59"/>
      <c r="F834" s="59"/>
      <c r="H834" s="59"/>
      <c r="J834" s="59"/>
      <c r="L834" s="59"/>
      <c r="N834" s="59"/>
      <c r="Q834" s="59"/>
      <c r="R834" s="61"/>
    </row>
    <row r="835">
      <c r="B835" s="59"/>
      <c r="D835" s="59"/>
      <c r="F835" s="59"/>
      <c r="H835" s="59"/>
      <c r="J835" s="59"/>
      <c r="L835" s="59"/>
      <c r="N835" s="59"/>
      <c r="Q835" s="59"/>
      <c r="R835" s="61"/>
    </row>
    <row r="836">
      <c r="B836" s="59"/>
      <c r="D836" s="59"/>
      <c r="F836" s="59"/>
      <c r="H836" s="59"/>
      <c r="J836" s="59"/>
      <c r="L836" s="59"/>
      <c r="N836" s="59"/>
      <c r="Q836" s="59"/>
      <c r="R836" s="61"/>
    </row>
    <row r="837">
      <c r="B837" s="59"/>
      <c r="D837" s="59"/>
      <c r="F837" s="59"/>
      <c r="H837" s="59"/>
      <c r="J837" s="59"/>
      <c r="L837" s="59"/>
      <c r="N837" s="59"/>
      <c r="Q837" s="59"/>
      <c r="R837" s="61"/>
    </row>
    <row r="838">
      <c r="B838" s="59"/>
      <c r="D838" s="59"/>
      <c r="F838" s="59"/>
      <c r="H838" s="59"/>
      <c r="J838" s="59"/>
      <c r="L838" s="59"/>
      <c r="N838" s="59"/>
      <c r="Q838" s="59"/>
      <c r="R838" s="61"/>
    </row>
    <row r="839">
      <c r="B839" s="59"/>
      <c r="D839" s="59"/>
      <c r="F839" s="59"/>
      <c r="H839" s="59"/>
      <c r="J839" s="59"/>
      <c r="L839" s="59"/>
      <c r="N839" s="59"/>
      <c r="Q839" s="59"/>
      <c r="R839" s="61"/>
    </row>
    <row r="840">
      <c r="B840" s="59"/>
      <c r="D840" s="59"/>
      <c r="F840" s="59"/>
      <c r="H840" s="59"/>
      <c r="J840" s="59"/>
      <c r="L840" s="59"/>
      <c r="N840" s="59"/>
      <c r="Q840" s="59"/>
      <c r="R840" s="61"/>
    </row>
    <row r="841">
      <c r="B841" s="59"/>
      <c r="D841" s="59"/>
      <c r="F841" s="59"/>
      <c r="H841" s="59"/>
      <c r="J841" s="59"/>
      <c r="L841" s="59"/>
      <c r="N841" s="59"/>
      <c r="Q841" s="59"/>
      <c r="R841" s="61"/>
    </row>
    <row r="842">
      <c r="B842" s="59"/>
      <c r="D842" s="59"/>
      <c r="F842" s="59"/>
      <c r="H842" s="59"/>
      <c r="J842" s="59"/>
      <c r="L842" s="59"/>
      <c r="N842" s="59"/>
      <c r="Q842" s="59"/>
      <c r="R842" s="61"/>
    </row>
    <row r="843">
      <c r="B843" s="59"/>
      <c r="D843" s="59"/>
      <c r="F843" s="59"/>
      <c r="H843" s="59"/>
      <c r="J843" s="59"/>
      <c r="L843" s="59"/>
      <c r="N843" s="59"/>
      <c r="Q843" s="59"/>
      <c r="R843" s="61"/>
    </row>
    <row r="844">
      <c r="B844" s="59"/>
      <c r="D844" s="59"/>
      <c r="F844" s="59"/>
      <c r="H844" s="59"/>
      <c r="J844" s="59"/>
      <c r="L844" s="59"/>
      <c r="N844" s="59"/>
      <c r="Q844" s="59"/>
      <c r="R844" s="61"/>
    </row>
    <row r="845">
      <c r="B845" s="59"/>
      <c r="D845" s="59"/>
      <c r="F845" s="59"/>
      <c r="H845" s="59"/>
      <c r="J845" s="59"/>
      <c r="L845" s="59"/>
      <c r="N845" s="59"/>
      <c r="Q845" s="59"/>
      <c r="R845" s="61"/>
    </row>
    <row r="846">
      <c r="B846" s="59"/>
      <c r="D846" s="59"/>
      <c r="F846" s="59"/>
      <c r="H846" s="59"/>
      <c r="J846" s="59"/>
      <c r="L846" s="59"/>
      <c r="N846" s="59"/>
      <c r="Q846" s="59"/>
      <c r="R846" s="61"/>
    </row>
    <row r="847">
      <c r="B847" s="59"/>
      <c r="D847" s="59"/>
      <c r="F847" s="59"/>
      <c r="H847" s="59"/>
      <c r="J847" s="59"/>
      <c r="L847" s="59"/>
      <c r="N847" s="59"/>
      <c r="Q847" s="59"/>
      <c r="R847" s="61"/>
    </row>
    <row r="848">
      <c r="B848" s="59"/>
      <c r="D848" s="59"/>
      <c r="F848" s="59"/>
      <c r="H848" s="59"/>
      <c r="J848" s="59"/>
      <c r="L848" s="59"/>
      <c r="N848" s="59"/>
      <c r="Q848" s="59"/>
      <c r="R848" s="61"/>
    </row>
    <row r="849">
      <c r="B849" s="59"/>
      <c r="D849" s="59"/>
      <c r="F849" s="59"/>
      <c r="H849" s="59"/>
      <c r="J849" s="59"/>
      <c r="L849" s="59"/>
      <c r="N849" s="59"/>
      <c r="Q849" s="59"/>
      <c r="R849" s="61"/>
    </row>
    <row r="850">
      <c r="B850" s="59"/>
      <c r="D850" s="59"/>
      <c r="F850" s="59"/>
      <c r="H850" s="59"/>
      <c r="J850" s="59"/>
      <c r="L850" s="59"/>
      <c r="N850" s="59"/>
      <c r="Q850" s="59"/>
      <c r="R850" s="61"/>
    </row>
    <row r="851">
      <c r="B851" s="59"/>
      <c r="D851" s="59"/>
      <c r="F851" s="59"/>
      <c r="H851" s="59"/>
      <c r="J851" s="59"/>
      <c r="L851" s="59"/>
      <c r="N851" s="59"/>
      <c r="Q851" s="59"/>
      <c r="R851" s="61"/>
    </row>
    <row r="852">
      <c r="B852" s="59"/>
      <c r="D852" s="59"/>
      <c r="F852" s="59"/>
      <c r="H852" s="59"/>
      <c r="J852" s="59"/>
      <c r="L852" s="59"/>
      <c r="N852" s="59"/>
      <c r="Q852" s="59"/>
      <c r="R852" s="61"/>
    </row>
    <row r="853">
      <c r="B853" s="59"/>
      <c r="D853" s="59"/>
      <c r="F853" s="59"/>
      <c r="H853" s="59"/>
      <c r="J853" s="59"/>
      <c r="L853" s="59"/>
      <c r="N853" s="59"/>
      <c r="Q853" s="59"/>
      <c r="R853" s="61"/>
    </row>
    <row r="854">
      <c r="B854" s="59"/>
      <c r="D854" s="59"/>
      <c r="F854" s="59"/>
      <c r="H854" s="59"/>
      <c r="J854" s="59"/>
      <c r="L854" s="59"/>
      <c r="N854" s="59"/>
      <c r="Q854" s="59"/>
      <c r="R854" s="61"/>
    </row>
    <row r="855">
      <c r="B855" s="59"/>
      <c r="D855" s="59"/>
      <c r="F855" s="59"/>
      <c r="H855" s="59"/>
      <c r="J855" s="59"/>
      <c r="L855" s="59"/>
      <c r="N855" s="59"/>
      <c r="Q855" s="59"/>
      <c r="R855" s="61"/>
    </row>
    <row r="856">
      <c r="B856" s="59"/>
      <c r="D856" s="59"/>
      <c r="F856" s="59"/>
      <c r="H856" s="59"/>
      <c r="J856" s="59"/>
      <c r="L856" s="59"/>
      <c r="N856" s="59"/>
      <c r="Q856" s="59"/>
      <c r="R856" s="61"/>
    </row>
    <row r="857">
      <c r="B857" s="59"/>
      <c r="D857" s="59"/>
      <c r="F857" s="59"/>
      <c r="H857" s="59"/>
      <c r="J857" s="59"/>
      <c r="L857" s="59"/>
      <c r="N857" s="59"/>
      <c r="Q857" s="59"/>
      <c r="R857" s="61"/>
    </row>
    <row r="858">
      <c r="B858" s="59"/>
      <c r="D858" s="59"/>
      <c r="F858" s="59"/>
      <c r="H858" s="59"/>
      <c r="J858" s="59"/>
      <c r="L858" s="59"/>
      <c r="N858" s="59"/>
      <c r="Q858" s="59"/>
      <c r="R858" s="61"/>
    </row>
    <row r="859">
      <c r="B859" s="59"/>
      <c r="D859" s="59"/>
      <c r="F859" s="59"/>
      <c r="H859" s="59"/>
      <c r="J859" s="59"/>
      <c r="L859" s="59"/>
      <c r="N859" s="59"/>
      <c r="Q859" s="59"/>
      <c r="R859" s="61"/>
    </row>
    <row r="860">
      <c r="B860" s="59"/>
      <c r="D860" s="59"/>
      <c r="F860" s="59"/>
      <c r="H860" s="59"/>
      <c r="J860" s="59"/>
      <c r="L860" s="59"/>
      <c r="N860" s="59"/>
      <c r="Q860" s="59"/>
      <c r="R860" s="61"/>
    </row>
    <row r="861">
      <c r="B861" s="59"/>
      <c r="D861" s="59"/>
      <c r="F861" s="59"/>
      <c r="H861" s="59"/>
      <c r="J861" s="59"/>
      <c r="L861" s="59"/>
      <c r="N861" s="59"/>
      <c r="Q861" s="59"/>
      <c r="R861" s="61"/>
    </row>
    <row r="862">
      <c r="B862" s="59"/>
      <c r="D862" s="59"/>
      <c r="F862" s="59"/>
      <c r="H862" s="59"/>
      <c r="J862" s="59"/>
      <c r="L862" s="59"/>
      <c r="N862" s="59"/>
      <c r="Q862" s="59"/>
      <c r="R862" s="61"/>
    </row>
    <row r="863">
      <c r="B863" s="59"/>
      <c r="D863" s="59"/>
      <c r="F863" s="59"/>
      <c r="H863" s="59"/>
      <c r="J863" s="59"/>
      <c r="L863" s="59"/>
      <c r="N863" s="59"/>
      <c r="Q863" s="59"/>
      <c r="R863" s="61"/>
    </row>
    <row r="864">
      <c r="B864" s="59"/>
      <c r="D864" s="59"/>
      <c r="F864" s="59"/>
      <c r="H864" s="59"/>
      <c r="J864" s="59"/>
      <c r="L864" s="59"/>
      <c r="N864" s="59"/>
      <c r="Q864" s="59"/>
      <c r="R864" s="61"/>
    </row>
    <row r="865">
      <c r="B865" s="59"/>
      <c r="D865" s="59"/>
      <c r="F865" s="59"/>
      <c r="H865" s="59"/>
      <c r="J865" s="59"/>
      <c r="L865" s="59"/>
      <c r="N865" s="59"/>
      <c r="Q865" s="59"/>
      <c r="R865" s="61"/>
    </row>
    <row r="866">
      <c r="B866" s="59"/>
      <c r="D866" s="59"/>
      <c r="F866" s="59"/>
      <c r="H866" s="59"/>
      <c r="J866" s="59"/>
      <c r="L866" s="59"/>
      <c r="N866" s="59"/>
      <c r="Q866" s="59"/>
      <c r="R866" s="61"/>
    </row>
    <row r="867">
      <c r="B867" s="59"/>
      <c r="D867" s="59"/>
      <c r="F867" s="59"/>
      <c r="H867" s="59"/>
      <c r="J867" s="59"/>
      <c r="L867" s="59"/>
      <c r="N867" s="59"/>
      <c r="Q867" s="59"/>
      <c r="R867" s="61"/>
    </row>
    <row r="868">
      <c r="B868" s="59"/>
      <c r="D868" s="59"/>
      <c r="F868" s="59"/>
      <c r="H868" s="59"/>
      <c r="J868" s="59"/>
      <c r="L868" s="59"/>
      <c r="N868" s="59"/>
      <c r="Q868" s="59"/>
      <c r="R868" s="61"/>
    </row>
    <row r="869">
      <c r="B869" s="59"/>
      <c r="D869" s="59"/>
      <c r="F869" s="59"/>
      <c r="H869" s="59"/>
      <c r="J869" s="59"/>
      <c r="L869" s="59"/>
      <c r="N869" s="59"/>
      <c r="Q869" s="59"/>
      <c r="R869" s="61"/>
    </row>
    <row r="870">
      <c r="B870" s="59"/>
      <c r="D870" s="59"/>
      <c r="F870" s="59"/>
      <c r="H870" s="59"/>
      <c r="J870" s="59"/>
      <c r="L870" s="59"/>
      <c r="N870" s="59"/>
      <c r="Q870" s="59"/>
      <c r="R870" s="61"/>
    </row>
    <row r="871">
      <c r="B871" s="59"/>
      <c r="D871" s="59"/>
      <c r="F871" s="59"/>
      <c r="H871" s="59"/>
      <c r="J871" s="59"/>
      <c r="L871" s="59"/>
      <c r="N871" s="59"/>
      <c r="Q871" s="59"/>
      <c r="R871" s="61"/>
    </row>
    <row r="872">
      <c r="B872" s="59"/>
      <c r="D872" s="59"/>
      <c r="F872" s="59"/>
      <c r="H872" s="59"/>
      <c r="J872" s="59"/>
      <c r="L872" s="59"/>
      <c r="N872" s="59"/>
      <c r="Q872" s="59"/>
      <c r="R872" s="61"/>
    </row>
    <row r="873">
      <c r="B873" s="59"/>
      <c r="D873" s="59"/>
      <c r="F873" s="59"/>
      <c r="H873" s="59"/>
      <c r="J873" s="59"/>
      <c r="L873" s="59"/>
      <c r="N873" s="59"/>
      <c r="Q873" s="59"/>
      <c r="R873" s="61"/>
    </row>
    <row r="874">
      <c r="B874" s="59"/>
      <c r="D874" s="59"/>
      <c r="F874" s="59"/>
      <c r="H874" s="59"/>
      <c r="J874" s="59"/>
      <c r="L874" s="59"/>
      <c r="N874" s="59"/>
      <c r="Q874" s="59"/>
      <c r="R874" s="61"/>
    </row>
    <row r="875">
      <c r="B875" s="59"/>
      <c r="D875" s="59"/>
      <c r="F875" s="59"/>
      <c r="H875" s="59"/>
      <c r="J875" s="59"/>
      <c r="L875" s="59"/>
      <c r="N875" s="59"/>
      <c r="Q875" s="59"/>
      <c r="R875" s="61"/>
    </row>
    <row r="876">
      <c r="B876" s="59"/>
      <c r="D876" s="59"/>
      <c r="F876" s="59"/>
      <c r="H876" s="59"/>
      <c r="J876" s="59"/>
      <c r="L876" s="59"/>
      <c r="N876" s="59"/>
      <c r="Q876" s="59"/>
      <c r="R876" s="61"/>
    </row>
    <row r="877">
      <c r="B877" s="59"/>
      <c r="D877" s="59"/>
      <c r="F877" s="59"/>
      <c r="H877" s="59"/>
      <c r="J877" s="59"/>
      <c r="L877" s="59"/>
      <c r="N877" s="59"/>
      <c r="Q877" s="59"/>
      <c r="R877" s="61"/>
    </row>
    <row r="878">
      <c r="B878" s="59"/>
      <c r="D878" s="59"/>
      <c r="F878" s="59"/>
      <c r="H878" s="59"/>
      <c r="J878" s="59"/>
      <c r="L878" s="59"/>
      <c r="N878" s="59"/>
      <c r="Q878" s="59"/>
      <c r="R878" s="61"/>
    </row>
    <row r="879">
      <c r="B879" s="59"/>
      <c r="D879" s="59"/>
      <c r="F879" s="59"/>
      <c r="H879" s="59"/>
      <c r="J879" s="59"/>
      <c r="L879" s="59"/>
      <c r="N879" s="59"/>
      <c r="Q879" s="59"/>
      <c r="R879" s="61"/>
    </row>
    <row r="880">
      <c r="B880" s="59"/>
      <c r="D880" s="59"/>
      <c r="F880" s="59"/>
      <c r="H880" s="59"/>
      <c r="J880" s="59"/>
      <c r="L880" s="59"/>
      <c r="N880" s="59"/>
      <c r="Q880" s="59"/>
      <c r="R880" s="61"/>
    </row>
    <row r="881">
      <c r="B881" s="59"/>
      <c r="D881" s="59"/>
      <c r="F881" s="59"/>
      <c r="H881" s="59"/>
      <c r="J881" s="59"/>
      <c r="L881" s="59"/>
      <c r="N881" s="59"/>
      <c r="Q881" s="59"/>
      <c r="R881" s="61"/>
    </row>
    <row r="882">
      <c r="B882" s="59"/>
      <c r="D882" s="59"/>
      <c r="F882" s="59"/>
      <c r="H882" s="59"/>
      <c r="J882" s="59"/>
      <c r="L882" s="59"/>
      <c r="N882" s="59"/>
      <c r="Q882" s="59"/>
      <c r="R882" s="61"/>
    </row>
    <row r="883">
      <c r="B883" s="59"/>
      <c r="D883" s="59"/>
      <c r="F883" s="59"/>
      <c r="H883" s="59"/>
      <c r="J883" s="59"/>
      <c r="L883" s="59"/>
      <c r="N883" s="59"/>
      <c r="Q883" s="59"/>
      <c r="R883" s="61"/>
    </row>
    <row r="884">
      <c r="B884" s="59"/>
      <c r="D884" s="59"/>
      <c r="F884" s="59"/>
      <c r="H884" s="59"/>
      <c r="J884" s="59"/>
      <c r="L884" s="59"/>
      <c r="N884" s="59"/>
      <c r="Q884" s="59"/>
      <c r="R884" s="61"/>
    </row>
    <row r="885">
      <c r="B885" s="59"/>
      <c r="D885" s="59"/>
      <c r="F885" s="59"/>
      <c r="H885" s="59"/>
      <c r="J885" s="59"/>
      <c r="L885" s="59"/>
      <c r="N885" s="59"/>
      <c r="Q885" s="59"/>
      <c r="R885" s="61"/>
    </row>
    <row r="886">
      <c r="B886" s="59"/>
      <c r="D886" s="59"/>
      <c r="F886" s="59"/>
      <c r="H886" s="59"/>
      <c r="J886" s="59"/>
      <c r="L886" s="59"/>
      <c r="N886" s="59"/>
      <c r="Q886" s="59"/>
      <c r="R886" s="61"/>
    </row>
    <row r="887">
      <c r="B887" s="59"/>
      <c r="D887" s="59"/>
      <c r="F887" s="59"/>
      <c r="H887" s="59"/>
      <c r="J887" s="59"/>
      <c r="L887" s="59"/>
      <c r="N887" s="59"/>
      <c r="Q887" s="59"/>
      <c r="R887" s="61"/>
    </row>
    <row r="888">
      <c r="B888" s="59"/>
      <c r="D888" s="59"/>
      <c r="F888" s="59"/>
      <c r="H888" s="59"/>
      <c r="J888" s="59"/>
      <c r="L888" s="59"/>
      <c r="N888" s="59"/>
      <c r="Q888" s="59"/>
      <c r="R888" s="61"/>
    </row>
    <row r="889">
      <c r="B889" s="59"/>
      <c r="D889" s="59"/>
      <c r="F889" s="59"/>
      <c r="H889" s="59"/>
      <c r="J889" s="59"/>
      <c r="L889" s="59"/>
      <c r="N889" s="59"/>
      <c r="Q889" s="59"/>
      <c r="R889" s="61"/>
    </row>
    <row r="890">
      <c r="B890" s="59"/>
      <c r="D890" s="59"/>
      <c r="F890" s="59"/>
      <c r="H890" s="59"/>
      <c r="J890" s="59"/>
      <c r="L890" s="59"/>
      <c r="N890" s="59"/>
      <c r="Q890" s="59"/>
      <c r="R890" s="61"/>
    </row>
    <row r="891">
      <c r="B891" s="59"/>
      <c r="D891" s="59"/>
      <c r="F891" s="59"/>
      <c r="H891" s="59"/>
      <c r="J891" s="59"/>
      <c r="L891" s="59"/>
      <c r="N891" s="59"/>
      <c r="Q891" s="59"/>
      <c r="R891" s="61"/>
    </row>
    <row r="892">
      <c r="B892" s="59"/>
      <c r="D892" s="59"/>
      <c r="F892" s="59"/>
      <c r="H892" s="59"/>
      <c r="J892" s="59"/>
      <c r="L892" s="59"/>
      <c r="N892" s="59"/>
      <c r="Q892" s="59"/>
      <c r="R892" s="61"/>
    </row>
    <row r="893">
      <c r="B893" s="59"/>
      <c r="D893" s="59"/>
      <c r="F893" s="59"/>
      <c r="H893" s="59"/>
      <c r="J893" s="59"/>
      <c r="L893" s="59"/>
      <c r="N893" s="59"/>
      <c r="Q893" s="59"/>
      <c r="R893" s="61"/>
    </row>
    <row r="894">
      <c r="B894" s="59"/>
      <c r="D894" s="59"/>
      <c r="F894" s="59"/>
      <c r="H894" s="59"/>
      <c r="J894" s="59"/>
      <c r="L894" s="59"/>
      <c r="N894" s="59"/>
      <c r="Q894" s="59"/>
      <c r="R894" s="61"/>
    </row>
    <row r="895">
      <c r="B895" s="59"/>
      <c r="D895" s="59"/>
      <c r="F895" s="59"/>
      <c r="H895" s="59"/>
      <c r="J895" s="59"/>
      <c r="L895" s="59"/>
      <c r="N895" s="59"/>
      <c r="Q895" s="59"/>
      <c r="R895" s="61"/>
    </row>
    <row r="896">
      <c r="B896" s="59"/>
      <c r="D896" s="59"/>
      <c r="F896" s="59"/>
      <c r="H896" s="59"/>
      <c r="J896" s="59"/>
      <c r="L896" s="59"/>
      <c r="N896" s="59"/>
      <c r="Q896" s="59"/>
      <c r="R896" s="61"/>
    </row>
    <row r="897">
      <c r="B897" s="59"/>
      <c r="D897" s="59"/>
      <c r="F897" s="59"/>
      <c r="H897" s="59"/>
      <c r="J897" s="59"/>
      <c r="L897" s="59"/>
      <c r="N897" s="59"/>
      <c r="Q897" s="59"/>
      <c r="R897" s="61"/>
    </row>
    <row r="898">
      <c r="B898" s="59"/>
      <c r="D898" s="59"/>
      <c r="F898" s="59"/>
      <c r="H898" s="59"/>
      <c r="J898" s="59"/>
      <c r="L898" s="59"/>
      <c r="N898" s="59"/>
      <c r="Q898" s="59"/>
      <c r="R898" s="61"/>
    </row>
    <row r="899">
      <c r="B899" s="59"/>
      <c r="D899" s="59"/>
      <c r="F899" s="59"/>
      <c r="H899" s="59"/>
      <c r="J899" s="59"/>
      <c r="L899" s="59"/>
      <c r="N899" s="59"/>
      <c r="Q899" s="59"/>
      <c r="R899" s="61"/>
    </row>
    <row r="900">
      <c r="B900" s="59"/>
      <c r="D900" s="59"/>
      <c r="F900" s="59"/>
      <c r="H900" s="59"/>
      <c r="J900" s="59"/>
      <c r="L900" s="59"/>
      <c r="N900" s="59"/>
      <c r="Q900" s="59"/>
      <c r="R900" s="61"/>
    </row>
    <row r="901">
      <c r="B901" s="59"/>
      <c r="D901" s="59"/>
      <c r="F901" s="59"/>
      <c r="H901" s="59"/>
      <c r="J901" s="59"/>
      <c r="L901" s="59"/>
      <c r="N901" s="59"/>
      <c r="Q901" s="59"/>
      <c r="R901" s="61"/>
    </row>
    <row r="902">
      <c r="B902" s="59"/>
      <c r="D902" s="59"/>
      <c r="F902" s="59"/>
      <c r="H902" s="59"/>
      <c r="J902" s="59"/>
      <c r="L902" s="59"/>
      <c r="N902" s="59"/>
      <c r="Q902" s="59"/>
      <c r="R902" s="61"/>
    </row>
    <row r="903">
      <c r="B903" s="59"/>
      <c r="D903" s="59"/>
      <c r="F903" s="59"/>
      <c r="H903" s="59"/>
      <c r="J903" s="59"/>
      <c r="L903" s="59"/>
      <c r="N903" s="59"/>
      <c r="Q903" s="59"/>
      <c r="R903" s="61"/>
    </row>
    <row r="904">
      <c r="B904" s="59"/>
      <c r="D904" s="59"/>
      <c r="F904" s="59"/>
      <c r="H904" s="59"/>
      <c r="J904" s="59"/>
      <c r="L904" s="59"/>
      <c r="N904" s="59"/>
      <c r="Q904" s="59"/>
      <c r="R904" s="61"/>
    </row>
    <row r="905">
      <c r="B905" s="59"/>
      <c r="D905" s="59"/>
      <c r="F905" s="59"/>
      <c r="H905" s="59"/>
      <c r="J905" s="59"/>
      <c r="L905" s="59"/>
      <c r="N905" s="59"/>
      <c r="Q905" s="59"/>
      <c r="R905" s="61"/>
    </row>
    <row r="906">
      <c r="B906" s="59"/>
      <c r="D906" s="59"/>
      <c r="F906" s="59"/>
      <c r="H906" s="59"/>
      <c r="J906" s="59"/>
      <c r="L906" s="59"/>
      <c r="N906" s="59"/>
      <c r="Q906" s="59"/>
      <c r="R906" s="61"/>
    </row>
    <row r="907">
      <c r="B907" s="59"/>
      <c r="D907" s="59"/>
      <c r="F907" s="59"/>
      <c r="H907" s="59"/>
      <c r="J907" s="59"/>
      <c r="L907" s="59"/>
      <c r="N907" s="59"/>
      <c r="Q907" s="59"/>
      <c r="R907" s="61"/>
    </row>
    <row r="908">
      <c r="B908" s="59"/>
      <c r="D908" s="59"/>
      <c r="F908" s="59"/>
      <c r="H908" s="59"/>
      <c r="J908" s="59"/>
      <c r="L908" s="59"/>
      <c r="N908" s="59"/>
      <c r="Q908" s="59"/>
      <c r="R908" s="61"/>
    </row>
    <row r="909">
      <c r="B909" s="59"/>
      <c r="D909" s="59"/>
      <c r="F909" s="59"/>
      <c r="H909" s="59"/>
      <c r="J909" s="59"/>
      <c r="L909" s="59"/>
      <c r="N909" s="59"/>
      <c r="Q909" s="59"/>
      <c r="R909" s="61"/>
    </row>
    <row r="910">
      <c r="B910" s="59"/>
      <c r="D910" s="59"/>
      <c r="F910" s="59"/>
      <c r="H910" s="59"/>
      <c r="J910" s="59"/>
      <c r="L910" s="59"/>
      <c r="N910" s="59"/>
      <c r="Q910" s="59"/>
      <c r="R910" s="61"/>
    </row>
    <row r="911">
      <c r="B911" s="59"/>
      <c r="D911" s="59"/>
      <c r="F911" s="59"/>
      <c r="H911" s="59"/>
      <c r="J911" s="59"/>
      <c r="L911" s="59"/>
      <c r="N911" s="59"/>
      <c r="Q911" s="59"/>
      <c r="R911" s="61"/>
    </row>
    <row r="912">
      <c r="B912" s="59"/>
      <c r="D912" s="59"/>
      <c r="F912" s="59"/>
      <c r="H912" s="59"/>
      <c r="J912" s="59"/>
      <c r="L912" s="59"/>
      <c r="N912" s="59"/>
      <c r="Q912" s="59"/>
      <c r="R912" s="61"/>
    </row>
    <row r="913">
      <c r="B913" s="59"/>
      <c r="D913" s="59"/>
      <c r="F913" s="59"/>
      <c r="H913" s="59"/>
      <c r="J913" s="59"/>
      <c r="L913" s="59"/>
      <c r="N913" s="59"/>
      <c r="Q913" s="59"/>
      <c r="R913" s="61"/>
    </row>
    <row r="914">
      <c r="B914" s="59"/>
      <c r="D914" s="59"/>
      <c r="F914" s="59"/>
      <c r="H914" s="59"/>
      <c r="J914" s="59"/>
      <c r="L914" s="59"/>
      <c r="N914" s="59"/>
      <c r="Q914" s="59"/>
      <c r="R914" s="61"/>
    </row>
    <row r="915">
      <c r="B915" s="59"/>
      <c r="D915" s="59"/>
      <c r="F915" s="59"/>
      <c r="H915" s="59"/>
      <c r="J915" s="59"/>
      <c r="L915" s="59"/>
      <c r="N915" s="59"/>
      <c r="Q915" s="59"/>
      <c r="R915" s="61"/>
    </row>
    <row r="916">
      <c r="B916" s="59"/>
      <c r="D916" s="59"/>
      <c r="F916" s="59"/>
      <c r="H916" s="59"/>
      <c r="J916" s="59"/>
      <c r="L916" s="59"/>
      <c r="N916" s="59"/>
      <c r="Q916" s="59"/>
      <c r="R916" s="61"/>
    </row>
    <row r="917">
      <c r="B917" s="59"/>
      <c r="D917" s="59"/>
      <c r="F917" s="59"/>
      <c r="H917" s="59"/>
      <c r="J917" s="59"/>
      <c r="L917" s="59"/>
      <c r="N917" s="59"/>
      <c r="Q917" s="59"/>
      <c r="R917" s="61"/>
    </row>
    <row r="918">
      <c r="B918" s="59"/>
      <c r="D918" s="59"/>
      <c r="F918" s="59"/>
      <c r="H918" s="59"/>
      <c r="J918" s="59"/>
      <c r="L918" s="59"/>
      <c r="N918" s="59"/>
      <c r="Q918" s="59"/>
      <c r="R918" s="61"/>
    </row>
    <row r="919">
      <c r="B919" s="59"/>
      <c r="D919" s="59"/>
      <c r="F919" s="59"/>
      <c r="H919" s="59"/>
      <c r="J919" s="59"/>
      <c r="L919" s="59"/>
      <c r="N919" s="59"/>
      <c r="Q919" s="59"/>
      <c r="R919" s="61"/>
    </row>
    <row r="920">
      <c r="B920" s="59"/>
      <c r="D920" s="59"/>
      <c r="F920" s="59"/>
      <c r="H920" s="59"/>
      <c r="J920" s="59"/>
      <c r="L920" s="59"/>
      <c r="N920" s="59"/>
      <c r="Q920" s="59"/>
      <c r="R920" s="61"/>
    </row>
    <row r="921">
      <c r="B921" s="59"/>
      <c r="D921" s="59"/>
      <c r="F921" s="59"/>
      <c r="H921" s="59"/>
      <c r="J921" s="59"/>
      <c r="L921" s="59"/>
      <c r="N921" s="59"/>
      <c r="Q921" s="59"/>
      <c r="R921" s="61"/>
    </row>
    <row r="922">
      <c r="B922" s="59"/>
      <c r="D922" s="59"/>
      <c r="F922" s="59"/>
      <c r="H922" s="59"/>
      <c r="J922" s="59"/>
      <c r="L922" s="59"/>
      <c r="N922" s="59"/>
      <c r="Q922" s="59"/>
      <c r="R922" s="61"/>
    </row>
    <row r="923">
      <c r="B923" s="59"/>
      <c r="D923" s="59"/>
      <c r="F923" s="59"/>
      <c r="H923" s="59"/>
      <c r="J923" s="59"/>
      <c r="L923" s="59"/>
      <c r="N923" s="59"/>
      <c r="Q923" s="59"/>
      <c r="R923" s="61"/>
    </row>
    <row r="924">
      <c r="B924" s="59"/>
      <c r="D924" s="59"/>
      <c r="F924" s="59"/>
      <c r="H924" s="59"/>
      <c r="J924" s="59"/>
      <c r="L924" s="59"/>
      <c r="N924" s="59"/>
      <c r="Q924" s="59"/>
      <c r="R924" s="61"/>
    </row>
    <row r="925">
      <c r="B925" s="59"/>
      <c r="D925" s="59"/>
      <c r="F925" s="59"/>
      <c r="H925" s="59"/>
      <c r="J925" s="59"/>
      <c r="L925" s="59"/>
      <c r="N925" s="59"/>
      <c r="Q925" s="59"/>
      <c r="R925" s="61"/>
    </row>
    <row r="926">
      <c r="B926" s="59"/>
      <c r="D926" s="59"/>
      <c r="F926" s="59"/>
      <c r="H926" s="59"/>
      <c r="J926" s="59"/>
      <c r="L926" s="59"/>
      <c r="N926" s="59"/>
      <c r="Q926" s="59"/>
      <c r="R926" s="61"/>
    </row>
    <row r="927">
      <c r="B927" s="59"/>
      <c r="D927" s="59"/>
      <c r="F927" s="59"/>
      <c r="H927" s="59"/>
      <c r="J927" s="59"/>
      <c r="L927" s="59"/>
      <c r="N927" s="59"/>
      <c r="Q927" s="59"/>
      <c r="R927" s="61"/>
    </row>
    <row r="928">
      <c r="B928" s="59"/>
      <c r="D928" s="59"/>
      <c r="F928" s="59"/>
      <c r="H928" s="59"/>
      <c r="J928" s="59"/>
      <c r="L928" s="59"/>
      <c r="N928" s="59"/>
      <c r="Q928" s="59"/>
      <c r="R928" s="61"/>
    </row>
    <row r="929">
      <c r="B929" s="59"/>
      <c r="D929" s="59"/>
      <c r="F929" s="59"/>
      <c r="H929" s="59"/>
      <c r="J929" s="59"/>
      <c r="L929" s="59"/>
      <c r="N929" s="59"/>
      <c r="Q929" s="59"/>
      <c r="R929" s="61"/>
    </row>
    <row r="930">
      <c r="B930" s="59"/>
      <c r="D930" s="59"/>
      <c r="F930" s="59"/>
      <c r="H930" s="59"/>
      <c r="J930" s="59"/>
      <c r="L930" s="59"/>
      <c r="N930" s="59"/>
      <c r="Q930" s="59"/>
      <c r="R930" s="61"/>
    </row>
    <row r="931">
      <c r="B931" s="59"/>
      <c r="D931" s="59"/>
      <c r="F931" s="59"/>
      <c r="H931" s="59"/>
      <c r="J931" s="59"/>
      <c r="L931" s="59"/>
      <c r="N931" s="59"/>
      <c r="Q931" s="59"/>
      <c r="R931" s="61"/>
    </row>
    <row r="932">
      <c r="B932" s="59"/>
      <c r="D932" s="59"/>
      <c r="F932" s="59"/>
      <c r="H932" s="59"/>
      <c r="J932" s="59"/>
      <c r="L932" s="59"/>
      <c r="N932" s="59"/>
      <c r="Q932" s="59"/>
      <c r="R932" s="61"/>
    </row>
    <row r="933">
      <c r="B933" s="59"/>
      <c r="D933" s="59"/>
      <c r="F933" s="59"/>
      <c r="H933" s="59"/>
      <c r="J933" s="59"/>
      <c r="L933" s="59"/>
      <c r="N933" s="59"/>
      <c r="Q933" s="59"/>
      <c r="R933" s="61"/>
    </row>
    <row r="934">
      <c r="B934" s="59"/>
      <c r="D934" s="59"/>
      <c r="F934" s="59"/>
      <c r="H934" s="59"/>
      <c r="J934" s="59"/>
      <c r="L934" s="59"/>
      <c r="N934" s="59"/>
      <c r="Q934" s="59"/>
      <c r="R934" s="61"/>
    </row>
    <row r="935">
      <c r="B935" s="59"/>
      <c r="D935" s="59"/>
      <c r="F935" s="59"/>
      <c r="H935" s="59"/>
      <c r="J935" s="59"/>
      <c r="L935" s="59"/>
      <c r="N935" s="59"/>
      <c r="Q935" s="59"/>
      <c r="R935" s="61"/>
    </row>
    <row r="936">
      <c r="B936" s="59"/>
      <c r="D936" s="59"/>
      <c r="F936" s="59"/>
      <c r="H936" s="59"/>
      <c r="J936" s="59"/>
      <c r="L936" s="59"/>
      <c r="N936" s="59"/>
      <c r="Q936" s="59"/>
      <c r="R936" s="61"/>
    </row>
    <row r="937">
      <c r="B937" s="59"/>
      <c r="D937" s="59"/>
      <c r="F937" s="59"/>
      <c r="H937" s="59"/>
      <c r="J937" s="59"/>
      <c r="L937" s="59"/>
      <c r="N937" s="59"/>
      <c r="Q937" s="59"/>
      <c r="R937" s="61"/>
    </row>
    <row r="938">
      <c r="B938" s="59"/>
      <c r="D938" s="59"/>
      <c r="F938" s="59"/>
      <c r="H938" s="59"/>
      <c r="J938" s="59"/>
      <c r="L938" s="59"/>
      <c r="N938" s="59"/>
      <c r="Q938" s="59"/>
      <c r="R938" s="61"/>
    </row>
    <row r="939">
      <c r="B939" s="59"/>
      <c r="D939" s="59"/>
      <c r="F939" s="59"/>
      <c r="H939" s="59"/>
      <c r="J939" s="59"/>
      <c r="L939" s="59"/>
      <c r="N939" s="59"/>
      <c r="Q939" s="59"/>
      <c r="R939" s="61"/>
    </row>
    <row r="940">
      <c r="B940" s="59"/>
      <c r="D940" s="59"/>
      <c r="F940" s="59"/>
      <c r="H940" s="59"/>
      <c r="J940" s="59"/>
      <c r="L940" s="59"/>
      <c r="N940" s="59"/>
      <c r="Q940" s="59"/>
      <c r="R940" s="61"/>
    </row>
    <row r="941">
      <c r="B941" s="59"/>
      <c r="D941" s="59"/>
      <c r="F941" s="59"/>
      <c r="H941" s="59"/>
      <c r="J941" s="59"/>
      <c r="L941" s="59"/>
      <c r="N941" s="59"/>
      <c r="Q941" s="59"/>
      <c r="R941" s="61"/>
    </row>
    <row r="942">
      <c r="B942" s="59"/>
      <c r="D942" s="59"/>
      <c r="F942" s="59"/>
      <c r="H942" s="59"/>
      <c r="J942" s="59"/>
      <c r="L942" s="59"/>
      <c r="N942" s="59"/>
      <c r="Q942" s="59"/>
      <c r="R942" s="61"/>
    </row>
    <row r="943">
      <c r="B943" s="59"/>
      <c r="D943" s="59"/>
      <c r="F943" s="59"/>
      <c r="H943" s="59"/>
      <c r="J943" s="59"/>
      <c r="L943" s="59"/>
      <c r="N943" s="59"/>
      <c r="Q943" s="59"/>
      <c r="R943" s="61"/>
    </row>
    <row r="944">
      <c r="B944" s="59"/>
      <c r="D944" s="59"/>
      <c r="F944" s="59"/>
      <c r="H944" s="59"/>
      <c r="J944" s="59"/>
      <c r="L944" s="59"/>
      <c r="N944" s="59"/>
      <c r="Q944" s="59"/>
      <c r="R944" s="61"/>
    </row>
    <row r="945">
      <c r="B945" s="59"/>
      <c r="D945" s="59"/>
      <c r="F945" s="59"/>
      <c r="H945" s="59"/>
      <c r="J945" s="59"/>
      <c r="L945" s="59"/>
      <c r="N945" s="59"/>
      <c r="Q945" s="59"/>
      <c r="R945" s="61"/>
    </row>
    <row r="946">
      <c r="B946" s="59"/>
      <c r="D946" s="59"/>
      <c r="F946" s="59"/>
      <c r="H946" s="59"/>
      <c r="J946" s="59"/>
      <c r="L946" s="59"/>
      <c r="N946" s="59"/>
      <c r="Q946" s="59"/>
      <c r="R946" s="61"/>
    </row>
    <row r="947">
      <c r="B947" s="59"/>
      <c r="D947" s="59"/>
      <c r="F947" s="59"/>
      <c r="H947" s="59"/>
      <c r="J947" s="59"/>
      <c r="L947" s="59"/>
      <c r="N947" s="59"/>
      <c r="Q947" s="59"/>
      <c r="R947" s="61"/>
    </row>
    <row r="948">
      <c r="B948" s="59"/>
      <c r="D948" s="59"/>
      <c r="F948" s="59"/>
      <c r="H948" s="59"/>
      <c r="J948" s="59"/>
      <c r="L948" s="59"/>
      <c r="N948" s="59"/>
      <c r="Q948" s="59"/>
      <c r="R948" s="61"/>
    </row>
    <row r="949">
      <c r="B949" s="59"/>
      <c r="D949" s="59"/>
      <c r="F949" s="59"/>
      <c r="H949" s="59"/>
      <c r="J949" s="59"/>
      <c r="L949" s="59"/>
      <c r="N949" s="59"/>
      <c r="Q949" s="59"/>
      <c r="R949" s="61"/>
    </row>
    <row r="950">
      <c r="B950" s="59"/>
      <c r="D950" s="59"/>
      <c r="F950" s="59"/>
      <c r="H950" s="59"/>
      <c r="J950" s="59"/>
      <c r="L950" s="59"/>
      <c r="N950" s="59"/>
      <c r="Q950" s="59"/>
      <c r="R950" s="61"/>
    </row>
    <row r="951">
      <c r="B951" s="59"/>
      <c r="D951" s="59"/>
      <c r="F951" s="59"/>
      <c r="H951" s="59"/>
      <c r="J951" s="59"/>
      <c r="L951" s="59"/>
      <c r="N951" s="59"/>
      <c r="Q951" s="59"/>
      <c r="R951" s="61"/>
    </row>
    <row r="952">
      <c r="B952" s="59"/>
      <c r="D952" s="59"/>
      <c r="F952" s="59"/>
      <c r="H952" s="59"/>
      <c r="J952" s="59"/>
      <c r="L952" s="59"/>
      <c r="N952" s="59"/>
      <c r="Q952" s="59"/>
      <c r="R952" s="61"/>
    </row>
    <row r="953">
      <c r="B953" s="59"/>
      <c r="D953" s="59"/>
      <c r="F953" s="59"/>
      <c r="H953" s="59"/>
      <c r="J953" s="59"/>
      <c r="L953" s="59"/>
      <c r="N953" s="59"/>
      <c r="Q953" s="59"/>
      <c r="R953" s="61"/>
    </row>
    <row r="954">
      <c r="B954" s="59"/>
      <c r="D954" s="59"/>
      <c r="F954" s="59"/>
      <c r="H954" s="59"/>
      <c r="J954" s="59"/>
      <c r="L954" s="59"/>
      <c r="N954" s="59"/>
      <c r="Q954" s="59"/>
      <c r="R954" s="61"/>
    </row>
    <row r="955">
      <c r="B955" s="59"/>
      <c r="D955" s="59"/>
      <c r="F955" s="59"/>
      <c r="H955" s="59"/>
      <c r="J955" s="59"/>
      <c r="L955" s="59"/>
      <c r="N955" s="59"/>
      <c r="Q955" s="59"/>
      <c r="R955" s="61"/>
    </row>
    <row r="956">
      <c r="B956" s="59"/>
      <c r="D956" s="59"/>
      <c r="F956" s="59"/>
      <c r="H956" s="59"/>
      <c r="J956" s="59"/>
      <c r="L956" s="59"/>
      <c r="N956" s="59"/>
      <c r="Q956" s="59"/>
      <c r="R956" s="61"/>
    </row>
    <row r="957">
      <c r="B957" s="59"/>
      <c r="D957" s="59"/>
      <c r="F957" s="59"/>
      <c r="H957" s="59"/>
      <c r="J957" s="59"/>
      <c r="L957" s="59"/>
      <c r="N957" s="59"/>
      <c r="Q957" s="59"/>
      <c r="R957" s="61"/>
    </row>
    <row r="958">
      <c r="B958" s="59"/>
      <c r="D958" s="59"/>
      <c r="F958" s="59"/>
      <c r="H958" s="59"/>
      <c r="J958" s="59"/>
      <c r="L958" s="59"/>
      <c r="N958" s="59"/>
      <c r="Q958" s="59"/>
      <c r="R958" s="61"/>
    </row>
    <row r="959">
      <c r="B959" s="59"/>
      <c r="D959" s="59"/>
      <c r="F959" s="59"/>
      <c r="H959" s="59"/>
      <c r="J959" s="59"/>
      <c r="L959" s="59"/>
      <c r="N959" s="59"/>
      <c r="Q959" s="59"/>
      <c r="R959" s="61"/>
    </row>
    <row r="960">
      <c r="B960" s="59"/>
      <c r="D960" s="59"/>
      <c r="F960" s="59"/>
      <c r="H960" s="59"/>
      <c r="J960" s="59"/>
      <c r="L960" s="59"/>
      <c r="N960" s="59"/>
      <c r="Q960" s="59"/>
      <c r="R960" s="61"/>
    </row>
    <row r="961">
      <c r="B961" s="59"/>
      <c r="D961" s="59"/>
      <c r="F961" s="59"/>
      <c r="H961" s="59"/>
      <c r="J961" s="59"/>
      <c r="L961" s="59"/>
      <c r="N961" s="59"/>
      <c r="Q961" s="59"/>
      <c r="R961" s="61"/>
    </row>
    <row r="962">
      <c r="B962" s="59"/>
      <c r="D962" s="59"/>
      <c r="F962" s="59"/>
      <c r="H962" s="59"/>
      <c r="J962" s="59"/>
      <c r="L962" s="59"/>
      <c r="N962" s="59"/>
      <c r="Q962" s="59"/>
      <c r="R962" s="61"/>
    </row>
    <row r="963">
      <c r="B963" s="59"/>
      <c r="D963" s="59"/>
      <c r="F963" s="59"/>
      <c r="H963" s="59"/>
      <c r="J963" s="59"/>
      <c r="L963" s="59"/>
      <c r="N963" s="59"/>
      <c r="Q963" s="59"/>
      <c r="R963" s="61"/>
    </row>
    <row r="964">
      <c r="B964" s="59"/>
      <c r="D964" s="59"/>
      <c r="F964" s="59"/>
      <c r="H964" s="59"/>
      <c r="J964" s="59"/>
      <c r="L964" s="59"/>
      <c r="N964" s="59"/>
      <c r="Q964" s="59"/>
      <c r="R964" s="61"/>
    </row>
    <row r="965">
      <c r="B965" s="59"/>
      <c r="D965" s="59"/>
      <c r="F965" s="59"/>
      <c r="H965" s="59"/>
      <c r="J965" s="59"/>
      <c r="L965" s="59"/>
      <c r="N965" s="59"/>
      <c r="Q965" s="59"/>
      <c r="R965" s="61"/>
    </row>
    <row r="966">
      <c r="B966" s="59"/>
      <c r="D966" s="59"/>
      <c r="F966" s="59"/>
      <c r="H966" s="59"/>
      <c r="J966" s="59"/>
      <c r="L966" s="59"/>
      <c r="N966" s="59"/>
      <c r="Q966" s="59"/>
      <c r="R966" s="61"/>
    </row>
    <row r="967">
      <c r="B967" s="59"/>
      <c r="D967" s="59"/>
      <c r="F967" s="59"/>
      <c r="H967" s="59"/>
      <c r="J967" s="59"/>
      <c r="L967" s="59"/>
      <c r="N967" s="59"/>
      <c r="Q967" s="59"/>
      <c r="R967" s="61"/>
    </row>
    <row r="968">
      <c r="B968" s="59"/>
      <c r="D968" s="59"/>
      <c r="F968" s="59"/>
      <c r="H968" s="59"/>
      <c r="J968" s="59"/>
      <c r="L968" s="59"/>
      <c r="N968" s="59"/>
      <c r="Q968" s="59"/>
      <c r="R968" s="61"/>
    </row>
    <row r="969">
      <c r="B969" s="59"/>
      <c r="D969" s="59"/>
      <c r="F969" s="59"/>
      <c r="H969" s="59"/>
      <c r="J969" s="59"/>
      <c r="L969" s="59"/>
      <c r="N969" s="59"/>
      <c r="Q969" s="59"/>
      <c r="R969" s="61"/>
    </row>
    <row r="970">
      <c r="B970" s="59"/>
      <c r="D970" s="59"/>
      <c r="F970" s="59"/>
      <c r="H970" s="59"/>
      <c r="J970" s="59"/>
      <c r="L970" s="59"/>
      <c r="N970" s="59"/>
      <c r="Q970" s="59"/>
      <c r="R970" s="61"/>
    </row>
    <row r="971">
      <c r="B971" s="59"/>
      <c r="D971" s="59"/>
      <c r="F971" s="59"/>
      <c r="H971" s="59"/>
      <c r="J971" s="59"/>
      <c r="L971" s="59"/>
      <c r="N971" s="59"/>
      <c r="Q971" s="59"/>
      <c r="R971" s="61"/>
    </row>
    <row r="972">
      <c r="B972" s="59"/>
      <c r="D972" s="59"/>
      <c r="F972" s="59"/>
      <c r="H972" s="59"/>
      <c r="J972" s="59"/>
      <c r="L972" s="59"/>
      <c r="N972" s="59"/>
      <c r="Q972" s="59"/>
      <c r="R972" s="61"/>
    </row>
    <row r="973">
      <c r="B973" s="59"/>
      <c r="D973" s="59"/>
      <c r="F973" s="59"/>
      <c r="H973" s="59"/>
      <c r="J973" s="59"/>
      <c r="L973" s="59"/>
      <c r="N973" s="59"/>
      <c r="Q973" s="59"/>
      <c r="R973" s="61"/>
    </row>
    <row r="974">
      <c r="B974" s="59"/>
      <c r="D974" s="59"/>
      <c r="F974" s="59"/>
      <c r="H974" s="59"/>
      <c r="J974" s="59"/>
      <c r="L974" s="59"/>
      <c r="N974" s="59"/>
      <c r="Q974" s="59"/>
      <c r="R974" s="61"/>
    </row>
    <row r="975">
      <c r="B975" s="59"/>
      <c r="D975" s="59"/>
      <c r="F975" s="59"/>
      <c r="H975" s="59"/>
      <c r="J975" s="59"/>
      <c r="L975" s="59"/>
      <c r="N975" s="59"/>
      <c r="Q975" s="59"/>
      <c r="R975" s="61"/>
    </row>
    <row r="976">
      <c r="B976" s="59"/>
      <c r="D976" s="59"/>
      <c r="F976" s="59"/>
      <c r="H976" s="59"/>
      <c r="J976" s="59"/>
      <c r="L976" s="59"/>
      <c r="N976" s="59"/>
      <c r="Q976" s="59"/>
      <c r="R976" s="61"/>
    </row>
    <row r="977">
      <c r="B977" s="59"/>
      <c r="D977" s="59"/>
      <c r="F977" s="59"/>
      <c r="H977" s="59"/>
      <c r="J977" s="59"/>
      <c r="L977" s="59"/>
      <c r="N977" s="59"/>
      <c r="Q977" s="59"/>
      <c r="R977" s="61"/>
    </row>
    <row r="978">
      <c r="B978" s="59"/>
      <c r="D978" s="59"/>
      <c r="F978" s="59"/>
      <c r="H978" s="59"/>
      <c r="J978" s="59"/>
      <c r="L978" s="59"/>
      <c r="N978" s="59"/>
      <c r="Q978" s="59"/>
      <c r="R978" s="61"/>
    </row>
    <row r="979">
      <c r="B979" s="59"/>
      <c r="D979" s="59"/>
      <c r="F979" s="59"/>
      <c r="H979" s="59"/>
      <c r="J979" s="59"/>
      <c r="L979" s="59"/>
      <c r="N979" s="59"/>
      <c r="Q979" s="59"/>
      <c r="R979" s="61"/>
    </row>
    <row r="980">
      <c r="B980" s="59"/>
      <c r="D980" s="59"/>
      <c r="F980" s="59"/>
      <c r="H980" s="59"/>
      <c r="J980" s="59"/>
      <c r="L980" s="59"/>
      <c r="N980" s="59"/>
      <c r="Q980" s="59"/>
      <c r="R980" s="61"/>
    </row>
    <row r="981">
      <c r="B981" s="59"/>
      <c r="D981" s="59"/>
      <c r="F981" s="59"/>
      <c r="H981" s="59"/>
      <c r="J981" s="59"/>
      <c r="L981" s="59"/>
      <c r="N981" s="59"/>
      <c r="Q981" s="59"/>
      <c r="R981" s="61"/>
    </row>
    <row r="982">
      <c r="B982" s="59"/>
      <c r="D982" s="59"/>
      <c r="F982" s="59"/>
      <c r="H982" s="59"/>
      <c r="J982" s="59"/>
      <c r="L982" s="59"/>
      <c r="N982" s="59"/>
      <c r="Q982" s="59"/>
      <c r="R982" s="61"/>
    </row>
    <row r="983">
      <c r="B983" s="59"/>
      <c r="D983" s="59"/>
      <c r="F983" s="59"/>
      <c r="H983" s="59"/>
      <c r="J983" s="59"/>
      <c r="L983" s="59"/>
      <c r="N983" s="59"/>
      <c r="Q983" s="59"/>
      <c r="R983" s="61"/>
    </row>
    <row r="984">
      <c r="B984" s="59"/>
      <c r="D984" s="59"/>
      <c r="F984" s="59"/>
      <c r="H984" s="59"/>
      <c r="J984" s="59"/>
      <c r="L984" s="59"/>
      <c r="N984" s="59"/>
      <c r="Q984" s="59"/>
      <c r="R984" s="61"/>
    </row>
    <row r="985">
      <c r="B985" s="59"/>
      <c r="D985" s="59"/>
      <c r="F985" s="59"/>
      <c r="H985" s="59"/>
      <c r="J985" s="59"/>
      <c r="L985" s="59"/>
      <c r="N985" s="59"/>
      <c r="Q985" s="59"/>
      <c r="R985" s="61"/>
    </row>
    <row r="986">
      <c r="B986" s="59"/>
      <c r="D986" s="59"/>
      <c r="F986" s="59"/>
      <c r="H986" s="59"/>
      <c r="J986" s="59"/>
      <c r="L986" s="59"/>
      <c r="N986" s="59"/>
      <c r="Q986" s="59"/>
      <c r="R986" s="61"/>
    </row>
    <row r="987">
      <c r="B987" s="59"/>
      <c r="D987" s="59"/>
      <c r="F987" s="59"/>
      <c r="H987" s="59"/>
      <c r="J987" s="59"/>
      <c r="L987" s="59"/>
      <c r="N987" s="59"/>
      <c r="Q987" s="59"/>
      <c r="R987" s="61"/>
    </row>
    <row r="988">
      <c r="B988" s="59"/>
      <c r="D988" s="59"/>
      <c r="F988" s="59"/>
      <c r="H988" s="59"/>
      <c r="J988" s="59"/>
      <c r="L988" s="59"/>
      <c r="N988" s="59"/>
      <c r="Q988" s="59"/>
      <c r="R988" s="61"/>
    </row>
    <row r="989">
      <c r="B989" s="59"/>
      <c r="D989" s="59"/>
      <c r="F989" s="59"/>
      <c r="H989" s="59"/>
      <c r="J989" s="59"/>
      <c r="L989" s="59"/>
      <c r="N989" s="59"/>
      <c r="Q989" s="59"/>
      <c r="R989" s="61"/>
    </row>
    <row r="990">
      <c r="B990" s="59"/>
      <c r="D990" s="59"/>
      <c r="F990" s="59"/>
      <c r="H990" s="59"/>
      <c r="J990" s="59"/>
      <c r="L990" s="59"/>
      <c r="N990" s="59"/>
      <c r="Q990" s="59"/>
      <c r="R990" s="61"/>
    </row>
    <row r="991">
      <c r="B991" s="59"/>
      <c r="D991" s="59"/>
      <c r="F991" s="59"/>
      <c r="H991" s="59"/>
      <c r="J991" s="59"/>
      <c r="L991" s="59"/>
      <c r="N991" s="59"/>
      <c r="Q991" s="59"/>
      <c r="R991" s="61"/>
    </row>
    <row r="992">
      <c r="B992" s="59"/>
      <c r="D992" s="59"/>
      <c r="F992" s="59"/>
      <c r="H992" s="59"/>
      <c r="J992" s="59"/>
      <c r="L992" s="59"/>
      <c r="N992" s="59"/>
      <c r="Q992" s="59"/>
      <c r="R992" s="61"/>
    </row>
    <row r="993">
      <c r="B993" s="59"/>
      <c r="D993" s="59"/>
      <c r="F993" s="59"/>
      <c r="H993" s="59"/>
      <c r="J993" s="59"/>
      <c r="L993" s="59"/>
      <c r="N993" s="59"/>
      <c r="Q993" s="59"/>
      <c r="R993" s="61"/>
    </row>
    <row r="994">
      <c r="B994" s="59"/>
      <c r="D994" s="59"/>
      <c r="F994" s="59"/>
      <c r="H994" s="59"/>
      <c r="J994" s="59"/>
      <c r="L994" s="59"/>
      <c r="N994" s="59"/>
      <c r="Q994" s="59"/>
      <c r="R994" s="61"/>
    </row>
    <row r="995">
      <c r="B995" s="59"/>
      <c r="D995" s="59"/>
      <c r="F995" s="59"/>
      <c r="H995" s="59"/>
      <c r="J995" s="59"/>
      <c r="L995" s="59"/>
      <c r="N995" s="59"/>
      <c r="Q995" s="59"/>
      <c r="R995" s="61"/>
    </row>
    <row r="996">
      <c r="B996" s="59"/>
      <c r="D996" s="59"/>
      <c r="F996" s="59"/>
      <c r="H996" s="59"/>
      <c r="J996" s="59"/>
      <c r="L996" s="59"/>
      <c r="N996" s="59"/>
      <c r="Q996" s="59"/>
      <c r="R996" s="61"/>
    </row>
    <row r="997">
      <c r="B997" s="59"/>
      <c r="D997" s="59"/>
      <c r="F997" s="59"/>
      <c r="H997" s="59"/>
      <c r="J997" s="59"/>
      <c r="L997" s="59"/>
      <c r="N997" s="59"/>
      <c r="Q997" s="59"/>
      <c r="R997" s="61"/>
    </row>
    <row r="998">
      <c r="B998" s="59"/>
      <c r="D998" s="59"/>
      <c r="F998" s="59"/>
      <c r="H998" s="59"/>
      <c r="J998" s="59"/>
      <c r="L998" s="59"/>
      <c r="N998" s="59"/>
      <c r="Q998" s="59"/>
      <c r="R998" s="61"/>
    </row>
    <row r="999">
      <c r="B999" s="59"/>
      <c r="D999" s="59"/>
      <c r="F999" s="59"/>
      <c r="H999" s="59"/>
      <c r="J999" s="59"/>
      <c r="L999" s="59"/>
      <c r="N999" s="59"/>
      <c r="Q999" s="59"/>
      <c r="R999" s="61"/>
    </row>
    <row r="1000">
      <c r="B1000" s="59"/>
      <c r="D1000" s="59"/>
      <c r="F1000" s="59"/>
      <c r="H1000" s="59"/>
      <c r="J1000" s="59"/>
      <c r="L1000" s="59"/>
      <c r="N1000" s="59"/>
      <c r="Q1000" s="59"/>
      <c r="R1000" s="61"/>
    </row>
  </sheetData>
  <hyperlinks>
    <hyperlink r:id="rId1" ref="P3"/>
    <hyperlink r:id="rId2" ref="P4"/>
    <hyperlink r:id="rId3" ref="P5"/>
    <hyperlink r:id="rId4" ref="P6"/>
    <hyperlink r:id="rId5" ref="P7"/>
  </hyperlinks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4.88"/>
    <col customWidth="1" min="2" max="2" width="16.75"/>
    <col customWidth="1" min="3" max="3" width="14.88"/>
    <col customWidth="1" min="5" max="5" width="20.75"/>
    <col customWidth="1" min="6" max="6" width="20.25"/>
    <col customWidth="1" min="8" max="8" width="15.63"/>
    <col customWidth="1" min="13" max="13" width="15.5"/>
    <col customWidth="1" min="15" max="15" width="21.75"/>
    <col customWidth="1" min="16" max="16" width="55.0"/>
  </cols>
  <sheetData>
    <row r="1">
      <c r="A1" s="29" t="s">
        <v>29</v>
      </c>
      <c r="B1" s="30" t="s">
        <v>30</v>
      </c>
      <c r="C1" s="31" t="s">
        <v>31</v>
      </c>
      <c r="D1" s="30" t="s">
        <v>32</v>
      </c>
      <c r="E1" s="31" t="s">
        <v>33</v>
      </c>
      <c r="F1" s="30" t="s">
        <v>34</v>
      </c>
      <c r="G1" s="31" t="s">
        <v>35</v>
      </c>
      <c r="H1" s="32" t="s">
        <v>36</v>
      </c>
      <c r="I1" s="33" t="s">
        <v>37</v>
      </c>
      <c r="J1" s="30" t="s">
        <v>38</v>
      </c>
      <c r="K1" s="33" t="s">
        <v>39</v>
      </c>
      <c r="L1" s="30" t="s">
        <v>38</v>
      </c>
      <c r="M1" s="31" t="s">
        <v>40</v>
      </c>
      <c r="N1" s="30" t="s">
        <v>41</v>
      </c>
      <c r="O1" s="176" t="s">
        <v>460</v>
      </c>
      <c r="P1" s="31" t="s">
        <v>42</v>
      </c>
      <c r="Q1" s="34" t="s">
        <v>43</v>
      </c>
      <c r="R1" s="35">
        <f>SUM(H2:H26)</f>
        <v>12812.76</v>
      </c>
    </row>
    <row r="2">
      <c r="A2" s="178" t="s">
        <v>494</v>
      </c>
      <c r="B2" s="59"/>
      <c r="C2" s="179"/>
      <c r="D2" s="61"/>
      <c r="E2" s="169" t="s">
        <v>161</v>
      </c>
      <c r="F2" s="81" t="s">
        <v>161</v>
      </c>
      <c r="G2" s="18">
        <v>370.0</v>
      </c>
      <c r="H2" s="18">
        <v>370.0</v>
      </c>
      <c r="J2" s="59"/>
      <c r="K2" s="17" t="s">
        <v>495</v>
      </c>
      <c r="L2" s="59"/>
      <c r="M2" s="17" t="s">
        <v>496</v>
      </c>
      <c r="N2" s="59"/>
      <c r="O2" s="180">
        <v>2162899.0</v>
      </c>
      <c r="Q2" s="59"/>
      <c r="R2" s="61"/>
    </row>
    <row r="3">
      <c r="A3" s="17" t="s">
        <v>497</v>
      </c>
      <c r="B3" s="59"/>
      <c r="C3" s="179"/>
      <c r="D3" s="59"/>
      <c r="E3" s="61"/>
      <c r="F3" s="59"/>
      <c r="G3" s="181"/>
      <c r="H3" s="60"/>
      <c r="J3" s="59"/>
      <c r="L3" s="59"/>
      <c r="N3" s="59"/>
      <c r="O3" s="158">
        <v>2160328.0</v>
      </c>
      <c r="Q3" s="59"/>
      <c r="R3" s="61"/>
    </row>
    <row r="4">
      <c r="A4" s="17" t="s">
        <v>498</v>
      </c>
      <c r="B4" s="59"/>
      <c r="C4" s="179"/>
      <c r="D4" s="59"/>
      <c r="E4" s="61"/>
      <c r="F4" s="59"/>
      <c r="G4" s="19">
        <v>2.48</v>
      </c>
      <c r="H4" s="18">
        <v>2.48</v>
      </c>
      <c r="J4" s="59"/>
      <c r="L4" s="59"/>
      <c r="M4" s="17">
        <v>4709244.0</v>
      </c>
      <c r="N4" s="59"/>
      <c r="P4" s="17" t="s">
        <v>499</v>
      </c>
      <c r="Q4" s="59"/>
      <c r="R4" s="61"/>
    </row>
    <row r="5">
      <c r="A5" s="17" t="s">
        <v>500</v>
      </c>
      <c r="B5" s="59"/>
      <c r="C5" s="179"/>
      <c r="D5" s="59"/>
      <c r="E5" s="61"/>
      <c r="F5" s="59"/>
      <c r="G5" s="19">
        <v>1085.93</v>
      </c>
      <c r="H5" s="19">
        <v>1085.93</v>
      </c>
      <c r="J5" s="59"/>
      <c r="L5" s="59"/>
      <c r="M5" s="17">
        <v>7.30492302E8</v>
      </c>
      <c r="N5" s="59"/>
      <c r="Q5" s="59"/>
      <c r="R5" s="61"/>
    </row>
    <row r="6">
      <c r="A6" s="17" t="s">
        <v>501</v>
      </c>
      <c r="B6" s="142" t="s">
        <v>502</v>
      </c>
      <c r="C6" s="80" t="s">
        <v>244</v>
      </c>
      <c r="D6" s="81">
        <v>1.0</v>
      </c>
      <c r="E6" s="169" t="s">
        <v>503</v>
      </c>
      <c r="F6" s="81" t="s">
        <v>208</v>
      </c>
      <c r="G6" s="19">
        <v>650.75</v>
      </c>
      <c r="H6" s="19">
        <v>650.75</v>
      </c>
      <c r="I6" s="17" t="s">
        <v>504</v>
      </c>
      <c r="J6" s="81" t="s">
        <v>185</v>
      </c>
      <c r="K6" s="17" t="s">
        <v>505</v>
      </c>
      <c r="L6" s="81" t="s">
        <v>83</v>
      </c>
      <c r="M6" s="17">
        <v>4721414.0</v>
      </c>
      <c r="N6" s="81">
        <v>4.0</v>
      </c>
      <c r="O6" s="158">
        <v>2168970.0</v>
      </c>
      <c r="P6" s="86" t="s">
        <v>506</v>
      </c>
      <c r="Q6" s="59"/>
      <c r="R6" s="61"/>
    </row>
    <row r="7">
      <c r="A7" s="17" t="s">
        <v>507</v>
      </c>
      <c r="B7" s="142" t="s">
        <v>508</v>
      </c>
      <c r="C7" s="80" t="s">
        <v>217</v>
      </c>
      <c r="D7" s="81">
        <v>1.0</v>
      </c>
      <c r="E7" s="169" t="s">
        <v>503</v>
      </c>
      <c r="F7" s="81" t="s">
        <v>208</v>
      </c>
      <c r="G7" s="19">
        <v>557.65</v>
      </c>
      <c r="H7" s="19">
        <v>557.65</v>
      </c>
      <c r="I7" s="17" t="s">
        <v>504</v>
      </c>
      <c r="J7" s="81" t="s">
        <v>185</v>
      </c>
      <c r="K7" s="17" t="s">
        <v>505</v>
      </c>
      <c r="L7" s="81" t="s">
        <v>83</v>
      </c>
      <c r="M7" s="17">
        <v>4721414.0</v>
      </c>
      <c r="N7" s="81">
        <v>4.0</v>
      </c>
      <c r="O7" s="158">
        <v>2168970.0</v>
      </c>
      <c r="P7" s="86" t="s">
        <v>509</v>
      </c>
      <c r="Q7" s="59"/>
      <c r="R7" s="61"/>
    </row>
    <row r="8">
      <c r="A8" s="182" t="s">
        <v>510</v>
      </c>
      <c r="B8" s="142" t="s">
        <v>269</v>
      </c>
      <c r="C8" s="80" t="s">
        <v>217</v>
      </c>
      <c r="D8" s="81">
        <v>1.0</v>
      </c>
      <c r="E8" s="169" t="s">
        <v>503</v>
      </c>
      <c r="F8" s="81" t="s">
        <v>208</v>
      </c>
      <c r="G8" s="19">
        <v>701.1</v>
      </c>
      <c r="H8" s="19">
        <v>701.1</v>
      </c>
      <c r="I8" s="17" t="s">
        <v>504</v>
      </c>
      <c r="J8" s="81" t="s">
        <v>511</v>
      </c>
      <c r="K8" s="17" t="s">
        <v>505</v>
      </c>
      <c r="L8" s="81" t="s">
        <v>83</v>
      </c>
      <c r="M8" s="17">
        <v>4721414.0</v>
      </c>
      <c r="N8" s="81">
        <v>4.0</v>
      </c>
      <c r="O8" s="158">
        <v>2168970.0</v>
      </c>
      <c r="P8" s="86" t="s">
        <v>512</v>
      </c>
      <c r="Q8" s="59"/>
      <c r="R8" s="61"/>
    </row>
    <row r="9">
      <c r="A9" s="17" t="s">
        <v>513</v>
      </c>
      <c r="B9" s="142" t="s">
        <v>514</v>
      </c>
      <c r="C9" s="80" t="s">
        <v>217</v>
      </c>
      <c r="D9" s="81">
        <v>1.0</v>
      </c>
      <c r="E9" s="169" t="s">
        <v>503</v>
      </c>
      <c r="F9" s="81" t="s">
        <v>208</v>
      </c>
      <c r="G9" s="19">
        <v>619.4</v>
      </c>
      <c r="H9" s="19">
        <v>619.4</v>
      </c>
      <c r="I9" s="17" t="s">
        <v>504</v>
      </c>
      <c r="J9" s="81" t="s">
        <v>511</v>
      </c>
      <c r="K9" s="17" t="s">
        <v>505</v>
      </c>
      <c r="L9" s="81" t="s">
        <v>83</v>
      </c>
      <c r="M9" s="17">
        <v>4721414.0</v>
      </c>
      <c r="N9" s="81">
        <v>4.0</v>
      </c>
      <c r="O9" s="158">
        <v>2168970.0</v>
      </c>
      <c r="P9" s="86" t="s">
        <v>515</v>
      </c>
      <c r="Q9" s="59"/>
      <c r="R9" s="61"/>
    </row>
    <row r="10">
      <c r="A10" s="17" t="s">
        <v>516</v>
      </c>
      <c r="B10" s="142" t="s">
        <v>243</v>
      </c>
      <c r="C10" s="80" t="s">
        <v>217</v>
      </c>
      <c r="D10" s="81">
        <v>1.0</v>
      </c>
      <c r="E10" s="169" t="s">
        <v>503</v>
      </c>
      <c r="F10" s="81" t="s">
        <v>208</v>
      </c>
      <c r="G10" s="19">
        <v>610.85</v>
      </c>
      <c r="H10" s="19">
        <v>610.85</v>
      </c>
      <c r="I10" s="17" t="s">
        <v>504</v>
      </c>
      <c r="J10" s="81" t="s">
        <v>511</v>
      </c>
      <c r="K10" s="17" t="s">
        <v>505</v>
      </c>
      <c r="L10" s="81" t="s">
        <v>83</v>
      </c>
      <c r="M10" s="17">
        <v>4721414.0</v>
      </c>
      <c r="N10" s="81">
        <v>4.0</v>
      </c>
      <c r="O10" s="158">
        <v>2168970.0</v>
      </c>
      <c r="P10" s="86" t="s">
        <v>517</v>
      </c>
      <c r="Q10" s="59"/>
      <c r="R10" s="61"/>
    </row>
    <row r="11">
      <c r="A11" s="17" t="s">
        <v>518</v>
      </c>
      <c r="B11" s="142" t="s">
        <v>519</v>
      </c>
      <c r="C11" s="80" t="s">
        <v>217</v>
      </c>
      <c r="D11" s="81">
        <v>1.0</v>
      </c>
      <c r="E11" s="169" t="s">
        <v>503</v>
      </c>
      <c r="F11" s="81" t="s">
        <v>208</v>
      </c>
      <c r="G11" s="19">
        <v>619.85</v>
      </c>
      <c r="H11" s="19">
        <v>619.85</v>
      </c>
      <c r="I11" s="17" t="s">
        <v>504</v>
      </c>
      <c r="J11" s="81" t="s">
        <v>511</v>
      </c>
      <c r="K11" s="17" t="s">
        <v>505</v>
      </c>
      <c r="L11" s="81" t="s">
        <v>83</v>
      </c>
      <c r="M11" s="17">
        <v>4721414.0</v>
      </c>
      <c r="N11" s="81">
        <v>4.0</v>
      </c>
      <c r="O11" s="158">
        <v>2168970.0</v>
      </c>
      <c r="P11" s="86" t="s">
        <v>520</v>
      </c>
      <c r="Q11" s="59"/>
      <c r="R11" s="61"/>
    </row>
    <row r="12">
      <c r="A12" s="17" t="s">
        <v>521</v>
      </c>
      <c r="B12" s="183">
        <v>14105.0</v>
      </c>
      <c r="C12" s="80" t="s">
        <v>217</v>
      </c>
      <c r="D12" s="81">
        <v>1.0</v>
      </c>
      <c r="E12" s="169" t="s">
        <v>503</v>
      </c>
      <c r="F12" s="81" t="s">
        <v>208</v>
      </c>
      <c r="G12" s="19">
        <v>610.85</v>
      </c>
      <c r="H12" s="19">
        <v>610.85</v>
      </c>
      <c r="I12" s="17" t="s">
        <v>504</v>
      </c>
      <c r="J12" s="81" t="s">
        <v>511</v>
      </c>
      <c r="K12" s="17" t="s">
        <v>505</v>
      </c>
      <c r="L12" s="81" t="s">
        <v>83</v>
      </c>
      <c r="M12" s="17">
        <v>4721414.0</v>
      </c>
      <c r="N12" s="81">
        <v>4.0</v>
      </c>
      <c r="O12" s="158">
        <v>2168970.0</v>
      </c>
      <c r="P12" s="86" t="s">
        <v>522</v>
      </c>
      <c r="Q12" s="59"/>
      <c r="R12" s="61"/>
    </row>
    <row r="13">
      <c r="A13" s="17" t="s">
        <v>523</v>
      </c>
      <c r="B13" s="142" t="s">
        <v>524</v>
      </c>
      <c r="C13" s="80" t="s">
        <v>217</v>
      </c>
      <c r="D13" s="81">
        <v>1.0</v>
      </c>
      <c r="E13" s="169" t="s">
        <v>503</v>
      </c>
      <c r="F13" s="81" t="s">
        <v>208</v>
      </c>
      <c r="G13" s="19">
        <v>619.4</v>
      </c>
      <c r="H13" s="19">
        <v>619.4</v>
      </c>
      <c r="I13" s="17" t="s">
        <v>504</v>
      </c>
      <c r="J13" s="81" t="s">
        <v>511</v>
      </c>
      <c r="K13" s="17" t="s">
        <v>505</v>
      </c>
      <c r="L13" s="81" t="s">
        <v>83</v>
      </c>
      <c r="M13" s="17">
        <v>4721414.0</v>
      </c>
      <c r="N13" s="81">
        <v>4.0</v>
      </c>
      <c r="O13" s="158">
        <v>2168970.0</v>
      </c>
      <c r="P13" s="86" t="s">
        <v>525</v>
      </c>
      <c r="Q13" s="59"/>
      <c r="R13" s="61"/>
    </row>
    <row r="14">
      <c r="A14" s="17" t="s">
        <v>526</v>
      </c>
      <c r="B14" s="142" t="s">
        <v>527</v>
      </c>
      <c r="C14" s="184" t="s">
        <v>528</v>
      </c>
      <c r="D14" s="81">
        <v>1.0</v>
      </c>
      <c r="E14" s="169" t="s">
        <v>529</v>
      </c>
      <c r="F14" s="81" t="s">
        <v>208</v>
      </c>
      <c r="G14" s="19">
        <v>390.0</v>
      </c>
      <c r="H14" s="19">
        <v>390.0</v>
      </c>
      <c r="I14" s="17" t="s">
        <v>530</v>
      </c>
      <c r="J14" s="81" t="s">
        <v>511</v>
      </c>
      <c r="K14" s="17" t="s">
        <v>531</v>
      </c>
      <c r="L14" s="81" t="s">
        <v>83</v>
      </c>
      <c r="M14" s="17">
        <v>4721414.0</v>
      </c>
      <c r="N14" s="59"/>
      <c r="O14" s="158">
        <v>2170604.0</v>
      </c>
      <c r="P14" s="86" t="s">
        <v>532</v>
      </c>
      <c r="Q14" s="59"/>
      <c r="R14" s="61"/>
    </row>
    <row r="15">
      <c r="A15" s="17" t="s">
        <v>533</v>
      </c>
      <c r="B15" s="142" t="s">
        <v>534</v>
      </c>
      <c r="C15" s="184" t="s">
        <v>528</v>
      </c>
      <c r="D15" s="81">
        <v>1.0</v>
      </c>
      <c r="E15" s="169" t="s">
        <v>529</v>
      </c>
      <c r="F15" s="81" t="s">
        <v>208</v>
      </c>
      <c r="G15" s="19">
        <v>390.0</v>
      </c>
      <c r="H15" s="19">
        <v>390.0</v>
      </c>
      <c r="I15" s="17" t="s">
        <v>530</v>
      </c>
      <c r="J15" s="81" t="s">
        <v>511</v>
      </c>
      <c r="K15" s="17" t="s">
        <v>535</v>
      </c>
      <c r="L15" s="81" t="s">
        <v>83</v>
      </c>
      <c r="M15" s="17">
        <v>4721414.0</v>
      </c>
      <c r="N15" s="59"/>
      <c r="O15" s="158">
        <v>2174640.0</v>
      </c>
      <c r="P15" s="86" t="s">
        <v>536</v>
      </c>
      <c r="Q15" s="59"/>
      <c r="R15" s="61"/>
    </row>
    <row r="16">
      <c r="A16" s="17" t="s">
        <v>537</v>
      </c>
      <c r="B16" s="142" t="s">
        <v>538</v>
      </c>
      <c r="C16" s="184" t="s">
        <v>528</v>
      </c>
      <c r="D16" s="81">
        <v>1.0</v>
      </c>
      <c r="E16" s="169" t="s">
        <v>529</v>
      </c>
      <c r="F16" s="81" t="s">
        <v>208</v>
      </c>
      <c r="G16" s="19">
        <v>390.0</v>
      </c>
      <c r="H16" s="19">
        <v>390.0</v>
      </c>
      <c r="I16" s="17" t="s">
        <v>530</v>
      </c>
      <c r="J16" s="81" t="s">
        <v>511</v>
      </c>
      <c r="K16" s="17" t="s">
        <v>531</v>
      </c>
      <c r="L16" s="81" t="s">
        <v>83</v>
      </c>
      <c r="M16" s="17">
        <v>4721414.0</v>
      </c>
      <c r="N16" s="158"/>
      <c r="O16" s="158">
        <v>2170604.0</v>
      </c>
      <c r="P16" s="86" t="s">
        <v>539</v>
      </c>
      <c r="Q16" s="59"/>
      <c r="R16" s="61"/>
    </row>
    <row r="17">
      <c r="A17" s="169" t="s">
        <v>540</v>
      </c>
      <c r="B17" s="142" t="s">
        <v>541</v>
      </c>
      <c r="C17" s="184" t="s">
        <v>528</v>
      </c>
      <c r="D17" s="81">
        <v>1.0</v>
      </c>
      <c r="E17" s="169" t="s">
        <v>529</v>
      </c>
      <c r="F17" s="81" t="s">
        <v>208</v>
      </c>
      <c r="G17" s="19">
        <v>390.0</v>
      </c>
      <c r="H17" s="19">
        <v>390.0</v>
      </c>
      <c r="I17" s="17" t="s">
        <v>530</v>
      </c>
      <c r="J17" s="81" t="s">
        <v>511</v>
      </c>
      <c r="K17" s="17" t="s">
        <v>535</v>
      </c>
      <c r="L17" s="81" t="s">
        <v>83</v>
      </c>
      <c r="M17" s="17">
        <v>4721414.0</v>
      </c>
      <c r="N17" s="59"/>
      <c r="O17" s="158">
        <v>2174640.0</v>
      </c>
      <c r="P17" s="86" t="s">
        <v>542</v>
      </c>
      <c r="Q17" s="59"/>
      <c r="R17" s="61"/>
    </row>
    <row r="18">
      <c r="A18" s="169" t="s">
        <v>543</v>
      </c>
      <c r="B18" s="185" t="s">
        <v>544</v>
      </c>
      <c r="C18" s="80" t="s">
        <v>545</v>
      </c>
      <c r="D18" s="81">
        <v>1.0</v>
      </c>
      <c r="E18" s="169" t="s">
        <v>468</v>
      </c>
      <c r="F18" s="169" t="s">
        <v>468</v>
      </c>
      <c r="G18" s="19">
        <v>571.5</v>
      </c>
      <c r="H18" s="19">
        <v>571.5</v>
      </c>
      <c r="I18" s="17" t="s">
        <v>546</v>
      </c>
      <c r="J18" s="81" t="s">
        <v>511</v>
      </c>
      <c r="K18" s="17" t="s">
        <v>547</v>
      </c>
      <c r="L18" s="81" t="s">
        <v>548</v>
      </c>
      <c r="M18" s="17">
        <v>4709138.0</v>
      </c>
      <c r="N18" s="59"/>
      <c r="O18" s="158">
        <v>2179307.0</v>
      </c>
      <c r="P18" s="86" t="s">
        <v>549</v>
      </c>
      <c r="Q18" s="59"/>
      <c r="R18" s="61"/>
    </row>
    <row r="19">
      <c r="A19" s="186" t="s">
        <v>550</v>
      </c>
      <c r="B19" s="142" t="s">
        <v>551</v>
      </c>
      <c r="C19" s="80" t="s">
        <v>545</v>
      </c>
      <c r="D19" s="81">
        <v>1.0</v>
      </c>
      <c r="E19" s="169" t="s">
        <v>468</v>
      </c>
      <c r="F19" s="169" t="s">
        <v>468</v>
      </c>
      <c r="G19" s="19">
        <v>576.0</v>
      </c>
      <c r="H19" s="19">
        <v>576.0</v>
      </c>
      <c r="I19" s="17" t="s">
        <v>546</v>
      </c>
      <c r="J19" s="81" t="s">
        <v>511</v>
      </c>
      <c r="K19" s="17" t="s">
        <v>552</v>
      </c>
      <c r="L19" s="59"/>
      <c r="M19" s="17">
        <v>4721414.0</v>
      </c>
      <c r="N19" s="59"/>
      <c r="P19" s="86" t="s">
        <v>553</v>
      </c>
      <c r="Q19" s="59"/>
      <c r="R19" s="61"/>
    </row>
    <row r="20">
      <c r="A20" s="169" t="s">
        <v>554</v>
      </c>
      <c r="B20" s="142" t="s">
        <v>555</v>
      </c>
      <c r="C20" s="80" t="s">
        <v>545</v>
      </c>
      <c r="D20" s="81">
        <v>1.0</v>
      </c>
      <c r="E20" s="169" t="s">
        <v>468</v>
      </c>
      <c r="F20" s="169" t="s">
        <v>468</v>
      </c>
      <c r="G20" s="19">
        <v>549.0</v>
      </c>
      <c r="H20" s="19">
        <v>549.0</v>
      </c>
      <c r="I20" s="17" t="s">
        <v>546</v>
      </c>
      <c r="J20" s="81" t="s">
        <v>511</v>
      </c>
      <c r="K20" s="17" t="s">
        <v>556</v>
      </c>
      <c r="L20" s="81" t="s">
        <v>511</v>
      </c>
      <c r="M20" s="17" t="s">
        <v>557</v>
      </c>
      <c r="N20" s="59"/>
      <c r="O20" s="187">
        <v>2244274.0</v>
      </c>
      <c r="P20" s="86" t="s">
        <v>558</v>
      </c>
      <c r="Q20" s="59"/>
      <c r="R20" s="61"/>
    </row>
    <row r="21">
      <c r="A21" s="17" t="s">
        <v>559</v>
      </c>
      <c r="B21" s="142" t="s">
        <v>560</v>
      </c>
      <c r="C21" s="80" t="s">
        <v>545</v>
      </c>
      <c r="D21" s="81">
        <v>1.0</v>
      </c>
      <c r="E21" s="169" t="s">
        <v>468</v>
      </c>
      <c r="F21" s="169" t="s">
        <v>468</v>
      </c>
      <c r="G21" s="19">
        <v>562.5</v>
      </c>
      <c r="H21" s="19">
        <v>562.5</v>
      </c>
      <c r="I21" s="17" t="s">
        <v>546</v>
      </c>
      <c r="J21" s="81" t="s">
        <v>511</v>
      </c>
      <c r="K21" s="17" t="s">
        <v>561</v>
      </c>
      <c r="L21" s="81" t="s">
        <v>406</v>
      </c>
      <c r="M21" s="17" t="s">
        <v>557</v>
      </c>
      <c r="N21" s="59"/>
      <c r="O21" s="187">
        <v>2244274.0</v>
      </c>
      <c r="P21" s="86" t="s">
        <v>562</v>
      </c>
      <c r="Q21" s="59"/>
      <c r="R21" s="61"/>
    </row>
    <row r="22">
      <c r="A22" s="17" t="s">
        <v>563</v>
      </c>
      <c r="B22" s="142" t="s">
        <v>564</v>
      </c>
      <c r="C22" s="80" t="s">
        <v>545</v>
      </c>
      <c r="D22" s="81">
        <v>1.0</v>
      </c>
      <c r="E22" s="169" t="s">
        <v>468</v>
      </c>
      <c r="F22" s="169" t="s">
        <v>468</v>
      </c>
      <c r="G22" s="19">
        <v>576.0</v>
      </c>
      <c r="H22" s="19">
        <v>576.0</v>
      </c>
      <c r="I22" s="17" t="s">
        <v>546</v>
      </c>
      <c r="J22" s="81" t="s">
        <v>511</v>
      </c>
      <c r="K22" s="17" t="s">
        <v>565</v>
      </c>
      <c r="L22" s="81" t="s">
        <v>241</v>
      </c>
      <c r="M22" s="17" t="s">
        <v>557</v>
      </c>
      <c r="N22" s="59"/>
      <c r="O22" s="178">
        <v>2177609.0</v>
      </c>
      <c r="P22" s="86" t="s">
        <v>566</v>
      </c>
      <c r="Q22" s="59"/>
      <c r="R22" s="61"/>
    </row>
    <row r="23">
      <c r="A23" s="17" t="s">
        <v>567</v>
      </c>
      <c r="B23" s="142" t="s">
        <v>568</v>
      </c>
      <c r="C23" s="80" t="s">
        <v>545</v>
      </c>
      <c r="D23" s="81">
        <v>1.0</v>
      </c>
      <c r="E23" s="169" t="s">
        <v>468</v>
      </c>
      <c r="F23" s="169" t="s">
        <v>468</v>
      </c>
      <c r="G23" s="19">
        <v>576.0</v>
      </c>
      <c r="H23" s="19">
        <v>576.0</v>
      </c>
      <c r="I23" s="17" t="s">
        <v>546</v>
      </c>
      <c r="J23" s="81" t="s">
        <v>511</v>
      </c>
      <c r="K23" s="17" t="s">
        <v>561</v>
      </c>
      <c r="L23" s="81" t="s">
        <v>511</v>
      </c>
      <c r="M23" s="17">
        <v>4709138.0</v>
      </c>
      <c r="N23" s="59"/>
      <c r="O23" s="187">
        <v>2244274.0</v>
      </c>
      <c r="P23" s="86" t="s">
        <v>569</v>
      </c>
      <c r="Q23" s="59"/>
      <c r="R23" s="61"/>
    </row>
    <row r="24">
      <c r="A24" s="17" t="s">
        <v>570</v>
      </c>
      <c r="B24" s="142" t="s">
        <v>571</v>
      </c>
      <c r="C24" s="80" t="s">
        <v>545</v>
      </c>
      <c r="D24" s="81">
        <v>1.0</v>
      </c>
      <c r="E24" s="169" t="s">
        <v>468</v>
      </c>
      <c r="F24" s="169" t="s">
        <v>468</v>
      </c>
      <c r="G24" s="19">
        <v>580.5</v>
      </c>
      <c r="H24" s="169">
        <v>580.5</v>
      </c>
      <c r="I24" s="17" t="s">
        <v>546</v>
      </c>
      <c r="J24" s="81" t="s">
        <v>511</v>
      </c>
      <c r="K24" s="17" t="s">
        <v>561</v>
      </c>
      <c r="L24" s="81" t="s">
        <v>511</v>
      </c>
      <c r="M24" s="17" t="s">
        <v>557</v>
      </c>
      <c r="N24" s="59"/>
      <c r="O24" s="187">
        <v>2244274.0</v>
      </c>
      <c r="P24" s="86" t="s">
        <v>572</v>
      </c>
      <c r="Q24" s="59"/>
      <c r="R24" s="61"/>
    </row>
    <row r="25">
      <c r="A25" s="17" t="s">
        <v>573</v>
      </c>
      <c r="B25" s="142" t="s">
        <v>574</v>
      </c>
      <c r="C25" s="80" t="s">
        <v>263</v>
      </c>
      <c r="D25" s="81">
        <v>1.0</v>
      </c>
      <c r="E25" s="169" t="s">
        <v>468</v>
      </c>
      <c r="F25" s="169" t="s">
        <v>468</v>
      </c>
      <c r="G25" s="19">
        <v>513.0</v>
      </c>
      <c r="H25" s="169">
        <v>513.0</v>
      </c>
      <c r="I25" s="17" t="s">
        <v>546</v>
      </c>
      <c r="J25" s="81" t="s">
        <v>511</v>
      </c>
      <c r="K25" s="17" t="s">
        <v>561</v>
      </c>
      <c r="L25" s="81" t="s">
        <v>511</v>
      </c>
      <c r="M25" s="17" t="s">
        <v>557</v>
      </c>
      <c r="N25" s="59"/>
      <c r="O25" s="188">
        <v>2244274.0</v>
      </c>
      <c r="P25" s="86" t="s">
        <v>575</v>
      </c>
      <c r="Q25" s="59"/>
      <c r="R25" s="61"/>
    </row>
    <row r="26">
      <c r="A26" s="17" t="s">
        <v>576</v>
      </c>
      <c r="B26" s="183">
        <v>301910.0</v>
      </c>
      <c r="C26" s="80" t="s">
        <v>577</v>
      </c>
      <c r="D26" s="81">
        <v>1.0</v>
      </c>
      <c r="E26" s="169" t="s">
        <v>578</v>
      </c>
      <c r="F26" s="81" t="s">
        <v>579</v>
      </c>
      <c r="G26" s="19">
        <v>300.0</v>
      </c>
      <c r="H26" s="19">
        <v>300.0</v>
      </c>
      <c r="I26" s="17" t="s">
        <v>546</v>
      </c>
      <c r="J26" s="81" t="s">
        <v>511</v>
      </c>
      <c r="K26" s="17" t="s">
        <v>505</v>
      </c>
      <c r="L26" s="81" t="s">
        <v>83</v>
      </c>
      <c r="M26" s="17">
        <v>4721414.0</v>
      </c>
      <c r="N26" s="81">
        <v>4.0</v>
      </c>
      <c r="O26" s="158">
        <v>2170181.0</v>
      </c>
      <c r="P26" s="86" t="s">
        <v>580</v>
      </c>
      <c r="Q26" s="59"/>
      <c r="R26" s="61"/>
    </row>
    <row r="27">
      <c r="A27" s="169" t="s">
        <v>581</v>
      </c>
      <c r="B27" s="183">
        <v>304114.0</v>
      </c>
      <c r="C27" s="80" t="s">
        <v>582</v>
      </c>
      <c r="D27" s="81">
        <v>1.0</v>
      </c>
      <c r="E27" s="169" t="s">
        <v>578</v>
      </c>
      <c r="F27" s="81" t="s">
        <v>579</v>
      </c>
      <c r="G27" s="19">
        <v>300.0</v>
      </c>
      <c r="H27" s="19">
        <v>300.0</v>
      </c>
      <c r="I27" s="17" t="s">
        <v>546</v>
      </c>
      <c r="J27" s="81" t="s">
        <v>511</v>
      </c>
      <c r="K27" s="17" t="s">
        <v>583</v>
      </c>
      <c r="L27" s="81" t="s">
        <v>83</v>
      </c>
      <c r="M27" s="17">
        <v>4721414.0</v>
      </c>
      <c r="N27" s="81">
        <v>4.0</v>
      </c>
      <c r="O27" s="158">
        <v>2168726.0</v>
      </c>
      <c r="P27" s="86" t="s">
        <v>584</v>
      </c>
      <c r="Q27" s="59"/>
      <c r="R27" s="61"/>
    </row>
    <row r="28">
      <c r="A28" s="169" t="s">
        <v>585</v>
      </c>
      <c r="B28" s="142" t="s">
        <v>586</v>
      </c>
      <c r="C28" s="80" t="s">
        <v>587</v>
      </c>
      <c r="D28" s="81">
        <v>1.0</v>
      </c>
      <c r="E28" s="169" t="s">
        <v>588</v>
      </c>
      <c r="F28" s="81" t="s">
        <v>589</v>
      </c>
      <c r="G28" s="19">
        <v>65.0</v>
      </c>
      <c r="H28" s="19">
        <v>65.0</v>
      </c>
      <c r="I28" s="17" t="s">
        <v>546</v>
      </c>
      <c r="J28" s="81" t="s">
        <v>511</v>
      </c>
      <c r="K28" s="17" t="s">
        <v>590</v>
      </c>
      <c r="L28" s="81" t="s">
        <v>83</v>
      </c>
      <c r="M28" s="17">
        <v>4721414.0</v>
      </c>
      <c r="N28" s="59"/>
      <c r="O28" s="17">
        <v>2170591.0</v>
      </c>
      <c r="P28" s="86" t="s">
        <v>591</v>
      </c>
      <c r="Q28" s="59"/>
      <c r="R28" s="61"/>
    </row>
    <row r="29">
      <c r="A29" s="189" t="s">
        <v>313</v>
      </c>
      <c r="B29" s="190">
        <v>142238.0</v>
      </c>
      <c r="C29" s="179"/>
      <c r="D29" s="81">
        <v>1.0</v>
      </c>
      <c r="E29" s="169" t="s">
        <v>312</v>
      </c>
      <c r="F29" s="81" t="s">
        <v>102</v>
      </c>
      <c r="G29" s="19">
        <v>19.99</v>
      </c>
      <c r="H29" s="19">
        <v>19.99</v>
      </c>
      <c r="I29" s="17" t="s">
        <v>592</v>
      </c>
      <c r="J29" s="81" t="s">
        <v>83</v>
      </c>
      <c r="K29" s="17" t="s">
        <v>565</v>
      </c>
      <c r="L29" s="81" t="s">
        <v>83</v>
      </c>
      <c r="M29" s="17">
        <v>4100466.0</v>
      </c>
      <c r="N29" s="59"/>
      <c r="O29" s="158">
        <v>2187605.0</v>
      </c>
      <c r="P29" s="86" t="s">
        <v>593</v>
      </c>
      <c r="Q29" s="59"/>
      <c r="R29" s="61"/>
    </row>
    <row r="30">
      <c r="A30" s="191" t="s">
        <v>310</v>
      </c>
      <c r="B30" s="183">
        <v>194915.0</v>
      </c>
      <c r="C30" s="179"/>
      <c r="D30" s="81">
        <v>1.0</v>
      </c>
      <c r="E30" s="169" t="s">
        <v>312</v>
      </c>
      <c r="F30" s="81" t="s">
        <v>102</v>
      </c>
      <c r="G30" s="19">
        <v>34.99</v>
      </c>
      <c r="H30" s="19">
        <v>34.99</v>
      </c>
      <c r="I30" s="17" t="s">
        <v>592</v>
      </c>
      <c r="J30" s="81" t="s">
        <v>83</v>
      </c>
      <c r="K30" s="17" t="s">
        <v>565</v>
      </c>
      <c r="L30" s="81" t="s">
        <v>83</v>
      </c>
      <c r="M30" s="17">
        <v>4100466.0</v>
      </c>
      <c r="N30" s="59"/>
      <c r="O30" s="158">
        <v>2187605.0</v>
      </c>
      <c r="P30" s="86" t="s">
        <v>594</v>
      </c>
      <c r="Q30" s="59"/>
      <c r="R30" s="61"/>
    </row>
    <row r="31">
      <c r="A31" s="191" t="s">
        <v>595</v>
      </c>
      <c r="B31" s="183">
        <v>418715.0</v>
      </c>
      <c r="C31" s="61"/>
      <c r="D31" s="81">
        <v>2.0</v>
      </c>
      <c r="E31" s="169" t="s">
        <v>596</v>
      </c>
      <c r="F31" s="81" t="s">
        <v>102</v>
      </c>
      <c r="G31" s="19">
        <v>59.99</v>
      </c>
      <c r="H31" s="19">
        <f t="shared" ref="H31:H32" si="1">G31*2</f>
        <v>119.98</v>
      </c>
      <c r="I31" s="17" t="s">
        <v>592</v>
      </c>
      <c r="J31" s="81" t="s">
        <v>83</v>
      </c>
      <c r="K31" s="17" t="s">
        <v>565</v>
      </c>
      <c r="L31" s="81" t="s">
        <v>83</v>
      </c>
      <c r="M31" s="17">
        <v>4100466.0</v>
      </c>
      <c r="N31" s="59"/>
      <c r="O31" s="158">
        <v>2187605.0</v>
      </c>
      <c r="P31" s="86" t="s">
        <v>597</v>
      </c>
      <c r="Q31" s="59"/>
      <c r="R31" s="61"/>
    </row>
    <row r="32">
      <c r="A32" s="191" t="s">
        <v>598</v>
      </c>
      <c r="B32" s="183">
        <v>519326.0</v>
      </c>
      <c r="C32" s="61"/>
      <c r="D32" s="81">
        <v>2.0</v>
      </c>
      <c r="E32" s="169" t="s">
        <v>599</v>
      </c>
      <c r="F32" s="81" t="s">
        <v>102</v>
      </c>
      <c r="G32" s="19">
        <v>49.99</v>
      </c>
      <c r="H32" s="19">
        <f t="shared" si="1"/>
        <v>99.98</v>
      </c>
      <c r="I32" s="17" t="s">
        <v>592</v>
      </c>
      <c r="J32" s="81" t="s">
        <v>83</v>
      </c>
      <c r="K32" s="17" t="s">
        <v>565</v>
      </c>
      <c r="L32" s="81" t="s">
        <v>83</v>
      </c>
      <c r="M32" s="17">
        <v>4100466.0</v>
      </c>
      <c r="N32" s="59"/>
      <c r="O32" s="158">
        <v>2187605.0</v>
      </c>
      <c r="P32" s="86" t="s">
        <v>600</v>
      </c>
      <c r="Q32" s="59"/>
      <c r="R32" s="61"/>
    </row>
    <row r="33">
      <c r="A33" s="189" t="s">
        <v>306</v>
      </c>
      <c r="B33" s="183">
        <v>641041.0</v>
      </c>
      <c r="C33" s="61"/>
      <c r="D33" s="81">
        <v>1.0</v>
      </c>
      <c r="E33" s="17" t="s">
        <v>309</v>
      </c>
      <c r="F33" s="81" t="s">
        <v>102</v>
      </c>
      <c r="G33" s="19">
        <v>144.99</v>
      </c>
      <c r="H33" s="19">
        <v>144.99</v>
      </c>
      <c r="I33" s="17" t="s">
        <v>592</v>
      </c>
      <c r="J33" s="81" t="s">
        <v>83</v>
      </c>
      <c r="K33" s="17" t="s">
        <v>565</v>
      </c>
      <c r="L33" s="81" t="s">
        <v>83</v>
      </c>
      <c r="M33" s="17">
        <v>4100466.0</v>
      </c>
      <c r="N33" s="59"/>
      <c r="O33" s="158">
        <v>2187605.0</v>
      </c>
      <c r="P33" s="86" t="s">
        <v>601</v>
      </c>
      <c r="Q33" s="59"/>
      <c r="R33" s="61"/>
    </row>
    <row r="34">
      <c r="A34" s="189" t="s">
        <v>349</v>
      </c>
      <c r="B34" s="192">
        <v>724082.0</v>
      </c>
      <c r="C34" s="61"/>
      <c r="D34" s="81">
        <v>1.0</v>
      </c>
      <c r="E34" s="17" t="s">
        <v>351</v>
      </c>
      <c r="F34" s="81" t="s">
        <v>102</v>
      </c>
      <c r="G34" s="169">
        <v>159.99</v>
      </c>
      <c r="H34" s="169">
        <v>159.99</v>
      </c>
      <c r="I34" s="17" t="s">
        <v>592</v>
      </c>
      <c r="J34" s="81" t="s">
        <v>83</v>
      </c>
      <c r="K34" s="17" t="s">
        <v>565</v>
      </c>
      <c r="L34" s="81" t="s">
        <v>83</v>
      </c>
      <c r="M34" s="17">
        <v>4100466.0</v>
      </c>
      <c r="N34" s="59"/>
      <c r="O34" s="158">
        <v>2187605.0</v>
      </c>
      <c r="P34" s="86" t="s">
        <v>602</v>
      </c>
      <c r="Q34" s="59"/>
      <c r="R34" s="61"/>
    </row>
    <row r="35">
      <c r="A35" s="189" t="s">
        <v>603</v>
      </c>
      <c r="B35" s="193">
        <v>762508.0</v>
      </c>
      <c r="C35" s="61"/>
      <c r="D35" s="81">
        <v>2.0</v>
      </c>
      <c r="E35" s="17" t="s">
        <v>604</v>
      </c>
      <c r="F35" s="81" t="s">
        <v>102</v>
      </c>
      <c r="G35" s="19">
        <v>49.99</v>
      </c>
      <c r="H35" s="19">
        <f>G35*2</f>
        <v>99.98</v>
      </c>
      <c r="I35" s="17" t="s">
        <v>592</v>
      </c>
      <c r="J35" s="81" t="s">
        <v>83</v>
      </c>
      <c r="K35" s="17" t="s">
        <v>565</v>
      </c>
      <c r="L35" s="81" t="s">
        <v>83</v>
      </c>
      <c r="M35" s="17">
        <v>4100466.0</v>
      </c>
      <c r="N35" s="59"/>
      <c r="O35" s="158">
        <v>2187605.0</v>
      </c>
      <c r="P35" s="86" t="s">
        <v>605</v>
      </c>
      <c r="Q35" s="59"/>
      <c r="R35" s="61"/>
    </row>
    <row r="36">
      <c r="A36" s="189" t="s">
        <v>301</v>
      </c>
      <c r="B36" s="193">
        <v>736369.0</v>
      </c>
      <c r="C36" s="61"/>
      <c r="D36" s="81">
        <v>2.0</v>
      </c>
      <c r="E36" s="17" t="s">
        <v>145</v>
      </c>
      <c r="F36" s="81" t="s">
        <v>102</v>
      </c>
      <c r="G36" s="19">
        <v>199.99</v>
      </c>
      <c r="H36" s="19">
        <f>199.99*2</f>
        <v>399.98</v>
      </c>
      <c r="I36" s="17" t="s">
        <v>592</v>
      </c>
      <c r="J36" s="81" t="s">
        <v>83</v>
      </c>
      <c r="K36" s="17" t="s">
        <v>565</v>
      </c>
      <c r="L36" s="81" t="s">
        <v>83</v>
      </c>
      <c r="M36" s="17">
        <v>4100466.0</v>
      </c>
      <c r="N36" s="59"/>
      <c r="O36" s="158">
        <v>2187605.0</v>
      </c>
      <c r="P36" s="86" t="s">
        <v>606</v>
      </c>
      <c r="Q36" s="59"/>
      <c r="R36" s="61"/>
    </row>
    <row r="37">
      <c r="A37" s="189" t="s">
        <v>607</v>
      </c>
      <c r="B37" s="193">
        <v>836506.0</v>
      </c>
      <c r="C37" s="61"/>
      <c r="D37" s="81">
        <v>1.0</v>
      </c>
      <c r="E37" s="17" t="s">
        <v>608</v>
      </c>
      <c r="F37" s="81" t="s">
        <v>102</v>
      </c>
      <c r="G37" s="19">
        <v>34.99</v>
      </c>
      <c r="H37" s="19">
        <v>34.99</v>
      </c>
      <c r="I37" s="17" t="s">
        <v>592</v>
      </c>
      <c r="J37" s="81" t="s">
        <v>83</v>
      </c>
      <c r="K37" s="17" t="s">
        <v>565</v>
      </c>
      <c r="L37" s="81" t="s">
        <v>83</v>
      </c>
      <c r="M37" s="17">
        <v>4100466.0</v>
      </c>
      <c r="N37" s="59"/>
      <c r="O37" s="158">
        <v>2187605.0</v>
      </c>
      <c r="P37" s="86" t="s">
        <v>609</v>
      </c>
      <c r="Q37" s="59"/>
      <c r="R37" s="61"/>
    </row>
    <row r="38">
      <c r="A38" s="189" t="s">
        <v>610</v>
      </c>
      <c r="B38" s="193">
        <v>836617.0</v>
      </c>
      <c r="C38" s="61"/>
      <c r="D38" s="81">
        <v>1.0</v>
      </c>
      <c r="E38" s="17" t="s">
        <v>309</v>
      </c>
      <c r="F38" s="81" t="s">
        <v>102</v>
      </c>
      <c r="G38" s="19">
        <v>299.0</v>
      </c>
      <c r="H38" s="19">
        <v>299.0</v>
      </c>
      <c r="I38" s="17" t="s">
        <v>592</v>
      </c>
      <c r="J38" s="81" t="s">
        <v>83</v>
      </c>
      <c r="K38" s="17" t="s">
        <v>565</v>
      </c>
      <c r="L38" s="81" t="s">
        <v>83</v>
      </c>
      <c r="M38" s="17">
        <v>4100466.0</v>
      </c>
      <c r="N38" s="59"/>
      <c r="O38" s="158">
        <v>2187605.0</v>
      </c>
      <c r="P38" s="86" t="s">
        <v>611</v>
      </c>
      <c r="Q38" s="59"/>
      <c r="R38" s="61"/>
    </row>
    <row r="39">
      <c r="A39" s="169" t="s">
        <v>612</v>
      </c>
      <c r="B39" s="59"/>
      <c r="C39" s="61"/>
      <c r="D39" s="59"/>
      <c r="F39" s="81" t="s">
        <v>136</v>
      </c>
      <c r="G39" s="19">
        <v>443.23</v>
      </c>
      <c r="H39" s="19">
        <v>443.23</v>
      </c>
      <c r="I39" s="17" t="s">
        <v>590</v>
      </c>
      <c r="J39" s="81" t="s">
        <v>83</v>
      </c>
      <c r="L39" s="59"/>
      <c r="M39" s="17">
        <v>4709138.0</v>
      </c>
      <c r="N39" s="59"/>
      <c r="O39" s="158">
        <v>2164626.0</v>
      </c>
      <c r="Q39" s="59"/>
      <c r="R39" s="61"/>
    </row>
    <row r="40">
      <c r="A40" s="169" t="s">
        <v>613</v>
      </c>
      <c r="B40" s="59"/>
      <c r="C40" s="61"/>
      <c r="D40" s="59"/>
      <c r="F40" s="81" t="s">
        <v>614</v>
      </c>
      <c r="G40" s="19">
        <v>711.0</v>
      </c>
      <c r="H40" s="19">
        <v>711.0</v>
      </c>
      <c r="J40" s="59"/>
      <c r="K40" s="103" t="s">
        <v>615</v>
      </c>
      <c r="L40" s="59"/>
      <c r="N40" s="59"/>
      <c r="O40" s="17">
        <v>2170961.0</v>
      </c>
      <c r="Q40" s="59"/>
      <c r="R40" s="61"/>
    </row>
    <row r="41">
      <c r="A41" s="61"/>
      <c r="B41" s="59"/>
      <c r="C41" s="61"/>
      <c r="D41" s="59"/>
      <c r="F41" s="59"/>
      <c r="G41" s="19"/>
      <c r="H41" s="19"/>
      <c r="J41" s="59"/>
      <c r="L41" s="59"/>
      <c r="N41" s="59"/>
      <c r="Q41" s="59"/>
      <c r="R41" s="61"/>
    </row>
    <row r="42">
      <c r="B42" s="59"/>
      <c r="C42" s="61"/>
      <c r="D42" s="59"/>
      <c r="F42" s="59"/>
      <c r="G42" s="19"/>
      <c r="H42" s="19"/>
      <c r="J42" s="59"/>
      <c r="L42" s="59"/>
      <c r="N42" s="59"/>
      <c r="Q42" s="59"/>
      <c r="R42" s="61"/>
    </row>
    <row r="43">
      <c r="B43" s="59"/>
      <c r="C43" s="61"/>
      <c r="D43" s="59"/>
      <c r="F43" s="59"/>
      <c r="G43" s="19"/>
      <c r="H43" s="19"/>
      <c r="J43" s="59"/>
      <c r="L43" s="59"/>
      <c r="N43" s="59"/>
      <c r="Q43" s="59"/>
      <c r="R43" s="61"/>
    </row>
    <row r="44">
      <c r="B44" s="59"/>
      <c r="C44" s="61"/>
      <c r="D44" s="59"/>
      <c r="F44" s="59"/>
      <c r="G44" s="19"/>
      <c r="H44" s="19"/>
      <c r="J44" s="59"/>
      <c r="L44" s="59"/>
      <c r="N44" s="59"/>
      <c r="Q44" s="59"/>
      <c r="R44" s="61"/>
    </row>
    <row r="45">
      <c r="B45" s="59"/>
      <c r="D45" s="59"/>
      <c r="F45" s="59"/>
      <c r="G45" s="19"/>
      <c r="H45" s="19"/>
      <c r="J45" s="59"/>
      <c r="L45" s="59"/>
      <c r="N45" s="59"/>
      <c r="Q45" s="59"/>
      <c r="R45" s="61"/>
    </row>
    <row r="46">
      <c r="B46" s="59"/>
      <c r="D46" s="59"/>
      <c r="F46" s="59"/>
      <c r="G46" s="19"/>
      <c r="H46" s="19"/>
      <c r="J46" s="59"/>
      <c r="L46" s="59"/>
      <c r="N46" s="59"/>
      <c r="Q46" s="59"/>
      <c r="R46" s="61"/>
    </row>
    <row r="47">
      <c r="B47" s="59"/>
      <c r="D47" s="59"/>
      <c r="F47" s="59"/>
      <c r="G47" s="19"/>
      <c r="H47" s="19"/>
      <c r="J47" s="59"/>
      <c r="L47" s="59"/>
      <c r="N47" s="59"/>
      <c r="Q47" s="59"/>
      <c r="R47" s="61"/>
    </row>
    <row r="48">
      <c r="B48" s="59"/>
      <c r="D48" s="59"/>
      <c r="F48" s="59"/>
      <c r="G48" s="19"/>
      <c r="H48" s="19"/>
      <c r="J48" s="59"/>
      <c r="L48" s="59"/>
      <c r="N48" s="59"/>
      <c r="Q48" s="59"/>
      <c r="R48" s="61"/>
    </row>
    <row r="49">
      <c r="B49" s="59"/>
      <c r="D49" s="59"/>
      <c r="F49" s="59"/>
      <c r="G49" s="61"/>
      <c r="H49" s="59"/>
      <c r="J49" s="59"/>
      <c r="L49" s="59"/>
      <c r="N49" s="59"/>
      <c r="Q49" s="59"/>
      <c r="R49" s="61"/>
    </row>
    <row r="50">
      <c r="B50" s="59"/>
      <c r="D50" s="59"/>
      <c r="F50" s="59"/>
      <c r="G50" s="61"/>
      <c r="H50" s="59"/>
      <c r="J50" s="59"/>
      <c r="L50" s="59"/>
      <c r="N50" s="59"/>
      <c r="Q50" s="59"/>
      <c r="R50" s="61"/>
    </row>
    <row r="51">
      <c r="B51" s="59"/>
      <c r="D51" s="59"/>
      <c r="F51" s="59"/>
      <c r="G51" s="61"/>
      <c r="H51" s="59"/>
      <c r="J51" s="59"/>
      <c r="L51" s="59"/>
      <c r="N51" s="59"/>
      <c r="Q51" s="59"/>
      <c r="R51" s="61"/>
    </row>
    <row r="52">
      <c r="B52" s="59"/>
      <c r="D52" s="59"/>
      <c r="F52" s="59"/>
      <c r="G52" s="61"/>
      <c r="H52" s="59"/>
      <c r="J52" s="59"/>
      <c r="L52" s="59"/>
      <c r="N52" s="59"/>
      <c r="Q52" s="59"/>
      <c r="R52" s="61"/>
    </row>
    <row r="53">
      <c r="B53" s="59"/>
      <c r="D53" s="59"/>
      <c r="F53" s="59"/>
      <c r="G53" s="61"/>
      <c r="H53" s="59"/>
      <c r="J53" s="59"/>
      <c r="L53" s="59"/>
      <c r="N53" s="59"/>
      <c r="Q53" s="59"/>
      <c r="R53" s="61"/>
    </row>
    <row r="54">
      <c r="B54" s="59"/>
      <c r="D54" s="59"/>
      <c r="F54" s="59"/>
      <c r="G54" s="61"/>
      <c r="H54" s="59"/>
      <c r="J54" s="59"/>
      <c r="L54" s="59"/>
      <c r="N54" s="59"/>
      <c r="Q54" s="59"/>
      <c r="R54" s="61"/>
    </row>
    <row r="55">
      <c r="B55" s="59"/>
      <c r="D55" s="59"/>
      <c r="F55" s="59"/>
      <c r="G55" s="61"/>
      <c r="H55" s="59"/>
      <c r="J55" s="59"/>
      <c r="L55" s="59"/>
      <c r="N55" s="59"/>
      <c r="Q55" s="59"/>
      <c r="R55" s="61"/>
    </row>
    <row r="56">
      <c r="B56" s="59"/>
      <c r="D56" s="59"/>
      <c r="F56" s="59"/>
      <c r="G56" s="61"/>
      <c r="H56" s="59"/>
      <c r="J56" s="59"/>
      <c r="L56" s="59"/>
      <c r="N56" s="59"/>
      <c r="Q56" s="59"/>
      <c r="R56" s="61"/>
    </row>
    <row r="57">
      <c r="B57" s="59"/>
      <c r="D57" s="59"/>
      <c r="F57" s="59"/>
      <c r="G57" s="61"/>
      <c r="H57" s="59"/>
      <c r="J57" s="59"/>
      <c r="L57" s="59"/>
      <c r="N57" s="59"/>
      <c r="Q57" s="59"/>
      <c r="R57" s="61"/>
    </row>
    <row r="58">
      <c r="B58" s="59"/>
      <c r="D58" s="59"/>
      <c r="F58" s="59"/>
      <c r="G58" s="61"/>
      <c r="H58" s="59"/>
      <c r="J58" s="59"/>
      <c r="L58" s="59"/>
      <c r="N58" s="59"/>
      <c r="Q58" s="59"/>
      <c r="R58" s="61"/>
    </row>
    <row r="59">
      <c r="B59" s="59"/>
      <c r="D59" s="59"/>
      <c r="F59" s="59"/>
      <c r="G59" s="61"/>
      <c r="H59" s="59"/>
      <c r="J59" s="59"/>
      <c r="L59" s="59"/>
      <c r="N59" s="59"/>
      <c r="Q59" s="59"/>
      <c r="R59" s="61"/>
    </row>
    <row r="60">
      <c r="B60" s="59"/>
      <c r="D60" s="59"/>
      <c r="F60" s="59"/>
      <c r="H60" s="59"/>
      <c r="J60" s="59"/>
      <c r="L60" s="59"/>
      <c r="N60" s="59"/>
      <c r="Q60" s="59"/>
      <c r="R60" s="61"/>
    </row>
    <row r="61">
      <c r="B61" s="59"/>
      <c r="D61" s="59"/>
      <c r="F61" s="59"/>
      <c r="H61" s="59"/>
      <c r="J61" s="59"/>
      <c r="L61" s="59"/>
      <c r="N61" s="59"/>
      <c r="Q61" s="59"/>
      <c r="R61" s="61"/>
    </row>
    <row r="62">
      <c r="B62" s="59"/>
      <c r="D62" s="59"/>
      <c r="F62" s="59"/>
      <c r="H62" s="59"/>
      <c r="J62" s="59"/>
      <c r="L62" s="59"/>
      <c r="N62" s="59"/>
      <c r="Q62" s="59"/>
      <c r="R62" s="61"/>
    </row>
    <row r="63">
      <c r="B63" s="59"/>
      <c r="D63" s="59"/>
      <c r="F63" s="59"/>
      <c r="H63" s="59"/>
      <c r="J63" s="59"/>
      <c r="L63" s="59"/>
      <c r="N63" s="59"/>
      <c r="Q63" s="59"/>
      <c r="R63" s="61"/>
    </row>
    <row r="64">
      <c r="B64" s="59"/>
      <c r="D64" s="59"/>
      <c r="F64" s="59"/>
      <c r="H64" s="59"/>
      <c r="J64" s="59"/>
      <c r="L64" s="59"/>
      <c r="N64" s="59"/>
      <c r="Q64" s="59"/>
      <c r="R64" s="61"/>
    </row>
    <row r="65">
      <c r="B65" s="59"/>
      <c r="D65" s="59"/>
      <c r="F65" s="59"/>
      <c r="H65" s="59"/>
      <c r="J65" s="59"/>
      <c r="L65" s="59"/>
      <c r="N65" s="59"/>
      <c r="Q65" s="59"/>
      <c r="R65" s="61"/>
    </row>
    <row r="66">
      <c r="B66" s="59"/>
      <c r="D66" s="59"/>
      <c r="F66" s="59"/>
      <c r="H66" s="59"/>
      <c r="J66" s="59"/>
      <c r="L66" s="59"/>
      <c r="N66" s="59"/>
      <c r="Q66" s="59"/>
      <c r="R66" s="61"/>
    </row>
    <row r="67">
      <c r="B67" s="59"/>
      <c r="D67" s="59"/>
      <c r="F67" s="59"/>
      <c r="H67" s="59"/>
      <c r="J67" s="59"/>
      <c r="L67" s="59"/>
      <c r="N67" s="59"/>
      <c r="Q67" s="59"/>
      <c r="R67" s="61"/>
    </row>
    <row r="68">
      <c r="B68" s="59"/>
      <c r="D68" s="59"/>
      <c r="F68" s="59"/>
      <c r="H68" s="59"/>
      <c r="J68" s="59"/>
      <c r="L68" s="59"/>
      <c r="N68" s="59"/>
      <c r="Q68" s="59"/>
      <c r="R68" s="61"/>
    </row>
    <row r="69">
      <c r="B69" s="59"/>
      <c r="D69" s="59"/>
      <c r="F69" s="59"/>
      <c r="H69" s="59"/>
      <c r="J69" s="59"/>
      <c r="L69" s="59"/>
      <c r="N69" s="59"/>
      <c r="Q69" s="59"/>
      <c r="R69" s="61"/>
    </row>
    <row r="70">
      <c r="B70" s="59"/>
      <c r="D70" s="59"/>
      <c r="F70" s="59"/>
      <c r="H70" s="59"/>
      <c r="J70" s="59"/>
      <c r="L70" s="59"/>
      <c r="N70" s="59"/>
      <c r="Q70" s="59"/>
      <c r="R70" s="61"/>
    </row>
    <row r="71">
      <c r="B71" s="59"/>
      <c r="D71" s="59"/>
      <c r="F71" s="59"/>
      <c r="H71" s="59"/>
      <c r="J71" s="59"/>
      <c r="L71" s="59"/>
      <c r="N71" s="59"/>
      <c r="Q71" s="59"/>
      <c r="R71" s="61"/>
    </row>
    <row r="72">
      <c r="B72" s="59"/>
      <c r="D72" s="59"/>
      <c r="F72" s="59"/>
      <c r="H72" s="59"/>
      <c r="J72" s="59"/>
      <c r="L72" s="59"/>
      <c r="N72" s="59"/>
      <c r="Q72" s="59"/>
      <c r="R72" s="61"/>
    </row>
    <row r="73">
      <c r="B73" s="59"/>
      <c r="D73" s="59"/>
      <c r="F73" s="59"/>
      <c r="H73" s="59"/>
      <c r="J73" s="59"/>
      <c r="L73" s="59"/>
      <c r="N73" s="59"/>
      <c r="Q73" s="59"/>
      <c r="R73" s="61"/>
    </row>
    <row r="74">
      <c r="B74" s="59"/>
      <c r="D74" s="59"/>
      <c r="F74" s="59"/>
      <c r="H74" s="59"/>
      <c r="J74" s="59"/>
      <c r="L74" s="59"/>
      <c r="N74" s="59"/>
      <c r="Q74" s="59"/>
      <c r="R74" s="61"/>
    </row>
    <row r="75">
      <c r="B75" s="59"/>
      <c r="D75" s="59"/>
      <c r="F75" s="59"/>
      <c r="H75" s="59"/>
      <c r="J75" s="59"/>
      <c r="L75" s="59"/>
      <c r="N75" s="59"/>
      <c r="Q75" s="59"/>
      <c r="R75" s="61"/>
    </row>
    <row r="76">
      <c r="B76" s="59"/>
      <c r="D76" s="59"/>
      <c r="F76" s="59"/>
      <c r="H76" s="59"/>
      <c r="J76" s="59"/>
      <c r="L76" s="59"/>
      <c r="N76" s="59"/>
      <c r="Q76" s="59"/>
      <c r="R76" s="61"/>
    </row>
    <row r="77">
      <c r="B77" s="59"/>
      <c r="D77" s="59"/>
      <c r="F77" s="59"/>
      <c r="H77" s="59"/>
      <c r="J77" s="59"/>
      <c r="L77" s="59"/>
      <c r="N77" s="59"/>
      <c r="Q77" s="59"/>
      <c r="R77" s="61"/>
    </row>
    <row r="78">
      <c r="B78" s="59"/>
      <c r="D78" s="59"/>
      <c r="F78" s="59"/>
      <c r="H78" s="59"/>
      <c r="J78" s="59"/>
      <c r="L78" s="59"/>
      <c r="N78" s="59"/>
      <c r="Q78" s="59"/>
      <c r="R78" s="61"/>
    </row>
    <row r="79">
      <c r="B79" s="59"/>
      <c r="D79" s="59"/>
      <c r="F79" s="59"/>
      <c r="H79" s="59"/>
      <c r="J79" s="59"/>
      <c r="L79" s="59"/>
      <c r="N79" s="59"/>
      <c r="Q79" s="59"/>
      <c r="R79" s="61"/>
    </row>
    <row r="80">
      <c r="B80" s="59"/>
      <c r="D80" s="59"/>
      <c r="F80" s="59"/>
      <c r="H80" s="59"/>
      <c r="J80" s="59"/>
      <c r="L80" s="59"/>
      <c r="N80" s="59"/>
      <c r="Q80" s="59"/>
      <c r="R80" s="61"/>
    </row>
    <row r="81">
      <c r="B81" s="59"/>
      <c r="D81" s="59"/>
      <c r="F81" s="59"/>
      <c r="H81" s="59"/>
      <c r="J81" s="59"/>
      <c r="L81" s="59"/>
      <c r="N81" s="59"/>
      <c r="Q81" s="59"/>
      <c r="R81" s="61"/>
    </row>
    <row r="82">
      <c r="B82" s="59"/>
      <c r="D82" s="59"/>
      <c r="F82" s="59"/>
      <c r="H82" s="59"/>
      <c r="J82" s="59"/>
      <c r="L82" s="59"/>
      <c r="N82" s="59"/>
      <c r="Q82" s="59"/>
      <c r="R82" s="61"/>
    </row>
    <row r="83">
      <c r="B83" s="59"/>
      <c r="D83" s="59"/>
      <c r="F83" s="59"/>
      <c r="H83" s="59"/>
      <c r="J83" s="59"/>
      <c r="L83" s="59"/>
      <c r="N83" s="59"/>
      <c r="Q83" s="59"/>
      <c r="R83" s="61"/>
    </row>
    <row r="84">
      <c r="B84" s="59"/>
      <c r="D84" s="59"/>
      <c r="F84" s="59"/>
      <c r="H84" s="59"/>
      <c r="J84" s="59"/>
      <c r="L84" s="59"/>
      <c r="N84" s="59"/>
      <c r="Q84" s="59"/>
      <c r="R84" s="61"/>
    </row>
    <row r="85">
      <c r="B85" s="59"/>
      <c r="D85" s="59"/>
      <c r="F85" s="59"/>
      <c r="H85" s="59"/>
      <c r="J85" s="59"/>
      <c r="L85" s="59"/>
      <c r="N85" s="59"/>
      <c r="Q85" s="59"/>
      <c r="R85" s="61"/>
    </row>
    <row r="86">
      <c r="B86" s="59"/>
      <c r="D86" s="59"/>
      <c r="F86" s="59"/>
      <c r="H86" s="59"/>
      <c r="J86" s="59"/>
      <c r="L86" s="59"/>
      <c r="N86" s="59"/>
      <c r="Q86" s="59"/>
      <c r="R86" s="61"/>
    </row>
    <row r="87">
      <c r="B87" s="59"/>
      <c r="D87" s="59"/>
      <c r="F87" s="59"/>
      <c r="H87" s="59"/>
      <c r="J87" s="59"/>
      <c r="L87" s="59"/>
      <c r="N87" s="59"/>
      <c r="Q87" s="59"/>
      <c r="R87" s="61"/>
    </row>
    <row r="88">
      <c r="B88" s="59"/>
      <c r="D88" s="59"/>
      <c r="F88" s="59"/>
      <c r="H88" s="59"/>
      <c r="J88" s="59"/>
      <c r="L88" s="59"/>
      <c r="N88" s="59"/>
      <c r="Q88" s="59"/>
      <c r="R88" s="61"/>
    </row>
    <row r="89">
      <c r="B89" s="59"/>
      <c r="D89" s="59"/>
      <c r="F89" s="59"/>
      <c r="H89" s="59"/>
      <c r="J89" s="59"/>
      <c r="L89" s="59"/>
      <c r="N89" s="59"/>
      <c r="Q89" s="59"/>
      <c r="R89" s="61"/>
    </row>
    <row r="90">
      <c r="B90" s="59"/>
      <c r="D90" s="59"/>
      <c r="F90" s="59"/>
      <c r="H90" s="59"/>
      <c r="J90" s="59"/>
      <c r="L90" s="59"/>
      <c r="N90" s="59"/>
      <c r="Q90" s="59"/>
      <c r="R90" s="61"/>
    </row>
    <row r="91">
      <c r="B91" s="59"/>
      <c r="D91" s="59"/>
      <c r="F91" s="59"/>
      <c r="H91" s="59"/>
      <c r="J91" s="59"/>
      <c r="L91" s="59"/>
      <c r="N91" s="59"/>
      <c r="Q91" s="59"/>
      <c r="R91" s="61"/>
    </row>
    <row r="92">
      <c r="B92" s="59"/>
      <c r="D92" s="59"/>
      <c r="F92" s="59"/>
      <c r="H92" s="59"/>
      <c r="J92" s="59"/>
      <c r="L92" s="59"/>
      <c r="N92" s="59"/>
      <c r="Q92" s="59"/>
      <c r="R92" s="61"/>
    </row>
    <row r="93">
      <c r="B93" s="59"/>
      <c r="D93" s="59"/>
      <c r="F93" s="59"/>
      <c r="H93" s="59"/>
      <c r="J93" s="59"/>
      <c r="L93" s="59"/>
      <c r="N93" s="59"/>
      <c r="Q93" s="59"/>
      <c r="R93" s="61"/>
    </row>
    <row r="94">
      <c r="B94" s="59"/>
      <c r="D94" s="59"/>
      <c r="F94" s="59"/>
      <c r="H94" s="59"/>
      <c r="J94" s="59"/>
      <c r="L94" s="59"/>
      <c r="N94" s="59"/>
      <c r="Q94" s="59"/>
      <c r="R94" s="61"/>
    </row>
    <row r="95">
      <c r="B95" s="59"/>
      <c r="D95" s="59"/>
      <c r="F95" s="59"/>
      <c r="H95" s="59"/>
      <c r="J95" s="59"/>
      <c r="L95" s="59"/>
      <c r="N95" s="59"/>
      <c r="Q95" s="59"/>
      <c r="R95" s="61"/>
    </row>
    <row r="96">
      <c r="B96" s="59"/>
      <c r="D96" s="59"/>
      <c r="F96" s="59"/>
      <c r="H96" s="59"/>
      <c r="J96" s="59"/>
      <c r="L96" s="59"/>
      <c r="N96" s="59"/>
      <c r="Q96" s="59"/>
      <c r="R96" s="61"/>
    </row>
    <row r="97">
      <c r="B97" s="59"/>
      <c r="D97" s="59"/>
      <c r="F97" s="59"/>
      <c r="H97" s="59"/>
      <c r="J97" s="59"/>
      <c r="L97" s="59"/>
      <c r="N97" s="59"/>
      <c r="Q97" s="59"/>
      <c r="R97" s="61"/>
    </row>
    <row r="98">
      <c r="B98" s="59"/>
      <c r="D98" s="59"/>
      <c r="F98" s="59"/>
      <c r="H98" s="59"/>
      <c r="J98" s="59"/>
      <c r="L98" s="59"/>
      <c r="N98" s="59"/>
      <c r="Q98" s="59"/>
      <c r="R98" s="61"/>
    </row>
    <row r="99">
      <c r="B99" s="59"/>
      <c r="D99" s="59"/>
      <c r="F99" s="59"/>
      <c r="H99" s="59"/>
      <c r="J99" s="59"/>
      <c r="L99" s="59"/>
      <c r="N99" s="59"/>
      <c r="Q99" s="59"/>
      <c r="R99" s="61"/>
    </row>
    <row r="100">
      <c r="B100" s="59"/>
      <c r="D100" s="59"/>
      <c r="F100" s="59"/>
      <c r="H100" s="59"/>
      <c r="J100" s="59"/>
      <c r="L100" s="59"/>
      <c r="N100" s="59"/>
      <c r="Q100" s="59"/>
      <c r="R100" s="61"/>
    </row>
    <row r="101">
      <c r="B101" s="59"/>
      <c r="D101" s="59"/>
      <c r="F101" s="59"/>
      <c r="H101" s="59"/>
      <c r="J101" s="59"/>
      <c r="L101" s="59"/>
      <c r="N101" s="59"/>
      <c r="Q101" s="59"/>
      <c r="R101" s="61"/>
    </row>
    <row r="102">
      <c r="B102" s="59"/>
      <c r="D102" s="59"/>
      <c r="F102" s="59"/>
      <c r="H102" s="59"/>
      <c r="J102" s="59"/>
      <c r="L102" s="59"/>
      <c r="N102" s="59"/>
      <c r="Q102" s="59"/>
      <c r="R102" s="61"/>
    </row>
    <row r="103">
      <c r="B103" s="59"/>
      <c r="D103" s="59"/>
      <c r="F103" s="59"/>
      <c r="H103" s="59"/>
      <c r="J103" s="59"/>
      <c r="L103" s="59"/>
      <c r="N103" s="59"/>
      <c r="Q103" s="59"/>
      <c r="R103" s="61"/>
    </row>
    <row r="104">
      <c r="B104" s="59"/>
      <c r="D104" s="59"/>
      <c r="F104" s="59"/>
      <c r="H104" s="59"/>
      <c r="J104" s="59"/>
      <c r="L104" s="59"/>
      <c r="N104" s="59"/>
      <c r="Q104" s="59"/>
      <c r="R104" s="61"/>
    </row>
    <row r="105">
      <c r="B105" s="59"/>
      <c r="D105" s="59"/>
      <c r="F105" s="59"/>
      <c r="H105" s="59"/>
      <c r="J105" s="59"/>
      <c r="L105" s="59"/>
      <c r="N105" s="59"/>
      <c r="Q105" s="59"/>
      <c r="R105" s="61"/>
    </row>
    <row r="106">
      <c r="B106" s="59"/>
      <c r="D106" s="59"/>
      <c r="F106" s="59"/>
      <c r="H106" s="59"/>
      <c r="J106" s="59"/>
      <c r="L106" s="59"/>
      <c r="N106" s="59"/>
      <c r="Q106" s="59"/>
      <c r="R106" s="61"/>
    </row>
    <row r="107">
      <c r="B107" s="59"/>
      <c r="D107" s="59"/>
      <c r="F107" s="59"/>
      <c r="H107" s="59"/>
      <c r="J107" s="59"/>
      <c r="L107" s="59"/>
      <c r="N107" s="59"/>
      <c r="Q107" s="59"/>
      <c r="R107" s="61"/>
    </row>
    <row r="108">
      <c r="B108" s="59"/>
      <c r="D108" s="59"/>
      <c r="F108" s="59"/>
      <c r="H108" s="59"/>
      <c r="J108" s="59"/>
      <c r="L108" s="59"/>
      <c r="N108" s="59"/>
      <c r="Q108" s="59"/>
      <c r="R108" s="61"/>
    </row>
    <row r="109">
      <c r="B109" s="59"/>
      <c r="D109" s="59"/>
      <c r="F109" s="59"/>
      <c r="H109" s="59"/>
      <c r="J109" s="59"/>
      <c r="L109" s="59"/>
      <c r="N109" s="59"/>
      <c r="Q109" s="59"/>
      <c r="R109" s="61"/>
    </row>
    <row r="110">
      <c r="B110" s="59"/>
      <c r="D110" s="59"/>
      <c r="F110" s="59"/>
      <c r="H110" s="59"/>
      <c r="J110" s="59"/>
      <c r="L110" s="59"/>
      <c r="N110" s="59"/>
      <c r="Q110" s="59"/>
      <c r="R110" s="61"/>
    </row>
    <row r="111">
      <c r="B111" s="59"/>
      <c r="D111" s="59"/>
      <c r="F111" s="59"/>
      <c r="H111" s="59"/>
      <c r="J111" s="59"/>
      <c r="L111" s="59"/>
      <c r="N111" s="59"/>
      <c r="Q111" s="59"/>
      <c r="R111" s="61"/>
    </row>
    <row r="112">
      <c r="B112" s="59"/>
      <c r="D112" s="59"/>
      <c r="F112" s="59"/>
      <c r="H112" s="59"/>
      <c r="J112" s="59"/>
      <c r="L112" s="59"/>
      <c r="N112" s="59"/>
      <c r="Q112" s="59"/>
      <c r="R112" s="61"/>
    </row>
    <row r="113">
      <c r="B113" s="59"/>
      <c r="D113" s="59"/>
      <c r="F113" s="59"/>
      <c r="H113" s="59"/>
      <c r="J113" s="59"/>
      <c r="L113" s="59"/>
      <c r="N113" s="59"/>
      <c r="Q113" s="59"/>
      <c r="R113" s="61"/>
    </row>
    <row r="114">
      <c r="B114" s="59"/>
      <c r="D114" s="59"/>
      <c r="F114" s="59"/>
      <c r="H114" s="59"/>
      <c r="J114" s="59"/>
      <c r="L114" s="59"/>
      <c r="N114" s="59"/>
      <c r="Q114" s="59"/>
      <c r="R114" s="61"/>
    </row>
    <row r="115">
      <c r="B115" s="59"/>
      <c r="D115" s="59"/>
      <c r="F115" s="59"/>
      <c r="H115" s="59"/>
      <c r="J115" s="59"/>
      <c r="L115" s="59"/>
      <c r="N115" s="59"/>
      <c r="Q115" s="59"/>
      <c r="R115" s="61"/>
    </row>
    <row r="116">
      <c r="B116" s="59"/>
      <c r="D116" s="59"/>
      <c r="F116" s="59"/>
      <c r="H116" s="59"/>
      <c r="J116" s="59"/>
      <c r="L116" s="59"/>
      <c r="N116" s="59"/>
      <c r="Q116" s="59"/>
      <c r="R116" s="61"/>
    </row>
    <row r="117">
      <c r="B117" s="59"/>
      <c r="D117" s="59"/>
      <c r="F117" s="59"/>
      <c r="H117" s="59"/>
      <c r="J117" s="59"/>
      <c r="L117" s="59"/>
      <c r="N117" s="59"/>
      <c r="Q117" s="59"/>
      <c r="R117" s="61"/>
    </row>
    <row r="118">
      <c r="B118" s="59"/>
      <c r="D118" s="59"/>
      <c r="F118" s="59"/>
      <c r="H118" s="59"/>
      <c r="J118" s="59"/>
      <c r="L118" s="59"/>
      <c r="N118" s="59"/>
      <c r="Q118" s="59"/>
      <c r="R118" s="61"/>
    </row>
    <row r="119">
      <c r="B119" s="59"/>
      <c r="D119" s="59"/>
      <c r="F119" s="59"/>
      <c r="H119" s="59"/>
      <c r="J119" s="59"/>
      <c r="L119" s="59"/>
      <c r="N119" s="59"/>
      <c r="Q119" s="59"/>
      <c r="R119" s="61"/>
    </row>
    <row r="120">
      <c r="B120" s="59"/>
      <c r="D120" s="59"/>
      <c r="F120" s="59"/>
      <c r="H120" s="59"/>
      <c r="J120" s="59"/>
      <c r="L120" s="59"/>
      <c r="N120" s="59"/>
      <c r="Q120" s="59"/>
      <c r="R120" s="61"/>
    </row>
    <row r="121">
      <c r="B121" s="59"/>
      <c r="D121" s="59"/>
      <c r="F121" s="59"/>
      <c r="H121" s="59"/>
      <c r="J121" s="59"/>
      <c r="L121" s="59"/>
      <c r="N121" s="59"/>
      <c r="Q121" s="59"/>
      <c r="R121" s="61"/>
    </row>
    <row r="122">
      <c r="B122" s="59"/>
      <c r="D122" s="59"/>
      <c r="F122" s="59"/>
      <c r="H122" s="59"/>
      <c r="J122" s="59"/>
      <c r="L122" s="59"/>
      <c r="N122" s="59"/>
      <c r="Q122" s="59"/>
      <c r="R122" s="61"/>
    </row>
    <row r="123">
      <c r="B123" s="59"/>
      <c r="D123" s="59"/>
      <c r="F123" s="59"/>
      <c r="H123" s="59"/>
      <c r="J123" s="59"/>
      <c r="L123" s="59"/>
      <c r="N123" s="59"/>
      <c r="Q123" s="59"/>
      <c r="R123" s="61"/>
    </row>
    <row r="124">
      <c r="B124" s="59"/>
      <c r="D124" s="59"/>
      <c r="F124" s="59"/>
      <c r="H124" s="59"/>
      <c r="J124" s="59"/>
      <c r="L124" s="59"/>
      <c r="N124" s="59"/>
      <c r="Q124" s="59"/>
      <c r="R124" s="61"/>
    </row>
    <row r="125">
      <c r="B125" s="59"/>
      <c r="D125" s="59"/>
      <c r="F125" s="59"/>
      <c r="H125" s="59"/>
      <c r="J125" s="59"/>
      <c r="L125" s="59"/>
      <c r="N125" s="59"/>
      <c r="Q125" s="59"/>
      <c r="R125" s="61"/>
    </row>
    <row r="126">
      <c r="B126" s="59"/>
      <c r="D126" s="59"/>
      <c r="F126" s="59"/>
      <c r="H126" s="59"/>
      <c r="J126" s="59"/>
      <c r="L126" s="59"/>
      <c r="N126" s="59"/>
      <c r="Q126" s="59"/>
      <c r="R126" s="61"/>
    </row>
    <row r="127">
      <c r="B127" s="59"/>
      <c r="D127" s="59"/>
      <c r="F127" s="59"/>
      <c r="H127" s="59"/>
      <c r="J127" s="59"/>
      <c r="L127" s="59"/>
      <c r="N127" s="59"/>
      <c r="Q127" s="59"/>
      <c r="R127" s="61"/>
    </row>
    <row r="128">
      <c r="B128" s="59"/>
      <c r="D128" s="59"/>
      <c r="F128" s="59"/>
      <c r="H128" s="59"/>
      <c r="J128" s="59"/>
      <c r="L128" s="59"/>
      <c r="N128" s="59"/>
      <c r="Q128" s="59"/>
      <c r="R128" s="61"/>
    </row>
    <row r="129">
      <c r="B129" s="59"/>
      <c r="D129" s="59"/>
      <c r="F129" s="59"/>
      <c r="H129" s="59"/>
      <c r="J129" s="59"/>
      <c r="L129" s="59"/>
      <c r="N129" s="59"/>
      <c r="Q129" s="59"/>
      <c r="R129" s="61"/>
    </row>
    <row r="130">
      <c r="B130" s="59"/>
      <c r="D130" s="59"/>
      <c r="F130" s="59"/>
      <c r="H130" s="59"/>
      <c r="J130" s="59"/>
      <c r="L130" s="59"/>
      <c r="N130" s="59"/>
      <c r="Q130" s="59"/>
      <c r="R130" s="61"/>
    </row>
    <row r="131">
      <c r="B131" s="59"/>
      <c r="D131" s="59"/>
      <c r="F131" s="59"/>
      <c r="H131" s="59"/>
      <c r="J131" s="59"/>
      <c r="L131" s="59"/>
      <c r="N131" s="59"/>
      <c r="Q131" s="59"/>
      <c r="R131" s="61"/>
    </row>
    <row r="132">
      <c r="B132" s="59"/>
      <c r="D132" s="59"/>
      <c r="F132" s="59"/>
      <c r="H132" s="59"/>
      <c r="J132" s="59"/>
      <c r="L132" s="59"/>
      <c r="N132" s="59"/>
      <c r="Q132" s="59"/>
      <c r="R132" s="61"/>
    </row>
    <row r="133">
      <c r="B133" s="59"/>
      <c r="D133" s="59"/>
      <c r="F133" s="59"/>
      <c r="H133" s="59"/>
      <c r="J133" s="59"/>
      <c r="L133" s="59"/>
      <c r="N133" s="59"/>
      <c r="Q133" s="59"/>
      <c r="R133" s="61"/>
    </row>
    <row r="134">
      <c r="B134" s="59"/>
      <c r="D134" s="59"/>
      <c r="F134" s="59"/>
      <c r="H134" s="59"/>
      <c r="J134" s="59"/>
      <c r="L134" s="59"/>
      <c r="N134" s="59"/>
      <c r="Q134" s="59"/>
      <c r="R134" s="61"/>
    </row>
    <row r="135">
      <c r="B135" s="59"/>
      <c r="D135" s="59"/>
      <c r="F135" s="59"/>
      <c r="H135" s="59"/>
      <c r="J135" s="59"/>
      <c r="L135" s="59"/>
      <c r="N135" s="59"/>
      <c r="Q135" s="59"/>
      <c r="R135" s="61"/>
    </row>
    <row r="136">
      <c r="B136" s="59"/>
      <c r="D136" s="59"/>
      <c r="F136" s="59"/>
      <c r="H136" s="59"/>
      <c r="J136" s="59"/>
      <c r="L136" s="59"/>
      <c r="N136" s="59"/>
      <c r="Q136" s="59"/>
      <c r="R136" s="61"/>
    </row>
    <row r="137">
      <c r="B137" s="59"/>
      <c r="D137" s="59"/>
      <c r="F137" s="59"/>
      <c r="H137" s="59"/>
      <c r="J137" s="59"/>
      <c r="L137" s="59"/>
      <c r="N137" s="59"/>
      <c r="Q137" s="59"/>
      <c r="R137" s="61"/>
    </row>
    <row r="138">
      <c r="B138" s="59"/>
      <c r="D138" s="59"/>
      <c r="F138" s="59"/>
      <c r="H138" s="59"/>
      <c r="J138" s="59"/>
      <c r="L138" s="59"/>
      <c r="N138" s="59"/>
      <c r="Q138" s="59"/>
      <c r="R138" s="61"/>
    </row>
    <row r="139">
      <c r="B139" s="59"/>
      <c r="D139" s="59"/>
      <c r="F139" s="59"/>
      <c r="H139" s="59"/>
      <c r="J139" s="59"/>
      <c r="L139" s="59"/>
      <c r="N139" s="59"/>
      <c r="Q139" s="59"/>
      <c r="R139" s="61"/>
    </row>
    <row r="140">
      <c r="B140" s="59"/>
      <c r="D140" s="59"/>
      <c r="F140" s="59"/>
      <c r="H140" s="59"/>
      <c r="J140" s="59"/>
      <c r="L140" s="59"/>
      <c r="N140" s="59"/>
      <c r="Q140" s="59"/>
      <c r="R140" s="61"/>
    </row>
    <row r="141">
      <c r="B141" s="59"/>
      <c r="D141" s="59"/>
      <c r="F141" s="59"/>
      <c r="H141" s="59"/>
      <c r="J141" s="59"/>
      <c r="L141" s="59"/>
      <c r="N141" s="59"/>
      <c r="Q141" s="59"/>
      <c r="R141" s="61"/>
    </row>
    <row r="142">
      <c r="B142" s="59"/>
      <c r="D142" s="59"/>
      <c r="F142" s="59"/>
      <c r="H142" s="59"/>
      <c r="J142" s="59"/>
      <c r="L142" s="59"/>
      <c r="N142" s="59"/>
      <c r="Q142" s="59"/>
      <c r="R142" s="61"/>
    </row>
    <row r="143">
      <c r="B143" s="59"/>
      <c r="D143" s="59"/>
      <c r="F143" s="59"/>
      <c r="H143" s="59"/>
      <c r="J143" s="59"/>
      <c r="L143" s="59"/>
      <c r="N143" s="59"/>
      <c r="Q143" s="59"/>
      <c r="R143" s="61"/>
    </row>
    <row r="144">
      <c r="B144" s="59"/>
      <c r="D144" s="59"/>
      <c r="F144" s="59"/>
      <c r="H144" s="59"/>
      <c r="J144" s="59"/>
      <c r="L144" s="59"/>
      <c r="N144" s="59"/>
      <c r="Q144" s="59"/>
      <c r="R144" s="61"/>
    </row>
    <row r="145">
      <c r="B145" s="59"/>
      <c r="D145" s="59"/>
      <c r="F145" s="59"/>
      <c r="H145" s="59"/>
      <c r="J145" s="59"/>
      <c r="L145" s="59"/>
      <c r="N145" s="59"/>
      <c r="Q145" s="59"/>
      <c r="R145" s="61"/>
    </row>
    <row r="146">
      <c r="B146" s="59"/>
      <c r="D146" s="59"/>
      <c r="F146" s="59"/>
      <c r="H146" s="59"/>
      <c r="J146" s="59"/>
      <c r="L146" s="59"/>
      <c r="N146" s="59"/>
      <c r="Q146" s="59"/>
      <c r="R146" s="61"/>
    </row>
    <row r="147">
      <c r="B147" s="59"/>
      <c r="D147" s="59"/>
      <c r="F147" s="59"/>
      <c r="H147" s="59"/>
      <c r="J147" s="59"/>
      <c r="L147" s="59"/>
      <c r="N147" s="59"/>
      <c r="Q147" s="59"/>
      <c r="R147" s="61"/>
    </row>
    <row r="148">
      <c r="B148" s="59"/>
      <c r="D148" s="59"/>
      <c r="F148" s="59"/>
      <c r="H148" s="59"/>
      <c r="J148" s="59"/>
      <c r="L148" s="59"/>
      <c r="N148" s="59"/>
      <c r="Q148" s="59"/>
      <c r="R148" s="61"/>
    </row>
    <row r="149">
      <c r="B149" s="59"/>
      <c r="D149" s="59"/>
      <c r="F149" s="59"/>
      <c r="H149" s="59"/>
      <c r="J149" s="59"/>
      <c r="L149" s="59"/>
      <c r="N149" s="59"/>
      <c r="Q149" s="59"/>
      <c r="R149" s="61"/>
    </row>
    <row r="150">
      <c r="B150" s="59"/>
      <c r="D150" s="59"/>
      <c r="F150" s="59"/>
      <c r="H150" s="59"/>
      <c r="J150" s="59"/>
      <c r="L150" s="59"/>
      <c r="N150" s="59"/>
      <c r="Q150" s="59"/>
      <c r="R150" s="61"/>
    </row>
    <row r="151">
      <c r="B151" s="59"/>
      <c r="D151" s="59"/>
      <c r="F151" s="59"/>
      <c r="H151" s="59"/>
      <c r="J151" s="59"/>
      <c r="L151" s="59"/>
      <c r="N151" s="59"/>
      <c r="Q151" s="59"/>
      <c r="R151" s="61"/>
    </row>
    <row r="152">
      <c r="B152" s="59"/>
      <c r="D152" s="59"/>
      <c r="F152" s="59"/>
      <c r="H152" s="59"/>
      <c r="J152" s="59"/>
      <c r="L152" s="59"/>
      <c r="N152" s="59"/>
      <c r="Q152" s="59"/>
      <c r="R152" s="61"/>
    </row>
    <row r="153">
      <c r="B153" s="59"/>
      <c r="D153" s="59"/>
      <c r="F153" s="59"/>
      <c r="H153" s="59"/>
      <c r="J153" s="59"/>
      <c r="L153" s="59"/>
      <c r="N153" s="59"/>
      <c r="Q153" s="59"/>
      <c r="R153" s="61"/>
    </row>
    <row r="154">
      <c r="B154" s="59"/>
      <c r="D154" s="59"/>
      <c r="F154" s="59"/>
      <c r="H154" s="59"/>
      <c r="J154" s="59"/>
      <c r="L154" s="59"/>
      <c r="N154" s="59"/>
      <c r="Q154" s="59"/>
      <c r="R154" s="61"/>
    </row>
    <row r="155">
      <c r="B155" s="59"/>
      <c r="D155" s="59"/>
      <c r="F155" s="59"/>
      <c r="H155" s="59"/>
      <c r="J155" s="59"/>
      <c r="L155" s="59"/>
      <c r="N155" s="59"/>
      <c r="Q155" s="59"/>
      <c r="R155" s="61"/>
    </row>
    <row r="156">
      <c r="B156" s="59"/>
      <c r="D156" s="59"/>
      <c r="F156" s="59"/>
      <c r="H156" s="59"/>
      <c r="J156" s="59"/>
      <c r="L156" s="59"/>
      <c r="N156" s="59"/>
      <c r="Q156" s="59"/>
      <c r="R156" s="61"/>
    </row>
    <row r="157">
      <c r="B157" s="59"/>
      <c r="D157" s="59"/>
      <c r="F157" s="59"/>
      <c r="H157" s="59"/>
      <c r="J157" s="59"/>
      <c r="L157" s="59"/>
      <c r="N157" s="59"/>
      <c r="Q157" s="59"/>
      <c r="R157" s="61"/>
    </row>
    <row r="158">
      <c r="B158" s="59"/>
      <c r="D158" s="59"/>
      <c r="F158" s="59"/>
      <c r="H158" s="59"/>
      <c r="J158" s="59"/>
      <c r="L158" s="59"/>
      <c r="N158" s="59"/>
      <c r="Q158" s="59"/>
      <c r="R158" s="61"/>
    </row>
    <row r="159">
      <c r="B159" s="59"/>
      <c r="D159" s="59"/>
      <c r="F159" s="59"/>
      <c r="H159" s="59"/>
      <c r="J159" s="59"/>
      <c r="L159" s="59"/>
      <c r="N159" s="59"/>
      <c r="Q159" s="59"/>
      <c r="R159" s="61"/>
    </row>
    <row r="160">
      <c r="B160" s="59"/>
      <c r="D160" s="59"/>
      <c r="F160" s="59"/>
      <c r="H160" s="59"/>
      <c r="J160" s="59"/>
      <c r="L160" s="59"/>
      <c r="N160" s="59"/>
      <c r="Q160" s="59"/>
      <c r="R160" s="61"/>
    </row>
    <row r="161">
      <c r="B161" s="59"/>
      <c r="D161" s="59"/>
      <c r="F161" s="59"/>
      <c r="H161" s="59"/>
      <c r="J161" s="59"/>
      <c r="L161" s="59"/>
      <c r="N161" s="59"/>
      <c r="Q161" s="59"/>
      <c r="R161" s="61"/>
    </row>
    <row r="162">
      <c r="B162" s="59"/>
      <c r="D162" s="59"/>
      <c r="F162" s="59"/>
      <c r="H162" s="59"/>
      <c r="J162" s="59"/>
      <c r="L162" s="59"/>
      <c r="N162" s="59"/>
      <c r="Q162" s="59"/>
      <c r="R162" s="61"/>
    </row>
    <row r="163">
      <c r="B163" s="59"/>
      <c r="D163" s="59"/>
      <c r="F163" s="59"/>
      <c r="H163" s="59"/>
      <c r="J163" s="59"/>
      <c r="L163" s="59"/>
      <c r="N163" s="59"/>
      <c r="Q163" s="59"/>
      <c r="R163" s="61"/>
    </row>
    <row r="164">
      <c r="B164" s="59"/>
      <c r="D164" s="59"/>
      <c r="F164" s="59"/>
      <c r="H164" s="59"/>
      <c r="J164" s="59"/>
      <c r="L164" s="59"/>
      <c r="N164" s="59"/>
      <c r="Q164" s="59"/>
      <c r="R164" s="61"/>
    </row>
    <row r="165">
      <c r="B165" s="59"/>
      <c r="D165" s="59"/>
      <c r="F165" s="59"/>
      <c r="H165" s="59"/>
      <c r="J165" s="59"/>
      <c r="L165" s="59"/>
      <c r="N165" s="59"/>
      <c r="Q165" s="59"/>
      <c r="R165" s="61"/>
    </row>
    <row r="166">
      <c r="B166" s="59"/>
      <c r="D166" s="59"/>
      <c r="F166" s="59"/>
      <c r="H166" s="59"/>
      <c r="J166" s="59"/>
      <c r="L166" s="59"/>
      <c r="N166" s="59"/>
      <c r="Q166" s="59"/>
      <c r="R166" s="61"/>
    </row>
    <row r="167">
      <c r="B167" s="59"/>
      <c r="D167" s="59"/>
      <c r="F167" s="59"/>
      <c r="H167" s="59"/>
      <c r="J167" s="59"/>
      <c r="L167" s="59"/>
      <c r="N167" s="59"/>
      <c r="Q167" s="59"/>
      <c r="R167" s="61"/>
    </row>
    <row r="168">
      <c r="B168" s="59"/>
      <c r="D168" s="59"/>
      <c r="F168" s="59"/>
      <c r="H168" s="59"/>
      <c r="J168" s="59"/>
      <c r="L168" s="59"/>
      <c r="N168" s="59"/>
      <c r="Q168" s="59"/>
      <c r="R168" s="61"/>
    </row>
    <row r="169">
      <c r="B169" s="59"/>
      <c r="D169" s="59"/>
      <c r="F169" s="59"/>
      <c r="H169" s="59"/>
      <c r="J169" s="59"/>
      <c r="L169" s="59"/>
      <c r="N169" s="59"/>
      <c r="Q169" s="59"/>
      <c r="R169" s="61"/>
    </row>
    <row r="170">
      <c r="B170" s="59"/>
      <c r="D170" s="59"/>
      <c r="F170" s="59"/>
      <c r="H170" s="59"/>
      <c r="J170" s="59"/>
      <c r="L170" s="59"/>
      <c r="N170" s="59"/>
      <c r="Q170" s="59"/>
      <c r="R170" s="61"/>
    </row>
    <row r="171">
      <c r="B171" s="59"/>
      <c r="D171" s="59"/>
      <c r="F171" s="59"/>
      <c r="H171" s="59"/>
      <c r="J171" s="59"/>
      <c r="L171" s="59"/>
      <c r="N171" s="59"/>
      <c r="Q171" s="59"/>
      <c r="R171" s="61"/>
    </row>
    <row r="172">
      <c r="B172" s="59"/>
      <c r="D172" s="59"/>
      <c r="F172" s="59"/>
      <c r="H172" s="59"/>
      <c r="J172" s="59"/>
      <c r="L172" s="59"/>
      <c r="N172" s="59"/>
      <c r="Q172" s="59"/>
      <c r="R172" s="61"/>
    </row>
    <row r="173">
      <c r="B173" s="59"/>
      <c r="D173" s="59"/>
      <c r="F173" s="59"/>
      <c r="H173" s="59"/>
      <c r="J173" s="59"/>
      <c r="L173" s="59"/>
      <c r="N173" s="59"/>
      <c r="Q173" s="59"/>
      <c r="R173" s="61"/>
    </row>
    <row r="174">
      <c r="B174" s="59"/>
      <c r="D174" s="59"/>
      <c r="F174" s="59"/>
      <c r="H174" s="59"/>
      <c r="J174" s="59"/>
      <c r="L174" s="59"/>
      <c r="N174" s="59"/>
      <c r="Q174" s="59"/>
      <c r="R174" s="61"/>
    </row>
    <row r="175">
      <c r="B175" s="59"/>
      <c r="D175" s="59"/>
      <c r="F175" s="59"/>
      <c r="H175" s="59"/>
      <c r="J175" s="59"/>
      <c r="L175" s="59"/>
      <c r="N175" s="59"/>
      <c r="Q175" s="59"/>
      <c r="R175" s="61"/>
    </row>
    <row r="176">
      <c r="B176" s="59"/>
      <c r="D176" s="59"/>
      <c r="F176" s="59"/>
      <c r="H176" s="59"/>
      <c r="J176" s="59"/>
      <c r="L176" s="59"/>
      <c r="N176" s="59"/>
      <c r="Q176" s="59"/>
      <c r="R176" s="61"/>
    </row>
    <row r="177">
      <c r="B177" s="59"/>
      <c r="D177" s="59"/>
      <c r="F177" s="59"/>
      <c r="H177" s="59"/>
      <c r="J177" s="59"/>
      <c r="L177" s="59"/>
      <c r="N177" s="59"/>
      <c r="Q177" s="59"/>
      <c r="R177" s="61"/>
    </row>
    <row r="178">
      <c r="B178" s="59"/>
      <c r="D178" s="59"/>
      <c r="F178" s="59"/>
      <c r="H178" s="59"/>
      <c r="J178" s="59"/>
      <c r="L178" s="59"/>
      <c r="N178" s="59"/>
      <c r="Q178" s="59"/>
      <c r="R178" s="61"/>
    </row>
    <row r="179">
      <c r="B179" s="59"/>
      <c r="D179" s="59"/>
      <c r="F179" s="59"/>
      <c r="H179" s="59"/>
      <c r="J179" s="59"/>
      <c r="L179" s="59"/>
      <c r="N179" s="59"/>
      <c r="Q179" s="59"/>
      <c r="R179" s="61"/>
    </row>
    <row r="180">
      <c r="B180" s="59"/>
      <c r="D180" s="59"/>
      <c r="F180" s="59"/>
      <c r="H180" s="59"/>
      <c r="J180" s="59"/>
      <c r="L180" s="59"/>
      <c r="N180" s="59"/>
      <c r="Q180" s="59"/>
      <c r="R180" s="61"/>
    </row>
    <row r="181">
      <c r="B181" s="59"/>
      <c r="D181" s="59"/>
      <c r="F181" s="59"/>
      <c r="H181" s="59"/>
      <c r="J181" s="59"/>
      <c r="L181" s="59"/>
      <c r="N181" s="59"/>
      <c r="Q181" s="59"/>
      <c r="R181" s="61"/>
    </row>
    <row r="182">
      <c r="B182" s="59"/>
      <c r="D182" s="59"/>
      <c r="F182" s="59"/>
      <c r="H182" s="59"/>
      <c r="J182" s="59"/>
      <c r="L182" s="59"/>
      <c r="N182" s="59"/>
      <c r="Q182" s="59"/>
      <c r="R182" s="61"/>
    </row>
    <row r="183">
      <c r="B183" s="59"/>
      <c r="D183" s="59"/>
      <c r="F183" s="59"/>
      <c r="H183" s="59"/>
      <c r="J183" s="59"/>
      <c r="L183" s="59"/>
      <c r="N183" s="59"/>
      <c r="Q183" s="59"/>
      <c r="R183" s="61"/>
    </row>
    <row r="184">
      <c r="B184" s="59"/>
      <c r="D184" s="59"/>
      <c r="F184" s="59"/>
      <c r="H184" s="59"/>
      <c r="J184" s="59"/>
      <c r="L184" s="59"/>
      <c r="N184" s="59"/>
      <c r="Q184" s="59"/>
      <c r="R184" s="61"/>
    </row>
    <row r="185">
      <c r="B185" s="59"/>
      <c r="D185" s="59"/>
      <c r="F185" s="59"/>
      <c r="H185" s="59"/>
      <c r="J185" s="59"/>
      <c r="L185" s="59"/>
      <c r="N185" s="59"/>
      <c r="Q185" s="59"/>
      <c r="R185" s="61"/>
    </row>
    <row r="186">
      <c r="B186" s="59"/>
      <c r="D186" s="59"/>
      <c r="F186" s="59"/>
      <c r="H186" s="59"/>
      <c r="J186" s="59"/>
      <c r="L186" s="59"/>
      <c r="N186" s="59"/>
      <c r="Q186" s="59"/>
      <c r="R186" s="61"/>
    </row>
    <row r="187">
      <c r="B187" s="59"/>
      <c r="D187" s="59"/>
      <c r="F187" s="59"/>
      <c r="H187" s="59"/>
      <c r="J187" s="59"/>
      <c r="L187" s="59"/>
      <c r="N187" s="59"/>
      <c r="Q187" s="59"/>
      <c r="R187" s="61"/>
    </row>
    <row r="188">
      <c r="B188" s="59"/>
      <c r="D188" s="59"/>
      <c r="F188" s="59"/>
      <c r="H188" s="59"/>
      <c r="J188" s="59"/>
      <c r="L188" s="59"/>
      <c r="N188" s="59"/>
      <c r="Q188" s="59"/>
      <c r="R188" s="61"/>
    </row>
    <row r="189">
      <c r="B189" s="59"/>
      <c r="D189" s="59"/>
      <c r="F189" s="59"/>
      <c r="H189" s="59"/>
      <c r="J189" s="59"/>
      <c r="L189" s="59"/>
      <c r="N189" s="59"/>
      <c r="Q189" s="59"/>
      <c r="R189" s="61"/>
    </row>
    <row r="190">
      <c r="B190" s="59"/>
      <c r="D190" s="59"/>
      <c r="F190" s="59"/>
      <c r="H190" s="59"/>
      <c r="J190" s="59"/>
      <c r="L190" s="59"/>
      <c r="N190" s="59"/>
      <c r="Q190" s="59"/>
      <c r="R190" s="61"/>
    </row>
    <row r="191">
      <c r="B191" s="59"/>
      <c r="D191" s="59"/>
      <c r="F191" s="59"/>
      <c r="H191" s="59"/>
      <c r="J191" s="59"/>
      <c r="L191" s="59"/>
      <c r="N191" s="59"/>
      <c r="Q191" s="59"/>
      <c r="R191" s="61"/>
    </row>
    <row r="192">
      <c r="B192" s="59"/>
      <c r="D192" s="59"/>
      <c r="F192" s="59"/>
      <c r="H192" s="59"/>
      <c r="J192" s="59"/>
      <c r="L192" s="59"/>
      <c r="N192" s="59"/>
      <c r="Q192" s="59"/>
      <c r="R192" s="61"/>
    </row>
    <row r="193">
      <c r="B193" s="59"/>
      <c r="D193" s="59"/>
      <c r="F193" s="59"/>
      <c r="H193" s="59"/>
      <c r="J193" s="59"/>
      <c r="L193" s="59"/>
      <c r="N193" s="59"/>
      <c r="Q193" s="59"/>
      <c r="R193" s="61"/>
    </row>
    <row r="194">
      <c r="B194" s="59"/>
      <c r="D194" s="59"/>
      <c r="F194" s="59"/>
      <c r="H194" s="59"/>
      <c r="J194" s="59"/>
      <c r="L194" s="59"/>
      <c r="N194" s="59"/>
      <c r="Q194" s="59"/>
      <c r="R194" s="61"/>
    </row>
    <row r="195">
      <c r="B195" s="59"/>
      <c r="D195" s="59"/>
      <c r="F195" s="59"/>
      <c r="H195" s="59"/>
      <c r="J195" s="59"/>
      <c r="L195" s="59"/>
      <c r="N195" s="59"/>
      <c r="Q195" s="59"/>
      <c r="R195" s="61"/>
    </row>
    <row r="196">
      <c r="B196" s="59"/>
      <c r="D196" s="59"/>
      <c r="F196" s="59"/>
      <c r="H196" s="59"/>
      <c r="J196" s="59"/>
      <c r="L196" s="59"/>
      <c r="N196" s="59"/>
      <c r="Q196" s="59"/>
      <c r="R196" s="61"/>
    </row>
    <row r="197">
      <c r="B197" s="59"/>
      <c r="D197" s="59"/>
      <c r="F197" s="59"/>
      <c r="H197" s="59"/>
      <c r="J197" s="59"/>
      <c r="L197" s="59"/>
      <c r="N197" s="59"/>
      <c r="Q197" s="59"/>
      <c r="R197" s="61"/>
    </row>
    <row r="198">
      <c r="B198" s="59"/>
      <c r="D198" s="59"/>
      <c r="F198" s="59"/>
      <c r="H198" s="59"/>
      <c r="J198" s="59"/>
      <c r="L198" s="59"/>
      <c r="N198" s="59"/>
      <c r="Q198" s="59"/>
      <c r="R198" s="61"/>
    </row>
    <row r="199">
      <c r="B199" s="59"/>
      <c r="D199" s="59"/>
      <c r="F199" s="59"/>
      <c r="H199" s="59"/>
      <c r="J199" s="59"/>
      <c r="L199" s="59"/>
      <c r="N199" s="59"/>
      <c r="Q199" s="59"/>
      <c r="R199" s="61"/>
    </row>
    <row r="200">
      <c r="B200" s="59"/>
      <c r="D200" s="59"/>
      <c r="F200" s="59"/>
      <c r="H200" s="59"/>
      <c r="J200" s="59"/>
      <c r="L200" s="59"/>
      <c r="N200" s="59"/>
      <c r="Q200" s="59"/>
      <c r="R200" s="61"/>
    </row>
    <row r="201">
      <c r="B201" s="59"/>
      <c r="D201" s="59"/>
      <c r="F201" s="59"/>
      <c r="H201" s="59"/>
      <c r="J201" s="59"/>
      <c r="L201" s="59"/>
      <c r="N201" s="59"/>
      <c r="Q201" s="59"/>
      <c r="R201" s="61"/>
    </row>
    <row r="202">
      <c r="B202" s="59"/>
      <c r="D202" s="59"/>
      <c r="F202" s="59"/>
      <c r="H202" s="59"/>
      <c r="J202" s="59"/>
      <c r="L202" s="59"/>
      <c r="N202" s="59"/>
      <c r="Q202" s="59"/>
      <c r="R202" s="61"/>
    </row>
    <row r="203">
      <c r="B203" s="59"/>
      <c r="D203" s="59"/>
      <c r="F203" s="59"/>
      <c r="H203" s="59"/>
      <c r="J203" s="59"/>
      <c r="L203" s="59"/>
      <c r="N203" s="59"/>
      <c r="Q203" s="59"/>
      <c r="R203" s="61"/>
    </row>
    <row r="204">
      <c r="B204" s="59"/>
      <c r="D204" s="59"/>
      <c r="F204" s="59"/>
      <c r="H204" s="59"/>
      <c r="J204" s="59"/>
      <c r="L204" s="59"/>
      <c r="N204" s="59"/>
      <c r="Q204" s="59"/>
      <c r="R204" s="61"/>
    </row>
    <row r="205">
      <c r="B205" s="59"/>
      <c r="D205" s="59"/>
      <c r="F205" s="59"/>
      <c r="H205" s="59"/>
      <c r="J205" s="59"/>
      <c r="L205" s="59"/>
      <c r="N205" s="59"/>
      <c r="Q205" s="59"/>
      <c r="R205" s="61"/>
    </row>
    <row r="206">
      <c r="B206" s="59"/>
      <c r="D206" s="59"/>
      <c r="F206" s="59"/>
      <c r="H206" s="59"/>
      <c r="J206" s="59"/>
      <c r="L206" s="59"/>
      <c r="N206" s="59"/>
      <c r="Q206" s="59"/>
      <c r="R206" s="61"/>
    </row>
    <row r="207">
      <c r="B207" s="59"/>
      <c r="D207" s="59"/>
      <c r="F207" s="59"/>
      <c r="H207" s="59"/>
      <c r="J207" s="59"/>
      <c r="L207" s="59"/>
      <c r="N207" s="59"/>
      <c r="Q207" s="59"/>
      <c r="R207" s="61"/>
    </row>
    <row r="208">
      <c r="B208" s="59"/>
      <c r="D208" s="59"/>
      <c r="F208" s="59"/>
      <c r="H208" s="59"/>
      <c r="J208" s="59"/>
      <c r="L208" s="59"/>
      <c r="N208" s="59"/>
      <c r="Q208" s="59"/>
      <c r="R208" s="61"/>
    </row>
    <row r="209">
      <c r="B209" s="59"/>
      <c r="D209" s="59"/>
      <c r="F209" s="59"/>
      <c r="H209" s="59"/>
      <c r="J209" s="59"/>
      <c r="L209" s="59"/>
      <c r="N209" s="59"/>
      <c r="Q209" s="59"/>
      <c r="R209" s="61"/>
    </row>
    <row r="210">
      <c r="B210" s="59"/>
      <c r="D210" s="59"/>
      <c r="F210" s="59"/>
      <c r="H210" s="59"/>
      <c r="J210" s="59"/>
      <c r="L210" s="59"/>
      <c r="N210" s="59"/>
      <c r="Q210" s="59"/>
      <c r="R210" s="61"/>
    </row>
    <row r="211">
      <c r="B211" s="59"/>
      <c r="D211" s="59"/>
      <c r="F211" s="59"/>
      <c r="H211" s="59"/>
      <c r="J211" s="59"/>
      <c r="L211" s="59"/>
      <c r="N211" s="59"/>
      <c r="Q211" s="59"/>
      <c r="R211" s="61"/>
    </row>
    <row r="212">
      <c r="B212" s="59"/>
      <c r="D212" s="59"/>
      <c r="F212" s="59"/>
      <c r="H212" s="59"/>
      <c r="J212" s="59"/>
      <c r="L212" s="59"/>
      <c r="N212" s="59"/>
      <c r="Q212" s="59"/>
      <c r="R212" s="61"/>
    </row>
    <row r="213">
      <c r="B213" s="59"/>
      <c r="D213" s="59"/>
      <c r="F213" s="59"/>
      <c r="H213" s="59"/>
      <c r="J213" s="59"/>
      <c r="L213" s="59"/>
      <c r="N213" s="59"/>
      <c r="Q213" s="59"/>
      <c r="R213" s="61"/>
    </row>
    <row r="214">
      <c r="B214" s="59"/>
      <c r="D214" s="59"/>
      <c r="F214" s="59"/>
      <c r="H214" s="59"/>
      <c r="J214" s="59"/>
      <c r="L214" s="59"/>
      <c r="N214" s="59"/>
      <c r="Q214" s="59"/>
      <c r="R214" s="61"/>
    </row>
    <row r="215">
      <c r="B215" s="59"/>
      <c r="D215" s="59"/>
      <c r="F215" s="59"/>
      <c r="H215" s="59"/>
      <c r="J215" s="59"/>
      <c r="L215" s="59"/>
      <c r="N215" s="59"/>
      <c r="Q215" s="59"/>
      <c r="R215" s="61"/>
    </row>
    <row r="216">
      <c r="B216" s="59"/>
      <c r="D216" s="59"/>
      <c r="F216" s="59"/>
      <c r="H216" s="59"/>
      <c r="J216" s="59"/>
      <c r="L216" s="59"/>
      <c r="N216" s="59"/>
      <c r="Q216" s="59"/>
      <c r="R216" s="61"/>
    </row>
    <row r="217">
      <c r="B217" s="59"/>
      <c r="D217" s="59"/>
      <c r="F217" s="59"/>
      <c r="H217" s="59"/>
      <c r="J217" s="59"/>
      <c r="L217" s="59"/>
      <c r="N217" s="59"/>
      <c r="Q217" s="59"/>
      <c r="R217" s="61"/>
    </row>
    <row r="218">
      <c r="B218" s="59"/>
      <c r="D218" s="59"/>
      <c r="F218" s="59"/>
      <c r="H218" s="59"/>
      <c r="J218" s="59"/>
      <c r="L218" s="59"/>
      <c r="N218" s="59"/>
      <c r="Q218" s="59"/>
      <c r="R218" s="61"/>
    </row>
    <row r="219">
      <c r="B219" s="59"/>
      <c r="D219" s="59"/>
      <c r="F219" s="59"/>
      <c r="H219" s="59"/>
      <c r="J219" s="59"/>
      <c r="L219" s="59"/>
      <c r="N219" s="59"/>
      <c r="Q219" s="59"/>
      <c r="R219" s="61"/>
    </row>
    <row r="220">
      <c r="B220" s="59"/>
      <c r="D220" s="59"/>
      <c r="F220" s="59"/>
      <c r="H220" s="59"/>
      <c r="J220" s="59"/>
      <c r="L220" s="59"/>
      <c r="N220" s="59"/>
      <c r="Q220" s="59"/>
      <c r="R220" s="61"/>
    </row>
    <row r="221">
      <c r="B221" s="59"/>
      <c r="D221" s="59"/>
      <c r="F221" s="59"/>
      <c r="H221" s="59"/>
      <c r="J221" s="59"/>
      <c r="L221" s="59"/>
      <c r="N221" s="59"/>
      <c r="Q221" s="59"/>
      <c r="R221" s="61"/>
    </row>
    <row r="222">
      <c r="B222" s="59"/>
      <c r="D222" s="59"/>
      <c r="F222" s="59"/>
      <c r="H222" s="59"/>
      <c r="J222" s="59"/>
      <c r="L222" s="59"/>
      <c r="N222" s="59"/>
      <c r="Q222" s="59"/>
      <c r="R222" s="61"/>
    </row>
    <row r="223">
      <c r="B223" s="59"/>
      <c r="D223" s="59"/>
      <c r="F223" s="59"/>
      <c r="H223" s="59"/>
      <c r="J223" s="59"/>
      <c r="L223" s="59"/>
      <c r="N223" s="59"/>
      <c r="Q223" s="59"/>
      <c r="R223" s="61"/>
    </row>
    <row r="224">
      <c r="B224" s="59"/>
      <c r="D224" s="59"/>
      <c r="F224" s="59"/>
      <c r="H224" s="59"/>
      <c r="J224" s="59"/>
      <c r="L224" s="59"/>
      <c r="N224" s="59"/>
      <c r="Q224" s="59"/>
      <c r="R224" s="61"/>
    </row>
    <row r="225">
      <c r="B225" s="59"/>
      <c r="D225" s="59"/>
      <c r="F225" s="59"/>
      <c r="H225" s="59"/>
      <c r="J225" s="59"/>
      <c r="L225" s="59"/>
      <c r="N225" s="59"/>
      <c r="Q225" s="59"/>
      <c r="R225" s="61"/>
    </row>
    <row r="226">
      <c r="B226" s="59"/>
      <c r="D226" s="59"/>
      <c r="F226" s="59"/>
      <c r="H226" s="59"/>
      <c r="J226" s="59"/>
      <c r="L226" s="59"/>
      <c r="N226" s="59"/>
      <c r="Q226" s="59"/>
      <c r="R226" s="61"/>
    </row>
    <row r="227">
      <c r="B227" s="59"/>
      <c r="D227" s="59"/>
      <c r="F227" s="59"/>
      <c r="H227" s="59"/>
      <c r="J227" s="59"/>
      <c r="L227" s="59"/>
      <c r="N227" s="59"/>
      <c r="Q227" s="59"/>
      <c r="R227" s="61"/>
    </row>
    <row r="228">
      <c r="B228" s="59"/>
      <c r="D228" s="59"/>
      <c r="F228" s="59"/>
      <c r="H228" s="59"/>
      <c r="J228" s="59"/>
      <c r="L228" s="59"/>
      <c r="N228" s="59"/>
      <c r="Q228" s="59"/>
      <c r="R228" s="61"/>
    </row>
    <row r="229">
      <c r="B229" s="59"/>
      <c r="D229" s="59"/>
      <c r="F229" s="59"/>
      <c r="H229" s="59"/>
      <c r="J229" s="59"/>
      <c r="L229" s="59"/>
      <c r="N229" s="59"/>
      <c r="Q229" s="59"/>
      <c r="R229" s="61"/>
    </row>
    <row r="230">
      <c r="B230" s="59"/>
      <c r="D230" s="59"/>
      <c r="F230" s="59"/>
      <c r="H230" s="59"/>
      <c r="J230" s="59"/>
      <c r="L230" s="59"/>
      <c r="N230" s="59"/>
      <c r="Q230" s="59"/>
      <c r="R230" s="61"/>
    </row>
    <row r="231">
      <c r="B231" s="59"/>
      <c r="D231" s="59"/>
      <c r="F231" s="59"/>
      <c r="H231" s="59"/>
      <c r="J231" s="59"/>
      <c r="L231" s="59"/>
      <c r="N231" s="59"/>
      <c r="Q231" s="59"/>
      <c r="R231" s="61"/>
    </row>
    <row r="232">
      <c r="B232" s="59"/>
      <c r="D232" s="59"/>
      <c r="F232" s="59"/>
      <c r="H232" s="59"/>
      <c r="J232" s="59"/>
      <c r="L232" s="59"/>
      <c r="N232" s="59"/>
      <c r="Q232" s="59"/>
      <c r="R232" s="61"/>
    </row>
    <row r="233">
      <c r="B233" s="59"/>
      <c r="D233" s="59"/>
      <c r="F233" s="59"/>
      <c r="H233" s="59"/>
      <c r="J233" s="59"/>
      <c r="L233" s="59"/>
      <c r="N233" s="59"/>
      <c r="Q233" s="59"/>
      <c r="R233" s="61"/>
    </row>
    <row r="234">
      <c r="B234" s="59"/>
      <c r="D234" s="59"/>
      <c r="F234" s="59"/>
      <c r="H234" s="59"/>
      <c r="J234" s="59"/>
      <c r="L234" s="59"/>
      <c r="N234" s="59"/>
      <c r="Q234" s="59"/>
      <c r="R234" s="61"/>
    </row>
    <row r="235">
      <c r="B235" s="59"/>
      <c r="D235" s="59"/>
      <c r="F235" s="59"/>
      <c r="H235" s="59"/>
      <c r="J235" s="59"/>
      <c r="L235" s="59"/>
      <c r="N235" s="59"/>
      <c r="Q235" s="59"/>
      <c r="R235" s="61"/>
    </row>
    <row r="236">
      <c r="B236" s="59"/>
      <c r="D236" s="59"/>
      <c r="F236" s="59"/>
      <c r="H236" s="59"/>
      <c r="J236" s="59"/>
      <c r="L236" s="59"/>
      <c r="N236" s="59"/>
      <c r="Q236" s="59"/>
      <c r="R236" s="61"/>
    </row>
    <row r="237">
      <c r="B237" s="59"/>
      <c r="D237" s="59"/>
      <c r="F237" s="59"/>
      <c r="H237" s="59"/>
      <c r="J237" s="59"/>
      <c r="L237" s="59"/>
      <c r="N237" s="59"/>
      <c r="Q237" s="59"/>
      <c r="R237" s="61"/>
    </row>
    <row r="238">
      <c r="B238" s="59"/>
      <c r="D238" s="59"/>
      <c r="F238" s="59"/>
      <c r="H238" s="59"/>
      <c r="J238" s="59"/>
      <c r="L238" s="59"/>
      <c r="N238" s="59"/>
      <c r="Q238" s="59"/>
      <c r="R238" s="61"/>
    </row>
    <row r="239">
      <c r="B239" s="59"/>
      <c r="D239" s="59"/>
      <c r="F239" s="59"/>
      <c r="H239" s="59"/>
      <c r="J239" s="59"/>
      <c r="L239" s="59"/>
      <c r="N239" s="59"/>
      <c r="Q239" s="59"/>
      <c r="R239" s="61"/>
    </row>
    <row r="240">
      <c r="B240" s="59"/>
      <c r="D240" s="59"/>
      <c r="F240" s="59"/>
      <c r="H240" s="59"/>
      <c r="J240" s="59"/>
      <c r="L240" s="59"/>
      <c r="N240" s="59"/>
      <c r="Q240" s="59"/>
      <c r="R240" s="61"/>
    </row>
    <row r="241">
      <c r="B241" s="59"/>
      <c r="D241" s="59"/>
      <c r="F241" s="59"/>
      <c r="H241" s="59"/>
      <c r="J241" s="59"/>
      <c r="L241" s="59"/>
      <c r="N241" s="59"/>
      <c r="Q241" s="59"/>
      <c r="R241" s="61"/>
    </row>
    <row r="242">
      <c r="B242" s="59"/>
      <c r="D242" s="59"/>
      <c r="F242" s="59"/>
      <c r="H242" s="59"/>
      <c r="J242" s="59"/>
      <c r="L242" s="59"/>
      <c r="N242" s="59"/>
      <c r="Q242" s="59"/>
      <c r="R242" s="61"/>
    </row>
    <row r="243">
      <c r="B243" s="59"/>
      <c r="D243" s="59"/>
      <c r="F243" s="59"/>
      <c r="H243" s="59"/>
      <c r="J243" s="59"/>
      <c r="L243" s="59"/>
      <c r="N243" s="59"/>
      <c r="Q243" s="59"/>
      <c r="R243" s="61"/>
    </row>
    <row r="244">
      <c r="B244" s="59"/>
      <c r="D244" s="59"/>
      <c r="F244" s="59"/>
      <c r="H244" s="59"/>
      <c r="J244" s="59"/>
      <c r="L244" s="59"/>
      <c r="N244" s="59"/>
      <c r="Q244" s="59"/>
      <c r="R244" s="61"/>
    </row>
    <row r="245">
      <c r="B245" s="59"/>
      <c r="D245" s="59"/>
      <c r="F245" s="59"/>
      <c r="H245" s="59"/>
      <c r="J245" s="59"/>
      <c r="L245" s="59"/>
      <c r="N245" s="59"/>
      <c r="Q245" s="59"/>
      <c r="R245" s="61"/>
    </row>
    <row r="246">
      <c r="B246" s="59"/>
      <c r="D246" s="59"/>
      <c r="F246" s="59"/>
      <c r="H246" s="59"/>
      <c r="J246" s="59"/>
      <c r="L246" s="59"/>
      <c r="N246" s="59"/>
      <c r="Q246" s="59"/>
      <c r="R246" s="61"/>
    </row>
    <row r="247">
      <c r="B247" s="59"/>
      <c r="D247" s="59"/>
      <c r="F247" s="59"/>
      <c r="H247" s="59"/>
      <c r="J247" s="59"/>
      <c r="L247" s="59"/>
      <c r="N247" s="59"/>
      <c r="Q247" s="59"/>
      <c r="R247" s="61"/>
    </row>
    <row r="248">
      <c r="B248" s="59"/>
      <c r="D248" s="59"/>
      <c r="F248" s="59"/>
      <c r="H248" s="59"/>
      <c r="J248" s="59"/>
      <c r="L248" s="59"/>
      <c r="N248" s="59"/>
      <c r="Q248" s="59"/>
      <c r="R248" s="61"/>
    </row>
    <row r="249">
      <c r="B249" s="59"/>
      <c r="D249" s="59"/>
      <c r="F249" s="59"/>
      <c r="H249" s="59"/>
      <c r="J249" s="59"/>
      <c r="L249" s="59"/>
      <c r="N249" s="59"/>
      <c r="Q249" s="59"/>
      <c r="R249" s="61"/>
    </row>
    <row r="250">
      <c r="B250" s="59"/>
      <c r="D250" s="59"/>
      <c r="F250" s="59"/>
      <c r="H250" s="59"/>
      <c r="J250" s="59"/>
      <c r="L250" s="59"/>
      <c r="N250" s="59"/>
      <c r="Q250" s="59"/>
      <c r="R250" s="61"/>
    </row>
    <row r="251">
      <c r="B251" s="59"/>
      <c r="D251" s="59"/>
      <c r="F251" s="59"/>
      <c r="H251" s="59"/>
      <c r="J251" s="59"/>
      <c r="L251" s="59"/>
      <c r="N251" s="59"/>
      <c r="Q251" s="59"/>
      <c r="R251" s="61"/>
    </row>
    <row r="252">
      <c r="B252" s="59"/>
      <c r="D252" s="59"/>
      <c r="F252" s="59"/>
      <c r="H252" s="59"/>
      <c r="J252" s="59"/>
      <c r="L252" s="59"/>
      <c r="N252" s="59"/>
      <c r="Q252" s="59"/>
      <c r="R252" s="61"/>
    </row>
    <row r="253">
      <c r="B253" s="59"/>
      <c r="D253" s="59"/>
      <c r="F253" s="59"/>
      <c r="H253" s="59"/>
      <c r="J253" s="59"/>
      <c r="L253" s="59"/>
      <c r="N253" s="59"/>
      <c r="Q253" s="59"/>
      <c r="R253" s="61"/>
    </row>
    <row r="254">
      <c r="B254" s="59"/>
      <c r="D254" s="59"/>
      <c r="F254" s="59"/>
      <c r="H254" s="59"/>
      <c r="J254" s="59"/>
      <c r="L254" s="59"/>
      <c r="N254" s="59"/>
      <c r="Q254" s="59"/>
      <c r="R254" s="61"/>
    </row>
    <row r="255">
      <c r="B255" s="59"/>
      <c r="D255" s="59"/>
      <c r="F255" s="59"/>
      <c r="H255" s="59"/>
      <c r="J255" s="59"/>
      <c r="L255" s="59"/>
      <c r="N255" s="59"/>
      <c r="Q255" s="59"/>
      <c r="R255" s="61"/>
    </row>
    <row r="256">
      <c r="B256" s="59"/>
      <c r="D256" s="59"/>
      <c r="F256" s="59"/>
      <c r="H256" s="59"/>
      <c r="J256" s="59"/>
      <c r="L256" s="59"/>
      <c r="N256" s="59"/>
      <c r="Q256" s="59"/>
      <c r="R256" s="61"/>
    </row>
    <row r="257">
      <c r="B257" s="59"/>
      <c r="D257" s="59"/>
      <c r="F257" s="59"/>
      <c r="H257" s="59"/>
      <c r="J257" s="59"/>
      <c r="L257" s="59"/>
      <c r="N257" s="59"/>
      <c r="Q257" s="59"/>
      <c r="R257" s="61"/>
    </row>
    <row r="258">
      <c r="B258" s="59"/>
      <c r="D258" s="59"/>
      <c r="F258" s="59"/>
      <c r="H258" s="59"/>
      <c r="J258" s="59"/>
      <c r="L258" s="59"/>
      <c r="N258" s="59"/>
      <c r="Q258" s="59"/>
      <c r="R258" s="61"/>
    </row>
    <row r="259">
      <c r="B259" s="59"/>
      <c r="D259" s="59"/>
      <c r="F259" s="59"/>
      <c r="H259" s="59"/>
      <c r="J259" s="59"/>
      <c r="L259" s="59"/>
      <c r="N259" s="59"/>
      <c r="Q259" s="59"/>
      <c r="R259" s="61"/>
    </row>
    <row r="260">
      <c r="B260" s="59"/>
      <c r="D260" s="59"/>
      <c r="F260" s="59"/>
      <c r="H260" s="59"/>
      <c r="J260" s="59"/>
      <c r="L260" s="59"/>
      <c r="N260" s="59"/>
      <c r="Q260" s="59"/>
      <c r="R260" s="61"/>
    </row>
    <row r="261">
      <c r="B261" s="59"/>
      <c r="D261" s="59"/>
      <c r="F261" s="59"/>
      <c r="H261" s="59"/>
      <c r="J261" s="59"/>
      <c r="L261" s="59"/>
      <c r="N261" s="59"/>
      <c r="Q261" s="59"/>
      <c r="R261" s="61"/>
    </row>
    <row r="262">
      <c r="B262" s="59"/>
      <c r="D262" s="59"/>
      <c r="F262" s="59"/>
      <c r="H262" s="59"/>
      <c r="J262" s="59"/>
      <c r="L262" s="59"/>
      <c r="N262" s="59"/>
      <c r="Q262" s="59"/>
      <c r="R262" s="61"/>
    </row>
    <row r="263">
      <c r="B263" s="59"/>
      <c r="D263" s="59"/>
      <c r="F263" s="59"/>
      <c r="H263" s="59"/>
      <c r="J263" s="59"/>
      <c r="L263" s="59"/>
      <c r="N263" s="59"/>
      <c r="Q263" s="59"/>
      <c r="R263" s="61"/>
    </row>
    <row r="264">
      <c r="B264" s="59"/>
      <c r="D264" s="59"/>
      <c r="F264" s="59"/>
      <c r="H264" s="59"/>
      <c r="J264" s="59"/>
      <c r="L264" s="59"/>
      <c r="N264" s="59"/>
      <c r="Q264" s="59"/>
      <c r="R264" s="61"/>
    </row>
    <row r="265">
      <c r="B265" s="59"/>
      <c r="D265" s="59"/>
      <c r="F265" s="59"/>
      <c r="H265" s="59"/>
      <c r="J265" s="59"/>
      <c r="L265" s="59"/>
      <c r="N265" s="59"/>
      <c r="Q265" s="59"/>
      <c r="R265" s="61"/>
    </row>
    <row r="266">
      <c r="B266" s="59"/>
      <c r="D266" s="59"/>
      <c r="F266" s="59"/>
      <c r="H266" s="59"/>
      <c r="J266" s="59"/>
      <c r="L266" s="59"/>
      <c r="N266" s="59"/>
      <c r="Q266" s="59"/>
      <c r="R266" s="61"/>
    </row>
    <row r="267">
      <c r="B267" s="59"/>
      <c r="D267" s="59"/>
      <c r="F267" s="59"/>
      <c r="H267" s="59"/>
      <c r="J267" s="59"/>
      <c r="L267" s="59"/>
      <c r="N267" s="59"/>
      <c r="Q267" s="59"/>
      <c r="R267" s="61"/>
    </row>
    <row r="268">
      <c r="B268" s="59"/>
      <c r="D268" s="59"/>
      <c r="F268" s="59"/>
      <c r="H268" s="59"/>
      <c r="J268" s="59"/>
      <c r="L268" s="59"/>
      <c r="N268" s="59"/>
      <c r="Q268" s="59"/>
      <c r="R268" s="61"/>
    </row>
    <row r="269">
      <c r="B269" s="59"/>
      <c r="D269" s="59"/>
      <c r="F269" s="59"/>
      <c r="H269" s="59"/>
      <c r="J269" s="59"/>
      <c r="L269" s="59"/>
      <c r="N269" s="59"/>
      <c r="Q269" s="59"/>
      <c r="R269" s="61"/>
    </row>
    <row r="270">
      <c r="B270" s="59"/>
      <c r="D270" s="59"/>
      <c r="F270" s="59"/>
      <c r="H270" s="59"/>
      <c r="J270" s="59"/>
      <c r="L270" s="59"/>
      <c r="N270" s="59"/>
      <c r="Q270" s="59"/>
      <c r="R270" s="61"/>
    </row>
    <row r="271">
      <c r="B271" s="59"/>
      <c r="D271" s="59"/>
      <c r="F271" s="59"/>
      <c r="H271" s="59"/>
      <c r="J271" s="59"/>
      <c r="L271" s="59"/>
      <c r="N271" s="59"/>
      <c r="Q271" s="59"/>
      <c r="R271" s="61"/>
    </row>
    <row r="272">
      <c r="B272" s="59"/>
      <c r="D272" s="59"/>
      <c r="F272" s="59"/>
      <c r="H272" s="59"/>
      <c r="J272" s="59"/>
      <c r="L272" s="59"/>
      <c r="N272" s="59"/>
      <c r="Q272" s="59"/>
      <c r="R272" s="61"/>
    </row>
    <row r="273">
      <c r="B273" s="59"/>
      <c r="D273" s="59"/>
      <c r="F273" s="59"/>
      <c r="H273" s="59"/>
      <c r="J273" s="59"/>
      <c r="L273" s="59"/>
      <c r="N273" s="59"/>
      <c r="Q273" s="59"/>
      <c r="R273" s="61"/>
    </row>
    <row r="274">
      <c r="B274" s="59"/>
      <c r="D274" s="59"/>
      <c r="F274" s="59"/>
      <c r="H274" s="59"/>
      <c r="J274" s="59"/>
      <c r="L274" s="59"/>
      <c r="N274" s="59"/>
      <c r="Q274" s="59"/>
      <c r="R274" s="61"/>
    </row>
    <row r="275">
      <c r="B275" s="59"/>
      <c r="D275" s="59"/>
      <c r="F275" s="59"/>
      <c r="H275" s="59"/>
      <c r="J275" s="59"/>
      <c r="L275" s="59"/>
      <c r="N275" s="59"/>
      <c r="Q275" s="59"/>
      <c r="R275" s="61"/>
    </row>
    <row r="276">
      <c r="B276" s="59"/>
      <c r="D276" s="59"/>
      <c r="F276" s="59"/>
      <c r="H276" s="59"/>
      <c r="J276" s="59"/>
      <c r="L276" s="59"/>
      <c r="N276" s="59"/>
      <c r="Q276" s="59"/>
      <c r="R276" s="61"/>
    </row>
    <row r="277">
      <c r="B277" s="59"/>
      <c r="D277" s="59"/>
      <c r="F277" s="59"/>
      <c r="H277" s="59"/>
      <c r="J277" s="59"/>
      <c r="L277" s="59"/>
      <c r="N277" s="59"/>
      <c r="Q277" s="59"/>
      <c r="R277" s="61"/>
    </row>
    <row r="278">
      <c r="B278" s="59"/>
      <c r="D278" s="59"/>
      <c r="F278" s="59"/>
      <c r="H278" s="59"/>
      <c r="J278" s="59"/>
      <c r="L278" s="59"/>
      <c r="N278" s="59"/>
      <c r="Q278" s="59"/>
      <c r="R278" s="61"/>
    </row>
    <row r="279">
      <c r="B279" s="59"/>
      <c r="D279" s="59"/>
      <c r="F279" s="59"/>
      <c r="H279" s="59"/>
      <c r="J279" s="59"/>
      <c r="L279" s="59"/>
      <c r="N279" s="59"/>
      <c r="Q279" s="59"/>
      <c r="R279" s="61"/>
    </row>
    <row r="280">
      <c r="B280" s="59"/>
      <c r="D280" s="59"/>
      <c r="F280" s="59"/>
      <c r="H280" s="59"/>
      <c r="J280" s="59"/>
      <c r="L280" s="59"/>
      <c r="N280" s="59"/>
      <c r="Q280" s="59"/>
      <c r="R280" s="61"/>
    </row>
    <row r="281">
      <c r="B281" s="59"/>
      <c r="D281" s="59"/>
      <c r="F281" s="59"/>
      <c r="H281" s="59"/>
      <c r="J281" s="59"/>
      <c r="L281" s="59"/>
      <c r="N281" s="59"/>
      <c r="Q281" s="59"/>
      <c r="R281" s="61"/>
    </row>
    <row r="282">
      <c r="B282" s="59"/>
      <c r="D282" s="59"/>
      <c r="F282" s="59"/>
      <c r="H282" s="59"/>
      <c r="J282" s="59"/>
      <c r="L282" s="59"/>
      <c r="N282" s="59"/>
      <c r="Q282" s="59"/>
      <c r="R282" s="61"/>
    </row>
    <row r="283">
      <c r="B283" s="59"/>
      <c r="D283" s="59"/>
      <c r="F283" s="59"/>
      <c r="H283" s="59"/>
      <c r="J283" s="59"/>
      <c r="L283" s="59"/>
      <c r="N283" s="59"/>
      <c r="Q283" s="59"/>
      <c r="R283" s="61"/>
    </row>
    <row r="284">
      <c r="B284" s="59"/>
      <c r="D284" s="59"/>
      <c r="F284" s="59"/>
      <c r="H284" s="59"/>
      <c r="J284" s="59"/>
      <c r="L284" s="59"/>
      <c r="N284" s="59"/>
      <c r="Q284" s="59"/>
      <c r="R284" s="61"/>
    </row>
    <row r="285">
      <c r="B285" s="59"/>
      <c r="D285" s="59"/>
      <c r="F285" s="59"/>
      <c r="H285" s="59"/>
      <c r="J285" s="59"/>
      <c r="L285" s="59"/>
      <c r="N285" s="59"/>
      <c r="Q285" s="59"/>
      <c r="R285" s="61"/>
    </row>
    <row r="286">
      <c r="B286" s="59"/>
      <c r="D286" s="59"/>
      <c r="F286" s="59"/>
      <c r="H286" s="59"/>
      <c r="J286" s="59"/>
      <c r="L286" s="59"/>
      <c r="N286" s="59"/>
      <c r="Q286" s="59"/>
      <c r="R286" s="61"/>
    </row>
    <row r="287">
      <c r="B287" s="59"/>
      <c r="D287" s="59"/>
      <c r="F287" s="59"/>
      <c r="H287" s="59"/>
      <c r="J287" s="59"/>
      <c r="L287" s="59"/>
      <c r="N287" s="59"/>
      <c r="Q287" s="59"/>
      <c r="R287" s="61"/>
    </row>
    <row r="288">
      <c r="B288" s="59"/>
      <c r="D288" s="59"/>
      <c r="F288" s="59"/>
      <c r="H288" s="59"/>
      <c r="J288" s="59"/>
      <c r="L288" s="59"/>
      <c r="N288" s="59"/>
      <c r="Q288" s="59"/>
      <c r="R288" s="61"/>
    </row>
    <row r="289">
      <c r="B289" s="59"/>
      <c r="D289" s="59"/>
      <c r="F289" s="59"/>
      <c r="H289" s="59"/>
      <c r="J289" s="59"/>
      <c r="L289" s="59"/>
      <c r="N289" s="59"/>
      <c r="Q289" s="59"/>
      <c r="R289" s="61"/>
    </row>
    <row r="290">
      <c r="B290" s="59"/>
      <c r="D290" s="59"/>
      <c r="F290" s="59"/>
      <c r="H290" s="59"/>
      <c r="J290" s="59"/>
      <c r="L290" s="59"/>
      <c r="N290" s="59"/>
      <c r="Q290" s="59"/>
      <c r="R290" s="61"/>
    </row>
    <row r="291">
      <c r="B291" s="59"/>
      <c r="D291" s="59"/>
      <c r="F291" s="59"/>
      <c r="H291" s="59"/>
      <c r="J291" s="59"/>
      <c r="L291" s="59"/>
      <c r="N291" s="59"/>
      <c r="Q291" s="59"/>
      <c r="R291" s="61"/>
    </row>
    <row r="292">
      <c r="B292" s="59"/>
      <c r="D292" s="59"/>
      <c r="F292" s="59"/>
      <c r="H292" s="59"/>
      <c r="J292" s="59"/>
      <c r="L292" s="59"/>
      <c r="N292" s="59"/>
      <c r="Q292" s="59"/>
      <c r="R292" s="61"/>
    </row>
    <row r="293">
      <c r="B293" s="59"/>
      <c r="D293" s="59"/>
      <c r="F293" s="59"/>
      <c r="H293" s="59"/>
      <c r="J293" s="59"/>
      <c r="L293" s="59"/>
      <c r="N293" s="59"/>
      <c r="Q293" s="59"/>
      <c r="R293" s="61"/>
    </row>
    <row r="294">
      <c r="B294" s="59"/>
      <c r="D294" s="59"/>
      <c r="F294" s="59"/>
      <c r="H294" s="59"/>
      <c r="J294" s="59"/>
      <c r="L294" s="59"/>
      <c r="N294" s="59"/>
      <c r="Q294" s="59"/>
      <c r="R294" s="61"/>
    </row>
    <row r="295">
      <c r="B295" s="59"/>
      <c r="D295" s="59"/>
      <c r="F295" s="59"/>
      <c r="H295" s="59"/>
      <c r="J295" s="59"/>
      <c r="L295" s="59"/>
      <c r="N295" s="59"/>
      <c r="Q295" s="59"/>
      <c r="R295" s="61"/>
    </row>
    <row r="296">
      <c r="B296" s="59"/>
      <c r="D296" s="59"/>
      <c r="F296" s="59"/>
      <c r="H296" s="59"/>
      <c r="J296" s="59"/>
      <c r="L296" s="59"/>
      <c r="N296" s="59"/>
      <c r="Q296" s="59"/>
      <c r="R296" s="61"/>
    </row>
    <row r="297">
      <c r="B297" s="59"/>
      <c r="D297" s="59"/>
      <c r="F297" s="59"/>
      <c r="H297" s="59"/>
      <c r="J297" s="59"/>
      <c r="L297" s="59"/>
      <c r="N297" s="59"/>
      <c r="Q297" s="59"/>
      <c r="R297" s="61"/>
    </row>
    <row r="298">
      <c r="B298" s="59"/>
      <c r="D298" s="59"/>
      <c r="F298" s="59"/>
      <c r="H298" s="59"/>
      <c r="J298" s="59"/>
      <c r="L298" s="59"/>
      <c r="N298" s="59"/>
      <c r="Q298" s="59"/>
      <c r="R298" s="61"/>
    </row>
    <row r="299">
      <c r="B299" s="59"/>
      <c r="D299" s="59"/>
      <c r="F299" s="59"/>
      <c r="H299" s="59"/>
      <c r="J299" s="59"/>
      <c r="L299" s="59"/>
      <c r="N299" s="59"/>
      <c r="Q299" s="59"/>
      <c r="R299" s="61"/>
    </row>
    <row r="300">
      <c r="B300" s="59"/>
      <c r="D300" s="59"/>
      <c r="F300" s="59"/>
      <c r="H300" s="59"/>
      <c r="J300" s="59"/>
      <c r="L300" s="59"/>
      <c r="N300" s="59"/>
      <c r="Q300" s="59"/>
      <c r="R300" s="61"/>
    </row>
    <row r="301">
      <c r="B301" s="59"/>
      <c r="D301" s="59"/>
      <c r="F301" s="59"/>
      <c r="H301" s="59"/>
      <c r="J301" s="59"/>
      <c r="L301" s="59"/>
      <c r="N301" s="59"/>
      <c r="Q301" s="59"/>
      <c r="R301" s="61"/>
    </row>
    <row r="302">
      <c r="B302" s="59"/>
      <c r="D302" s="59"/>
      <c r="F302" s="59"/>
      <c r="H302" s="59"/>
      <c r="J302" s="59"/>
      <c r="L302" s="59"/>
      <c r="N302" s="59"/>
      <c r="Q302" s="59"/>
      <c r="R302" s="61"/>
    </row>
    <row r="303">
      <c r="B303" s="59"/>
      <c r="D303" s="59"/>
      <c r="F303" s="59"/>
      <c r="H303" s="59"/>
      <c r="J303" s="59"/>
      <c r="L303" s="59"/>
      <c r="N303" s="59"/>
      <c r="Q303" s="59"/>
      <c r="R303" s="61"/>
    </row>
    <row r="304">
      <c r="B304" s="59"/>
      <c r="D304" s="59"/>
      <c r="F304" s="59"/>
      <c r="H304" s="59"/>
      <c r="J304" s="59"/>
      <c r="L304" s="59"/>
      <c r="N304" s="59"/>
      <c r="Q304" s="59"/>
      <c r="R304" s="61"/>
    </row>
    <row r="305">
      <c r="B305" s="59"/>
      <c r="D305" s="59"/>
      <c r="F305" s="59"/>
      <c r="H305" s="59"/>
      <c r="J305" s="59"/>
      <c r="L305" s="59"/>
      <c r="N305" s="59"/>
      <c r="Q305" s="59"/>
      <c r="R305" s="61"/>
    </row>
    <row r="306">
      <c r="B306" s="59"/>
      <c r="D306" s="59"/>
      <c r="F306" s="59"/>
      <c r="H306" s="59"/>
      <c r="J306" s="59"/>
      <c r="L306" s="59"/>
      <c r="N306" s="59"/>
      <c r="Q306" s="59"/>
      <c r="R306" s="61"/>
    </row>
    <row r="307">
      <c r="B307" s="59"/>
      <c r="D307" s="59"/>
      <c r="F307" s="59"/>
      <c r="H307" s="59"/>
      <c r="J307" s="59"/>
      <c r="L307" s="59"/>
      <c r="N307" s="59"/>
      <c r="Q307" s="59"/>
      <c r="R307" s="61"/>
    </row>
    <row r="308">
      <c r="B308" s="59"/>
      <c r="D308" s="59"/>
      <c r="F308" s="59"/>
      <c r="H308" s="59"/>
      <c r="J308" s="59"/>
      <c r="L308" s="59"/>
      <c r="N308" s="59"/>
      <c r="Q308" s="59"/>
      <c r="R308" s="61"/>
    </row>
    <row r="309">
      <c r="B309" s="59"/>
      <c r="D309" s="59"/>
      <c r="F309" s="59"/>
      <c r="H309" s="59"/>
      <c r="J309" s="59"/>
      <c r="L309" s="59"/>
      <c r="N309" s="59"/>
      <c r="Q309" s="59"/>
      <c r="R309" s="61"/>
    </row>
    <row r="310">
      <c r="B310" s="59"/>
      <c r="D310" s="59"/>
      <c r="F310" s="59"/>
      <c r="H310" s="59"/>
      <c r="J310" s="59"/>
      <c r="L310" s="59"/>
      <c r="N310" s="59"/>
      <c r="Q310" s="59"/>
      <c r="R310" s="61"/>
    </row>
    <row r="311">
      <c r="B311" s="59"/>
      <c r="D311" s="59"/>
      <c r="F311" s="59"/>
      <c r="H311" s="59"/>
      <c r="J311" s="59"/>
      <c r="L311" s="59"/>
      <c r="N311" s="59"/>
      <c r="Q311" s="59"/>
      <c r="R311" s="61"/>
    </row>
    <row r="312">
      <c r="B312" s="59"/>
      <c r="D312" s="59"/>
      <c r="F312" s="59"/>
      <c r="H312" s="59"/>
      <c r="J312" s="59"/>
      <c r="L312" s="59"/>
      <c r="N312" s="59"/>
      <c r="Q312" s="59"/>
      <c r="R312" s="61"/>
    </row>
    <row r="313">
      <c r="B313" s="59"/>
      <c r="D313" s="59"/>
      <c r="F313" s="59"/>
      <c r="H313" s="59"/>
      <c r="J313" s="59"/>
      <c r="L313" s="59"/>
      <c r="N313" s="59"/>
      <c r="Q313" s="59"/>
      <c r="R313" s="61"/>
    </row>
    <row r="314">
      <c r="B314" s="59"/>
      <c r="D314" s="59"/>
      <c r="F314" s="59"/>
      <c r="H314" s="59"/>
      <c r="J314" s="59"/>
      <c r="L314" s="59"/>
      <c r="N314" s="59"/>
      <c r="Q314" s="59"/>
      <c r="R314" s="61"/>
    </row>
    <row r="315">
      <c r="B315" s="59"/>
      <c r="D315" s="59"/>
      <c r="F315" s="59"/>
      <c r="H315" s="59"/>
      <c r="J315" s="59"/>
      <c r="L315" s="59"/>
      <c r="N315" s="59"/>
      <c r="Q315" s="59"/>
      <c r="R315" s="61"/>
    </row>
    <row r="316">
      <c r="B316" s="59"/>
      <c r="D316" s="59"/>
      <c r="F316" s="59"/>
      <c r="H316" s="59"/>
      <c r="J316" s="59"/>
      <c r="L316" s="59"/>
      <c r="N316" s="59"/>
      <c r="Q316" s="59"/>
      <c r="R316" s="61"/>
    </row>
    <row r="317">
      <c r="B317" s="59"/>
      <c r="D317" s="59"/>
      <c r="F317" s="59"/>
      <c r="H317" s="59"/>
      <c r="J317" s="59"/>
      <c r="L317" s="59"/>
      <c r="N317" s="59"/>
      <c r="Q317" s="59"/>
      <c r="R317" s="61"/>
    </row>
    <row r="318">
      <c r="B318" s="59"/>
      <c r="D318" s="59"/>
      <c r="F318" s="59"/>
      <c r="H318" s="59"/>
      <c r="J318" s="59"/>
      <c r="L318" s="59"/>
      <c r="N318" s="59"/>
      <c r="Q318" s="59"/>
      <c r="R318" s="61"/>
    </row>
    <row r="319">
      <c r="B319" s="59"/>
      <c r="D319" s="59"/>
      <c r="F319" s="59"/>
      <c r="H319" s="59"/>
      <c r="J319" s="59"/>
      <c r="L319" s="59"/>
      <c r="N319" s="59"/>
      <c r="Q319" s="59"/>
      <c r="R319" s="61"/>
    </row>
    <row r="320">
      <c r="B320" s="59"/>
      <c r="D320" s="59"/>
      <c r="F320" s="59"/>
      <c r="H320" s="59"/>
      <c r="J320" s="59"/>
      <c r="L320" s="59"/>
      <c r="N320" s="59"/>
      <c r="Q320" s="59"/>
      <c r="R320" s="61"/>
    </row>
    <row r="321">
      <c r="B321" s="59"/>
      <c r="D321" s="59"/>
      <c r="F321" s="59"/>
      <c r="H321" s="59"/>
      <c r="J321" s="59"/>
      <c r="L321" s="59"/>
      <c r="N321" s="59"/>
      <c r="Q321" s="59"/>
      <c r="R321" s="61"/>
    </row>
    <row r="322">
      <c r="B322" s="59"/>
      <c r="D322" s="59"/>
      <c r="F322" s="59"/>
      <c r="H322" s="59"/>
      <c r="J322" s="59"/>
      <c r="L322" s="59"/>
      <c r="N322" s="59"/>
      <c r="Q322" s="59"/>
      <c r="R322" s="61"/>
    </row>
    <row r="323">
      <c r="B323" s="59"/>
      <c r="D323" s="59"/>
      <c r="F323" s="59"/>
      <c r="H323" s="59"/>
      <c r="J323" s="59"/>
      <c r="L323" s="59"/>
      <c r="N323" s="59"/>
      <c r="Q323" s="59"/>
      <c r="R323" s="61"/>
    </row>
    <row r="324">
      <c r="B324" s="59"/>
      <c r="D324" s="59"/>
      <c r="F324" s="59"/>
      <c r="H324" s="59"/>
      <c r="J324" s="59"/>
      <c r="L324" s="59"/>
      <c r="N324" s="59"/>
      <c r="Q324" s="59"/>
      <c r="R324" s="61"/>
    </row>
    <row r="325">
      <c r="B325" s="59"/>
      <c r="D325" s="59"/>
      <c r="F325" s="59"/>
      <c r="H325" s="59"/>
      <c r="J325" s="59"/>
      <c r="L325" s="59"/>
      <c r="N325" s="59"/>
      <c r="Q325" s="59"/>
      <c r="R325" s="61"/>
    </row>
    <row r="326">
      <c r="B326" s="59"/>
      <c r="D326" s="59"/>
      <c r="F326" s="59"/>
      <c r="H326" s="59"/>
      <c r="J326" s="59"/>
      <c r="L326" s="59"/>
      <c r="N326" s="59"/>
      <c r="Q326" s="59"/>
      <c r="R326" s="61"/>
    </row>
    <row r="327">
      <c r="B327" s="59"/>
      <c r="D327" s="59"/>
      <c r="F327" s="59"/>
      <c r="H327" s="59"/>
      <c r="J327" s="59"/>
      <c r="L327" s="59"/>
      <c r="N327" s="59"/>
      <c r="Q327" s="59"/>
      <c r="R327" s="61"/>
    </row>
    <row r="328">
      <c r="B328" s="59"/>
      <c r="D328" s="59"/>
      <c r="F328" s="59"/>
      <c r="H328" s="59"/>
      <c r="J328" s="59"/>
      <c r="L328" s="59"/>
      <c r="N328" s="59"/>
      <c r="Q328" s="59"/>
      <c r="R328" s="61"/>
    </row>
    <row r="329">
      <c r="B329" s="59"/>
      <c r="D329" s="59"/>
      <c r="F329" s="59"/>
      <c r="H329" s="59"/>
      <c r="J329" s="59"/>
      <c r="L329" s="59"/>
      <c r="N329" s="59"/>
      <c r="Q329" s="59"/>
      <c r="R329" s="61"/>
    </row>
    <row r="330">
      <c r="B330" s="59"/>
      <c r="D330" s="59"/>
      <c r="F330" s="59"/>
      <c r="H330" s="59"/>
      <c r="J330" s="59"/>
      <c r="L330" s="59"/>
      <c r="N330" s="59"/>
      <c r="Q330" s="59"/>
      <c r="R330" s="61"/>
    </row>
    <row r="331">
      <c r="B331" s="59"/>
      <c r="D331" s="59"/>
      <c r="F331" s="59"/>
      <c r="H331" s="59"/>
      <c r="J331" s="59"/>
      <c r="L331" s="59"/>
      <c r="N331" s="59"/>
      <c r="Q331" s="59"/>
      <c r="R331" s="61"/>
    </row>
    <row r="332">
      <c r="B332" s="59"/>
      <c r="D332" s="59"/>
      <c r="F332" s="59"/>
      <c r="H332" s="59"/>
      <c r="J332" s="59"/>
      <c r="L332" s="59"/>
      <c r="N332" s="59"/>
      <c r="Q332" s="59"/>
      <c r="R332" s="61"/>
    </row>
    <row r="333">
      <c r="B333" s="59"/>
      <c r="D333" s="59"/>
      <c r="F333" s="59"/>
      <c r="H333" s="59"/>
      <c r="J333" s="59"/>
      <c r="L333" s="59"/>
      <c r="N333" s="59"/>
      <c r="Q333" s="59"/>
      <c r="R333" s="61"/>
    </row>
    <row r="334">
      <c r="B334" s="59"/>
      <c r="D334" s="59"/>
      <c r="F334" s="59"/>
      <c r="H334" s="59"/>
      <c r="J334" s="59"/>
      <c r="L334" s="59"/>
      <c r="N334" s="59"/>
      <c r="Q334" s="59"/>
      <c r="R334" s="61"/>
    </row>
    <row r="335">
      <c r="B335" s="59"/>
      <c r="D335" s="59"/>
      <c r="F335" s="59"/>
      <c r="H335" s="59"/>
      <c r="J335" s="59"/>
      <c r="L335" s="59"/>
      <c r="N335" s="59"/>
      <c r="Q335" s="59"/>
      <c r="R335" s="61"/>
    </row>
    <row r="336">
      <c r="B336" s="59"/>
      <c r="D336" s="59"/>
      <c r="F336" s="59"/>
      <c r="H336" s="59"/>
      <c r="J336" s="59"/>
      <c r="L336" s="59"/>
      <c r="N336" s="59"/>
      <c r="Q336" s="59"/>
      <c r="R336" s="61"/>
    </row>
    <row r="337">
      <c r="B337" s="59"/>
      <c r="D337" s="59"/>
      <c r="F337" s="59"/>
      <c r="H337" s="59"/>
      <c r="J337" s="59"/>
      <c r="L337" s="59"/>
      <c r="N337" s="59"/>
      <c r="Q337" s="59"/>
      <c r="R337" s="61"/>
    </row>
    <row r="338">
      <c r="B338" s="59"/>
      <c r="D338" s="59"/>
      <c r="F338" s="59"/>
      <c r="H338" s="59"/>
      <c r="J338" s="59"/>
      <c r="L338" s="59"/>
      <c r="N338" s="59"/>
      <c r="Q338" s="59"/>
      <c r="R338" s="61"/>
    </row>
    <row r="339">
      <c r="B339" s="59"/>
      <c r="D339" s="59"/>
      <c r="F339" s="59"/>
      <c r="H339" s="59"/>
      <c r="J339" s="59"/>
      <c r="L339" s="59"/>
      <c r="N339" s="59"/>
      <c r="Q339" s="59"/>
      <c r="R339" s="61"/>
    </row>
    <row r="340">
      <c r="B340" s="59"/>
      <c r="D340" s="59"/>
      <c r="F340" s="59"/>
      <c r="H340" s="59"/>
      <c r="J340" s="59"/>
      <c r="L340" s="59"/>
      <c r="N340" s="59"/>
      <c r="Q340" s="59"/>
      <c r="R340" s="61"/>
    </row>
    <row r="341">
      <c r="B341" s="59"/>
      <c r="D341" s="59"/>
      <c r="F341" s="59"/>
      <c r="H341" s="59"/>
      <c r="J341" s="59"/>
      <c r="L341" s="59"/>
      <c r="N341" s="59"/>
      <c r="Q341" s="59"/>
      <c r="R341" s="61"/>
    </row>
    <row r="342">
      <c r="B342" s="59"/>
      <c r="D342" s="59"/>
      <c r="F342" s="59"/>
      <c r="H342" s="59"/>
      <c r="J342" s="59"/>
      <c r="L342" s="59"/>
      <c r="N342" s="59"/>
      <c r="Q342" s="59"/>
      <c r="R342" s="61"/>
    </row>
    <row r="343">
      <c r="B343" s="59"/>
      <c r="D343" s="59"/>
      <c r="F343" s="59"/>
      <c r="H343" s="59"/>
      <c r="J343" s="59"/>
      <c r="L343" s="59"/>
      <c r="N343" s="59"/>
      <c r="Q343" s="59"/>
      <c r="R343" s="61"/>
    </row>
    <row r="344">
      <c r="B344" s="59"/>
      <c r="D344" s="59"/>
      <c r="F344" s="59"/>
      <c r="H344" s="59"/>
      <c r="J344" s="59"/>
      <c r="L344" s="59"/>
      <c r="N344" s="59"/>
      <c r="Q344" s="59"/>
      <c r="R344" s="61"/>
    </row>
    <row r="345">
      <c r="B345" s="59"/>
      <c r="D345" s="59"/>
      <c r="F345" s="59"/>
      <c r="H345" s="59"/>
      <c r="J345" s="59"/>
      <c r="L345" s="59"/>
      <c r="N345" s="59"/>
      <c r="Q345" s="59"/>
      <c r="R345" s="61"/>
    </row>
    <row r="346">
      <c r="B346" s="59"/>
      <c r="D346" s="59"/>
      <c r="F346" s="59"/>
      <c r="H346" s="59"/>
      <c r="J346" s="59"/>
      <c r="L346" s="59"/>
      <c r="N346" s="59"/>
      <c r="Q346" s="59"/>
      <c r="R346" s="61"/>
    </row>
    <row r="347">
      <c r="B347" s="59"/>
      <c r="D347" s="59"/>
      <c r="F347" s="59"/>
      <c r="H347" s="59"/>
      <c r="J347" s="59"/>
      <c r="L347" s="59"/>
      <c r="N347" s="59"/>
      <c r="Q347" s="59"/>
      <c r="R347" s="61"/>
    </row>
    <row r="348">
      <c r="B348" s="59"/>
      <c r="D348" s="59"/>
      <c r="F348" s="59"/>
      <c r="H348" s="59"/>
      <c r="J348" s="59"/>
      <c r="L348" s="59"/>
      <c r="N348" s="59"/>
      <c r="Q348" s="59"/>
      <c r="R348" s="61"/>
    </row>
    <row r="349">
      <c r="B349" s="59"/>
      <c r="D349" s="59"/>
      <c r="F349" s="59"/>
      <c r="H349" s="59"/>
      <c r="J349" s="59"/>
      <c r="L349" s="59"/>
      <c r="N349" s="59"/>
      <c r="Q349" s="59"/>
      <c r="R349" s="61"/>
    </row>
    <row r="350">
      <c r="B350" s="59"/>
      <c r="D350" s="59"/>
      <c r="F350" s="59"/>
      <c r="H350" s="59"/>
      <c r="J350" s="59"/>
      <c r="L350" s="59"/>
      <c r="N350" s="59"/>
      <c r="Q350" s="59"/>
      <c r="R350" s="61"/>
    </row>
    <row r="351">
      <c r="B351" s="59"/>
      <c r="D351" s="59"/>
      <c r="F351" s="59"/>
      <c r="H351" s="59"/>
      <c r="J351" s="59"/>
      <c r="L351" s="59"/>
      <c r="N351" s="59"/>
      <c r="Q351" s="59"/>
      <c r="R351" s="61"/>
    </row>
    <row r="352">
      <c r="B352" s="59"/>
      <c r="D352" s="59"/>
      <c r="F352" s="59"/>
      <c r="H352" s="59"/>
      <c r="J352" s="59"/>
      <c r="L352" s="59"/>
      <c r="N352" s="59"/>
      <c r="Q352" s="59"/>
      <c r="R352" s="61"/>
    </row>
    <row r="353">
      <c r="B353" s="59"/>
      <c r="D353" s="59"/>
      <c r="F353" s="59"/>
      <c r="H353" s="59"/>
      <c r="J353" s="59"/>
      <c r="L353" s="59"/>
      <c r="N353" s="59"/>
      <c r="Q353" s="59"/>
      <c r="R353" s="61"/>
    </row>
    <row r="354">
      <c r="B354" s="59"/>
      <c r="D354" s="59"/>
      <c r="F354" s="59"/>
      <c r="H354" s="59"/>
      <c r="J354" s="59"/>
      <c r="L354" s="59"/>
      <c r="N354" s="59"/>
      <c r="Q354" s="59"/>
      <c r="R354" s="61"/>
    </row>
    <row r="355">
      <c r="B355" s="59"/>
      <c r="D355" s="59"/>
      <c r="F355" s="59"/>
      <c r="H355" s="59"/>
      <c r="J355" s="59"/>
      <c r="L355" s="59"/>
      <c r="N355" s="59"/>
      <c r="Q355" s="59"/>
      <c r="R355" s="61"/>
    </row>
    <row r="356">
      <c r="B356" s="59"/>
      <c r="D356" s="59"/>
      <c r="F356" s="59"/>
      <c r="H356" s="59"/>
      <c r="J356" s="59"/>
      <c r="L356" s="59"/>
      <c r="N356" s="59"/>
      <c r="Q356" s="59"/>
      <c r="R356" s="61"/>
    </row>
    <row r="357">
      <c r="B357" s="59"/>
      <c r="D357" s="59"/>
      <c r="F357" s="59"/>
      <c r="H357" s="59"/>
      <c r="J357" s="59"/>
      <c r="L357" s="59"/>
      <c r="N357" s="59"/>
      <c r="Q357" s="59"/>
      <c r="R357" s="61"/>
    </row>
    <row r="358">
      <c r="B358" s="59"/>
      <c r="D358" s="59"/>
      <c r="F358" s="59"/>
      <c r="H358" s="59"/>
      <c r="J358" s="59"/>
      <c r="L358" s="59"/>
      <c r="N358" s="59"/>
      <c r="Q358" s="59"/>
      <c r="R358" s="61"/>
    </row>
    <row r="359">
      <c r="B359" s="59"/>
      <c r="D359" s="59"/>
      <c r="F359" s="59"/>
      <c r="H359" s="59"/>
      <c r="J359" s="59"/>
      <c r="L359" s="59"/>
      <c r="N359" s="59"/>
      <c r="Q359" s="59"/>
      <c r="R359" s="61"/>
    </row>
    <row r="360">
      <c r="B360" s="59"/>
      <c r="D360" s="59"/>
      <c r="F360" s="59"/>
      <c r="H360" s="59"/>
      <c r="J360" s="59"/>
      <c r="L360" s="59"/>
      <c r="N360" s="59"/>
      <c r="Q360" s="59"/>
      <c r="R360" s="61"/>
    </row>
    <row r="361">
      <c r="B361" s="59"/>
      <c r="D361" s="59"/>
      <c r="F361" s="59"/>
      <c r="H361" s="59"/>
      <c r="J361" s="59"/>
      <c r="L361" s="59"/>
      <c r="N361" s="59"/>
      <c r="Q361" s="59"/>
      <c r="R361" s="61"/>
    </row>
    <row r="362">
      <c r="B362" s="59"/>
      <c r="D362" s="59"/>
      <c r="F362" s="59"/>
      <c r="H362" s="59"/>
      <c r="J362" s="59"/>
      <c r="L362" s="59"/>
      <c r="N362" s="59"/>
      <c r="Q362" s="59"/>
      <c r="R362" s="61"/>
    </row>
    <row r="363">
      <c r="B363" s="59"/>
      <c r="D363" s="59"/>
      <c r="F363" s="59"/>
      <c r="H363" s="59"/>
      <c r="J363" s="59"/>
      <c r="L363" s="59"/>
      <c r="N363" s="59"/>
      <c r="Q363" s="59"/>
      <c r="R363" s="61"/>
    </row>
    <row r="364">
      <c r="B364" s="59"/>
      <c r="D364" s="59"/>
      <c r="F364" s="59"/>
      <c r="H364" s="59"/>
      <c r="J364" s="59"/>
      <c r="L364" s="59"/>
      <c r="N364" s="59"/>
      <c r="Q364" s="59"/>
      <c r="R364" s="61"/>
    </row>
    <row r="365">
      <c r="B365" s="59"/>
      <c r="D365" s="59"/>
      <c r="F365" s="59"/>
      <c r="H365" s="59"/>
      <c r="J365" s="59"/>
      <c r="L365" s="59"/>
      <c r="N365" s="59"/>
      <c r="Q365" s="59"/>
      <c r="R365" s="61"/>
    </row>
    <row r="366">
      <c r="B366" s="59"/>
      <c r="D366" s="59"/>
      <c r="F366" s="59"/>
      <c r="H366" s="59"/>
      <c r="J366" s="59"/>
      <c r="L366" s="59"/>
      <c r="N366" s="59"/>
      <c r="Q366" s="59"/>
      <c r="R366" s="61"/>
    </row>
    <row r="367">
      <c r="B367" s="59"/>
      <c r="D367" s="59"/>
      <c r="F367" s="59"/>
      <c r="H367" s="59"/>
      <c r="J367" s="59"/>
      <c r="L367" s="59"/>
      <c r="N367" s="59"/>
      <c r="Q367" s="59"/>
      <c r="R367" s="61"/>
    </row>
    <row r="368">
      <c r="B368" s="59"/>
      <c r="D368" s="59"/>
      <c r="F368" s="59"/>
      <c r="H368" s="59"/>
      <c r="J368" s="59"/>
      <c r="L368" s="59"/>
      <c r="N368" s="59"/>
      <c r="Q368" s="59"/>
      <c r="R368" s="61"/>
    </row>
    <row r="369">
      <c r="B369" s="59"/>
      <c r="D369" s="59"/>
      <c r="F369" s="59"/>
      <c r="H369" s="59"/>
      <c r="J369" s="59"/>
      <c r="L369" s="59"/>
      <c r="N369" s="59"/>
      <c r="Q369" s="59"/>
      <c r="R369" s="61"/>
    </row>
    <row r="370">
      <c r="B370" s="59"/>
      <c r="D370" s="59"/>
      <c r="F370" s="59"/>
      <c r="H370" s="59"/>
      <c r="J370" s="59"/>
      <c r="L370" s="59"/>
      <c r="N370" s="59"/>
      <c r="Q370" s="59"/>
      <c r="R370" s="61"/>
    </row>
    <row r="371">
      <c r="B371" s="59"/>
      <c r="D371" s="59"/>
      <c r="F371" s="59"/>
      <c r="H371" s="59"/>
      <c r="J371" s="59"/>
      <c r="L371" s="59"/>
      <c r="N371" s="59"/>
      <c r="Q371" s="59"/>
      <c r="R371" s="61"/>
    </row>
    <row r="372">
      <c r="B372" s="59"/>
      <c r="D372" s="59"/>
      <c r="F372" s="59"/>
      <c r="H372" s="59"/>
      <c r="J372" s="59"/>
      <c r="L372" s="59"/>
      <c r="N372" s="59"/>
      <c r="Q372" s="59"/>
      <c r="R372" s="61"/>
    </row>
    <row r="373">
      <c r="B373" s="59"/>
      <c r="D373" s="59"/>
      <c r="F373" s="59"/>
      <c r="H373" s="59"/>
      <c r="J373" s="59"/>
      <c r="L373" s="59"/>
      <c r="N373" s="59"/>
      <c r="Q373" s="59"/>
      <c r="R373" s="61"/>
    </row>
    <row r="374">
      <c r="B374" s="59"/>
      <c r="D374" s="59"/>
      <c r="F374" s="59"/>
      <c r="H374" s="59"/>
      <c r="J374" s="59"/>
      <c r="L374" s="59"/>
      <c r="N374" s="59"/>
      <c r="Q374" s="59"/>
      <c r="R374" s="61"/>
    </row>
    <row r="375">
      <c r="B375" s="59"/>
      <c r="D375" s="59"/>
      <c r="F375" s="59"/>
      <c r="H375" s="59"/>
      <c r="J375" s="59"/>
      <c r="L375" s="59"/>
      <c r="N375" s="59"/>
      <c r="Q375" s="59"/>
      <c r="R375" s="61"/>
    </row>
    <row r="376">
      <c r="B376" s="59"/>
      <c r="D376" s="59"/>
      <c r="F376" s="59"/>
      <c r="H376" s="59"/>
      <c r="J376" s="59"/>
      <c r="L376" s="59"/>
      <c r="N376" s="59"/>
      <c r="Q376" s="59"/>
      <c r="R376" s="61"/>
    </row>
    <row r="377">
      <c r="B377" s="59"/>
      <c r="D377" s="59"/>
      <c r="F377" s="59"/>
      <c r="H377" s="59"/>
      <c r="J377" s="59"/>
      <c r="L377" s="59"/>
      <c r="N377" s="59"/>
      <c r="Q377" s="59"/>
      <c r="R377" s="61"/>
    </row>
    <row r="378">
      <c r="B378" s="59"/>
      <c r="D378" s="59"/>
      <c r="F378" s="59"/>
      <c r="H378" s="59"/>
      <c r="J378" s="59"/>
      <c r="L378" s="59"/>
      <c r="N378" s="59"/>
      <c r="Q378" s="59"/>
      <c r="R378" s="61"/>
    </row>
    <row r="379">
      <c r="B379" s="59"/>
      <c r="D379" s="59"/>
      <c r="F379" s="59"/>
      <c r="H379" s="59"/>
      <c r="J379" s="59"/>
      <c r="L379" s="59"/>
      <c r="N379" s="59"/>
      <c r="Q379" s="59"/>
      <c r="R379" s="61"/>
    </row>
    <row r="380">
      <c r="B380" s="59"/>
      <c r="D380" s="59"/>
      <c r="F380" s="59"/>
      <c r="H380" s="59"/>
      <c r="J380" s="59"/>
      <c r="L380" s="59"/>
      <c r="N380" s="59"/>
      <c r="Q380" s="59"/>
      <c r="R380" s="61"/>
    </row>
    <row r="381">
      <c r="B381" s="59"/>
      <c r="D381" s="59"/>
      <c r="F381" s="59"/>
      <c r="H381" s="59"/>
      <c r="J381" s="59"/>
      <c r="L381" s="59"/>
      <c r="N381" s="59"/>
      <c r="Q381" s="59"/>
      <c r="R381" s="61"/>
    </row>
    <row r="382">
      <c r="B382" s="59"/>
      <c r="D382" s="59"/>
      <c r="F382" s="59"/>
      <c r="H382" s="59"/>
      <c r="J382" s="59"/>
      <c r="L382" s="59"/>
      <c r="N382" s="59"/>
      <c r="Q382" s="59"/>
      <c r="R382" s="61"/>
    </row>
    <row r="383">
      <c r="B383" s="59"/>
      <c r="D383" s="59"/>
      <c r="F383" s="59"/>
      <c r="H383" s="59"/>
      <c r="J383" s="59"/>
      <c r="L383" s="59"/>
      <c r="N383" s="59"/>
      <c r="Q383" s="59"/>
      <c r="R383" s="61"/>
    </row>
    <row r="384">
      <c r="B384" s="59"/>
      <c r="D384" s="59"/>
      <c r="F384" s="59"/>
      <c r="H384" s="59"/>
      <c r="J384" s="59"/>
      <c r="L384" s="59"/>
      <c r="N384" s="59"/>
      <c r="Q384" s="59"/>
      <c r="R384" s="61"/>
    </row>
    <row r="385">
      <c r="B385" s="59"/>
      <c r="D385" s="59"/>
      <c r="F385" s="59"/>
      <c r="H385" s="59"/>
      <c r="J385" s="59"/>
      <c r="L385" s="59"/>
      <c r="N385" s="59"/>
      <c r="Q385" s="59"/>
      <c r="R385" s="61"/>
    </row>
    <row r="386">
      <c r="B386" s="59"/>
      <c r="D386" s="59"/>
      <c r="F386" s="59"/>
      <c r="H386" s="59"/>
      <c r="J386" s="59"/>
      <c r="L386" s="59"/>
      <c r="N386" s="59"/>
      <c r="Q386" s="59"/>
      <c r="R386" s="61"/>
    </row>
    <row r="387">
      <c r="B387" s="59"/>
      <c r="D387" s="59"/>
      <c r="F387" s="59"/>
      <c r="H387" s="59"/>
      <c r="J387" s="59"/>
      <c r="L387" s="59"/>
      <c r="N387" s="59"/>
      <c r="Q387" s="59"/>
      <c r="R387" s="61"/>
    </row>
    <row r="388">
      <c r="B388" s="59"/>
      <c r="D388" s="59"/>
      <c r="F388" s="59"/>
      <c r="H388" s="59"/>
      <c r="J388" s="59"/>
      <c r="L388" s="59"/>
      <c r="N388" s="59"/>
      <c r="Q388" s="59"/>
      <c r="R388" s="61"/>
    </row>
    <row r="389">
      <c r="B389" s="59"/>
      <c r="D389" s="59"/>
      <c r="F389" s="59"/>
      <c r="H389" s="59"/>
      <c r="J389" s="59"/>
      <c r="L389" s="59"/>
      <c r="N389" s="59"/>
      <c r="Q389" s="59"/>
      <c r="R389" s="61"/>
    </row>
    <row r="390">
      <c r="B390" s="59"/>
      <c r="D390" s="59"/>
      <c r="F390" s="59"/>
      <c r="H390" s="59"/>
      <c r="J390" s="59"/>
      <c r="L390" s="59"/>
      <c r="N390" s="59"/>
      <c r="Q390" s="59"/>
      <c r="R390" s="61"/>
    </row>
    <row r="391">
      <c r="B391" s="59"/>
      <c r="D391" s="59"/>
      <c r="F391" s="59"/>
      <c r="H391" s="59"/>
      <c r="J391" s="59"/>
      <c r="L391" s="59"/>
      <c r="N391" s="59"/>
      <c r="Q391" s="59"/>
      <c r="R391" s="61"/>
    </row>
    <row r="392">
      <c r="B392" s="59"/>
      <c r="D392" s="59"/>
      <c r="F392" s="59"/>
      <c r="H392" s="59"/>
      <c r="J392" s="59"/>
      <c r="L392" s="59"/>
      <c r="N392" s="59"/>
      <c r="Q392" s="59"/>
      <c r="R392" s="61"/>
    </row>
    <row r="393">
      <c r="B393" s="59"/>
      <c r="D393" s="59"/>
      <c r="F393" s="59"/>
      <c r="H393" s="59"/>
      <c r="J393" s="59"/>
      <c r="L393" s="59"/>
      <c r="N393" s="59"/>
      <c r="Q393" s="59"/>
      <c r="R393" s="61"/>
    </row>
    <row r="394">
      <c r="B394" s="59"/>
      <c r="D394" s="59"/>
      <c r="F394" s="59"/>
      <c r="H394" s="59"/>
      <c r="J394" s="59"/>
      <c r="L394" s="59"/>
      <c r="N394" s="59"/>
      <c r="Q394" s="59"/>
      <c r="R394" s="61"/>
    </row>
    <row r="395">
      <c r="B395" s="59"/>
      <c r="D395" s="59"/>
      <c r="F395" s="59"/>
      <c r="H395" s="59"/>
      <c r="J395" s="59"/>
      <c r="L395" s="59"/>
      <c r="N395" s="59"/>
      <c r="Q395" s="59"/>
      <c r="R395" s="61"/>
    </row>
    <row r="396">
      <c r="B396" s="59"/>
      <c r="D396" s="59"/>
      <c r="F396" s="59"/>
      <c r="H396" s="59"/>
      <c r="J396" s="59"/>
      <c r="L396" s="59"/>
      <c r="N396" s="59"/>
      <c r="Q396" s="59"/>
      <c r="R396" s="61"/>
    </row>
    <row r="397">
      <c r="B397" s="59"/>
      <c r="D397" s="59"/>
      <c r="F397" s="59"/>
      <c r="H397" s="59"/>
      <c r="J397" s="59"/>
      <c r="L397" s="59"/>
      <c r="N397" s="59"/>
      <c r="Q397" s="59"/>
      <c r="R397" s="61"/>
    </row>
    <row r="398">
      <c r="B398" s="59"/>
      <c r="D398" s="59"/>
      <c r="F398" s="59"/>
      <c r="H398" s="59"/>
      <c r="J398" s="59"/>
      <c r="L398" s="59"/>
      <c r="N398" s="59"/>
      <c r="Q398" s="59"/>
      <c r="R398" s="61"/>
    </row>
    <row r="399">
      <c r="B399" s="59"/>
      <c r="D399" s="59"/>
      <c r="F399" s="59"/>
      <c r="H399" s="59"/>
      <c r="J399" s="59"/>
      <c r="L399" s="59"/>
      <c r="N399" s="59"/>
      <c r="Q399" s="59"/>
      <c r="R399" s="61"/>
    </row>
    <row r="400">
      <c r="B400" s="59"/>
      <c r="D400" s="59"/>
      <c r="F400" s="59"/>
      <c r="H400" s="59"/>
      <c r="J400" s="59"/>
      <c r="L400" s="59"/>
      <c r="N400" s="59"/>
      <c r="Q400" s="59"/>
      <c r="R400" s="61"/>
    </row>
    <row r="401">
      <c r="B401" s="59"/>
      <c r="D401" s="59"/>
      <c r="F401" s="59"/>
      <c r="H401" s="59"/>
      <c r="J401" s="59"/>
      <c r="L401" s="59"/>
      <c r="N401" s="59"/>
      <c r="Q401" s="59"/>
      <c r="R401" s="61"/>
    </row>
    <row r="402">
      <c r="B402" s="59"/>
      <c r="D402" s="59"/>
      <c r="F402" s="59"/>
      <c r="H402" s="59"/>
      <c r="J402" s="59"/>
      <c r="L402" s="59"/>
      <c r="N402" s="59"/>
      <c r="Q402" s="59"/>
      <c r="R402" s="61"/>
    </row>
    <row r="403">
      <c r="B403" s="59"/>
      <c r="D403" s="59"/>
      <c r="F403" s="59"/>
      <c r="H403" s="59"/>
      <c r="J403" s="59"/>
      <c r="L403" s="59"/>
      <c r="N403" s="59"/>
      <c r="Q403" s="59"/>
      <c r="R403" s="61"/>
    </row>
    <row r="404">
      <c r="B404" s="59"/>
      <c r="D404" s="59"/>
      <c r="F404" s="59"/>
      <c r="H404" s="59"/>
      <c r="J404" s="59"/>
      <c r="L404" s="59"/>
      <c r="N404" s="59"/>
      <c r="Q404" s="59"/>
      <c r="R404" s="61"/>
    </row>
    <row r="405">
      <c r="B405" s="59"/>
      <c r="D405" s="59"/>
      <c r="F405" s="59"/>
      <c r="H405" s="59"/>
      <c r="J405" s="59"/>
      <c r="L405" s="59"/>
      <c r="N405" s="59"/>
      <c r="Q405" s="59"/>
      <c r="R405" s="61"/>
    </row>
    <row r="406">
      <c r="B406" s="59"/>
      <c r="D406" s="59"/>
      <c r="F406" s="59"/>
      <c r="H406" s="59"/>
      <c r="J406" s="59"/>
      <c r="L406" s="59"/>
      <c r="N406" s="59"/>
      <c r="Q406" s="59"/>
      <c r="R406" s="61"/>
    </row>
    <row r="407">
      <c r="B407" s="59"/>
      <c r="D407" s="59"/>
      <c r="F407" s="59"/>
      <c r="H407" s="59"/>
      <c r="J407" s="59"/>
      <c r="L407" s="59"/>
      <c r="N407" s="59"/>
      <c r="Q407" s="59"/>
      <c r="R407" s="61"/>
    </row>
    <row r="408">
      <c r="B408" s="59"/>
      <c r="D408" s="59"/>
      <c r="F408" s="59"/>
      <c r="H408" s="59"/>
      <c r="J408" s="59"/>
      <c r="L408" s="59"/>
      <c r="N408" s="59"/>
      <c r="Q408" s="59"/>
      <c r="R408" s="61"/>
    </row>
    <row r="409">
      <c r="B409" s="59"/>
      <c r="D409" s="59"/>
      <c r="F409" s="59"/>
      <c r="H409" s="59"/>
      <c r="J409" s="59"/>
      <c r="L409" s="59"/>
      <c r="N409" s="59"/>
      <c r="Q409" s="59"/>
      <c r="R409" s="61"/>
    </row>
    <row r="410">
      <c r="B410" s="59"/>
      <c r="D410" s="59"/>
      <c r="F410" s="59"/>
      <c r="H410" s="59"/>
      <c r="J410" s="59"/>
      <c r="L410" s="59"/>
      <c r="N410" s="59"/>
      <c r="Q410" s="59"/>
      <c r="R410" s="61"/>
    </row>
    <row r="411">
      <c r="B411" s="59"/>
      <c r="D411" s="59"/>
      <c r="F411" s="59"/>
      <c r="H411" s="59"/>
      <c r="J411" s="59"/>
      <c r="L411" s="59"/>
      <c r="N411" s="59"/>
      <c r="Q411" s="59"/>
      <c r="R411" s="61"/>
    </row>
    <row r="412">
      <c r="B412" s="59"/>
      <c r="D412" s="59"/>
      <c r="F412" s="59"/>
      <c r="H412" s="59"/>
      <c r="J412" s="59"/>
      <c r="L412" s="59"/>
      <c r="N412" s="59"/>
      <c r="Q412" s="59"/>
      <c r="R412" s="61"/>
    </row>
    <row r="413">
      <c r="B413" s="59"/>
      <c r="D413" s="59"/>
      <c r="F413" s="59"/>
      <c r="H413" s="59"/>
      <c r="J413" s="59"/>
      <c r="L413" s="59"/>
      <c r="N413" s="59"/>
      <c r="Q413" s="59"/>
      <c r="R413" s="61"/>
    </row>
    <row r="414">
      <c r="B414" s="59"/>
      <c r="D414" s="59"/>
      <c r="F414" s="59"/>
      <c r="H414" s="59"/>
      <c r="J414" s="59"/>
      <c r="L414" s="59"/>
      <c r="N414" s="59"/>
      <c r="Q414" s="59"/>
      <c r="R414" s="61"/>
    </row>
    <row r="415">
      <c r="B415" s="59"/>
      <c r="D415" s="59"/>
      <c r="F415" s="59"/>
      <c r="H415" s="59"/>
      <c r="J415" s="59"/>
      <c r="L415" s="59"/>
      <c r="N415" s="59"/>
      <c r="Q415" s="59"/>
      <c r="R415" s="61"/>
    </row>
    <row r="416">
      <c r="B416" s="59"/>
      <c r="D416" s="59"/>
      <c r="F416" s="59"/>
      <c r="H416" s="59"/>
      <c r="J416" s="59"/>
      <c r="L416" s="59"/>
      <c r="N416" s="59"/>
      <c r="Q416" s="59"/>
      <c r="R416" s="61"/>
    </row>
    <row r="417">
      <c r="B417" s="59"/>
      <c r="D417" s="59"/>
      <c r="F417" s="59"/>
      <c r="H417" s="59"/>
      <c r="J417" s="59"/>
      <c r="L417" s="59"/>
      <c r="N417" s="59"/>
      <c r="Q417" s="59"/>
      <c r="R417" s="61"/>
    </row>
    <row r="418">
      <c r="B418" s="59"/>
      <c r="D418" s="59"/>
      <c r="F418" s="59"/>
      <c r="H418" s="59"/>
      <c r="J418" s="59"/>
      <c r="L418" s="59"/>
      <c r="N418" s="59"/>
      <c r="Q418" s="59"/>
      <c r="R418" s="61"/>
    </row>
    <row r="419">
      <c r="B419" s="59"/>
      <c r="D419" s="59"/>
      <c r="F419" s="59"/>
      <c r="H419" s="59"/>
      <c r="J419" s="59"/>
      <c r="L419" s="59"/>
      <c r="N419" s="59"/>
      <c r="Q419" s="59"/>
      <c r="R419" s="61"/>
    </row>
    <row r="420">
      <c r="B420" s="59"/>
      <c r="D420" s="59"/>
      <c r="F420" s="59"/>
      <c r="H420" s="59"/>
      <c r="J420" s="59"/>
      <c r="L420" s="59"/>
      <c r="N420" s="59"/>
      <c r="Q420" s="59"/>
      <c r="R420" s="61"/>
    </row>
    <row r="421">
      <c r="B421" s="59"/>
      <c r="D421" s="59"/>
      <c r="F421" s="59"/>
      <c r="H421" s="59"/>
      <c r="J421" s="59"/>
      <c r="L421" s="59"/>
      <c r="N421" s="59"/>
      <c r="Q421" s="59"/>
      <c r="R421" s="61"/>
    </row>
    <row r="422">
      <c r="B422" s="59"/>
      <c r="D422" s="59"/>
      <c r="F422" s="59"/>
      <c r="H422" s="59"/>
      <c r="J422" s="59"/>
      <c r="L422" s="59"/>
      <c r="N422" s="59"/>
      <c r="Q422" s="59"/>
      <c r="R422" s="61"/>
    </row>
    <row r="423">
      <c r="B423" s="59"/>
      <c r="D423" s="59"/>
      <c r="F423" s="59"/>
      <c r="H423" s="59"/>
      <c r="J423" s="59"/>
      <c r="L423" s="59"/>
      <c r="N423" s="59"/>
      <c r="Q423" s="59"/>
      <c r="R423" s="61"/>
    </row>
    <row r="424">
      <c r="B424" s="59"/>
      <c r="D424" s="59"/>
      <c r="F424" s="59"/>
      <c r="H424" s="59"/>
      <c r="J424" s="59"/>
      <c r="L424" s="59"/>
      <c r="N424" s="59"/>
      <c r="Q424" s="59"/>
      <c r="R424" s="61"/>
    </row>
    <row r="425">
      <c r="B425" s="59"/>
      <c r="D425" s="59"/>
      <c r="F425" s="59"/>
      <c r="H425" s="59"/>
      <c r="J425" s="59"/>
      <c r="L425" s="59"/>
      <c r="N425" s="59"/>
      <c r="Q425" s="59"/>
      <c r="R425" s="61"/>
    </row>
    <row r="426">
      <c r="B426" s="59"/>
      <c r="D426" s="59"/>
      <c r="F426" s="59"/>
      <c r="H426" s="59"/>
      <c r="J426" s="59"/>
      <c r="L426" s="59"/>
      <c r="N426" s="59"/>
      <c r="Q426" s="59"/>
      <c r="R426" s="61"/>
    </row>
    <row r="427">
      <c r="B427" s="59"/>
      <c r="D427" s="59"/>
      <c r="F427" s="59"/>
      <c r="H427" s="59"/>
      <c r="J427" s="59"/>
      <c r="L427" s="59"/>
      <c r="N427" s="59"/>
      <c r="Q427" s="59"/>
      <c r="R427" s="61"/>
    </row>
    <row r="428">
      <c r="B428" s="59"/>
      <c r="D428" s="59"/>
      <c r="F428" s="59"/>
      <c r="H428" s="59"/>
      <c r="J428" s="59"/>
      <c r="L428" s="59"/>
      <c r="N428" s="59"/>
      <c r="Q428" s="59"/>
      <c r="R428" s="61"/>
    </row>
    <row r="429">
      <c r="B429" s="59"/>
      <c r="D429" s="59"/>
      <c r="F429" s="59"/>
      <c r="H429" s="59"/>
      <c r="J429" s="59"/>
      <c r="L429" s="59"/>
      <c r="N429" s="59"/>
      <c r="Q429" s="59"/>
      <c r="R429" s="61"/>
    </row>
    <row r="430">
      <c r="B430" s="59"/>
      <c r="D430" s="59"/>
      <c r="F430" s="59"/>
      <c r="H430" s="59"/>
      <c r="J430" s="59"/>
      <c r="L430" s="59"/>
      <c r="N430" s="59"/>
      <c r="Q430" s="59"/>
      <c r="R430" s="61"/>
    </row>
    <row r="431">
      <c r="B431" s="59"/>
      <c r="D431" s="59"/>
      <c r="F431" s="59"/>
      <c r="H431" s="59"/>
      <c r="J431" s="59"/>
      <c r="L431" s="59"/>
      <c r="N431" s="59"/>
      <c r="Q431" s="59"/>
      <c r="R431" s="61"/>
    </row>
    <row r="432">
      <c r="B432" s="59"/>
      <c r="D432" s="59"/>
      <c r="F432" s="59"/>
      <c r="H432" s="59"/>
      <c r="J432" s="59"/>
      <c r="L432" s="59"/>
      <c r="N432" s="59"/>
      <c r="Q432" s="59"/>
      <c r="R432" s="61"/>
    </row>
    <row r="433">
      <c r="B433" s="59"/>
      <c r="D433" s="59"/>
      <c r="F433" s="59"/>
      <c r="H433" s="59"/>
      <c r="J433" s="59"/>
      <c r="L433" s="59"/>
      <c r="N433" s="59"/>
      <c r="Q433" s="59"/>
      <c r="R433" s="61"/>
    </row>
    <row r="434">
      <c r="B434" s="59"/>
      <c r="D434" s="59"/>
      <c r="F434" s="59"/>
      <c r="H434" s="59"/>
      <c r="J434" s="59"/>
      <c r="L434" s="59"/>
      <c r="N434" s="59"/>
      <c r="Q434" s="59"/>
      <c r="R434" s="61"/>
    </row>
    <row r="435">
      <c r="B435" s="59"/>
      <c r="D435" s="59"/>
      <c r="F435" s="59"/>
      <c r="H435" s="59"/>
      <c r="J435" s="59"/>
      <c r="L435" s="59"/>
      <c r="N435" s="59"/>
      <c r="Q435" s="59"/>
      <c r="R435" s="61"/>
    </row>
    <row r="436">
      <c r="B436" s="59"/>
      <c r="D436" s="59"/>
      <c r="F436" s="59"/>
      <c r="H436" s="59"/>
      <c r="J436" s="59"/>
      <c r="L436" s="59"/>
      <c r="N436" s="59"/>
      <c r="Q436" s="59"/>
      <c r="R436" s="61"/>
    </row>
    <row r="437">
      <c r="B437" s="59"/>
      <c r="D437" s="59"/>
      <c r="F437" s="59"/>
      <c r="H437" s="59"/>
      <c r="J437" s="59"/>
      <c r="L437" s="59"/>
      <c r="N437" s="59"/>
      <c r="Q437" s="59"/>
      <c r="R437" s="61"/>
    </row>
    <row r="438">
      <c r="B438" s="59"/>
      <c r="D438" s="59"/>
      <c r="F438" s="59"/>
      <c r="H438" s="59"/>
      <c r="J438" s="59"/>
      <c r="L438" s="59"/>
      <c r="N438" s="59"/>
      <c r="Q438" s="59"/>
      <c r="R438" s="61"/>
    </row>
    <row r="439">
      <c r="B439" s="59"/>
      <c r="D439" s="59"/>
      <c r="F439" s="59"/>
      <c r="H439" s="59"/>
      <c r="J439" s="59"/>
      <c r="L439" s="59"/>
      <c r="N439" s="59"/>
      <c r="Q439" s="59"/>
      <c r="R439" s="61"/>
    </row>
    <row r="440">
      <c r="B440" s="59"/>
      <c r="D440" s="59"/>
      <c r="F440" s="59"/>
      <c r="H440" s="59"/>
      <c r="J440" s="59"/>
      <c r="L440" s="59"/>
      <c r="N440" s="59"/>
      <c r="Q440" s="59"/>
      <c r="R440" s="61"/>
    </row>
    <row r="441">
      <c r="B441" s="59"/>
      <c r="D441" s="59"/>
      <c r="F441" s="59"/>
      <c r="H441" s="59"/>
      <c r="J441" s="59"/>
      <c r="L441" s="59"/>
      <c r="N441" s="59"/>
      <c r="Q441" s="59"/>
      <c r="R441" s="61"/>
    </row>
    <row r="442">
      <c r="B442" s="59"/>
      <c r="D442" s="59"/>
      <c r="F442" s="59"/>
      <c r="H442" s="59"/>
      <c r="J442" s="59"/>
      <c r="L442" s="59"/>
      <c r="N442" s="59"/>
      <c r="Q442" s="59"/>
      <c r="R442" s="61"/>
    </row>
    <row r="443">
      <c r="B443" s="59"/>
      <c r="D443" s="59"/>
      <c r="F443" s="59"/>
      <c r="H443" s="59"/>
      <c r="J443" s="59"/>
      <c r="L443" s="59"/>
      <c r="N443" s="59"/>
      <c r="Q443" s="59"/>
      <c r="R443" s="61"/>
    </row>
    <row r="444">
      <c r="B444" s="59"/>
      <c r="D444" s="59"/>
      <c r="F444" s="59"/>
      <c r="H444" s="59"/>
      <c r="J444" s="59"/>
      <c r="L444" s="59"/>
      <c r="N444" s="59"/>
      <c r="Q444" s="59"/>
      <c r="R444" s="61"/>
    </row>
    <row r="445">
      <c r="B445" s="59"/>
      <c r="D445" s="59"/>
      <c r="F445" s="59"/>
      <c r="H445" s="59"/>
      <c r="J445" s="59"/>
      <c r="L445" s="59"/>
      <c r="N445" s="59"/>
      <c r="Q445" s="59"/>
      <c r="R445" s="61"/>
    </row>
    <row r="446">
      <c r="B446" s="59"/>
      <c r="D446" s="59"/>
      <c r="F446" s="59"/>
      <c r="H446" s="59"/>
      <c r="J446" s="59"/>
      <c r="L446" s="59"/>
      <c r="N446" s="59"/>
      <c r="Q446" s="59"/>
      <c r="R446" s="61"/>
    </row>
    <row r="447">
      <c r="B447" s="59"/>
      <c r="D447" s="59"/>
      <c r="F447" s="59"/>
      <c r="H447" s="59"/>
      <c r="J447" s="59"/>
      <c r="L447" s="59"/>
      <c r="N447" s="59"/>
      <c r="Q447" s="59"/>
      <c r="R447" s="61"/>
    </row>
    <row r="448">
      <c r="B448" s="59"/>
      <c r="D448" s="59"/>
      <c r="F448" s="59"/>
      <c r="H448" s="59"/>
      <c r="J448" s="59"/>
      <c r="L448" s="59"/>
      <c r="N448" s="59"/>
      <c r="Q448" s="59"/>
      <c r="R448" s="61"/>
    </row>
    <row r="449">
      <c r="B449" s="59"/>
      <c r="D449" s="59"/>
      <c r="F449" s="59"/>
      <c r="H449" s="59"/>
      <c r="J449" s="59"/>
      <c r="L449" s="59"/>
      <c r="N449" s="59"/>
      <c r="Q449" s="59"/>
      <c r="R449" s="61"/>
    </row>
    <row r="450">
      <c r="B450" s="59"/>
      <c r="D450" s="59"/>
      <c r="F450" s="59"/>
      <c r="H450" s="59"/>
      <c r="J450" s="59"/>
      <c r="L450" s="59"/>
      <c r="N450" s="59"/>
      <c r="Q450" s="59"/>
      <c r="R450" s="61"/>
    </row>
    <row r="451">
      <c r="B451" s="59"/>
      <c r="D451" s="59"/>
      <c r="F451" s="59"/>
      <c r="H451" s="59"/>
      <c r="J451" s="59"/>
      <c r="L451" s="59"/>
      <c r="N451" s="59"/>
      <c r="Q451" s="59"/>
      <c r="R451" s="61"/>
    </row>
    <row r="452">
      <c r="B452" s="59"/>
      <c r="D452" s="59"/>
      <c r="F452" s="59"/>
      <c r="H452" s="59"/>
      <c r="J452" s="59"/>
      <c r="L452" s="59"/>
      <c r="N452" s="59"/>
      <c r="Q452" s="59"/>
      <c r="R452" s="61"/>
    </row>
    <row r="453">
      <c r="B453" s="59"/>
      <c r="D453" s="59"/>
      <c r="F453" s="59"/>
      <c r="H453" s="59"/>
      <c r="J453" s="59"/>
      <c r="L453" s="59"/>
      <c r="N453" s="59"/>
      <c r="Q453" s="59"/>
      <c r="R453" s="61"/>
    </row>
    <row r="454">
      <c r="B454" s="59"/>
      <c r="D454" s="59"/>
      <c r="F454" s="59"/>
      <c r="H454" s="59"/>
      <c r="J454" s="59"/>
      <c r="L454" s="59"/>
      <c r="N454" s="59"/>
      <c r="Q454" s="59"/>
      <c r="R454" s="61"/>
    </row>
    <row r="455">
      <c r="B455" s="59"/>
      <c r="D455" s="59"/>
      <c r="F455" s="59"/>
      <c r="H455" s="59"/>
      <c r="J455" s="59"/>
      <c r="L455" s="59"/>
      <c r="N455" s="59"/>
      <c r="Q455" s="59"/>
      <c r="R455" s="61"/>
    </row>
    <row r="456">
      <c r="B456" s="59"/>
      <c r="D456" s="59"/>
      <c r="F456" s="59"/>
      <c r="H456" s="59"/>
      <c r="J456" s="59"/>
      <c r="L456" s="59"/>
      <c r="N456" s="59"/>
      <c r="Q456" s="59"/>
      <c r="R456" s="61"/>
    </row>
    <row r="457">
      <c r="B457" s="59"/>
      <c r="D457" s="59"/>
      <c r="F457" s="59"/>
      <c r="H457" s="59"/>
      <c r="J457" s="59"/>
      <c r="L457" s="59"/>
      <c r="N457" s="59"/>
      <c r="Q457" s="59"/>
      <c r="R457" s="61"/>
    </row>
    <row r="458">
      <c r="B458" s="59"/>
      <c r="D458" s="59"/>
      <c r="F458" s="59"/>
      <c r="H458" s="59"/>
      <c r="J458" s="59"/>
      <c r="L458" s="59"/>
      <c r="N458" s="59"/>
      <c r="Q458" s="59"/>
      <c r="R458" s="61"/>
    </row>
    <row r="459">
      <c r="B459" s="59"/>
      <c r="D459" s="59"/>
      <c r="F459" s="59"/>
      <c r="H459" s="59"/>
      <c r="J459" s="59"/>
      <c r="L459" s="59"/>
      <c r="N459" s="59"/>
      <c r="Q459" s="59"/>
      <c r="R459" s="61"/>
    </row>
    <row r="460">
      <c r="B460" s="59"/>
      <c r="D460" s="59"/>
      <c r="F460" s="59"/>
      <c r="H460" s="59"/>
      <c r="J460" s="59"/>
      <c r="L460" s="59"/>
      <c r="N460" s="59"/>
      <c r="Q460" s="59"/>
      <c r="R460" s="61"/>
    </row>
    <row r="461">
      <c r="B461" s="59"/>
      <c r="D461" s="59"/>
      <c r="F461" s="59"/>
      <c r="H461" s="59"/>
      <c r="J461" s="59"/>
      <c r="L461" s="59"/>
      <c r="N461" s="59"/>
      <c r="Q461" s="59"/>
      <c r="R461" s="61"/>
    </row>
    <row r="462">
      <c r="B462" s="59"/>
      <c r="D462" s="59"/>
      <c r="F462" s="59"/>
      <c r="H462" s="59"/>
      <c r="J462" s="59"/>
      <c r="L462" s="59"/>
      <c r="N462" s="59"/>
      <c r="Q462" s="59"/>
      <c r="R462" s="61"/>
    </row>
    <row r="463">
      <c r="B463" s="59"/>
      <c r="D463" s="59"/>
      <c r="F463" s="59"/>
      <c r="H463" s="59"/>
      <c r="J463" s="59"/>
      <c r="L463" s="59"/>
      <c r="N463" s="59"/>
      <c r="Q463" s="59"/>
      <c r="R463" s="61"/>
    </row>
    <row r="464">
      <c r="B464" s="59"/>
      <c r="D464" s="59"/>
      <c r="F464" s="59"/>
      <c r="H464" s="59"/>
      <c r="J464" s="59"/>
      <c r="L464" s="59"/>
      <c r="N464" s="59"/>
      <c r="Q464" s="59"/>
      <c r="R464" s="61"/>
    </row>
    <row r="465">
      <c r="B465" s="59"/>
      <c r="D465" s="59"/>
      <c r="F465" s="59"/>
      <c r="H465" s="59"/>
      <c r="J465" s="59"/>
      <c r="L465" s="59"/>
      <c r="N465" s="59"/>
      <c r="Q465" s="59"/>
      <c r="R465" s="61"/>
    </row>
    <row r="466">
      <c r="B466" s="59"/>
      <c r="D466" s="59"/>
      <c r="F466" s="59"/>
      <c r="H466" s="59"/>
      <c r="J466" s="59"/>
      <c r="L466" s="59"/>
      <c r="N466" s="59"/>
      <c r="Q466" s="59"/>
      <c r="R466" s="61"/>
    </row>
    <row r="467">
      <c r="B467" s="59"/>
      <c r="D467" s="59"/>
      <c r="F467" s="59"/>
      <c r="H467" s="59"/>
      <c r="J467" s="59"/>
      <c r="L467" s="59"/>
      <c r="N467" s="59"/>
      <c r="Q467" s="59"/>
      <c r="R467" s="61"/>
    </row>
    <row r="468">
      <c r="B468" s="59"/>
      <c r="D468" s="59"/>
      <c r="F468" s="59"/>
      <c r="H468" s="59"/>
      <c r="J468" s="59"/>
      <c r="L468" s="59"/>
      <c r="N468" s="59"/>
      <c r="Q468" s="59"/>
      <c r="R468" s="61"/>
    </row>
    <row r="469">
      <c r="B469" s="59"/>
      <c r="D469" s="59"/>
      <c r="F469" s="59"/>
      <c r="H469" s="59"/>
      <c r="J469" s="59"/>
      <c r="L469" s="59"/>
      <c r="N469" s="59"/>
      <c r="Q469" s="59"/>
      <c r="R469" s="61"/>
    </row>
    <row r="470">
      <c r="B470" s="59"/>
      <c r="D470" s="59"/>
      <c r="F470" s="59"/>
      <c r="H470" s="59"/>
      <c r="J470" s="59"/>
      <c r="L470" s="59"/>
      <c r="N470" s="59"/>
      <c r="Q470" s="59"/>
      <c r="R470" s="61"/>
    </row>
    <row r="471">
      <c r="B471" s="59"/>
      <c r="D471" s="59"/>
      <c r="F471" s="59"/>
      <c r="H471" s="59"/>
      <c r="J471" s="59"/>
      <c r="L471" s="59"/>
      <c r="N471" s="59"/>
      <c r="Q471" s="59"/>
      <c r="R471" s="61"/>
    </row>
    <row r="472">
      <c r="B472" s="59"/>
      <c r="D472" s="59"/>
      <c r="F472" s="59"/>
      <c r="H472" s="59"/>
      <c r="J472" s="59"/>
      <c r="L472" s="59"/>
      <c r="N472" s="59"/>
      <c r="Q472" s="59"/>
      <c r="R472" s="61"/>
    </row>
    <row r="473">
      <c r="B473" s="59"/>
      <c r="D473" s="59"/>
      <c r="F473" s="59"/>
      <c r="H473" s="59"/>
      <c r="J473" s="59"/>
      <c r="L473" s="59"/>
      <c r="N473" s="59"/>
      <c r="Q473" s="59"/>
      <c r="R473" s="61"/>
    </row>
    <row r="474">
      <c r="B474" s="59"/>
      <c r="D474" s="59"/>
      <c r="F474" s="59"/>
      <c r="H474" s="59"/>
      <c r="J474" s="59"/>
      <c r="L474" s="59"/>
      <c r="N474" s="59"/>
      <c r="Q474" s="59"/>
      <c r="R474" s="61"/>
    </row>
    <row r="475">
      <c r="B475" s="59"/>
      <c r="D475" s="59"/>
      <c r="F475" s="59"/>
      <c r="H475" s="59"/>
      <c r="J475" s="59"/>
      <c r="L475" s="59"/>
      <c r="N475" s="59"/>
      <c r="Q475" s="59"/>
      <c r="R475" s="61"/>
    </row>
    <row r="476">
      <c r="B476" s="59"/>
      <c r="D476" s="59"/>
      <c r="F476" s="59"/>
      <c r="H476" s="59"/>
      <c r="J476" s="59"/>
      <c r="L476" s="59"/>
      <c r="N476" s="59"/>
      <c r="Q476" s="59"/>
      <c r="R476" s="61"/>
    </row>
    <row r="477">
      <c r="B477" s="59"/>
      <c r="D477" s="59"/>
      <c r="F477" s="59"/>
      <c r="H477" s="59"/>
      <c r="J477" s="59"/>
      <c r="L477" s="59"/>
      <c r="N477" s="59"/>
      <c r="Q477" s="59"/>
      <c r="R477" s="61"/>
    </row>
    <row r="478">
      <c r="B478" s="59"/>
      <c r="D478" s="59"/>
      <c r="F478" s="59"/>
      <c r="H478" s="59"/>
      <c r="J478" s="59"/>
      <c r="L478" s="59"/>
      <c r="N478" s="59"/>
      <c r="Q478" s="59"/>
      <c r="R478" s="61"/>
    </row>
    <row r="479">
      <c r="B479" s="59"/>
      <c r="D479" s="59"/>
      <c r="F479" s="59"/>
      <c r="H479" s="59"/>
      <c r="J479" s="59"/>
      <c r="L479" s="59"/>
      <c r="N479" s="59"/>
      <c r="Q479" s="59"/>
      <c r="R479" s="61"/>
    </row>
    <row r="480">
      <c r="B480" s="59"/>
      <c r="D480" s="59"/>
      <c r="F480" s="59"/>
      <c r="H480" s="59"/>
      <c r="J480" s="59"/>
      <c r="L480" s="59"/>
      <c r="N480" s="59"/>
      <c r="Q480" s="59"/>
      <c r="R480" s="61"/>
    </row>
    <row r="481">
      <c r="B481" s="59"/>
      <c r="D481" s="59"/>
      <c r="F481" s="59"/>
      <c r="H481" s="59"/>
      <c r="J481" s="59"/>
      <c r="L481" s="59"/>
      <c r="N481" s="59"/>
      <c r="Q481" s="59"/>
      <c r="R481" s="61"/>
    </row>
    <row r="482">
      <c r="B482" s="59"/>
      <c r="D482" s="59"/>
      <c r="F482" s="59"/>
      <c r="H482" s="59"/>
      <c r="J482" s="59"/>
      <c r="L482" s="59"/>
      <c r="N482" s="59"/>
      <c r="Q482" s="59"/>
      <c r="R482" s="61"/>
    </row>
    <row r="483">
      <c r="B483" s="59"/>
      <c r="D483" s="59"/>
      <c r="F483" s="59"/>
      <c r="H483" s="59"/>
      <c r="J483" s="59"/>
      <c r="L483" s="59"/>
      <c r="N483" s="59"/>
      <c r="Q483" s="59"/>
      <c r="R483" s="61"/>
    </row>
    <row r="484">
      <c r="B484" s="59"/>
      <c r="D484" s="59"/>
      <c r="F484" s="59"/>
      <c r="H484" s="59"/>
      <c r="J484" s="59"/>
      <c r="L484" s="59"/>
      <c r="N484" s="59"/>
      <c r="Q484" s="59"/>
      <c r="R484" s="61"/>
    </row>
    <row r="485">
      <c r="B485" s="59"/>
      <c r="D485" s="59"/>
      <c r="F485" s="59"/>
      <c r="H485" s="59"/>
      <c r="J485" s="59"/>
      <c r="L485" s="59"/>
      <c r="N485" s="59"/>
      <c r="Q485" s="59"/>
      <c r="R485" s="61"/>
    </row>
    <row r="486">
      <c r="B486" s="59"/>
      <c r="D486" s="59"/>
      <c r="F486" s="59"/>
      <c r="H486" s="59"/>
      <c r="J486" s="59"/>
      <c r="L486" s="59"/>
      <c r="N486" s="59"/>
      <c r="Q486" s="59"/>
      <c r="R486" s="61"/>
    </row>
    <row r="487">
      <c r="B487" s="59"/>
      <c r="D487" s="59"/>
      <c r="F487" s="59"/>
      <c r="H487" s="59"/>
      <c r="J487" s="59"/>
      <c r="L487" s="59"/>
      <c r="N487" s="59"/>
      <c r="Q487" s="59"/>
      <c r="R487" s="61"/>
    </row>
    <row r="488">
      <c r="B488" s="59"/>
      <c r="D488" s="59"/>
      <c r="F488" s="59"/>
      <c r="H488" s="59"/>
      <c r="J488" s="59"/>
      <c r="L488" s="59"/>
      <c r="N488" s="59"/>
      <c r="Q488" s="59"/>
      <c r="R488" s="61"/>
    </row>
    <row r="489">
      <c r="B489" s="59"/>
      <c r="D489" s="59"/>
      <c r="F489" s="59"/>
      <c r="H489" s="59"/>
      <c r="J489" s="59"/>
      <c r="L489" s="59"/>
      <c r="N489" s="59"/>
      <c r="Q489" s="59"/>
      <c r="R489" s="61"/>
    </row>
    <row r="490">
      <c r="B490" s="59"/>
      <c r="D490" s="59"/>
      <c r="F490" s="59"/>
      <c r="H490" s="59"/>
      <c r="J490" s="59"/>
      <c r="L490" s="59"/>
      <c r="N490" s="59"/>
      <c r="Q490" s="59"/>
      <c r="R490" s="61"/>
    </row>
    <row r="491">
      <c r="B491" s="59"/>
      <c r="D491" s="59"/>
      <c r="F491" s="59"/>
      <c r="H491" s="59"/>
      <c r="J491" s="59"/>
      <c r="L491" s="59"/>
      <c r="N491" s="59"/>
      <c r="Q491" s="59"/>
      <c r="R491" s="61"/>
    </row>
    <row r="492">
      <c r="B492" s="59"/>
      <c r="D492" s="59"/>
      <c r="F492" s="59"/>
      <c r="H492" s="59"/>
      <c r="J492" s="59"/>
      <c r="L492" s="59"/>
      <c r="N492" s="59"/>
      <c r="Q492" s="59"/>
      <c r="R492" s="61"/>
    </row>
    <row r="493">
      <c r="B493" s="59"/>
      <c r="D493" s="59"/>
      <c r="F493" s="59"/>
      <c r="H493" s="59"/>
      <c r="J493" s="59"/>
      <c r="L493" s="59"/>
      <c r="N493" s="59"/>
      <c r="Q493" s="59"/>
      <c r="R493" s="61"/>
    </row>
    <row r="494">
      <c r="B494" s="59"/>
      <c r="D494" s="59"/>
      <c r="F494" s="59"/>
      <c r="H494" s="59"/>
      <c r="J494" s="59"/>
      <c r="L494" s="59"/>
      <c r="N494" s="59"/>
      <c r="Q494" s="59"/>
      <c r="R494" s="61"/>
    </row>
    <row r="495">
      <c r="B495" s="59"/>
      <c r="D495" s="59"/>
      <c r="F495" s="59"/>
      <c r="H495" s="59"/>
      <c r="J495" s="59"/>
      <c r="L495" s="59"/>
      <c r="N495" s="59"/>
      <c r="Q495" s="59"/>
      <c r="R495" s="61"/>
    </row>
    <row r="496">
      <c r="B496" s="59"/>
      <c r="D496" s="59"/>
      <c r="F496" s="59"/>
      <c r="H496" s="59"/>
      <c r="J496" s="59"/>
      <c r="L496" s="59"/>
      <c r="N496" s="59"/>
      <c r="Q496" s="59"/>
      <c r="R496" s="61"/>
    </row>
    <row r="497">
      <c r="B497" s="59"/>
      <c r="D497" s="59"/>
      <c r="F497" s="59"/>
      <c r="H497" s="59"/>
      <c r="J497" s="59"/>
      <c r="L497" s="59"/>
      <c r="N497" s="59"/>
      <c r="Q497" s="59"/>
      <c r="R497" s="61"/>
    </row>
    <row r="498">
      <c r="B498" s="59"/>
      <c r="D498" s="59"/>
      <c r="F498" s="59"/>
      <c r="H498" s="59"/>
      <c r="J498" s="59"/>
      <c r="L498" s="59"/>
      <c r="N498" s="59"/>
      <c r="Q498" s="59"/>
      <c r="R498" s="61"/>
    </row>
    <row r="499">
      <c r="B499" s="59"/>
      <c r="D499" s="59"/>
      <c r="F499" s="59"/>
      <c r="H499" s="59"/>
      <c r="J499" s="59"/>
      <c r="L499" s="59"/>
      <c r="N499" s="59"/>
      <c r="Q499" s="59"/>
      <c r="R499" s="61"/>
    </row>
    <row r="500">
      <c r="B500" s="59"/>
      <c r="D500" s="59"/>
      <c r="F500" s="59"/>
      <c r="H500" s="59"/>
      <c r="J500" s="59"/>
      <c r="L500" s="59"/>
      <c r="N500" s="59"/>
      <c r="Q500" s="59"/>
      <c r="R500" s="61"/>
    </row>
    <row r="501">
      <c r="B501" s="59"/>
      <c r="D501" s="59"/>
      <c r="F501" s="59"/>
      <c r="H501" s="59"/>
      <c r="J501" s="59"/>
      <c r="L501" s="59"/>
      <c r="N501" s="59"/>
      <c r="Q501" s="59"/>
      <c r="R501" s="61"/>
    </row>
    <row r="502">
      <c r="B502" s="59"/>
      <c r="D502" s="59"/>
      <c r="F502" s="59"/>
      <c r="H502" s="59"/>
      <c r="J502" s="59"/>
      <c r="L502" s="59"/>
      <c r="N502" s="59"/>
      <c r="Q502" s="59"/>
      <c r="R502" s="61"/>
    </row>
    <row r="503">
      <c r="B503" s="59"/>
      <c r="D503" s="59"/>
      <c r="F503" s="59"/>
      <c r="H503" s="59"/>
      <c r="J503" s="59"/>
      <c r="L503" s="59"/>
      <c r="N503" s="59"/>
      <c r="Q503" s="59"/>
      <c r="R503" s="61"/>
    </row>
    <row r="504">
      <c r="B504" s="59"/>
      <c r="D504" s="59"/>
      <c r="F504" s="59"/>
      <c r="H504" s="59"/>
      <c r="J504" s="59"/>
      <c r="L504" s="59"/>
      <c r="N504" s="59"/>
      <c r="Q504" s="59"/>
      <c r="R504" s="61"/>
    </row>
    <row r="505">
      <c r="B505" s="59"/>
      <c r="D505" s="59"/>
      <c r="F505" s="59"/>
      <c r="H505" s="59"/>
      <c r="J505" s="59"/>
      <c r="L505" s="59"/>
      <c r="N505" s="59"/>
      <c r="Q505" s="59"/>
      <c r="R505" s="61"/>
    </row>
    <row r="506">
      <c r="B506" s="59"/>
      <c r="D506" s="59"/>
      <c r="F506" s="59"/>
      <c r="H506" s="59"/>
      <c r="J506" s="59"/>
      <c r="L506" s="59"/>
      <c r="N506" s="59"/>
      <c r="Q506" s="59"/>
      <c r="R506" s="61"/>
    </row>
    <row r="507">
      <c r="B507" s="59"/>
      <c r="D507" s="59"/>
      <c r="F507" s="59"/>
      <c r="H507" s="59"/>
      <c r="J507" s="59"/>
      <c r="L507" s="59"/>
      <c r="N507" s="59"/>
      <c r="Q507" s="59"/>
      <c r="R507" s="61"/>
    </row>
    <row r="508">
      <c r="B508" s="59"/>
      <c r="D508" s="59"/>
      <c r="F508" s="59"/>
      <c r="H508" s="59"/>
      <c r="J508" s="59"/>
      <c r="L508" s="59"/>
      <c r="N508" s="59"/>
      <c r="Q508" s="59"/>
      <c r="R508" s="61"/>
    </row>
    <row r="509">
      <c r="B509" s="59"/>
      <c r="D509" s="59"/>
      <c r="F509" s="59"/>
      <c r="H509" s="59"/>
      <c r="J509" s="59"/>
      <c r="L509" s="59"/>
      <c r="N509" s="59"/>
      <c r="Q509" s="59"/>
      <c r="R509" s="61"/>
    </row>
    <row r="510">
      <c r="B510" s="59"/>
      <c r="D510" s="59"/>
      <c r="F510" s="59"/>
      <c r="H510" s="59"/>
      <c r="J510" s="59"/>
      <c r="L510" s="59"/>
      <c r="N510" s="59"/>
      <c r="Q510" s="59"/>
      <c r="R510" s="61"/>
    </row>
    <row r="511">
      <c r="B511" s="59"/>
      <c r="D511" s="59"/>
      <c r="F511" s="59"/>
      <c r="H511" s="59"/>
      <c r="J511" s="59"/>
      <c r="L511" s="59"/>
      <c r="N511" s="59"/>
      <c r="Q511" s="59"/>
      <c r="R511" s="61"/>
    </row>
    <row r="512">
      <c r="B512" s="59"/>
      <c r="D512" s="59"/>
      <c r="F512" s="59"/>
      <c r="H512" s="59"/>
      <c r="J512" s="59"/>
      <c r="L512" s="59"/>
      <c r="N512" s="59"/>
      <c r="Q512" s="59"/>
      <c r="R512" s="61"/>
    </row>
    <row r="513">
      <c r="B513" s="59"/>
      <c r="D513" s="59"/>
      <c r="F513" s="59"/>
      <c r="H513" s="59"/>
      <c r="J513" s="59"/>
      <c r="L513" s="59"/>
      <c r="N513" s="59"/>
      <c r="Q513" s="59"/>
      <c r="R513" s="61"/>
    </row>
    <row r="514">
      <c r="B514" s="59"/>
      <c r="D514" s="59"/>
      <c r="F514" s="59"/>
      <c r="H514" s="59"/>
      <c r="J514" s="59"/>
      <c r="L514" s="59"/>
      <c r="N514" s="59"/>
      <c r="Q514" s="59"/>
      <c r="R514" s="61"/>
    </row>
    <row r="515">
      <c r="B515" s="59"/>
      <c r="D515" s="59"/>
      <c r="F515" s="59"/>
      <c r="H515" s="59"/>
      <c r="J515" s="59"/>
      <c r="L515" s="59"/>
      <c r="N515" s="59"/>
      <c r="Q515" s="59"/>
      <c r="R515" s="61"/>
    </row>
    <row r="516">
      <c r="B516" s="59"/>
      <c r="D516" s="59"/>
      <c r="F516" s="59"/>
      <c r="H516" s="59"/>
      <c r="J516" s="59"/>
      <c r="L516" s="59"/>
      <c r="N516" s="59"/>
      <c r="Q516" s="59"/>
      <c r="R516" s="61"/>
    </row>
    <row r="517">
      <c r="B517" s="59"/>
      <c r="D517" s="59"/>
      <c r="F517" s="59"/>
      <c r="H517" s="59"/>
      <c r="J517" s="59"/>
      <c r="L517" s="59"/>
      <c r="N517" s="59"/>
      <c r="Q517" s="59"/>
      <c r="R517" s="61"/>
    </row>
    <row r="518">
      <c r="B518" s="59"/>
      <c r="D518" s="59"/>
      <c r="F518" s="59"/>
      <c r="H518" s="59"/>
      <c r="J518" s="59"/>
      <c r="L518" s="59"/>
      <c r="N518" s="59"/>
      <c r="Q518" s="59"/>
      <c r="R518" s="61"/>
    </row>
    <row r="519">
      <c r="B519" s="59"/>
      <c r="D519" s="59"/>
      <c r="F519" s="59"/>
      <c r="H519" s="59"/>
      <c r="J519" s="59"/>
      <c r="L519" s="59"/>
      <c r="N519" s="59"/>
      <c r="Q519" s="59"/>
      <c r="R519" s="61"/>
    </row>
    <row r="520">
      <c r="B520" s="59"/>
      <c r="D520" s="59"/>
      <c r="F520" s="59"/>
      <c r="H520" s="59"/>
      <c r="J520" s="59"/>
      <c r="L520" s="59"/>
      <c r="N520" s="59"/>
      <c r="Q520" s="59"/>
      <c r="R520" s="61"/>
    </row>
    <row r="521">
      <c r="B521" s="59"/>
      <c r="D521" s="59"/>
      <c r="F521" s="59"/>
      <c r="H521" s="59"/>
      <c r="J521" s="59"/>
      <c r="L521" s="59"/>
      <c r="N521" s="59"/>
      <c r="Q521" s="59"/>
      <c r="R521" s="61"/>
    </row>
    <row r="522">
      <c r="B522" s="59"/>
      <c r="D522" s="59"/>
      <c r="F522" s="59"/>
      <c r="H522" s="59"/>
      <c r="J522" s="59"/>
      <c r="L522" s="59"/>
      <c r="N522" s="59"/>
      <c r="Q522" s="59"/>
      <c r="R522" s="61"/>
    </row>
    <row r="523">
      <c r="B523" s="59"/>
      <c r="D523" s="59"/>
      <c r="F523" s="59"/>
      <c r="H523" s="59"/>
      <c r="J523" s="59"/>
      <c r="L523" s="59"/>
      <c r="N523" s="59"/>
      <c r="Q523" s="59"/>
      <c r="R523" s="61"/>
    </row>
    <row r="524">
      <c r="B524" s="59"/>
      <c r="D524" s="59"/>
      <c r="F524" s="59"/>
      <c r="H524" s="59"/>
      <c r="J524" s="59"/>
      <c r="L524" s="59"/>
      <c r="N524" s="59"/>
      <c r="Q524" s="59"/>
      <c r="R524" s="61"/>
    </row>
    <row r="525">
      <c r="B525" s="59"/>
      <c r="D525" s="59"/>
      <c r="F525" s="59"/>
      <c r="H525" s="59"/>
      <c r="J525" s="59"/>
      <c r="L525" s="59"/>
      <c r="N525" s="59"/>
      <c r="Q525" s="59"/>
      <c r="R525" s="61"/>
    </row>
    <row r="526">
      <c r="B526" s="59"/>
      <c r="D526" s="59"/>
      <c r="F526" s="59"/>
      <c r="H526" s="59"/>
      <c r="J526" s="59"/>
      <c r="L526" s="59"/>
      <c r="N526" s="59"/>
      <c r="Q526" s="59"/>
      <c r="R526" s="61"/>
    </row>
    <row r="527">
      <c r="B527" s="59"/>
      <c r="D527" s="59"/>
      <c r="F527" s="59"/>
      <c r="H527" s="59"/>
      <c r="J527" s="59"/>
      <c r="L527" s="59"/>
      <c r="N527" s="59"/>
      <c r="Q527" s="59"/>
      <c r="R527" s="61"/>
    </row>
    <row r="528">
      <c r="B528" s="59"/>
      <c r="D528" s="59"/>
      <c r="F528" s="59"/>
      <c r="H528" s="59"/>
      <c r="J528" s="59"/>
      <c r="L528" s="59"/>
      <c r="N528" s="59"/>
      <c r="Q528" s="59"/>
      <c r="R528" s="61"/>
    </row>
    <row r="529">
      <c r="B529" s="59"/>
      <c r="D529" s="59"/>
      <c r="F529" s="59"/>
      <c r="H529" s="59"/>
      <c r="J529" s="59"/>
      <c r="L529" s="59"/>
      <c r="N529" s="59"/>
      <c r="Q529" s="59"/>
      <c r="R529" s="61"/>
    </row>
    <row r="530">
      <c r="B530" s="59"/>
      <c r="D530" s="59"/>
      <c r="F530" s="59"/>
      <c r="H530" s="59"/>
      <c r="J530" s="59"/>
      <c r="L530" s="59"/>
      <c r="N530" s="59"/>
      <c r="Q530" s="59"/>
      <c r="R530" s="61"/>
    </row>
    <row r="531">
      <c r="B531" s="59"/>
      <c r="D531" s="59"/>
      <c r="F531" s="59"/>
      <c r="H531" s="59"/>
      <c r="J531" s="59"/>
      <c r="L531" s="59"/>
      <c r="N531" s="59"/>
      <c r="Q531" s="59"/>
      <c r="R531" s="61"/>
    </row>
    <row r="532">
      <c r="B532" s="59"/>
      <c r="D532" s="59"/>
      <c r="F532" s="59"/>
      <c r="H532" s="59"/>
      <c r="J532" s="59"/>
      <c r="L532" s="59"/>
      <c r="N532" s="59"/>
      <c r="Q532" s="59"/>
      <c r="R532" s="61"/>
    </row>
    <row r="533">
      <c r="B533" s="59"/>
      <c r="D533" s="59"/>
      <c r="F533" s="59"/>
      <c r="H533" s="59"/>
      <c r="J533" s="59"/>
      <c r="L533" s="59"/>
      <c r="N533" s="59"/>
      <c r="Q533" s="59"/>
      <c r="R533" s="61"/>
    </row>
    <row r="534">
      <c r="B534" s="59"/>
      <c r="D534" s="59"/>
      <c r="F534" s="59"/>
      <c r="H534" s="59"/>
      <c r="J534" s="59"/>
      <c r="L534" s="59"/>
      <c r="N534" s="59"/>
      <c r="Q534" s="59"/>
      <c r="R534" s="61"/>
    </row>
    <row r="535">
      <c r="B535" s="59"/>
      <c r="D535" s="59"/>
      <c r="F535" s="59"/>
      <c r="H535" s="59"/>
      <c r="J535" s="59"/>
      <c r="L535" s="59"/>
      <c r="N535" s="59"/>
      <c r="Q535" s="59"/>
      <c r="R535" s="61"/>
    </row>
    <row r="536">
      <c r="B536" s="59"/>
      <c r="D536" s="59"/>
      <c r="F536" s="59"/>
      <c r="H536" s="59"/>
      <c r="J536" s="59"/>
      <c r="L536" s="59"/>
      <c r="N536" s="59"/>
      <c r="Q536" s="59"/>
      <c r="R536" s="61"/>
    </row>
    <row r="537">
      <c r="B537" s="59"/>
      <c r="D537" s="59"/>
      <c r="F537" s="59"/>
      <c r="H537" s="59"/>
      <c r="J537" s="59"/>
      <c r="L537" s="59"/>
      <c r="N537" s="59"/>
      <c r="Q537" s="59"/>
      <c r="R537" s="61"/>
    </row>
    <row r="538">
      <c r="B538" s="59"/>
      <c r="D538" s="59"/>
      <c r="F538" s="59"/>
      <c r="H538" s="59"/>
      <c r="J538" s="59"/>
      <c r="L538" s="59"/>
      <c r="N538" s="59"/>
      <c r="Q538" s="59"/>
      <c r="R538" s="61"/>
    </row>
    <row r="539">
      <c r="B539" s="59"/>
      <c r="D539" s="59"/>
      <c r="F539" s="59"/>
      <c r="H539" s="59"/>
      <c r="J539" s="59"/>
      <c r="L539" s="59"/>
      <c r="N539" s="59"/>
      <c r="Q539" s="59"/>
      <c r="R539" s="61"/>
    </row>
    <row r="540">
      <c r="B540" s="59"/>
      <c r="D540" s="59"/>
      <c r="F540" s="59"/>
      <c r="H540" s="59"/>
      <c r="J540" s="59"/>
      <c r="L540" s="59"/>
      <c r="N540" s="59"/>
      <c r="Q540" s="59"/>
      <c r="R540" s="61"/>
    </row>
    <row r="541">
      <c r="B541" s="59"/>
      <c r="D541" s="59"/>
      <c r="F541" s="59"/>
      <c r="H541" s="59"/>
      <c r="J541" s="59"/>
      <c r="L541" s="59"/>
      <c r="N541" s="59"/>
      <c r="Q541" s="59"/>
      <c r="R541" s="61"/>
    </row>
    <row r="542">
      <c r="B542" s="59"/>
      <c r="D542" s="59"/>
      <c r="F542" s="59"/>
      <c r="H542" s="59"/>
      <c r="J542" s="59"/>
      <c r="L542" s="59"/>
      <c r="N542" s="59"/>
      <c r="Q542" s="59"/>
      <c r="R542" s="61"/>
    </row>
    <row r="543">
      <c r="B543" s="59"/>
      <c r="D543" s="59"/>
      <c r="F543" s="59"/>
      <c r="H543" s="59"/>
      <c r="J543" s="59"/>
      <c r="L543" s="59"/>
      <c r="N543" s="59"/>
      <c r="Q543" s="59"/>
      <c r="R543" s="61"/>
    </row>
    <row r="544">
      <c r="B544" s="59"/>
      <c r="D544" s="59"/>
      <c r="F544" s="59"/>
      <c r="H544" s="59"/>
      <c r="J544" s="59"/>
      <c r="L544" s="59"/>
      <c r="N544" s="59"/>
      <c r="Q544" s="59"/>
      <c r="R544" s="61"/>
    </row>
    <row r="545">
      <c r="B545" s="59"/>
      <c r="D545" s="59"/>
      <c r="F545" s="59"/>
      <c r="H545" s="59"/>
      <c r="J545" s="59"/>
      <c r="L545" s="59"/>
      <c r="N545" s="59"/>
      <c r="Q545" s="59"/>
      <c r="R545" s="61"/>
    </row>
    <row r="546">
      <c r="B546" s="59"/>
      <c r="D546" s="59"/>
      <c r="F546" s="59"/>
      <c r="H546" s="59"/>
      <c r="J546" s="59"/>
      <c r="L546" s="59"/>
      <c r="N546" s="59"/>
      <c r="Q546" s="59"/>
      <c r="R546" s="61"/>
    </row>
    <row r="547">
      <c r="B547" s="59"/>
      <c r="D547" s="59"/>
      <c r="F547" s="59"/>
      <c r="H547" s="59"/>
      <c r="J547" s="59"/>
      <c r="L547" s="59"/>
      <c r="N547" s="59"/>
      <c r="Q547" s="59"/>
      <c r="R547" s="61"/>
    </row>
    <row r="548">
      <c r="B548" s="59"/>
      <c r="D548" s="59"/>
      <c r="F548" s="59"/>
      <c r="H548" s="59"/>
      <c r="J548" s="59"/>
      <c r="L548" s="59"/>
      <c r="N548" s="59"/>
      <c r="Q548" s="59"/>
      <c r="R548" s="61"/>
    </row>
    <row r="549">
      <c r="B549" s="59"/>
      <c r="D549" s="59"/>
      <c r="F549" s="59"/>
      <c r="H549" s="59"/>
      <c r="J549" s="59"/>
      <c r="L549" s="59"/>
      <c r="N549" s="59"/>
      <c r="Q549" s="59"/>
      <c r="R549" s="61"/>
    </row>
    <row r="550">
      <c r="B550" s="59"/>
      <c r="D550" s="59"/>
      <c r="F550" s="59"/>
      <c r="H550" s="59"/>
      <c r="J550" s="59"/>
      <c r="L550" s="59"/>
      <c r="N550" s="59"/>
      <c r="Q550" s="59"/>
      <c r="R550" s="61"/>
    </row>
    <row r="551">
      <c r="B551" s="59"/>
      <c r="D551" s="59"/>
      <c r="F551" s="59"/>
      <c r="H551" s="59"/>
      <c r="J551" s="59"/>
      <c r="L551" s="59"/>
      <c r="N551" s="59"/>
      <c r="Q551" s="59"/>
      <c r="R551" s="61"/>
    </row>
    <row r="552">
      <c r="B552" s="59"/>
      <c r="D552" s="59"/>
      <c r="F552" s="59"/>
      <c r="H552" s="59"/>
      <c r="J552" s="59"/>
      <c r="L552" s="59"/>
      <c r="N552" s="59"/>
      <c r="Q552" s="59"/>
      <c r="R552" s="61"/>
    </row>
    <row r="553">
      <c r="B553" s="59"/>
      <c r="D553" s="59"/>
      <c r="F553" s="59"/>
      <c r="H553" s="59"/>
      <c r="J553" s="59"/>
      <c r="L553" s="59"/>
      <c r="N553" s="59"/>
      <c r="Q553" s="59"/>
      <c r="R553" s="61"/>
    </row>
    <row r="554">
      <c r="B554" s="59"/>
      <c r="D554" s="59"/>
      <c r="F554" s="59"/>
      <c r="H554" s="59"/>
      <c r="J554" s="59"/>
      <c r="L554" s="59"/>
      <c r="N554" s="59"/>
      <c r="Q554" s="59"/>
      <c r="R554" s="61"/>
    </row>
    <row r="555">
      <c r="B555" s="59"/>
      <c r="D555" s="59"/>
      <c r="F555" s="59"/>
      <c r="H555" s="59"/>
      <c r="J555" s="59"/>
      <c r="L555" s="59"/>
      <c r="N555" s="59"/>
      <c r="Q555" s="59"/>
      <c r="R555" s="61"/>
    </row>
    <row r="556">
      <c r="B556" s="59"/>
      <c r="D556" s="59"/>
      <c r="F556" s="59"/>
      <c r="H556" s="59"/>
      <c r="J556" s="59"/>
      <c r="L556" s="59"/>
      <c r="N556" s="59"/>
      <c r="Q556" s="59"/>
      <c r="R556" s="61"/>
    </row>
    <row r="557">
      <c r="B557" s="59"/>
      <c r="D557" s="59"/>
      <c r="F557" s="59"/>
      <c r="H557" s="59"/>
      <c r="J557" s="59"/>
      <c r="L557" s="59"/>
      <c r="N557" s="59"/>
      <c r="Q557" s="59"/>
      <c r="R557" s="61"/>
    </row>
    <row r="558">
      <c r="B558" s="59"/>
      <c r="D558" s="59"/>
      <c r="F558" s="59"/>
      <c r="H558" s="59"/>
      <c r="J558" s="59"/>
      <c r="L558" s="59"/>
      <c r="N558" s="59"/>
      <c r="Q558" s="59"/>
      <c r="R558" s="61"/>
    </row>
    <row r="559">
      <c r="B559" s="59"/>
      <c r="D559" s="59"/>
      <c r="F559" s="59"/>
      <c r="H559" s="59"/>
      <c r="J559" s="59"/>
      <c r="L559" s="59"/>
      <c r="N559" s="59"/>
      <c r="Q559" s="59"/>
      <c r="R559" s="61"/>
    </row>
    <row r="560">
      <c r="B560" s="59"/>
      <c r="D560" s="59"/>
      <c r="F560" s="59"/>
      <c r="H560" s="59"/>
      <c r="J560" s="59"/>
      <c r="L560" s="59"/>
      <c r="N560" s="59"/>
      <c r="Q560" s="59"/>
      <c r="R560" s="61"/>
    </row>
    <row r="561">
      <c r="B561" s="59"/>
      <c r="D561" s="59"/>
      <c r="F561" s="59"/>
      <c r="H561" s="59"/>
      <c r="J561" s="59"/>
      <c r="L561" s="59"/>
      <c r="N561" s="59"/>
      <c r="Q561" s="59"/>
      <c r="R561" s="61"/>
    </row>
    <row r="562">
      <c r="B562" s="59"/>
      <c r="D562" s="59"/>
      <c r="F562" s="59"/>
      <c r="H562" s="59"/>
      <c r="J562" s="59"/>
      <c r="L562" s="59"/>
      <c r="N562" s="59"/>
      <c r="Q562" s="59"/>
      <c r="R562" s="61"/>
    </row>
    <row r="563">
      <c r="B563" s="59"/>
      <c r="D563" s="59"/>
      <c r="F563" s="59"/>
      <c r="H563" s="59"/>
      <c r="J563" s="59"/>
      <c r="L563" s="59"/>
      <c r="N563" s="59"/>
      <c r="Q563" s="59"/>
      <c r="R563" s="61"/>
    </row>
    <row r="564">
      <c r="B564" s="59"/>
      <c r="D564" s="59"/>
      <c r="F564" s="59"/>
      <c r="H564" s="59"/>
      <c r="J564" s="59"/>
      <c r="L564" s="59"/>
      <c r="N564" s="59"/>
      <c r="Q564" s="59"/>
      <c r="R564" s="61"/>
    </row>
    <row r="565">
      <c r="B565" s="59"/>
      <c r="D565" s="59"/>
      <c r="F565" s="59"/>
      <c r="H565" s="59"/>
      <c r="J565" s="59"/>
      <c r="L565" s="59"/>
      <c r="N565" s="59"/>
      <c r="Q565" s="59"/>
      <c r="R565" s="61"/>
    </row>
    <row r="566">
      <c r="B566" s="59"/>
      <c r="D566" s="59"/>
      <c r="F566" s="59"/>
      <c r="H566" s="59"/>
      <c r="J566" s="59"/>
      <c r="L566" s="59"/>
      <c r="N566" s="59"/>
      <c r="Q566" s="59"/>
      <c r="R566" s="61"/>
    </row>
    <row r="567">
      <c r="B567" s="59"/>
      <c r="D567" s="59"/>
      <c r="F567" s="59"/>
      <c r="H567" s="59"/>
      <c r="J567" s="59"/>
      <c r="L567" s="59"/>
      <c r="N567" s="59"/>
      <c r="Q567" s="59"/>
      <c r="R567" s="61"/>
    </row>
    <row r="568">
      <c r="B568" s="59"/>
      <c r="D568" s="59"/>
      <c r="F568" s="59"/>
      <c r="H568" s="59"/>
      <c r="J568" s="59"/>
      <c r="L568" s="59"/>
      <c r="N568" s="59"/>
      <c r="Q568" s="59"/>
      <c r="R568" s="61"/>
    </row>
    <row r="569">
      <c r="B569" s="59"/>
      <c r="D569" s="59"/>
      <c r="F569" s="59"/>
      <c r="H569" s="59"/>
      <c r="J569" s="59"/>
      <c r="L569" s="59"/>
      <c r="N569" s="59"/>
      <c r="Q569" s="59"/>
      <c r="R569" s="61"/>
    </row>
    <row r="570">
      <c r="B570" s="59"/>
      <c r="D570" s="59"/>
      <c r="F570" s="59"/>
      <c r="H570" s="59"/>
      <c r="J570" s="59"/>
      <c r="L570" s="59"/>
      <c r="N570" s="59"/>
      <c r="Q570" s="59"/>
      <c r="R570" s="61"/>
    </row>
    <row r="571">
      <c r="B571" s="59"/>
      <c r="D571" s="59"/>
      <c r="F571" s="59"/>
      <c r="H571" s="59"/>
      <c r="J571" s="59"/>
      <c r="L571" s="59"/>
      <c r="N571" s="59"/>
      <c r="Q571" s="59"/>
      <c r="R571" s="61"/>
    </row>
    <row r="572">
      <c r="B572" s="59"/>
      <c r="D572" s="59"/>
      <c r="F572" s="59"/>
      <c r="H572" s="59"/>
      <c r="J572" s="59"/>
      <c r="L572" s="59"/>
      <c r="N572" s="59"/>
      <c r="Q572" s="59"/>
      <c r="R572" s="61"/>
    </row>
    <row r="573">
      <c r="B573" s="59"/>
      <c r="D573" s="59"/>
      <c r="F573" s="59"/>
      <c r="H573" s="59"/>
      <c r="J573" s="59"/>
      <c r="L573" s="59"/>
      <c r="N573" s="59"/>
      <c r="Q573" s="59"/>
      <c r="R573" s="61"/>
    </row>
    <row r="574">
      <c r="B574" s="59"/>
      <c r="D574" s="59"/>
      <c r="F574" s="59"/>
      <c r="H574" s="59"/>
      <c r="J574" s="59"/>
      <c r="L574" s="59"/>
      <c r="N574" s="59"/>
      <c r="Q574" s="59"/>
      <c r="R574" s="61"/>
    </row>
    <row r="575">
      <c r="B575" s="59"/>
      <c r="D575" s="59"/>
      <c r="F575" s="59"/>
      <c r="H575" s="59"/>
      <c r="J575" s="59"/>
      <c r="L575" s="59"/>
      <c r="N575" s="59"/>
      <c r="Q575" s="59"/>
      <c r="R575" s="61"/>
    </row>
    <row r="576">
      <c r="B576" s="59"/>
      <c r="D576" s="59"/>
      <c r="F576" s="59"/>
      <c r="H576" s="59"/>
      <c r="J576" s="59"/>
      <c r="L576" s="59"/>
      <c r="N576" s="59"/>
      <c r="Q576" s="59"/>
      <c r="R576" s="61"/>
    </row>
    <row r="577">
      <c r="B577" s="59"/>
      <c r="D577" s="59"/>
      <c r="F577" s="59"/>
      <c r="H577" s="59"/>
      <c r="J577" s="59"/>
      <c r="L577" s="59"/>
      <c r="N577" s="59"/>
      <c r="Q577" s="59"/>
      <c r="R577" s="61"/>
    </row>
    <row r="578">
      <c r="B578" s="59"/>
      <c r="D578" s="59"/>
      <c r="F578" s="59"/>
      <c r="H578" s="59"/>
      <c r="J578" s="59"/>
      <c r="L578" s="59"/>
      <c r="N578" s="59"/>
      <c r="Q578" s="59"/>
      <c r="R578" s="61"/>
    </row>
    <row r="579">
      <c r="B579" s="59"/>
      <c r="D579" s="59"/>
      <c r="F579" s="59"/>
      <c r="H579" s="59"/>
      <c r="J579" s="59"/>
      <c r="L579" s="59"/>
      <c r="N579" s="59"/>
      <c r="Q579" s="59"/>
      <c r="R579" s="61"/>
    </row>
    <row r="580">
      <c r="B580" s="59"/>
      <c r="D580" s="59"/>
      <c r="F580" s="59"/>
      <c r="H580" s="59"/>
      <c r="J580" s="59"/>
      <c r="L580" s="59"/>
      <c r="N580" s="59"/>
      <c r="Q580" s="59"/>
      <c r="R580" s="61"/>
    </row>
    <row r="581">
      <c r="B581" s="59"/>
      <c r="D581" s="59"/>
      <c r="F581" s="59"/>
      <c r="H581" s="59"/>
      <c r="J581" s="59"/>
      <c r="L581" s="59"/>
      <c r="N581" s="59"/>
      <c r="Q581" s="59"/>
      <c r="R581" s="61"/>
    </row>
    <row r="582">
      <c r="B582" s="59"/>
      <c r="D582" s="59"/>
      <c r="F582" s="59"/>
      <c r="H582" s="59"/>
      <c r="J582" s="59"/>
      <c r="L582" s="59"/>
      <c r="N582" s="59"/>
      <c r="Q582" s="59"/>
      <c r="R582" s="61"/>
    </row>
    <row r="583">
      <c r="B583" s="59"/>
      <c r="D583" s="59"/>
      <c r="F583" s="59"/>
      <c r="H583" s="59"/>
      <c r="J583" s="59"/>
      <c r="L583" s="59"/>
      <c r="N583" s="59"/>
      <c r="Q583" s="59"/>
      <c r="R583" s="61"/>
    </row>
    <row r="584">
      <c r="B584" s="59"/>
      <c r="D584" s="59"/>
      <c r="F584" s="59"/>
      <c r="H584" s="59"/>
      <c r="J584" s="59"/>
      <c r="L584" s="59"/>
      <c r="N584" s="59"/>
      <c r="Q584" s="59"/>
      <c r="R584" s="61"/>
    </row>
    <row r="585">
      <c r="B585" s="59"/>
      <c r="D585" s="59"/>
      <c r="F585" s="59"/>
      <c r="H585" s="59"/>
      <c r="J585" s="59"/>
      <c r="L585" s="59"/>
      <c r="N585" s="59"/>
      <c r="Q585" s="59"/>
      <c r="R585" s="61"/>
    </row>
    <row r="586">
      <c r="B586" s="59"/>
      <c r="D586" s="59"/>
      <c r="F586" s="59"/>
      <c r="H586" s="59"/>
      <c r="J586" s="59"/>
      <c r="L586" s="59"/>
      <c r="N586" s="59"/>
      <c r="Q586" s="59"/>
      <c r="R586" s="61"/>
    </row>
    <row r="587">
      <c r="B587" s="59"/>
      <c r="D587" s="59"/>
      <c r="F587" s="59"/>
      <c r="H587" s="59"/>
      <c r="J587" s="59"/>
      <c r="L587" s="59"/>
      <c r="N587" s="59"/>
      <c r="Q587" s="59"/>
      <c r="R587" s="61"/>
    </row>
    <row r="588">
      <c r="B588" s="59"/>
      <c r="D588" s="59"/>
      <c r="F588" s="59"/>
      <c r="H588" s="59"/>
      <c r="J588" s="59"/>
      <c r="L588" s="59"/>
      <c r="N588" s="59"/>
      <c r="Q588" s="59"/>
      <c r="R588" s="61"/>
    </row>
    <row r="589">
      <c r="B589" s="59"/>
      <c r="D589" s="59"/>
      <c r="F589" s="59"/>
      <c r="H589" s="59"/>
      <c r="J589" s="59"/>
      <c r="L589" s="59"/>
      <c r="N589" s="59"/>
      <c r="Q589" s="59"/>
      <c r="R589" s="61"/>
    </row>
    <row r="590">
      <c r="B590" s="59"/>
      <c r="D590" s="59"/>
      <c r="F590" s="59"/>
      <c r="H590" s="59"/>
      <c r="J590" s="59"/>
      <c r="L590" s="59"/>
      <c r="N590" s="59"/>
      <c r="Q590" s="59"/>
      <c r="R590" s="61"/>
    </row>
    <row r="591">
      <c r="B591" s="59"/>
      <c r="D591" s="59"/>
      <c r="F591" s="59"/>
      <c r="H591" s="59"/>
      <c r="J591" s="59"/>
      <c r="L591" s="59"/>
      <c r="N591" s="59"/>
      <c r="Q591" s="59"/>
      <c r="R591" s="61"/>
    </row>
    <row r="592">
      <c r="B592" s="59"/>
      <c r="D592" s="59"/>
      <c r="F592" s="59"/>
      <c r="H592" s="59"/>
      <c r="J592" s="59"/>
      <c r="L592" s="59"/>
      <c r="N592" s="59"/>
      <c r="Q592" s="59"/>
      <c r="R592" s="61"/>
    </row>
    <row r="593">
      <c r="B593" s="59"/>
      <c r="D593" s="59"/>
      <c r="F593" s="59"/>
      <c r="H593" s="59"/>
      <c r="J593" s="59"/>
      <c r="L593" s="59"/>
      <c r="N593" s="59"/>
      <c r="Q593" s="59"/>
      <c r="R593" s="61"/>
    </row>
    <row r="594">
      <c r="B594" s="59"/>
      <c r="D594" s="59"/>
      <c r="F594" s="59"/>
      <c r="H594" s="59"/>
      <c r="J594" s="59"/>
      <c r="L594" s="59"/>
      <c r="N594" s="59"/>
      <c r="Q594" s="59"/>
      <c r="R594" s="61"/>
    </row>
    <row r="595">
      <c r="B595" s="59"/>
      <c r="D595" s="59"/>
      <c r="F595" s="59"/>
      <c r="H595" s="59"/>
      <c r="J595" s="59"/>
      <c r="L595" s="59"/>
      <c r="N595" s="59"/>
      <c r="Q595" s="59"/>
      <c r="R595" s="61"/>
    </row>
    <row r="596">
      <c r="B596" s="59"/>
      <c r="D596" s="59"/>
      <c r="F596" s="59"/>
      <c r="H596" s="59"/>
      <c r="J596" s="59"/>
      <c r="L596" s="59"/>
      <c r="N596" s="59"/>
      <c r="Q596" s="59"/>
      <c r="R596" s="61"/>
    </row>
    <row r="597">
      <c r="B597" s="59"/>
      <c r="D597" s="59"/>
      <c r="F597" s="59"/>
      <c r="H597" s="59"/>
      <c r="J597" s="59"/>
      <c r="L597" s="59"/>
      <c r="N597" s="59"/>
      <c r="Q597" s="59"/>
      <c r="R597" s="61"/>
    </row>
    <row r="598">
      <c r="B598" s="59"/>
      <c r="D598" s="59"/>
      <c r="F598" s="59"/>
      <c r="H598" s="59"/>
      <c r="J598" s="59"/>
      <c r="L598" s="59"/>
      <c r="N598" s="59"/>
      <c r="Q598" s="59"/>
      <c r="R598" s="61"/>
    </row>
    <row r="599">
      <c r="B599" s="59"/>
      <c r="D599" s="59"/>
      <c r="F599" s="59"/>
      <c r="H599" s="59"/>
      <c r="J599" s="59"/>
      <c r="L599" s="59"/>
      <c r="N599" s="59"/>
      <c r="Q599" s="59"/>
      <c r="R599" s="61"/>
    </row>
    <row r="600">
      <c r="B600" s="59"/>
      <c r="D600" s="59"/>
      <c r="F600" s="59"/>
      <c r="H600" s="59"/>
      <c r="J600" s="59"/>
      <c r="L600" s="59"/>
      <c r="N600" s="59"/>
      <c r="Q600" s="59"/>
      <c r="R600" s="61"/>
    </row>
    <row r="601">
      <c r="B601" s="59"/>
      <c r="D601" s="59"/>
      <c r="F601" s="59"/>
      <c r="H601" s="59"/>
      <c r="J601" s="59"/>
      <c r="L601" s="59"/>
      <c r="N601" s="59"/>
      <c r="Q601" s="59"/>
      <c r="R601" s="61"/>
    </row>
    <row r="602">
      <c r="B602" s="59"/>
      <c r="D602" s="59"/>
      <c r="F602" s="59"/>
      <c r="H602" s="59"/>
      <c r="J602" s="59"/>
      <c r="L602" s="59"/>
      <c r="N602" s="59"/>
      <c r="Q602" s="59"/>
      <c r="R602" s="61"/>
    </row>
    <row r="603">
      <c r="B603" s="59"/>
      <c r="D603" s="59"/>
      <c r="F603" s="59"/>
      <c r="H603" s="59"/>
      <c r="J603" s="59"/>
      <c r="L603" s="59"/>
      <c r="N603" s="59"/>
      <c r="Q603" s="59"/>
      <c r="R603" s="61"/>
    </row>
    <row r="604">
      <c r="B604" s="59"/>
      <c r="D604" s="59"/>
      <c r="F604" s="59"/>
      <c r="H604" s="59"/>
      <c r="J604" s="59"/>
      <c r="L604" s="59"/>
      <c r="N604" s="59"/>
      <c r="Q604" s="59"/>
      <c r="R604" s="61"/>
    </row>
    <row r="605">
      <c r="B605" s="59"/>
      <c r="D605" s="59"/>
      <c r="F605" s="59"/>
      <c r="H605" s="59"/>
      <c r="J605" s="59"/>
      <c r="L605" s="59"/>
      <c r="N605" s="59"/>
      <c r="Q605" s="59"/>
      <c r="R605" s="61"/>
    </row>
    <row r="606">
      <c r="B606" s="59"/>
      <c r="D606" s="59"/>
      <c r="F606" s="59"/>
      <c r="H606" s="59"/>
      <c r="J606" s="59"/>
      <c r="L606" s="59"/>
      <c r="N606" s="59"/>
      <c r="Q606" s="59"/>
      <c r="R606" s="61"/>
    </row>
    <row r="607">
      <c r="B607" s="59"/>
      <c r="D607" s="59"/>
      <c r="F607" s="59"/>
      <c r="H607" s="59"/>
      <c r="J607" s="59"/>
      <c r="L607" s="59"/>
      <c r="N607" s="59"/>
      <c r="Q607" s="59"/>
      <c r="R607" s="61"/>
    </row>
    <row r="608">
      <c r="B608" s="59"/>
      <c r="D608" s="59"/>
      <c r="F608" s="59"/>
      <c r="H608" s="59"/>
      <c r="J608" s="59"/>
      <c r="L608" s="59"/>
      <c r="N608" s="59"/>
      <c r="Q608" s="59"/>
      <c r="R608" s="61"/>
    </row>
    <row r="609">
      <c r="B609" s="59"/>
      <c r="D609" s="59"/>
      <c r="F609" s="59"/>
      <c r="H609" s="59"/>
      <c r="J609" s="59"/>
      <c r="L609" s="59"/>
      <c r="N609" s="59"/>
      <c r="Q609" s="59"/>
      <c r="R609" s="61"/>
    </row>
    <row r="610">
      <c r="B610" s="59"/>
      <c r="D610" s="59"/>
      <c r="F610" s="59"/>
      <c r="H610" s="59"/>
      <c r="J610" s="59"/>
      <c r="L610" s="59"/>
      <c r="N610" s="59"/>
      <c r="Q610" s="59"/>
      <c r="R610" s="61"/>
    </row>
    <row r="611">
      <c r="B611" s="59"/>
      <c r="D611" s="59"/>
      <c r="F611" s="59"/>
      <c r="H611" s="59"/>
      <c r="J611" s="59"/>
      <c r="L611" s="59"/>
      <c r="N611" s="59"/>
      <c r="Q611" s="59"/>
      <c r="R611" s="61"/>
    </row>
    <row r="612">
      <c r="B612" s="59"/>
      <c r="D612" s="59"/>
      <c r="F612" s="59"/>
      <c r="H612" s="59"/>
      <c r="J612" s="59"/>
      <c r="L612" s="59"/>
      <c r="N612" s="59"/>
      <c r="Q612" s="59"/>
      <c r="R612" s="61"/>
    </row>
    <row r="613">
      <c r="B613" s="59"/>
      <c r="D613" s="59"/>
      <c r="F613" s="59"/>
      <c r="H613" s="59"/>
      <c r="J613" s="59"/>
      <c r="L613" s="59"/>
      <c r="N613" s="59"/>
      <c r="Q613" s="59"/>
      <c r="R613" s="61"/>
    </row>
    <row r="614">
      <c r="B614" s="59"/>
      <c r="D614" s="59"/>
      <c r="F614" s="59"/>
      <c r="H614" s="59"/>
      <c r="J614" s="59"/>
      <c r="L614" s="59"/>
      <c r="N614" s="59"/>
      <c r="Q614" s="59"/>
      <c r="R614" s="61"/>
    </row>
    <row r="615">
      <c r="B615" s="59"/>
      <c r="D615" s="59"/>
      <c r="F615" s="59"/>
      <c r="H615" s="59"/>
      <c r="J615" s="59"/>
      <c r="L615" s="59"/>
      <c r="N615" s="59"/>
      <c r="Q615" s="59"/>
      <c r="R615" s="61"/>
    </row>
    <row r="616">
      <c r="B616" s="59"/>
      <c r="D616" s="59"/>
      <c r="F616" s="59"/>
      <c r="H616" s="59"/>
      <c r="J616" s="59"/>
      <c r="L616" s="59"/>
      <c r="N616" s="59"/>
      <c r="Q616" s="59"/>
      <c r="R616" s="61"/>
    </row>
    <row r="617">
      <c r="B617" s="59"/>
      <c r="D617" s="59"/>
      <c r="F617" s="59"/>
      <c r="H617" s="59"/>
      <c r="J617" s="59"/>
      <c r="L617" s="59"/>
      <c r="N617" s="59"/>
      <c r="Q617" s="59"/>
      <c r="R617" s="61"/>
    </row>
    <row r="618">
      <c r="B618" s="59"/>
      <c r="D618" s="59"/>
      <c r="F618" s="59"/>
      <c r="H618" s="59"/>
      <c r="J618" s="59"/>
      <c r="L618" s="59"/>
      <c r="N618" s="59"/>
      <c r="Q618" s="59"/>
      <c r="R618" s="61"/>
    </row>
    <row r="619">
      <c r="B619" s="59"/>
      <c r="D619" s="59"/>
      <c r="F619" s="59"/>
      <c r="H619" s="59"/>
      <c r="J619" s="59"/>
      <c r="L619" s="59"/>
      <c r="N619" s="59"/>
      <c r="Q619" s="59"/>
      <c r="R619" s="61"/>
    </row>
    <row r="620">
      <c r="B620" s="59"/>
      <c r="D620" s="59"/>
      <c r="F620" s="59"/>
      <c r="H620" s="59"/>
      <c r="J620" s="59"/>
      <c r="L620" s="59"/>
      <c r="N620" s="59"/>
      <c r="Q620" s="59"/>
      <c r="R620" s="61"/>
    </row>
    <row r="621">
      <c r="B621" s="59"/>
      <c r="D621" s="59"/>
      <c r="F621" s="59"/>
      <c r="H621" s="59"/>
      <c r="J621" s="59"/>
      <c r="L621" s="59"/>
      <c r="N621" s="59"/>
      <c r="Q621" s="59"/>
      <c r="R621" s="61"/>
    </row>
    <row r="622">
      <c r="B622" s="59"/>
      <c r="D622" s="59"/>
      <c r="F622" s="59"/>
      <c r="H622" s="59"/>
      <c r="J622" s="59"/>
      <c r="L622" s="59"/>
      <c r="N622" s="59"/>
      <c r="Q622" s="59"/>
      <c r="R622" s="61"/>
    </row>
    <row r="623">
      <c r="B623" s="59"/>
      <c r="D623" s="59"/>
      <c r="F623" s="59"/>
      <c r="H623" s="59"/>
      <c r="J623" s="59"/>
      <c r="L623" s="59"/>
      <c r="N623" s="59"/>
      <c r="Q623" s="59"/>
      <c r="R623" s="61"/>
    </row>
    <row r="624">
      <c r="B624" s="59"/>
      <c r="D624" s="59"/>
      <c r="F624" s="59"/>
      <c r="H624" s="59"/>
      <c r="J624" s="59"/>
      <c r="L624" s="59"/>
      <c r="N624" s="59"/>
      <c r="Q624" s="59"/>
      <c r="R624" s="61"/>
    </row>
    <row r="625">
      <c r="B625" s="59"/>
      <c r="D625" s="59"/>
      <c r="F625" s="59"/>
      <c r="H625" s="59"/>
      <c r="J625" s="59"/>
      <c r="L625" s="59"/>
      <c r="N625" s="59"/>
      <c r="Q625" s="59"/>
      <c r="R625" s="61"/>
    </row>
    <row r="626">
      <c r="B626" s="59"/>
      <c r="D626" s="59"/>
      <c r="F626" s="59"/>
      <c r="H626" s="59"/>
      <c r="J626" s="59"/>
      <c r="L626" s="59"/>
      <c r="N626" s="59"/>
      <c r="Q626" s="59"/>
      <c r="R626" s="61"/>
    </row>
    <row r="627">
      <c r="B627" s="59"/>
      <c r="D627" s="59"/>
      <c r="F627" s="59"/>
      <c r="H627" s="59"/>
      <c r="J627" s="59"/>
      <c r="L627" s="59"/>
      <c r="N627" s="59"/>
      <c r="Q627" s="59"/>
      <c r="R627" s="61"/>
    </row>
    <row r="628">
      <c r="B628" s="59"/>
      <c r="D628" s="59"/>
      <c r="F628" s="59"/>
      <c r="H628" s="59"/>
      <c r="J628" s="59"/>
      <c r="L628" s="59"/>
      <c r="N628" s="59"/>
      <c r="Q628" s="59"/>
      <c r="R628" s="61"/>
    </row>
    <row r="629">
      <c r="B629" s="59"/>
      <c r="D629" s="59"/>
      <c r="F629" s="59"/>
      <c r="H629" s="59"/>
      <c r="J629" s="59"/>
      <c r="L629" s="59"/>
      <c r="N629" s="59"/>
      <c r="Q629" s="59"/>
      <c r="R629" s="61"/>
    </row>
    <row r="630">
      <c r="B630" s="59"/>
      <c r="D630" s="59"/>
      <c r="F630" s="59"/>
      <c r="H630" s="59"/>
      <c r="J630" s="59"/>
      <c r="L630" s="59"/>
      <c r="N630" s="59"/>
      <c r="Q630" s="59"/>
      <c r="R630" s="61"/>
    </row>
    <row r="631">
      <c r="B631" s="59"/>
      <c r="D631" s="59"/>
      <c r="F631" s="59"/>
      <c r="H631" s="59"/>
      <c r="J631" s="59"/>
      <c r="L631" s="59"/>
      <c r="N631" s="59"/>
      <c r="Q631" s="59"/>
      <c r="R631" s="61"/>
    </row>
    <row r="632">
      <c r="B632" s="59"/>
      <c r="D632" s="59"/>
      <c r="F632" s="59"/>
      <c r="H632" s="59"/>
      <c r="J632" s="59"/>
      <c r="L632" s="59"/>
      <c r="N632" s="59"/>
      <c r="Q632" s="59"/>
      <c r="R632" s="61"/>
    </row>
    <row r="633">
      <c r="B633" s="59"/>
      <c r="D633" s="59"/>
      <c r="F633" s="59"/>
      <c r="H633" s="59"/>
      <c r="J633" s="59"/>
      <c r="L633" s="59"/>
      <c r="N633" s="59"/>
      <c r="Q633" s="59"/>
      <c r="R633" s="61"/>
    </row>
    <row r="634">
      <c r="B634" s="59"/>
      <c r="D634" s="59"/>
      <c r="F634" s="59"/>
      <c r="H634" s="59"/>
      <c r="J634" s="59"/>
      <c r="L634" s="59"/>
      <c r="N634" s="59"/>
      <c r="Q634" s="59"/>
      <c r="R634" s="61"/>
    </row>
    <row r="635">
      <c r="B635" s="59"/>
      <c r="D635" s="59"/>
      <c r="F635" s="59"/>
      <c r="H635" s="59"/>
      <c r="J635" s="59"/>
      <c r="L635" s="59"/>
      <c r="N635" s="59"/>
      <c r="Q635" s="59"/>
      <c r="R635" s="61"/>
    </row>
    <row r="636">
      <c r="B636" s="59"/>
      <c r="D636" s="59"/>
      <c r="F636" s="59"/>
      <c r="H636" s="59"/>
      <c r="J636" s="59"/>
      <c r="L636" s="59"/>
      <c r="N636" s="59"/>
      <c r="Q636" s="59"/>
      <c r="R636" s="61"/>
    </row>
    <row r="637">
      <c r="B637" s="59"/>
      <c r="D637" s="59"/>
      <c r="F637" s="59"/>
      <c r="H637" s="59"/>
      <c r="J637" s="59"/>
      <c r="L637" s="59"/>
      <c r="N637" s="59"/>
      <c r="Q637" s="59"/>
      <c r="R637" s="61"/>
    </row>
    <row r="638">
      <c r="B638" s="59"/>
      <c r="D638" s="59"/>
      <c r="F638" s="59"/>
      <c r="H638" s="59"/>
      <c r="J638" s="59"/>
      <c r="L638" s="59"/>
      <c r="N638" s="59"/>
      <c r="Q638" s="59"/>
      <c r="R638" s="61"/>
    </row>
    <row r="639">
      <c r="B639" s="59"/>
      <c r="D639" s="59"/>
      <c r="F639" s="59"/>
      <c r="H639" s="59"/>
      <c r="J639" s="59"/>
      <c r="L639" s="59"/>
      <c r="N639" s="59"/>
      <c r="Q639" s="59"/>
      <c r="R639" s="61"/>
    </row>
    <row r="640">
      <c r="B640" s="59"/>
      <c r="D640" s="59"/>
      <c r="F640" s="59"/>
      <c r="H640" s="59"/>
      <c r="J640" s="59"/>
      <c r="L640" s="59"/>
      <c r="N640" s="59"/>
      <c r="Q640" s="59"/>
      <c r="R640" s="61"/>
    </row>
    <row r="641">
      <c r="B641" s="59"/>
      <c r="D641" s="59"/>
      <c r="F641" s="59"/>
      <c r="H641" s="59"/>
      <c r="J641" s="59"/>
      <c r="L641" s="59"/>
      <c r="N641" s="59"/>
      <c r="Q641" s="59"/>
      <c r="R641" s="61"/>
    </row>
    <row r="642">
      <c r="B642" s="59"/>
      <c r="D642" s="59"/>
      <c r="F642" s="59"/>
      <c r="H642" s="59"/>
      <c r="J642" s="59"/>
      <c r="L642" s="59"/>
      <c r="N642" s="59"/>
      <c r="Q642" s="59"/>
      <c r="R642" s="61"/>
    </row>
    <row r="643">
      <c r="B643" s="59"/>
      <c r="D643" s="59"/>
      <c r="F643" s="59"/>
      <c r="H643" s="59"/>
      <c r="J643" s="59"/>
      <c r="L643" s="59"/>
      <c r="N643" s="59"/>
      <c r="Q643" s="59"/>
      <c r="R643" s="61"/>
    </row>
    <row r="644">
      <c r="B644" s="59"/>
      <c r="D644" s="59"/>
      <c r="F644" s="59"/>
      <c r="H644" s="59"/>
      <c r="J644" s="59"/>
      <c r="L644" s="59"/>
      <c r="N644" s="59"/>
      <c r="Q644" s="59"/>
      <c r="R644" s="61"/>
    </row>
    <row r="645">
      <c r="B645" s="59"/>
      <c r="D645" s="59"/>
      <c r="F645" s="59"/>
      <c r="H645" s="59"/>
      <c r="J645" s="59"/>
      <c r="L645" s="59"/>
      <c r="N645" s="59"/>
      <c r="Q645" s="59"/>
      <c r="R645" s="61"/>
    </row>
    <row r="646">
      <c r="B646" s="59"/>
      <c r="D646" s="59"/>
      <c r="F646" s="59"/>
      <c r="H646" s="59"/>
      <c r="J646" s="59"/>
      <c r="L646" s="59"/>
      <c r="N646" s="59"/>
      <c r="Q646" s="59"/>
      <c r="R646" s="61"/>
    </row>
    <row r="647">
      <c r="B647" s="59"/>
      <c r="D647" s="59"/>
      <c r="F647" s="59"/>
      <c r="H647" s="59"/>
      <c r="J647" s="59"/>
      <c r="L647" s="59"/>
      <c r="N647" s="59"/>
      <c r="Q647" s="59"/>
      <c r="R647" s="61"/>
    </row>
    <row r="648">
      <c r="B648" s="59"/>
      <c r="D648" s="59"/>
      <c r="F648" s="59"/>
      <c r="H648" s="59"/>
      <c r="J648" s="59"/>
      <c r="L648" s="59"/>
      <c r="N648" s="59"/>
      <c r="Q648" s="59"/>
      <c r="R648" s="61"/>
    </row>
    <row r="649">
      <c r="B649" s="59"/>
      <c r="D649" s="59"/>
      <c r="F649" s="59"/>
      <c r="H649" s="59"/>
      <c r="J649" s="59"/>
      <c r="L649" s="59"/>
      <c r="N649" s="59"/>
      <c r="Q649" s="59"/>
      <c r="R649" s="61"/>
    </row>
    <row r="650">
      <c r="B650" s="59"/>
      <c r="D650" s="59"/>
      <c r="F650" s="59"/>
      <c r="H650" s="59"/>
      <c r="J650" s="59"/>
      <c r="L650" s="59"/>
      <c r="N650" s="59"/>
      <c r="Q650" s="59"/>
      <c r="R650" s="61"/>
    </row>
    <row r="651">
      <c r="B651" s="59"/>
      <c r="D651" s="59"/>
      <c r="F651" s="59"/>
      <c r="H651" s="59"/>
      <c r="J651" s="59"/>
      <c r="L651" s="59"/>
      <c r="N651" s="59"/>
      <c r="Q651" s="59"/>
      <c r="R651" s="61"/>
    </row>
    <row r="652">
      <c r="B652" s="59"/>
      <c r="D652" s="59"/>
      <c r="F652" s="59"/>
      <c r="H652" s="59"/>
      <c r="J652" s="59"/>
      <c r="L652" s="59"/>
      <c r="N652" s="59"/>
      <c r="Q652" s="59"/>
      <c r="R652" s="61"/>
    </row>
    <row r="653">
      <c r="B653" s="59"/>
      <c r="D653" s="59"/>
      <c r="F653" s="59"/>
      <c r="H653" s="59"/>
      <c r="J653" s="59"/>
      <c r="L653" s="59"/>
      <c r="N653" s="59"/>
      <c r="Q653" s="59"/>
      <c r="R653" s="61"/>
    </row>
    <row r="654">
      <c r="B654" s="59"/>
      <c r="D654" s="59"/>
      <c r="F654" s="59"/>
      <c r="H654" s="59"/>
      <c r="J654" s="59"/>
      <c r="L654" s="59"/>
      <c r="N654" s="59"/>
      <c r="Q654" s="59"/>
      <c r="R654" s="61"/>
    </row>
    <row r="655">
      <c r="B655" s="59"/>
      <c r="D655" s="59"/>
      <c r="F655" s="59"/>
      <c r="H655" s="59"/>
      <c r="J655" s="59"/>
      <c r="L655" s="59"/>
      <c r="N655" s="59"/>
      <c r="Q655" s="59"/>
      <c r="R655" s="61"/>
    </row>
    <row r="656">
      <c r="B656" s="59"/>
      <c r="D656" s="59"/>
      <c r="F656" s="59"/>
      <c r="H656" s="59"/>
      <c r="J656" s="59"/>
      <c r="L656" s="59"/>
      <c r="N656" s="59"/>
      <c r="Q656" s="59"/>
      <c r="R656" s="61"/>
    </row>
    <row r="657">
      <c r="B657" s="59"/>
      <c r="D657" s="59"/>
      <c r="F657" s="59"/>
      <c r="H657" s="59"/>
      <c r="J657" s="59"/>
      <c r="L657" s="59"/>
      <c r="N657" s="59"/>
      <c r="Q657" s="59"/>
      <c r="R657" s="61"/>
    </row>
    <row r="658">
      <c r="B658" s="59"/>
      <c r="D658" s="59"/>
      <c r="F658" s="59"/>
      <c r="H658" s="59"/>
      <c r="J658" s="59"/>
      <c r="L658" s="59"/>
      <c r="N658" s="59"/>
      <c r="Q658" s="59"/>
      <c r="R658" s="61"/>
    </row>
    <row r="659">
      <c r="B659" s="59"/>
      <c r="D659" s="59"/>
      <c r="F659" s="59"/>
      <c r="H659" s="59"/>
      <c r="J659" s="59"/>
      <c r="L659" s="59"/>
      <c r="N659" s="59"/>
      <c r="Q659" s="59"/>
      <c r="R659" s="61"/>
    </row>
    <row r="660">
      <c r="B660" s="59"/>
      <c r="D660" s="59"/>
      <c r="F660" s="59"/>
      <c r="H660" s="59"/>
      <c r="J660" s="59"/>
      <c r="L660" s="59"/>
      <c r="N660" s="59"/>
      <c r="Q660" s="59"/>
      <c r="R660" s="61"/>
    </row>
    <row r="661">
      <c r="B661" s="59"/>
      <c r="D661" s="59"/>
      <c r="F661" s="59"/>
      <c r="H661" s="59"/>
      <c r="J661" s="59"/>
      <c r="L661" s="59"/>
      <c r="N661" s="59"/>
      <c r="Q661" s="59"/>
      <c r="R661" s="61"/>
    </row>
    <row r="662">
      <c r="B662" s="59"/>
      <c r="D662" s="59"/>
      <c r="F662" s="59"/>
      <c r="H662" s="59"/>
      <c r="J662" s="59"/>
      <c r="L662" s="59"/>
      <c r="N662" s="59"/>
      <c r="Q662" s="59"/>
      <c r="R662" s="61"/>
    </row>
    <row r="663">
      <c r="B663" s="59"/>
      <c r="D663" s="59"/>
      <c r="F663" s="59"/>
      <c r="H663" s="59"/>
      <c r="J663" s="59"/>
      <c r="L663" s="59"/>
      <c r="N663" s="59"/>
      <c r="Q663" s="59"/>
      <c r="R663" s="61"/>
    </row>
    <row r="664">
      <c r="B664" s="59"/>
      <c r="D664" s="59"/>
      <c r="F664" s="59"/>
      <c r="H664" s="59"/>
      <c r="J664" s="59"/>
      <c r="L664" s="59"/>
      <c r="N664" s="59"/>
      <c r="Q664" s="59"/>
      <c r="R664" s="61"/>
    </row>
    <row r="665">
      <c r="B665" s="59"/>
      <c r="D665" s="59"/>
      <c r="F665" s="59"/>
      <c r="H665" s="59"/>
      <c r="J665" s="59"/>
      <c r="L665" s="59"/>
      <c r="N665" s="59"/>
      <c r="Q665" s="59"/>
      <c r="R665" s="61"/>
    </row>
    <row r="666">
      <c r="B666" s="59"/>
      <c r="D666" s="59"/>
      <c r="F666" s="59"/>
      <c r="H666" s="59"/>
      <c r="J666" s="59"/>
      <c r="L666" s="59"/>
      <c r="N666" s="59"/>
      <c r="Q666" s="59"/>
      <c r="R666" s="61"/>
    </row>
    <row r="667">
      <c r="B667" s="59"/>
      <c r="D667" s="59"/>
      <c r="F667" s="59"/>
      <c r="H667" s="59"/>
      <c r="J667" s="59"/>
      <c r="L667" s="59"/>
      <c r="N667" s="59"/>
      <c r="Q667" s="59"/>
      <c r="R667" s="61"/>
    </row>
    <row r="668">
      <c r="B668" s="59"/>
      <c r="D668" s="59"/>
      <c r="F668" s="59"/>
      <c r="H668" s="59"/>
      <c r="J668" s="59"/>
      <c r="L668" s="59"/>
      <c r="N668" s="59"/>
      <c r="Q668" s="59"/>
      <c r="R668" s="61"/>
    </row>
    <row r="669">
      <c r="B669" s="59"/>
      <c r="D669" s="59"/>
      <c r="F669" s="59"/>
      <c r="H669" s="59"/>
      <c r="J669" s="59"/>
      <c r="L669" s="59"/>
      <c r="N669" s="59"/>
      <c r="Q669" s="59"/>
      <c r="R669" s="61"/>
    </row>
    <row r="670">
      <c r="B670" s="59"/>
      <c r="D670" s="59"/>
      <c r="F670" s="59"/>
      <c r="H670" s="59"/>
      <c r="J670" s="59"/>
      <c r="L670" s="59"/>
      <c r="N670" s="59"/>
      <c r="Q670" s="59"/>
      <c r="R670" s="61"/>
    </row>
    <row r="671">
      <c r="B671" s="59"/>
      <c r="D671" s="59"/>
      <c r="F671" s="59"/>
      <c r="H671" s="59"/>
      <c r="J671" s="59"/>
      <c r="L671" s="59"/>
      <c r="N671" s="59"/>
      <c r="Q671" s="59"/>
      <c r="R671" s="61"/>
    </row>
    <row r="672">
      <c r="B672" s="59"/>
      <c r="D672" s="59"/>
      <c r="F672" s="59"/>
      <c r="H672" s="59"/>
      <c r="J672" s="59"/>
      <c r="L672" s="59"/>
      <c r="N672" s="59"/>
      <c r="Q672" s="59"/>
      <c r="R672" s="61"/>
    </row>
    <row r="673">
      <c r="B673" s="59"/>
      <c r="D673" s="59"/>
      <c r="F673" s="59"/>
      <c r="H673" s="59"/>
      <c r="J673" s="59"/>
      <c r="L673" s="59"/>
      <c r="N673" s="59"/>
      <c r="Q673" s="59"/>
      <c r="R673" s="61"/>
    </row>
    <row r="674">
      <c r="B674" s="59"/>
      <c r="D674" s="59"/>
      <c r="F674" s="59"/>
      <c r="H674" s="59"/>
      <c r="J674" s="59"/>
      <c r="L674" s="59"/>
      <c r="N674" s="59"/>
      <c r="Q674" s="59"/>
      <c r="R674" s="61"/>
    </row>
    <row r="675">
      <c r="B675" s="59"/>
      <c r="D675" s="59"/>
      <c r="F675" s="59"/>
      <c r="H675" s="59"/>
      <c r="J675" s="59"/>
      <c r="L675" s="59"/>
      <c r="N675" s="59"/>
      <c r="Q675" s="59"/>
      <c r="R675" s="61"/>
    </row>
    <row r="676">
      <c r="B676" s="59"/>
      <c r="D676" s="59"/>
      <c r="F676" s="59"/>
      <c r="H676" s="59"/>
      <c r="J676" s="59"/>
      <c r="L676" s="59"/>
      <c r="N676" s="59"/>
      <c r="Q676" s="59"/>
      <c r="R676" s="61"/>
    </row>
    <row r="677">
      <c r="B677" s="59"/>
      <c r="D677" s="59"/>
      <c r="F677" s="59"/>
      <c r="H677" s="59"/>
      <c r="J677" s="59"/>
      <c r="L677" s="59"/>
      <c r="N677" s="59"/>
      <c r="Q677" s="59"/>
      <c r="R677" s="61"/>
    </row>
    <row r="678">
      <c r="B678" s="59"/>
      <c r="D678" s="59"/>
      <c r="F678" s="59"/>
      <c r="H678" s="59"/>
      <c r="J678" s="59"/>
      <c r="L678" s="59"/>
      <c r="N678" s="59"/>
      <c r="Q678" s="59"/>
      <c r="R678" s="61"/>
    </row>
    <row r="679">
      <c r="B679" s="59"/>
      <c r="D679" s="59"/>
      <c r="F679" s="59"/>
      <c r="H679" s="59"/>
      <c r="J679" s="59"/>
      <c r="L679" s="59"/>
      <c r="N679" s="59"/>
      <c r="Q679" s="59"/>
      <c r="R679" s="61"/>
    </row>
    <row r="680">
      <c r="B680" s="59"/>
      <c r="D680" s="59"/>
      <c r="F680" s="59"/>
      <c r="H680" s="59"/>
      <c r="J680" s="59"/>
      <c r="L680" s="59"/>
      <c r="N680" s="59"/>
      <c r="Q680" s="59"/>
      <c r="R680" s="61"/>
    </row>
    <row r="681">
      <c r="B681" s="59"/>
      <c r="D681" s="59"/>
      <c r="F681" s="59"/>
      <c r="H681" s="59"/>
      <c r="J681" s="59"/>
      <c r="L681" s="59"/>
      <c r="N681" s="59"/>
      <c r="Q681" s="59"/>
      <c r="R681" s="61"/>
    </row>
    <row r="682">
      <c r="B682" s="59"/>
      <c r="D682" s="59"/>
      <c r="F682" s="59"/>
      <c r="H682" s="59"/>
      <c r="J682" s="59"/>
      <c r="L682" s="59"/>
      <c r="N682" s="59"/>
      <c r="Q682" s="59"/>
      <c r="R682" s="61"/>
    </row>
    <row r="683">
      <c r="B683" s="59"/>
      <c r="D683" s="59"/>
      <c r="F683" s="59"/>
      <c r="H683" s="59"/>
      <c r="J683" s="59"/>
      <c r="L683" s="59"/>
      <c r="N683" s="59"/>
      <c r="Q683" s="59"/>
      <c r="R683" s="61"/>
    </row>
    <row r="684">
      <c r="B684" s="59"/>
      <c r="D684" s="59"/>
      <c r="F684" s="59"/>
      <c r="H684" s="59"/>
      <c r="J684" s="59"/>
      <c r="L684" s="59"/>
      <c r="N684" s="59"/>
      <c r="Q684" s="59"/>
      <c r="R684" s="61"/>
    </row>
    <row r="685">
      <c r="B685" s="59"/>
      <c r="D685" s="59"/>
      <c r="F685" s="59"/>
      <c r="H685" s="59"/>
      <c r="J685" s="59"/>
      <c r="L685" s="59"/>
      <c r="N685" s="59"/>
      <c r="Q685" s="59"/>
      <c r="R685" s="61"/>
    </row>
    <row r="686">
      <c r="B686" s="59"/>
      <c r="D686" s="59"/>
      <c r="F686" s="59"/>
      <c r="H686" s="59"/>
      <c r="J686" s="59"/>
      <c r="L686" s="59"/>
      <c r="N686" s="59"/>
      <c r="Q686" s="59"/>
      <c r="R686" s="61"/>
    </row>
    <row r="687">
      <c r="B687" s="59"/>
      <c r="D687" s="59"/>
      <c r="F687" s="59"/>
      <c r="H687" s="59"/>
      <c r="J687" s="59"/>
      <c r="L687" s="59"/>
      <c r="N687" s="59"/>
      <c r="Q687" s="59"/>
      <c r="R687" s="61"/>
    </row>
    <row r="688">
      <c r="B688" s="59"/>
      <c r="D688" s="59"/>
      <c r="F688" s="59"/>
      <c r="H688" s="59"/>
      <c r="J688" s="59"/>
      <c r="L688" s="59"/>
      <c r="N688" s="59"/>
      <c r="Q688" s="59"/>
      <c r="R688" s="61"/>
    </row>
    <row r="689">
      <c r="B689" s="59"/>
      <c r="D689" s="59"/>
      <c r="F689" s="59"/>
      <c r="H689" s="59"/>
      <c r="J689" s="59"/>
      <c r="L689" s="59"/>
      <c r="N689" s="59"/>
      <c r="Q689" s="59"/>
      <c r="R689" s="61"/>
    </row>
    <row r="690">
      <c r="B690" s="59"/>
      <c r="D690" s="59"/>
      <c r="F690" s="59"/>
      <c r="H690" s="59"/>
      <c r="J690" s="59"/>
      <c r="L690" s="59"/>
      <c r="N690" s="59"/>
      <c r="Q690" s="59"/>
      <c r="R690" s="61"/>
    </row>
    <row r="691">
      <c r="B691" s="59"/>
      <c r="D691" s="59"/>
      <c r="F691" s="59"/>
      <c r="H691" s="59"/>
      <c r="J691" s="59"/>
      <c r="L691" s="59"/>
      <c r="N691" s="59"/>
      <c r="Q691" s="59"/>
      <c r="R691" s="61"/>
    </row>
    <row r="692">
      <c r="B692" s="59"/>
      <c r="D692" s="59"/>
      <c r="F692" s="59"/>
      <c r="H692" s="59"/>
      <c r="J692" s="59"/>
      <c r="L692" s="59"/>
      <c r="N692" s="59"/>
      <c r="Q692" s="59"/>
      <c r="R692" s="61"/>
    </row>
    <row r="693">
      <c r="B693" s="59"/>
      <c r="D693" s="59"/>
      <c r="F693" s="59"/>
      <c r="H693" s="59"/>
      <c r="J693" s="59"/>
      <c r="L693" s="59"/>
      <c r="N693" s="59"/>
      <c r="Q693" s="59"/>
      <c r="R693" s="61"/>
    </row>
    <row r="694">
      <c r="B694" s="59"/>
      <c r="D694" s="59"/>
      <c r="F694" s="59"/>
      <c r="H694" s="59"/>
      <c r="J694" s="59"/>
      <c r="L694" s="59"/>
      <c r="N694" s="59"/>
      <c r="Q694" s="59"/>
      <c r="R694" s="61"/>
    </row>
    <row r="695">
      <c r="B695" s="59"/>
      <c r="D695" s="59"/>
      <c r="F695" s="59"/>
      <c r="H695" s="59"/>
      <c r="J695" s="59"/>
      <c r="L695" s="59"/>
      <c r="N695" s="59"/>
      <c r="Q695" s="59"/>
      <c r="R695" s="61"/>
    </row>
    <row r="696">
      <c r="B696" s="59"/>
      <c r="D696" s="59"/>
      <c r="F696" s="59"/>
      <c r="H696" s="59"/>
      <c r="J696" s="59"/>
      <c r="L696" s="59"/>
      <c r="N696" s="59"/>
      <c r="Q696" s="59"/>
      <c r="R696" s="61"/>
    </row>
    <row r="697">
      <c r="B697" s="59"/>
      <c r="D697" s="59"/>
      <c r="F697" s="59"/>
      <c r="H697" s="59"/>
      <c r="J697" s="59"/>
      <c r="L697" s="59"/>
      <c r="N697" s="59"/>
      <c r="Q697" s="59"/>
      <c r="R697" s="61"/>
    </row>
    <row r="698">
      <c r="B698" s="59"/>
      <c r="D698" s="59"/>
      <c r="F698" s="59"/>
      <c r="H698" s="59"/>
      <c r="J698" s="59"/>
      <c r="L698" s="59"/>
      <c r="N698" s="59"/>
      <c r="Q698" s="59"/>
      <c r="R698" s="61"/>
    </row>
    <row r="699">
      <c r="B699" s="59"/>
      <c r="D699" s="59"/>
      <c r="F699" s="59"/>
      <c r="H699" s="59"/>
      <c r="J699" s="59"/>
      <c r="L699" s="59"/>
      <c r="N699" s="59"/>
      <c r="Q699" s="59"/>
      <c r="R699" s="61"/>
    </row>
    <row r="700">
      <c r="B700" s="59"/>
      <c r="D700" s="59"/>
      <c r="F700" s="59"/>
      <c r="H700" s="59"/>
      <c r="J700" s="59"/>
      <c r="L700" s="59"/>
      <c r="N700" s="59"/>
      <c r="Q700" s="59"/>
      <c r="R700" s="61"/>
    </row>
    <row r="701">
      <c r="B701" s="59"/>
      <c r="D701" s="59"/>
      <c r="F701" s="59"/>
      <c r="H701" s="59"/>
      <c r="J701" s="59"/>
      <c r="L701" s="59"/>
      <c r="N701" s="59"/>
      <c r="Q701" s="59"/>
      <c r="R701" s="61"/>
    </row>
    <row r="702">
      <c r="B702" s="59"/>
      <c r="D702" s="59"/>
      <c r="F702" s="59"/>
      <c r="H702" s="59"/>
      <c r="J702" s="59"/>
      <c r="L702" s="59"/>
      <c r="N702" s="59"/>
      <c r="Q702" s="59"/>
      <c r="R702" s="61"/>
    </row>
    <row r="703">
      <c r="B703" s="59"/>
      <c r="D703" s="59"/>
      <c r="F703" s="59"/>
      <c r="H703" s="59"/>
      <c r="J703" s="59"/>
      <c r="L703" s="59"/>
      <c r="N703" s="59"/>
      <c r="Q703" s="59"/>
      <c r="R703" s="61"/>
    </row>
    <row r="704">
      <c r="B704" s="59"/>
      <c r="D704" s="59"/>
      <c r="F704" s="59"/>
      <c r="H704" s="59"/>
      <c r="J704" s="59"/>
      <c r="L704" s="59"/>
      <c r="N704" s="59"/>
      <c r="Q704" s="59"/>
      <c r="R704" s="61"/>
    </row>
    <row r="705">
      <c r="B705" s="59"/>
      <c r="D705" s="59"/>
      <c r="F705" s="59"/>
      <c r="H705" s="59"/>
      <c r="J705" s="59"/>
      <c r="L705" s="59"/>
      <c r="N705" s="59"/>
      <c r="Q705" s="59"/>
      <c r="R705" s="61"/>
    </row>
    <row r="706">
      <c r="B706" s="59"/>
      <c r="D706" s="59"/>
      <c r="F706" s="59"/>
      <c r="H706" s="59"/>
      <c r="J706" s="59"/>
      <c r="L706" s="59"/>
      <c r="N706" s="59"/>
      <c r="Q706" s="59"/>
      <c r="R706" s="61"/>
    </row>
    <row r="707">
      <c r="B707" s="59"/>
      <c r="D707" s="59"/>
      <c r="F707" s="59"/>
      <c r="H707" s="59"/>
      <c r="J707" s="59"/>
      <c r="L707" s="59"/>
      <c r="N707" s="59"/>
      <c r="Q707" s="59"/>
      <c r="R707" s="61"/>
    </row>
    <row r="708">
      <c r="B708" s="59"/>
      <c r="D708" s="59"/>
      <c r="F708" s="59"/>
      <c r="H708" s="59"/>
      <c r="J708" s="59"/>
      <c r="L708" s="59"/>
      <c r="N708" s="59"/>
      <c r="Q708" s="59"/>
      <c r="R708" s="61"/>
    </row>
    <row r="709">
      <c r="B709" s="59"/>
      <c r="D709" s="59"/>
      <c r="F709" s="59"/>
      <c r="H709" s="59"/>
      <c r="J709" s="59"/>
      <c r="L709" s="59"/>
      <c r="N709" s="59"/>
      <c r="Q709" s="59"/>
      <c r="R709" s="61"/>
    </row>
    <row r="710">
      <c r="B710" s="59"/>
      <c r="D710" s="59"/>
      <c r="F710" s="59"/>
      <c r="H710" s="59"/>
      <c r="J710" s="59"/>
      <c r="L710" s="59"/>
      <c r="N710" s="59"/>
      <c r="Q710" s="59"/>
      <c r="R710" s="61"/>
    </row>
    <row r="711">
      <c r="B711" s="59"/>
      <c r="D711" s="59"/>
      <c r="F711" s="59"/>
      <c r="H711" s="59"/>
      <c r="J711" s="59"/>
      <c r="L711" s="59"/>
      <c r="N711" s="59"/>
      <c r="Q711" s="59"/>
      <c r="R711" s="61"/>
    </row>
    <row r="712">
      <c r="B712" s="59"/>
      <c r="D712" s="59"/>
      <c r="F712" s="59"/>
      <c r="H712" s="59"/>
      <c r="J712" s="59"/>
      <c r="L712" s="59"/>
      <c r="N712" s="59"/>
      <c r="Q712" s="59"/>
      <c r="R712" s="61"/>
    </row>
    <row r="713">
      <c r="B713" s="59"/>
      <c r="D713" s="59"/>
      <c r="F713" s="59"/>
      <c r="H713" s="59"/>
      <c r="J713" s="59"/>
      <c r="L713" s="59"/>
      <c r="N713" s="59"/>
      <c r="Q713" s="59"/>
      <c r="R713" s="61"/>
    </row>
    <row r="714">
      <c r="B714" s="59"/>
      <c r="D714" s="59"/>
      <c r="F714" s="59"/>
      <c r="H714" s="59"/>
      <c r="J714" s="59"/>
      <c r="L714" s="59"/>
      <c r="N714" s="59"/>
      <c r="Q714" s="59"/>
      <c r="R714" s="61"/>
    </row>
    <row r="715">
      <c r="B715" s="59"/>
      <c r="D715" s="59"/>
      <c r="F715" s="59"/>
      <c r="H715" s="59"/>
      <c r="J715" s="59"/>
      <c r="L715" s="59"/>
      <c r="N715" s="59"/>
      <c r="Q715" s="59"/>
      <c r="R715" s="61"/>
    </row>
    <row r="716">
      <c r="B716" s="59"/>
      <c r="D716" s="59"/>
      <c r="F716" s="59"/>
      <c r="H716" s="59"/>
      <c r="J716" s="59"/>
      <c r="L716" s="59"/>
      <c r="N716" s="59"/>
      <c r="Q716" s="59"/>
      <c r="R716" s="61"/>
    </row>
    <row r="717">
      <c r="B717" s="59"/>
      <c r="D717" s="59"/>
      <c r="F717" s="59"/>
      <c r="H717" s="59"/>
      <c r="J717" s="59"/>
      <c r="L717" s="59"/>
      <c r="N717" s="59"/>
      <c r="Q717" s="59"/>
      <c r="R717" s="61"/>
    </row>
    <row r="718">
      <c r="B718" s="59"/>
      <c r="D718" s="59"/>
      <c r="F718" s="59"/>
      <c r="H718" s="59"/>
      <c r="J718" s="59"/>
      <c r="L718" s="59"/>
      <c r="N718" s="59"/>
      <c r="Q718" s="59"/>
      <c r="R718" s="61"/>
    </row>
    <row r="719">
      <c r="B719" s="59"/>
      <c r="D719" s="59"/>
      <c r="F719" s="59"/>
      <c r="H719" s="59"/>
      <c r="J719" s="59"/>
      <c r="L719" s="59"/>
      <c r="N719" s="59"/>
      <c r="Q719" s="59"/>
      <c r="R719" s="61"/>
    </row>
    <row r="720">
      <c r="B720" s="59"/>
      <c r="D720" s="59"/>
      <c r="F720" s="59"/>
      <c r="H720" s="59"/>
      <c r="J720" s="59"/>
      <c r="L720" s="59"/>
      <c r="N720" s="59"/>
      <c r="Q720" s="59"/>
      <c r="R720" s="61"/>
    </row>
    <row r="721">
      <c r="B721" s="59"/>
      <c r="D721" s="59"/>
      <c r="F721" s="59"/>
      <c r="H721" s="59"/>
      <c r="J721" s="59"/>
      <c r="L721" s="59"/>
      <c r="N721" s="59"/>
      <c r="Q721" s="59"/>
      <c r="R721" s="61"/>
    </row>
    <row r="722">
      <c r="B722" s="59"/>
      <c r="D722" s="59"/>
      <c r="F722" s="59"/>
      <c r="H722" s="59"/>
      <c r="J722" s="59"/>
      <c r="L722" s="59"/>
      <c r="N722" s="59"/>
      <c r="Q722" s="59"/>
      <c r="R722" s="61"/>
    </row>
    <row r="723">
      <c r="B723" s="59"/>
      <c r="D723" s="59"/>
      <c r="F723" s="59"/>
      <c r="H723" s="59"/>
      <c r="J723" s="59"/>
      <c r="L723" s="59"/>
      <c r="N723" s="59"/>
      <c r="Q723" s="59"/>
      <c r="R723" s="61"/>
    </row>
    <row r="724">
      <c r="B724" s="59"/>
      <c r="D724" s="59"/>
      <c r="F724" s="59"/>
      <c r="H724" s="59"/>
      <c r="J724" s="59"/>
      <c r="L724" s="59"/>
      <c r="N724" s="59"/>
      <c r="Q724" s="59"/>
      <c r="R724" s="61"/>
    </row>
    <row r="725">
      <c r="B725" s="59"/>
      <c r="D725" s="59"/>
      <c r="F725" s="59"/>
      <c r="H725" s="59"/>
      <c r="J725" s="59"/>
      <c r="L725" s="59"/>
      <c r="N725" s="59"/>
      <c r="Q725" s="59"/>
      <c r="R725" s="61"/>
    </row>
    <row r="726">
      <c r="B726" s="59"/>
      <c r="D726" s="59"/>
      <c r="F726" s="59"/>
      <c r="H726" s="59"/>
      <c r="J726" s="59"/>
      <c r="L726" s="59"/>
      <c r="N726" s="59"/>
      <c r="Q726" s="59"/>
      <c r="R726" s="61"/>
    </row>
    <row r="727">
      <c r="B727" s="59"/>
      <c r="D727" s="59"/>
      <c r="F727" s="59"/>
      <c r="H727" s="59"/>
      <c r="J727" s="59"/>
      <c r="L727" s="59"/>
      <c r="N727" s="59"/>
      <c r="Q727" s="59"/>
      <c r="R727" s="61"/>
    </row>
    <row r="728">
      <c r="B728" s="59"/>
      <c r="D728" s="59"/>
      <c r="F728" s="59"/>
      <c r="H728" s="59"/>
      <c r="J728" s="59"/>
      <c r="L728" s="59"/>
      <c r="N728" s="59"/>
      <c r="Q728" s="59"/>
      <c r="R728" s="61"/>
    </row>
    <row r="729">
      <c r="B729" s="59"/>
      <c r="D729" s="59"/>
      <c r="F729" s="59"/>
      <c r="H729" s="59"/>
      <c r="J729" s="59"/>
      <c r="L729" s="59"/>
      <c r="N729" s="59"/>
      <c r="Q729" s="59"/>
      <c r="R729" s="61"/>
    </row>
    <row r="730">
      <c r="B730" s="59"/>
      <c r="D730" s="59"/>
      <c r="F730" s="59"/>
      <c r="H730" s="59"/>
      <c r="J730" s="59"/>
      <c r="L730" s="59"/>
      <c r="N730" s="59"/>
      <c r="Q730" s="59"/>
      <c r="R730" s="61"/>
    </row>
    <row r="731">
      <c r="B731" s="59"/>
      <c r="D731" s="59"/>
      <c r="F731" s="59"/>
      <c r="H731" s="59"/>
      <c r="J731" s="59"/>
      <c r="L731" s="59"/>
      <c r="N731" s="59"/>
      <c r="Q731" s="59"/>
      <c r="R731" s="61"/>
    </row>
    <row r="732">
      <c r="B732" s="59"/>
      <c r="D732" s="59"/>
      <c r="F732" s="59"/>
      <c r="H732" s="59"/>
      <c r="J732" s="59"/>
      <c r="L732" s="59"/>
      <c r="N732" s="59"/>
      <c r="Q732" s="59"/>
      <c r="R732" s="61"/>
    </row>
    <row r="733">
      <c r="B733" s="59"/>
      <c r="D733" s="59"/>
      <c r="F733" s="59"/>
      <c r="H733" s="59"/>
      <c r="J733" s="59"/>
      <c r="L733" s="59"/>
      <c r="N733" s="59"/>
      <c r="Q733" s="59"/>
      <c r="R733" s="61"/>
    </row>
    <row r="734">
      <c r="B734" s="59"/>
      <c r="D734" s="59"/>
      <c r="F734" s="59"/>
      <c r="H734" s="59"/>
      <c r="J734" s="59"/>
      <c r="L734" s="59"/>
      <c r="N734" s="59"/>
      <c r="Q734" s="59"/>
      <c r="R734" s="61"/>
    </row>
    <row r="735">
      <c r="B735" s="59"/>
      <c r="D735" s="59"/>
      <c r="F735" s="59"/>
      <c r="H735" s="59"/>
      <c r="J735" s="59"/>
      <c r="L735" s="59"/>
      <c r="N735" s="59"/>
      <c r="Q735" s="59"/>
      <c r="R735" s="61"/>
    </row>
    <row r="736">
      <c r="B736" s="59"/>
      <c r="D736" s="59"/>
      <c r="F736" s="59"/>
      <c r="H736" s="59"/>
      <c r="J736" s="59"/>
      <c r="L736" s="59"/>
      <c r="N736" s="59"/>
      <c r="Q736" s="59"/>
      <c r="R736" s="61"/>
    </row>
    <row r="737">
      <c r="B737" s="59"/>
      <c r="D737" s="59"/>
      <c r="F737" s="59"/>
      <c r="H737" s="59"/>
      <c r="J737" s="59"/>
      <c r="L737" s="59"/>
      <c r="N737" s="59"/>
      <c r="Q737" s="59"/>
      <c r="R737" s="61"/>
    </row>
    <row r="738">
      <c r="B738" s="59"/>
      <c r="D738" s="59"/>
      <c r="F738" s="59"/>
      <c r="H738" s="59"/>
      <c r="J738" s="59"/>
      <c r="L738" s="59"/>
      <c r="N738" s="59"/>
      <c r="Q738" s="59"/>
      <c r="R738" s="61"/>
    </row>
    <row r="739">
      <c r="B739" s="59"/>
      <c r="D739" s="59"/>
      <c r="F739" s="59"/>
      <c r="H739" s="59"/>
      <c r="J739" s="59"/>
      <c r="L739" s="59"/>
      <c r="N739" s="59"/>
      <c r="Q739" s="59"/>
      <c r="R739" s="61"/>
    </row>
    <row r="740">
      <c r="B740" s="59"/>
      <c r="D740" s="59"/>
      <c r="F740" s="59"/>
      <c r="H740" s="59"/>
      <c r="J740" s="59"/>
      <c r="L740" s="59"/>
      <c r="N740" s="59"/>
      <c r="Q740" s="59"/>
      <c r="R740" s="61"/>
    </row>
    <row r="741">
      <c r="B741" s="59"/>
      <c r="D741" s="59"/>
      <c r="F741" s="59"/>
      <c r="H741" s="59"/>
      <c r="J741" s="59"/>
      <c r="L741" s="59"/>
      <c r="N741" s="59"/>
      <c r="Q741" s="59"/>
      <c r="R741" s="61"/>
    </row>
    <row r="742">
      <c r="B742" s="59"/>
      <c r="D742" s="59"/>
      <c r="F742" s="59"/>
      <c r="H742" s="59"/>
      <c r="J742" s="59"/>
      <c r="L742" s="59"/>
      <c r="N742" s="59"/>
      <c r="Q742" s="59"/>
      <c r="R742" s="61"/>
    </row>
    <row r="743">
      <c r="B743" s="59"/>
      <c r="D743" s="59"/>
      <c r="F743" s="59"/>
      <c r="H743" s="59"/>
      <c r="J743" s="59"/>
      <c r="L743" s="59"/>
      <c r="N743" s="59"/>
      <c r="Q743" s="59"/>
      <c r="R743" s="61"/>
    </row>
    <row r="744">
      <c r="B744" s="59"/>
      <c r="D744" s="59"/>
      <c r="F744" s="59"/>
      <c r="H744" s="59"/>
      <c r="J744" s="59"/>
      <c r="L744" s="59"/>
      <c r="N744" s="59"/>
      <c r="Q744" s="59"/>
      <c r="R744" s="61"/>
    </row>
    <row r="745">
      <c r="B745" s="59"/>
      <c r="D745" s="59"/>
      <c r="F745" s="59"/>
      <c r="H745" s="59"/>
      <c r="J745" s="59"/>
      <c r="L745" s="59"/>
      <c r="N745" s="59"/>
      <c r="Q745" s="59"/>
      <c r="R745" s="61"/>
    </row>
    <row r="746">
      <c r="B746" s="59"/>
      <c r="D746" s="59"/>
      <c r="F746" s="59"/>
      <c r="H746" s="59"/>
      <c r="J746" s="59"/>
      <c r="L746" s="59"/>
      <c r="N746" s="59"/>
      <c r="Q746" s="59"/>
      <c r="R746" s="61"/>
    </row>
    <row r="747">
      <c r="B747" s="59"/>
      <c r="D747" s="59"/>
      <c r="F747" s="59"/>
      <c r="H747" s="59"/>
      <c r="J747" s="59"/>
      <c r="L747" s="59"/>
      <c r="N747" s="59"/>
      <c r="Q747" s="59"/>
      <c r="R747" s="61"/>
    </row>
    <row r="748">
      <c r="B748" s="59"/>
      <c r="D748" s="59"/>
      <c r="F748" s="59"/>
      <c r="H748" s="59"/>
      <c r="J748" s="59"/>
      <c r="L748" s="59"/>
      <c r="N748" s="59"/>
      <c r="Q748" s="59"/>
      <c r="R748" s="61"/>
    </row>
    <row r="749">
      <c r="B749" s="59"/>
      <c r="D749" s="59"/>
      <c r="F749" s="59"/>
      <c r="H749" s="59"/>
      <c r="J749" s="59"/>
      <c r="L749" s="59"/>
      <c r="N749" s="59"/>
      <c r="Q749" s="59"/>
      <c r="R749" s="61"/>
    </row>
    <row r="750">
      <c r="B750" s="59"/>
      <c r="D750" s="59"/>
      <c r="F750" s="59"/>
      <c r="H750" s="59"/>
      <c r="J750" s="59"/>
      <c r="L750" s="59"/>
      <c r="N750" s="59"/>
      <c r="Q750" s="59"/>
      <c r="R750" s="61"/>
    </row>
    <row r="751">
      <c r="B751" s="59"/>
      <c r="D751" s="59"/>
      <c r="F751" s="59"/>
      <c r="H751" s="59"/>
      <c r="J751" s="59"/>
      <c r="L751" s="59"/>
      <c r="N751" s="59"/>
      <c r="Q751" s="59"/>
      <c r="R751" s="61"/>
    </row>
    <row r="752">
      <c r="B752" s="59"/>
      <c r="D752" s="59"/>
      <c r="F752" s="59"/>
      <c r="H752" s="59"/>
      <c r="J752" s="59"/>
      <c r="L752" s="59"/>
      <c r="N752" s="59"/>
      <c r="Q752" s="59"/>
      <c r="R752" s="61"/>
    </row>
    <row r="753">
      <c r="B753" s="59"/>
      <c r="D753" s="59"/>
      <c r="F753" s="59"/>
      <c r="H753" s="59"/>
      <c r="J753" s="59"/>
      <c r="L753" s="59"/>
      <c r="N753" s="59"/>
      <c r="Q753" s="59"/>
      <c r="R753" s="61"/>
    </row>
    <row r="754">
      <c r="B754" s="59"/>
      <c r="D754" s="59"/>
      <c r="F754" s="59"/>
      <c r="H754" s="59"/>
      <c r="J754" s="59"/>
      <c r="L754" s="59"/>
      <c r="N754" s="59"/>
      <c r="Q754" s="59"/>
      <c r="R754" s="61"/>
    </row>
    <row r="755">
      <c r="B755" s="59"/>
      <c r="D755" s="59"/>
      <c r="F755" s="59"/>
      <c r="H755" s="59"/>
      <c r="J755" s="59"/>
      <c r="L755" s="59"/>
      <c r="N755" s="59"/>
      <c r="Q755" s="59"/>
      <c r="R755" s="61"/>
    </row>
    <row r="756">
      <c r="B756" s="59"/>
      <c r="D756" s="59"/>
      <c r="F756" s="59"/>
      <c r="H756" s="59"/>
      <c r="J756" s="59"/>
      <c r="L756" s="59"/>
      <c r="N756" s="59"/>
      <c r="Q756" s="59"/>
      <c r="R756" s="61"/>
    </row>
    <row r="757">
      <c r="B757" s="59"/>
      <c r="D757" s="59"/>
      <c r="F757" s="59"/>
      <c r="H757" s="59"/>
      <c r="J757" s="59"/>
      <c r="L757" s="59"/>
      <c r="N757" s="59"/>
      <c r="Q757" s="59"/>
      <c r="R757" s="61"/>
    </row>
    <row r="758">
      <c r="B758" s="59"/>
      <c r="D758" s="59"/>
      <c r="F758" s="59"/>
      <c r="H758" s="59"/>
      <c r="J758" s="59"/>
      <c r="L758" s="59"/>
      <c r="N758" s="59"/>
      <c r="Q758" s="59"/>
      <c r="R758" s="61"/>
    </row>
    <row r="759">
      <c r="B759" s="59"/>
      <c r="D759" s="59"/>
      <c r="F759" s="59"/>
      <c r="H759" s="59"/>
      <c r="J759" s="59"/>
      <c r="L759" s="59"/>
      <c r="N759" s="59"/>
      <c r="Q759" s="59"/>
      <c r="R759" s="61"/>
    </row>
    <row r="760">
      <c r="B760" s="59"/>
      <c r="D760" s="59"/>
      <c r="F760" s="59"/>
      <c r="H760" s="59"/>
      <c r="J760" s="59"/>
      <c r="L760" s="59"/>
      <c r="N760" s="59"/>
      <c r="Q760" s="59"/>
      <c r="R760" s="61"/>
    </row>
    <row r="761">
      <c r="B761" s="59"/>
      <c r="D761" s="59"/>
      <c r="F761" s="59"/>
      <c r="H761" s="59"/>
      <c r="J761" s="59"/>
      <c r="L761" s="59"/>
      <c r="N761" s="59"/>
      <c r="Q761" s="59"/>
      <c r="R761" s="61"/>
    </row>
    <row r="762">
      <c r="B762" s="59"/>
      <c r="D762" s="59"/>
      <c r="F762" s="59"/>
      <c r="H762" s="59"/>
      <c r="J762" s="59"/>
      <c r="L762" s="59"/>
      <c r="N762" s="59"/>
      <c r="Q762" s="59"/>
      <c r="R762" s="61"/>
    </row>
    <row r="763">
      <c r="B763" s="59"/>
      <c r="D763" s="59"/>
      <c r="F763" s="59"/>
      <c r="H763" s="59"/>
      <c r="J763" s="59"/>
      <c r="L763" s="59"/>
      <c r="N763" s="59"/>
      <c r="Q763" s="59"/>
      <c r="R763" s="61"/>
    </row>
    <row r="764">
      <c r="B764" s="59"/>
      <c r="D764" s="59"/>
      <c r="F764" s="59"/>
      <c r="H764" s="59"/>
      <c r="J764" s="59"/>
      <c r="L764" s="59"/>
      <c r="N764" s="59"/>
      <c r="Q764" s="59"/>
      <c r="R764" s="61"/>
    </row>
    <row r="765">
      <c r="B765" s="59"/>
      <c r="D765" s="59"/>
      <c r="F765" s="59"/>
      <c r="H765" s="59"/>
      <c r="J765" s="59"/>
      <c r="L765" s="59"/>
      <c r="N765" s="59"/>
      <c r="Q765" s="59"/>
      <c r="R765" s="61"/>
    </row>
    <row r="766">
      <c r="B766" s="59"/>
      <c r="D766" s="59"/>
      <c r="F766" s="59"/>
      <c r="H766" s="59"/>
      <c r="J766" s="59"/>
      <c r="L766" s="59"/>
      <c r="N766" s="59"/>
      <c r="Q766" s="59"/>
      <c r="R766" s="61"/>
    </row>
    <row r="767">
      <c r="B767" s="59"/>
      <c r="D767" s="59"/>
      <c r="F767" s="59"/>
      <c r="H767" s="59"/>
      <c r="J767" s="59"/>
      <c r="L767" s="59"/>
      <c r="N767" s="59"/>
      <c r="Q767" s="59"/>
      <c r="R767" s="61"/>
    </row>
    <row r="768">
      <c r="B768" s="59"/>
      <c r="D768" s="59"/>
      <c r="F768" s="59"/>
      <c r="H768" s="59"/>
      <c r="J768" s="59"/>
      <c r="L768" s="59"/>
      <c r="N768" s="59"/>
      <c r="Q768" s="59"/>
      <c r="R768" s="61"/>
    </row>
    <row r="769">
      <c r="B769" s="59"/>
      <c r="D769" s="59"/>
      <c r="F769" s="59"/>
      <c r="H769" s="59"/>
      <c r="J769" s="59"/>
      <c r="L769" s="59"/>
      <c r="N769" s="59"/>
      <c r="Q769" s="59"/>
      <c r="R769" s="61"/>
    </row>
    <row r="770">
      <c r="B770" s="59"/>
      <c r="D770" s="59"/>
      <c r="F770" s="59"/>
      <c r="H770" s="59"/>
      <c r="J770" s="59"/>
      <c r="L770" s="59"/>
      <c r="N770" s="59"/>
      <c r="Q770" s="59"/>
      <c r="R770" s="61"/>
    </row>
    <row r="771">
      <c r="B771" s="59"/>
      <c r="D771" s="59"/>
      <c r="F771" s="59"/>
      <c r="H771" s="59"/>
      <c r="J771" s="59"/>
      <c r="L771" s="59"/>
      <c r="N771" s="59"/>
      <c r="Q771" s="59"/>
      <c r="R771" s="61"/>
    </row>
    <row r="772">
      <c r="B772" s="59"/>
      <c r="D772" s="59"/>
      <c r="F772" s="59"/>
      <c r="H772" s="59"/>
      <c r="J772" s="59"/>
      <c r="L772" s="59"/>
      <c r="N772" s="59"/>
      <c r="Q772" s="59"/>
      <c r="R772" s="61"/>
    </row>
    <row r="773">
      <c r="B773" s="59"/>
      <c r="D773" s="59"/>
      <c r="F773" s="59"/>
      <c r="H773" s="59"/>
      <c r="J773" s="59"/>
      <c r="L773" s="59"/>
      <c r="N773" s="59"/>
      <c r="Q773" s="59"/>
      <c r="R773" s="61"/>
    </row>
    <row r="774">
      <c r="B774" s="59"/>
      <c r="D774" s="59"/>
      <c r="F774" s="59"/>
      <c r="H774" s="59"/>
      <c r="J774" s="59"/>
      <c r="L774" s="59"/>
      <c r="N774" s="59"/>
      <c r="Q774" s="59"/>
      <c r="R774" s="61"/>
    </row>
    <row r="775">
      <c r="B775" s="59"/>
      <c r="D775" s="59"/>
      <c r="F775" s="59"/>
      <c r="H775" s="59"/>
      <c r="J775" s="59"/>
      <c r="L775" s="59"/>
      <c r="N775" s="59"/>
      <c r="Q775" s="59"/>
      <c r="R775" s="61"/>
    </row>
    <row r="776">
      <c r="B776" s="59"/>
      <c r="D776" s="59"/>
      <c r="F776" s="59"/>
      <c r="H776" s="59"/>
      <c r="J776" s="59"/>
      <c r="L776" s="59"/>
      <c r="N776" s="59"/>
      <c r="Q776" s="59"/>
      <c r="R776" s="61"/>
    </row>
    <row r="777">
      <c r="B777" s="59"/>
      <c r="D777" s="59"/>
      <c r="F777" s="59"/>
      <c r="H777" s="59"/>
      <c r="J777" s="59"/>
      <c r="L777" s="59"/>
      <c r="N777" s="59"/>
      <c r="Q777" s="59"/>
      <c r="R777" s="61"/>
    </row>
    <row r="778">
      <c r="B778" s="59"/>
      <c r="D778" s="59"/>
      <c r="F778" s="59"/>
      <c r="H778" s="59"/>
      <c r="J778" s="59"/>
      <c r="L778" s="59"/>
      <c r="N778" s="59"/>
      <c r="Q778" s="59"/>
      <c r="R778" s="61"/>
    </row>
    <row r="779">
      <c r="B779" s="59"/>
      <c r="D779" s="59"/>
      <c r="F779" s="59"/>
      <c r="H779" s="59"/>
      <c r="J779" s="59"/>
      <c r="L779" s="59"/>
      <c r="N779" s="59"/>
      <c r="Q779" s="59"/>
      <c r="R779" s="61"/>
    </row>
    <row r="780">
      <c r="B780" s="59"/>
      <c r="D780" s="59"/>
      <c r="F780" s="59"/>
      <c r="H780" s="59"/>
      <c r="J780" s="59"/>
      <c r="L780" s="59"/>
      <c r="N780" s="59"/>
      <c r="Q780" s="59"/>
      <c r="R780" s="61"/>
    </row>
    <row r="781">
      <c r="B781" s="59"/>
      <c r="D781" s="59"/>
      <c r="F781" s="59"/>
      <c r="H781" s="59"/>
      <c r="J781" s="59"/>
      <c r="L781" s="59"/>
      <c r="N781" s="59"/>
      <c r="Q781" s="59"/>
      <c r="R781" s="61"/>
    </row>
    <row r="782">
      <c r="B782" s="59"/>
      <c r="D782" s="59"/>
      <c r="F782" s="59"/>
      <c r="H782" s="59"/>
      <c r="J782" s="59"/>
      <c r="L782" s="59"/>
      <c r="N782" s="59"/>
      <c r="Q782" s="59"/>
      <c r="R782" s="61"/>
    </row>
    <row r="783">
      <c r="B783" s="59"/>
      <c r="D783" s="59"/>
      <c r="F783" s="59"/>
      <c r="H783" s="59"/>
      <c r="J783" s="59"/>
      <c r="L783" s="59"/>
      <c r="N783" s="59"/>
      <c r="Q783" s="59"/>
      <c r="R783" s="61"/>
    </row>
    <row r="784">
      <c r="B784" s="59"/>
      <c r="D784" s="59"/>
      <c r="F784" s="59"/>
      <c r="H784" s="59"/>
      <c r="J784" s="59"/>
      <c r="L784" s="59"/>
      <c r="N784" s="59"/>
      <c r="Q784" s="59"/>
      <c r="R784" s="61"/>
    </row>
    <row r="785">
      <c r="B785" s="59"/>
      <c r="D785" s="59"/>
      <c r="F785" s="59"/>
      <c r="H785" s="59"/>
      <c r="J785" s="59"/>
      <c r="L785" s="59"/>
      <c r="N785" s="59"/>
      <c r="Q785" s="59"/>
      <c r="R785" s="61"/>
    </row>
    <row r="786">
      <c r="B786" s="59"/>
      <c r="D786" s="59"/>
      <c r="F786" s="59"/>
      <c r="H786" s="59"/>
      <c r="J786" s="59"/>
      <c r="L786" s="59"/>
      <c r="N786" s="59"/>
      <c r="Q786" s="59"/>
      <c r="R786" s="61"/>
    </row>
    <row r="787">
      <c r="B787" s="59"/>
      <c r="D787" s="59"/>
      <c r="F787" s="59"/>
      <c r="H787" s="59"/>
      <c r="J787" s="59"/>
      <c r="L787" s="59"/>
      <c r="N787" s="59"/>
      <c r="Q787" s="59"/>
      <c r="R787" s="61"/>
    </row>
    <row r="788">
      <c r="B788" s="59"/>
      <c r="D788" s="59"/>
      <c r="F788" s="59"/>
      <c r="H788" s="59"/>
      <c r="J788" s="59"/>
      <c r="L788" s="59"/>
      <c r="N788" s="59"/>
      <c r="Q788" s="59"/>
      <c r="R788" s="61"/>
    </row>
    <row r="789">
      <c r="B789" s="59"/>
      <c r="D789" s="59"/>
      <c r="F789" s="59"/>
      <c r="H789" s="59"/>
      <c r="J789" s="59"/>
      <c r="L789" s="59"/>
      <c r="N789" s="59"/>
      <c r="Q789" s="59"/>
      <c r="R789" s="61"/>
    </row>
    <row r="790">
      <c r="B790" s="59"/>
      <c r="D790" s="59"/>
      <c r="F790" s="59"/>
      <c r="H790" s="59"/>
      <c r="J790" s="59"/>
      <c r="L790" s="59"/>
      <c r="N790" s="59"/>
      <c r="Q790" s="59"/>
      <c r="R790" s="61"/>
    </row>
    <row r="791">
      <c r="B791" s="59"/>
      <c r="D791" s="59"/>
      <c r="F791" s="59"/>
      <c r="H791" s="59"/>
      <c r="J791" s="59"/>
      <c r="L791" s="59"/>
      <c r="N791" s="59"/>
      <c r="Q791" s="59"/>
      <c r="R791" s="61"/>
    </row>
    <row r="792">
      <c r="B792" s="59"/>
      <c r="D792" s="59"/>
      <c r="F792" s="59"/>
      <c r="H792" s="59"/>
      <c r="J792" s="59"/>
      <c r="L792" s="59"/>
      <c r="N792" s="59"/>
      <c r="Q792" s="59"/>
      <c r="R792" s="61"/>
    </row>
    <row r="793">
      <c r="B793" s="59"/>
      <c r="D793" s="59"/>
      <c r="F793" s="59"/>
      <c r="H793" s="59"/>
      <c r="J793" s="59"/>
      <c r="L793" s="59"/>
      <c r="N793" s="59"/>
      <c r="Q793" s="59"/>
      <c r="R793" s="61"/>
    </row>
    <row r="794">
      <c r="B794" s="59"/>
      <c r="D794" s="59"/>
      <c r="F794" s="59"/>
      <c r="H794" s="59"/>
      <c r="J794" s="59"/>
      <c r="L794" s="59"/>
      <c r="N794" s="59"/>
      <c r="Q794" s="59"/>
      <c r="R794" s="61"/>
    </row>
    <row r="795">
      <c r="B795" s="59"/>
      <c r="D795" s="59"/>
      <c r="F795" s="59"/>
      <c r="H795" s="59"/>
      <c r="J795" s="59"/>
      <c r="L795" s="59"/>
      <c r="N795" s="59"/>
      <c r="Q795" s="59"/>
      <c r="R795" s="61"/>
    </row>
    <row r="796">
      <c r="B796" s="59"/>
      <c r="D796" s="59"/>
      <c r="F796" s="59"/>
      <c r="H796" s="59"/>
      <c r="J796" s="59"/>
      <c r="L796" s="59"/>
      <c r="N796" s="59"/>
      <c r="Q796" s="59"/>
      <c r="R796" s="61"/>
    </row>
    <row r="797">
      <c r="B797" s="59"/>
      <c r="D797" s="59"/>
      <c r="F797" s="59"/>
      <c r="H797" s="59"/>
      <c r="J797" s="59"/>
      <c r="L797" s="59"/>
      <c r="N797" s="59"/>
      <c r="Q797" s="59"/>
      <c r="R797" s="61"/>
    </row>
    <row r="798">
      <c r="B798" s="59"/>
      <c r="D798" s="59"/>
      <c r="F798" s="59"/>
      <c r="H798" s="59"/>
      <c r="J798" s="59"/>
      <c r="L798" s="59"/>
      <c r="N798" s="59"/>
      <c r="Q798" s="59"/>
      <c r="R798" s="61"/>
    </row>
    <row r="799">
      <c r="B799" s="59"/>
      <c r="D799" s="59"/>
      <c r="F799" s="59"/>
      <c r="H799" s="59"/>
      <c r="J799" s="59"/>
      <c r="L799" s="59"/>
      <c r="N799" s="59"/>
      <c r="Q799" s="59"/>
      <c r="R799" s="61"/>
    </row>
    <row r="800">
      <c r="B800" s="59"/>
      <c r="D800" s="59"/>
      <c r="F800" s="59"/>
      <c r="H800" s="59"/>
      <c r="J800" s="59"/>
      <c r="L800" s="59"/>
      <c r="N800" s="59"/>
      <c r="Q800" s="59"/>
      <c r="R800" s="61"/>
    </row>
    <row r="801">
      <c r="B801" s="59"/>
      <c r="D801" s="59"/>
      <c r="F801" s="59"/>
      <c r="H801" s="59"/>
      <c r="J801" s="59"/>
      <c r="L801" s="59"/>
      <c r="N801" s="59"/>
      <c r="Q801" s="59"/>
      <c r="R801" s="61"/>
    </row>
    <row r="802">
      <c r="B802" s="59"/>
      <c r="D802" s="59"/>
      <c r="F802" s="59"/>
      <c r="H802" s="59"/>
      <c r="J802" s="59"/>
      <c r="L802" s="59"/>
      <c r="N802" s="59"/>
      <c r="Q802" s="59"/>
      <c r="R802" s="61"/>
    </row>
    <row r="803">
      <c r="B803" s="59"/>
      <c r="D803" s="59"/>
      <c r="F803" s="59"/>
      <c r="H803" s="59"/>
      <c r="J803" s="59"/>
      <c r="L803" s="59"/>
      <c r="N803" s="59"/>
      <c r="Q803" s="59"/>
      <c r="R803" s="61"/>
    </row>
    <row r="804">
      <c r="B804" s="59"/>
      <c r="D804" s="59"/>
      <c r="F804" s="59"/>
      <c r="H804" s="59"/>
      <c r="J804" s="59"/>
      <c r="L804" s="59"/>
      <c r="N804" s="59"/>
      <c r="Q804" s="59"/>
      <c r="R804" s="61"/>
    </row>
    <row r="805">
      <c r="B805" s="59"/>
      <c r="D805" s="59"/>
      <c r="F805" s="59"/>
      <c r="H805" s="59"/>
      <c r="J805" s="59"/>
      <c r="L805" s="59"/>
      <c r="N805" s="59"/>
      <c r="Q805" s="59"/>
      <c r="R805" s="61"/>
    </row>
    <row r="806">
      <c r="B806" s="59"/>
      <c r="D806" s="59"/>
      <c r="F806" s="59"/>
      <c r="H806" s="59"/>
      <c r="J806" s="59"/>
      <c r="L806" s="59"/>
      <c r="N806" s="59"/>
      <c r="Q806" s="59"/>
      <c r="R806" s="61"/>
    </row>
    <row r="807">
      <c r="B807" s="59"/>
      <c r="D807" s="59"/>
      <c r="F807" s="59"/>
      <c r="H807" s="59"/>
      <c r="J807" s="59"/>
      <c r="L807" s="59"/>
      <c r="N807" s="59"/>
      <c r="Q807" s="59"/>
      <c r="R807" s="61"/>
    </row>
    <row r="808">
      <c r="B808" s="59"/>
      <c r="D808" s="59"/>
      <c r="F808" s="59"/>
      <c r="H808" s="59"/>
      <c r="J808" s="59"/>
      <c r="L808" s="59"/>
      <c r="N808" s="59"/>
      <c r="Q808" s="59"/>
      <c r="R808" s="61"/>
    </row>
    <row r="809">
      <c r="B809" s="59"/>
      <c r="D809" s="59"/>
      <c r="F809" s="59"/>
      <c r="H809" s="59"/>
      <c r="J809" s="59"/>
      <c r="L809" s="59"/>
      <c r="N809" s="59"/>
      <c r="Q809" s="59"/>
      <c r="R809" s="61"/>
    </row>
    <row r="810">
      <c r="B810" s="59"/>
      <c r="D810" s="59"/>
      <c r="F810" s="59"/>
      <c r="H810" s="59"/>
      <c r="J810" s="59"/>
      <c r="L810" s="59"/>
      <c r="N810" s="59"/>
      <c r="Q810" s="59"/>
      <c r="R810" s="61"/>
    </row>
    <row r="811">
      <c r="B811" s="59"/>
      <c r="D811" s="59"/>
      <c r="F811" s="59"/>
      <c r="H811" s="59"/>
      <c r="J811" s="59"/>
      <c r="L811" s="59"/>
      <c r="N811" s="59"/>
      <c r="Q811" s="59"/>
      <c r="R811" s="61"/>
    </row>
    <row r="812">
      <c r="B812" s="59"/>
      <c r="D812" s="59"/>
      <c r="F812" s="59"/>
      <c r="H812" s="59"/>
      <c r="J812" s="59"/>
      <c r="L812" s="59"/>
      <c r="N812" s="59"/>
      <c r="Q812" s="59"/>
      <c r="R812" s="61"/>
    </row>
    <row r="813">
      <c r="B813" s="59"/>
      <c r="D813" s="59"/>
      <c r="F813" s="59"/>
      <c r="H813" s="59"/>
      <c r="J813" s="59"/>
      <c r="L813" s="59"/>
      <c r="N813" s="59"/>
      <c r="Q813" s="59"/>
      <c r="R813" s="61"/>
    </row>
    <row r="814">
      <c r="B814" s="59"/>
      <c r="D814" s="59"/>
      <c r="F814" s="59"/>
      <c r="H814" s="59"/>
      <c r="J814" s="59"/>
      <c r="L814" s="59"/>
      <c r="N814" s="59"/>
      <c r="Q814" s="59"/>
      <c r="R814" s="61"/>
    </row>
    <row r="815">
      <c r="B815" s="59"/>
      <c r="D815" s="59"/>
      <c r="F815" s="59"/>
      <c r="H815" s="59"/>
      <c r="J815" s="59"/>
      <c r="L815" s="59"/>
      <c r="N815" s="59"/>
      <c r="Q815" s="59"/>
      <c r="R815" s="61"/>
    </row>
    <row r="816">
      <c r="B816" s="59"/>
      <c r="D816" s="59"/>
      <c r="F816" s="59"/>
      <c r="H816" s="59"/>
      <c r="J816" s="59"/>
      <c r="L816" s="59"/>
      <c r="N816" s="59"/>
      <c r="Q816" s="59"/>
      <c r="R816" s="61"/>
    </row>
    <row r="817">
      <c r="B817" s="59"/>
      <c r="D817" s="59"/>
      <c r="F817" s="59"/>
      <c r="H817" s="59"/>
      <c r="J817" s="59"/>
      <c r="L817" s="59"/>
      <c r="N817" s="59"/>
      <c r="Q817" s="59"/>
      <c r="R817" s="61"/>
    </row>
    <row r="818">
      <c r="B818" s="59"/>
      <c r="D818" s="59"/>
      <c r="F818" s="59"/>
      <c r="H818" s="59"/>
      <c r="J818" s="59"/>
      <c r="L818" s="59"/>
      <c r="N818" s="59"/>
      <c r="Q818" s="59"/>
      <c r="R818" s="61"/>
    </row>
    <row r="819">
      <c r="B819" s="59"/>
      <c r="D819" s="59"/>
      <c r="F819" s="59"/>
      <c r="H819" s="59"/>
      <c r="J819" s="59"/>
      <c r="L819" s="59"/>
      <c r="N819" s="59"/>
      <c r="Q819" s="59"/>
      <c r="R819" s="61"/>
    </row>
    <row r="820">
      <c r="B820" s="59"/>
      <c r="D820" s="59"/>
      <c r="F820" s="59"/>
      <c r="H820" s="59"/>
      <c r="J820" s="59"/>
      <c r="L820" s="59"/>
      <c r="N820" s="59"/>
      <c r="Q820" s="59"/>
      <c r="R820" s="61"/>
    </row>
    <row r="821">
      <c r="B821" s="59"/>
      <c r="D821" s="59"/>
      <c r="F821" s="59"/>
      <c r="H821" s="59"/>
      <c r="J821" s="59"/>
      <c r="L821" s="59"/>
      <c r="N821" s="59"/>
      <c r="Q821" s="59"/>
      <c r="R821" s="61"/>
    </row>
    <row r="822">
      <c r="B822" s="59"/>
      <c r="D822" s="59"/>
      <c r="F822" s="59"/>
      <c r="H822" s="59"/>
      <c r="J822" s="59"/>
      <c r="L822" s="59"/>
      <c r="N822" s="59"/>
      <c r="Q822" s="59"/>
      <c r="R822" s="61"/>
    </row>
    <row r="823">
      <c r="B823" s="59"/>
      <c r="D823" s="59"/>
      <c r="F823" s="59"/>
      <c r="H823" s="59"/>
      <c r="J823" s="59"/>
      <c r="L823" s="59"/>
      <c r="N823" s="59"/>
      <c r="Q823" s="59"/>
      <c r="R823" s="61"/>
    </row>
    <row r="824">
      <c r="B824" s="59"/>
      <c r="D824" s="59"/>
      <c r="F824" s="59"/>
      <c r="H824" s="59"/>
      <c r="J824" s="59"/>
      <c r="L824" s="59"/>
      <c r="N824" s="59"/>
      <c r="Q824" s="59"/>
      <c r="R824" s="61"/>
    </row>
    <row r="825">
      <c r="B825" s="59"/>
      <c r="D825" s="59"/>
      <c r="F825" s="59"/>
      <c r="H825" s="59"/>
      <c r="J825" s="59"/>
      <c r="L825" s="59"/>
      <c r="N825" s="59"/>
      <c r="Q825" s="59"/>
      <c r="R825" s="61"/>
    </row>
    <row r="826">
      <c r="B826" s="59"/>
      <c r="D826" s="59"/>
      <c r="F826" s="59"/>
      <c r="H826" s="59"/>
      <c r="J826" s="59"/>
      <c r="L826" s="59"/>
      <c r="N826" s="59"/>
      <c r="Q826" s="59"/>
      <c r="R826" s="61"/>
    </row>
    <row r="827">
      <c r="B827" s="59"/>
      <c r="D827" s="59"/>
      <c r="F827" s="59"/>
      <c r="H827" s="59"/>
      <c r="J827" s="59"/>
      <c r="L827" s="59"/>
      <c r="N827" s="59"/>
      <c r="Q827" s="59"/>
      <c r="R827" s="61"/>
    </row>
    <row r="828">
      <c r="B828" s="59"/>
      <c r="D828" s="59"/>
      <c r="F828" s="59"/>
      <c r="H828" s="59"/>
      <c r="J828" s="59"/>
      <c r="L828" s="59"/>
      <c r="N828" s="59"/>
      <c r="Q828" s="59"/>
      <c r="R828" s="61"/>
    </row>
    <row r="829">
      <c r="B829" s="59"/>
      <c r="D829" s="59"/>
      <c r="F829" s="59"/>
      <c r="H829" s="59"/>
      <c r="J829" s="59"/>
      <c r="L829" s="59"/>
      <c r="N829" s="59"/>
      <c r="Q829" s="59"/>
      <c r="R829" s="61"/>
    </row>
    <row r="830">
      <c r="B830" s="59"/>
      <c r="D830" s="59"/>
      <c r="F830" s="59"/>
      <c r="H830" s="59"/>
      <c r="J830" s="59"/>
      <c r="L830" s="59"/>
      <c r="N830" s="59"/>
      <c r="Q830" s="59"/>
      <c r="R830" s="61"/>
    </row>
    <row r="831">
      <c r="B831" s="59"/>
      <c r="D831" s="59"/>
      <c r="F831" s="59"/>
      <c r="H831" s="59"/>
      <c r="J831" s="59"/>
      <c r="L831" s="59"/>
      <c r="N831" s="59"/>
      <c r="Q831" s="59"/>
      <c r="R831" s="61"/>
    </row>
    <row r="832">
      <c r="B832" s="59"/>
      <c r="D832" s="59"/>
      <c r="F832" s="59"/>
      <c r="H832" s="59"/>
      <c r="J832" s="59"/>
      <c r="L832" s="59"/>
      <c r="N832" s="59"/>
      <c r="Q832" s="59"/>
      <c r="R832" s="61"/>
    </row>
    <row r="833">
      <c r="B833" s="59"/>
      <c r="D833" s="59"/>
      <c r="F833" s="59"/>
      <c r="H833" s="59"/>
      <c r="J833" s="59"/>
      <c r="L833" s="59"/>
      <c r="N833" s="59"/>
      <c r="Q833" s="59"/>
      <c r="R833" s="61"/>
    </row>
    <row r="834">
      <c r="B834" s="59"/>
      <c r="D834" s="59"/>
      <c r="F834" s="59"/>
      <c r="H834" s="59"/>
      <c r="J834" s="59"/>
      <c r="L834" s="59"/>
      <c r="N834" s="59"/>
      <c r="Q834" s="59"/>
      <c r="R834" s="61"/>
    </row>
    <row r="835">
      <c r="B835" s="59"/>
      <c r="D835" s="59"/>
      <c r="F835" s="59"/>
      <c r="H835" s="59"/>
      <c r="J835" s="59"/>
      <c r="L835" s="59"/>
      <c r="N835" s="59"/>
      <c r="Q835" s="59"/>
      <c r="R835" s="61"/>
    </row>
    <row r="836">
      <c r="B836" s="59"/>
      <c r="D836" s="59"/>
      <c r="F836" s="59"/>
      <c r="H836" s="59"/>
      <c r="J836" s="59"/>
      <c r="L836" s="59"/>
      <c r="N836" s="59"/>
      <c r="Q836" s="59"/>
      <c r="R836" s="61"/>
    </row>
    <row r="837">
      <c r="B837" s="59"/>
      <c r="D837" s="59"/>
      <c r="F837" s="59"/>
      <c r="H837" s="59"/>
      <c r="J837" s="59"/>
      <c r="L837" s="59"/>
      <c r="N837" s="59"/>
      <c r="Q837" s="59"/>
      <c r="R837" s="61"/>
    </row>
    <row r="838">
      <c r="B838" s="59"/>
      <c r="D838" s="59"/>
      <c r="F838" s="59"/>
      <c r="H838" s="59"/>
      <c r="J838" s="59"/>
      <c r="L838" s="59"/>
      <c r="N838" s="59"/>
      <c r="Q838" s="59"/>
      <c r="R838" s="61"/>
    </row>
    <row r="839">
      <c r="B839" s="59"/>
      <c r="D839" s="59"/>
      <c r="F839" s="59"/>
      <c r="H839" s="59"/>
      <c r="J839" s="59"/>
      <c r="L839" s="59"/>
      <c r="N839" s="59"/>
      <c r="Q839" s="59"/>
      <c r="R839" s="61"/>
    </row>
    <row r="840">
      <c r="B840" s="59"/>
      <c r="D840" s="59"/>
      <c r="F840" s="59"/>
      <c r="H840" s="59"/>
      <c r="J840" s="59"/>
      <c r="L840" s="59"/>
      <c r="N840" s="59"/>
      <c r="Q840" s="59"/>
      <c r="R840" s="61"/>
    </row>
    <row r="841">
      <c r="B841" s="59"/>
      <c r="D841" s="59"/>
      <c r="F841" s="59"/>
      <c r="H841" s="59"/>
      <c r="J841" s="59"/>
      <c r="L841" s="59"/>
      <c r="N841" s="59"/>
      <c r="Q841" s="59"/>
      <c r="R841" s="61"/>
    </row>
    <row r="842">
      <c r="B842" s="59"/>
      <c r="D842" s="59"/>
      <c r="F842" s="59"/>
      <c r="H842" s="59"/>
      <c r="J842" s="59"/>
      <c r="L842" s="59"/>
      <c r="N842" s="59"/>
      <c r="Q842" s="59"/>
      <c r="R842" s="61"/>
    </row>
    <row r="843">
      <c r="B843" s="59"/>
      <c r="D843" s="59"/>
      <c r="F843" s="59"/>
      <c r="H843" s="59"/>
      <c r="J843" s="59"/>
      <c r="L843" s="59"/>
      <c r="N843" s="59"/>
      <c r="Q843" s="59"/>
      <c r="R843" s="61"/>
    </row>
    <row r="844">
      <c r="B844" s="59"/>
      <c r="D844" s="59"/>
      <c r="F844" s="59"/>
      <c r="H844" s="59"/>
      <c r="J844" s="59"/>
      <c r="L844" s="59"/>
      <c r="N844" s="59"/>
      <c r="Q844" s="59"/>
      <c r="R844" s="61"/>
    </row>
    <row r="845">
      <c r="B845" s="59"/>
      <c r="D845" s="59"/>
      <c r="F845" s="59"/>
      <c r="H845" s="59"/>
      <c r="J845" s="59"/>
      <c r="L845" s="59"/>
      <c r="N845" s="59"/>
      <c r="Q845" s="59"/>
      <c r="R845" s="61"/>
    </row>
    <row r="846">
      <c r="B846" s="59"/>
      <c r="D846" s="59"/>
      <c r="F846" s="59"/>
      <c r="H846" s="59"/>
      <c r="J846" s="59"/>
      <c r="L846" s="59"/>
      <c r="N846" s="59"/>
      <c r="Q846" s="59"/>
      <c r="R846" s="61"/>
    </row>
    <row r="847">
      <c r="B847" s="59"/>
      <c r="D847" s="59"/>
      <c r="F847" s="59"/>
      <c r="H847" s="59"/>
      <c r="J847" s="59"/>
      <c r="L847" s="59"/>
      <c r="N847" s="59"/>
      <c r="Q847" s="59"/>
      <c r="R847" s="61"/>
    </row>
    <row r="848">
      <c r="B848" s="59"/>
      <c r="D848" s="59"/>
      <c r="F848" s="59"/>
      <c r="H848" s="59"/>
      <c r="J848" s="59"/>
      <c r="L848" s="59"/>
      <c r="N848" s="59"/>
      <c r="Q848" s="59"/>
      <c r="R848" s="61"/>
    </row>
    <row r="849">
      <c r="B849" s="59"/>
      <c r="D849" s="59"/>
      <c r="F849" s="59"/>
      <c r="H849" s="59"/>
      <c r="J849" s="59"/>
      <c r="L849" s="59"/>
      <c r="N849" s="59"/>
      <c r="Q849" s="59"/>
      <c r="R849" s="61"/>
    </row>
    <row r="850">
      <c r="B850" s="59"/>
      <c r="D850" s="59"/>
      <c r="F850" s="59"/>
      <c r="H850" s="59"/>
      <c r="J850" s="59"/>
      <c r="L850" s="59"/>
      <c r="N850" s="59"/>
      <c r="Q850" s="59"/>
      <c r="R850" s="61"/>
    </row>
    <row r="851">
      <c r="B851" s="59"/>
      <c r="D851" s="59"/>
      <c r="F851" s="59"/>
      <c r="H851" s="59"/>
      <c r="J851" s="59"/>
      <c r="L851" s="59"/>
      <c r="N851" s="59"/>
      <c r="Q851" s="59"/>
      <c r="R851" s="61"/>
    </row>
    <row r="852">
      <c r="B852" s="59"/>
      <c r="D852" s="59"/>
      <c r="F852" s="59"/>
      <c r="H852" s="59"/>
      <c r="J852" s="59"/>
      <c r="L852" s="59"/>
      <c r="N852" s="59"/>
      <c r="Q852" s="59"/>
      <c r="R852" s="61"/>
    </row>
    <row r="853">
      <c r="B853" s="59"/>
      <c r="D853" s="59"/>
      <c r="F853" s="59"/>
      <c r="H853" s="59"/>
      <c r="J853" s="59"/>
      <c r="L853" s="59"/>
      <c r="N853" s="59"/>
      <c r="Q853" s="59"/>
      <c r="R853" s="61"/>
    </row>
    <row r="854">
      <c r="B854" s="59"/>
      <c r="D854" s="59"/>
      <c r="F854" s="59"/>
      <c r="H854" s="59"/>
      <c r="J854" s="59"/>
      <c r="L854" s="59"/>
      <c r="N854" s="59"/>
      <c r="Q854" s="59"/>
      <c r="R854" s="61"/>
    </row>
    <row r="855">
      <c r="B855" s="59"/>
      <c r="D855" s="59"/>
      <c r="F855" s="59"/>
      <c r="H855" s="59"/>
      <c r="J855" s="59"/>
      <c r="L855" s="59"/>
      <c r="N855" s="59"/>
      <c r="Q855" s="59"/>
      <c r="R855" s="61"/>
    </row>
    <row r="856">
      <c r="B856" s="59"/>
      <c r="D856" s="59"/>
      <c r="F856" s="59"/>
      <c r="H856" s="59"/>
      <c r="J856" s="59"/>
      <c r="L856" s="59"/>
      <c r="N856" s="59"/>
      <c r="Q856" s="59"/>
      <c r="R856" s="61"/>
    </row>
    <row r="857">
      <c r="B857" s="59"/>
      <c r="D857" s="59"/>
      <c r="F857" s="59"/>
      <c r="H857" s="59"/>
      <c r="J857" s="59"/>
      <c r="L857" s="59"/>
      <c r="N857" s="59"/>
      <c r="Q857" s="59"/>
      <c r="R857" s="61"/>
    </row>
    <row r="858">
      <c r="B858" s="59"/>
      <c r="D858" s="59"/>
      <c r="F858" s="59"/>
      <c r="H858" s="59"/>
      <c r="J858" s="59"/>
      <c r="L858" s="59"/>
      <c r="N858" s="59"/>
      <c r="Q858" s="59"/>
      <c r="R858" s="61"/>
    </row>
    <row r="859">
      <c r="B859" s="59"/>
      <c r="D859" s="59"/>
      <c r="F859" s="59"/>
      <c r="H859" s="59"/>
      <c r="J859" s="59"/>
      <c r="L859" s="59"/>
      <c r="N859" s="59"/>
      <c r="Q859" s="59"/>
      <c r="R859" s="61"/>
    </row>
    <row r="860">
      <c r="B860" s="59"/>
      <c r="D860" s="59"/>
      <c r="F860" s="59"/>
      <c r="H860" s="59"/>
      <c r="J860" s="59"/>
      <c r="L860" s="59"/>
      <c r="N860" s="59"/>
      <c r="Q860" s="59"/>
      <c r="R860" s="61"/>
    </row>
    <row r="861">
      <c r="B861" s="59"/>
      <c r="D861" s="59"/>
      <c r="F861" s="59"/>
      <c r="H861" s="59"/>
      <c r="J861" s="59"/>
      <c r="L861" s="59"/>
      <c r="N861" s="59"/>
      <c r="Q861" s="59"/>
      <c r="R861" s="61"/>
    </row>
    <row r="862">
      <c r="B862" s="59"/>
      <c r="D862" s="59"/>
      <c r="F862" s="59"/>
      <c r="H862" s="59"/>
      <c r="J862" s="59"/>
      <c r="L862" s="59"/>
      <c r="N862" s="59"/>
      <c r="Q862" s="59"/>
      <c r="R862" s="61"/>
    </row>
    <row r="863">
      <c r="B863" s="59"/>
      <c r="D863" s="59"/>
      <c r="F863" s="59"/>
      <c r="H863" s="59"/>
      <c r="J863" s="59"/>
      <c r="L863" s="59"/>
      <c r="N863" s="59"/>
      <c r="Q863" s="59"/>
      <c r="R863" s="61"/>
    </row>
    <row r="864">
      <c r="B864" s="59"/>
      <c r="D864" s="59"/>
      <c r="F864" s="59"/>
      <c r="H864" s="59"/>
      <c r="J864" s="59"/>
      <c r="L864" s="59"/>
      <c r="N864" s="59"/>
      <c r="Q864" s="59"/>
      <c r="R864" s="61"/>
    </row>
    <row r="865">
      <c r="B865" s="59"/>
      <c r="D865" s="59"/>
      <c r="F865" s="59"/>
      <c r="H865" s="59"/>
      <c r="J865" s="59"/>
      <c r="L865" s="59"/>
      <c r="N865" s="59"/>
      <c r="Q865" s="59"/>
      <c r="R865" s="61"/>
    </row>
    <row r="866">
      <c r="B866" s="59"/>
      <c r="D866" s="59"/>
      <c r="F866" s="59"/>
      <c r="H866" s="59"/>
      <c r="J866" s="59"/>
      <c r="L866" s="59"/>
      <c r="N866" s="59"/>
      <c r="Q866" s="59"/>
      <c r="R866" s="61"/>
    </row>
    <row r="867">
      <c r="B867" s="59"/>
      <c r="D867" s="59"/>
      <c r="F867" s="59"/>
      <c r="H867" s="59"/>
      <c r="J867" s="59"/>
      <c r="L867" s="59"/>
      <c r="N867" s="59"/>
      <c r="Q867" s="59"/>
      <c r="R867" s="61"/>
    </row>
    <row r="868">
      <c r="B868" s="59"/>
      <c r="D868" s="59"/>
      <c r="F868" s="59"/>
      <c r="H868" s="59"/>
      <c r="J868" s="59"/>
      <c r="L868" s="59"/>
      <c r="N868" s="59"/>
      <c r="Q868" s="59"/>
      <c r="R868" s="61"/>
    </row>
    <row r="869">
      <c r="B869" s="59"/>
      <c r="D869" s="59"/>
      <c r="F869" s="59"/>
      <c r="H869" s="59"/>
      <c r="J869" s="59"/>
      <c r="L869" s="59"/>
      <c r="N869" s="59"/>
      <c r="Q869" s="59"/>
      <c r="R869" s="61"/>
    </row>
    <row r="870">
      <c r="B870" s="59"/>
      <c r="D870" s="59"/>
      <c r="F870" s="59"/>
      <c r="H870" s="59"/>
      <c r="J870" s="59"/>
      <c r="L870" s="59"/>
      <c r="N870" s="59"/>
      <c r="Q870" s="59"/>
      <c r="R870" s="61"/>
    </row>
    <row r="871">
      <c r="B871" s="59"/>
      <c r="D871" s="59"/>
      <c r="F871" s="59"/>
      <c r="H871" s="59"/>
      <c r="J871" s="59"/>
      <c r="L871" s="59"/>
      <c r="N871" s="59"/>
      <c r="Q871" s="59"/>
      <c r="R871" s="61"/>
    </row>
    <row r="872">
      <c r="B872" s="59"/>
      <c r="D872" s="59"/>
      <c r="F872" s="59"/>
      <c r="H872" s="59"/>
      <c r="J872" s="59"/>
      <c r="L872" s="59"/>
      <c r="N872" s="59"/>
      <c r="Q872" s="59"/>
      <c r="R872" s="61"/>
    </row>
    <row r="873">
      <c r="B873" s="59"/>
      <c r="D873" s="59"/>
      <c r="F873" s="59"/>
      <c r="H873" s="59"/>
      <c r="J873" s="59"/>
      <c r="L873" s="59"/>
      <c r="N873" s="59"/>
      <c r="Q873" s="59"/>
      <c r="R873" s="61"/>
    </row>
    <row r="874">
      <c r="B874" s="59"/>
      <c r="D874" s="59"/>
      <c r="F874" s="59"/>
      <c r="H874" s="59"/>
      <c r="J874" s="59"/>
      <c r="L874" s="59"/>
      <c r="N874" s="59"/>
      <c r="Q874" s="59"/>
      <c r="R874" s="61"/>
    </row>
    <row r="875">
      <c r="B875" s="59"/>
      <c r="D875" s="59"/>
      <c r="F875" s="59"/>
      <c r="H875" s="59"/>
      <c r="J875" s="59"/>
      <c r="L875" s="59"/>
      <c r="N875" s="59"/>
      <c r="Q875" s="59"/>
      <c r="R875" s="61"/>
    </row>
    <row r="876">
      <c r="B876" s="59"/>
      <c r="D876" s="59"/>
      <c r="F876" s="59"/>
      <c r="H876" s="59"/>
      <c r="J876" s="59"/>
      <c r="L876" s="59"/>
      <c r="N876" s="59"/>
      <c r="Q876" s="59"/>
      <c r="R876" s="61"/>
    </row>
    <row r="877">
      <c r="B877" s="59"/>
      <c r="D877" s="59"/>
      <c r="F877" s="59"/>
      <c r="H877" s="59"/>
      <c r="J877" s="59"/>
      <c r="L877" s="59"/>
      <c r="N877" s="59"/>
      <c r="Q877" s="59"/>
      <c r="R877" s="61"/>
    </row>
    <row r="878">
      <c r="B878" s="59"/>
      <c r="D878" s="59"/>
      <c r="F878" s="59"/>
      <c r="H878" s="59"/>
      <c r="J878" s="59"/>
      <c r="L878" s="59"/>
      <c r="N878" s="59"/>
      <c r="Q878" s="59"/>
      <c r="R878" s="61"/>
    </row>
    <row r="879">
      <c r="B879" s="59"/>
      <c r="D879" s="59"/>
      <c r="F879" s="59"/>
      <c r="H879" s="59"/>
      <c r="J879" s="59"/>
      <c r="L879" s="59"/>
      <c r="N879" s="59"/>
      <c r="Q879" s="59"/>
      <c r="R879" s="61"/>
    </row>
    <row r="880">
      <c r="B880" s="59"/>
      <c r="D880" s="59"/>
      <c r="F880" s="59"/>
      <c r="H880" s="59"/>
      <c r="J880" s="59"/>
      <c r="L880" s="59"/>
      <c r="N880" s="59"/>
      <c r="Q880" s="59"/>
      <c r="R880" s="61"/>
    </row>
    <row r="881">
      <c r="B881" s="59"/>
      <c r="D881" s="59"/>
      <c r="F881" s="59"/>
      <c r="H881" s="59"/>
      <c r="J881" s="59"/>
      <c r="L881" s="59"/>
      <c r="N881" s="59"/>
      <c r="Q881" s="59"/>
      <c r="R881" s="61"/>
    </row>
    <row r="882">
      <c r="B882" s="59"/>
      <c r="D882" s="59"/>
      <c r="F882" s="59"/>
      <c r="H882" s="59"/>
      <c r="J882" s="59"/>
      <c r="L882" s="59"/>
      <c r="N882" s="59"/>
      <c r="Q882" s="59"/>
      <c r="R882" s="61"/>
    </row>
    <row r="883">
      <c r="B883" s="59"/>
      <c r="D883" s="59"/>
      <c r="F883" s="59"/>
      <c r="H883" s="59"/>
      <c r="J883" s="59"/>
      <c r="L883" s="59"/>
      <c r="N883" s="59"/>
      <c r="Q883" s="59"/>
      <c r="R883" s="61"/>
    </row>
    <row r="884">
      <c r="B884" s="59"/>
      <c r="D884" s="59"/>
      <c r="F884" s="59"/>
      <c r="H884" s="59"/>
      <c r="J884" s="59"/>
      <c r="L884" s="59"/>
      <c r="N884" s="59"/>
      <c r="Q884" s="59"/>
      <c r="R884" s="61"/>
    </row>
    <row r="885">
      <c r="B885" s="59"/>
      <c r="D885" s="59"/>
      <c r="F885" s="59"/>
      <c r="H885" s="59"/>
      <c r="J885" s="59"/>
      <c r="L885" s="59"/>
      <c r="N885" s="59"/>
      <c r="Q885" s="59"/>
      <c r="R885" s="61"/>
    </row>
    <row r="886">
      <c r="B886" s="59"/>
      <c r="D886" s="59"/>
      <c r="F886" s="59"/>
      <c r="H886" s="59"/>
      <c r="J886" s="59"/>
      <c r="L886" s="59"/>
      <c r="N886" s="59"/>
      <c r="Q886" s="59"/>
      <c r="R886" s="61"/>
    </row>
    <row r="887">
      <c r="B887" s="59"/>
      <c r="D887" s="59"/>
      <c r="F887" s="59"/>
      <c r="H887" s="59"/>
      <c r="J887" s="59"/>
      <c r="L887" s="59"/>
      <c r="N887" s="59"/>
      <c r="Q887" s="59"/>
      <c r="R887" s="61"/>
    </row>
    <row r="888">
      <c r="B888" s="59"/>
      <c r="D888" s="59"/>
      <c r="F888" s="59"/>
      <c r="H888" s="59"/>
      <c r="J888" s="59"/>
      <c r="L888" s="59"/>
      <c r="N888" s="59"/>
      <c r="Q888" s="59"/>
      <c r="R888" s="61"/>
    </row>
    <row r="889">
      <c r="B889" s="59"/>
      <c r="D889" s="59"/>
      <c r="F889" s="59"/>
      <c r="H889" s="59"/>
      <c r="J889" s="59"/>
      <c r="L889" s="59"/>
      <c r="N889" s="59"/>
      <c r="Q889" s="59"/>
      <c r="R889" s="61"/>
    </row>
    <row r="890">
      <c r="B890" s="59"/>
      <c r="D890" s="59"/>
      <c r="F890" s="59"/>
      <c r="H890" s="59"/>
      <c r="J890" s="59"/>
      <c r="L890" s="59"/>
      <c r="N890" s="59"/>
      <c r="Q890" s="59"/>
      <c r="R890" s="61"/>
    </row>
    <row r="891">
      <c r="B891" s="59"/>
      <c r="D891" s="59"/>
      <c r="F891" s="59"/>
      <c r="H891" s="59"/>
      <c r="J891" s="59"/>
      <c r="L891" s="59"/>
      <c r="N891" s="59"/>
      <c r="Q891" s="59"/>
      <c r="R891" s="61"/>
    </row>
    <row r="892">
      <c r="B892" s="59"/>
      <c r="D892" s="59"/>
      <c r="F892" s="59"/>
      <c r="H892" s="59"/>
      <c r="J892" s="59"/>
      <c r="L892" s="59"/>
      <c r="N892" s="59"/>
      <c r="Q892" s="59"/>
      <c r="R892" s="61"/>
    </row>
    <row r="893">
      <c r="B893" s="59"/>
      <c r="D893" s="59"/>
      <c r="F893" s="59"/>
      <c r="H893" s="59"/>
      <c r="J893" s="59"/>
      <c r="L893" s="59"/>
      <c r="N893" s="59"/>
      <c r="Q893" s="59"/>
      <c r="R893" s="61"/>
    </row>
    <row r="894">
      <c r="B894" s="59"/>
      <c r="D894" s="59"/>
      <c r="F894" s="59"/>
      <c r="H894" s="59"/>
      <c r="J894" s="59"/>
      <c r="L894" s="59"/>
      <c r="N894" s="59"/>
      <c r="Q894" s="59"/>
      <c r="R894" s="61"/>
    </row>
    <row r="895">
      <c r="B895" s="59"/>
      <c r="D895" s="59"/>
      <c r="F895" s="59"/>
      <c r="H895" s="59"/>
      <c r="J895" s="59"/>
      <c r="L895" s="59"/>
      <c r="N895" s="59"/>
      <c r="Q895" s="59"/>
      <c r="R895" s="61"/>
    </row>
    <row r="896">
      <c r="B896" s="59"/>
      <c r="D896" s="59"/>
      <c r="F896" s="59"/>
      <c r="H896" s="59"/>
      <c r="J896" s="59"/>
      <c r="L896" s="59"/>
      <c r="N896" s="59"/>
      <c r="Q896" s="59"/>
      <c r="R896" s="61"/>
    </row>
    <row r="897">
      <c r="B897" s="59"/>
      <c r="D897" s="59"/>
      <c r="F897" s="59"/>
      <c r="H897" s="59"/>
      <c r="J897" s="59"/>
      <c r="L897" s="59"/>
      <c r="N897" s="59"/>
      <c r="Q897" s="59"/>
      <c r="R897" s="61"/>
    </row>
    <row r="898">
      <c r="B898" s="59"/>
      <c r="D898" s="59"/>
      <c r="F898" s="59"/>
      <c r="H898" s="59"/>
      <c r="J898" s="59"/>
      <c r="L898" s="59"/>
      <c r="N898" s="59"/>
      <c r="Q898" s="59"/>
      <c r="R898" s="61"/>
    </row>
    <row r="899">
      <c r="B899" s="59"/>
      <c r="D899" s="59"/>
      <c r="F899" s="59"/>
      <c r="H899" s="59"/>
      <c r="J899" s="59"/>
      <c r="L899" s="59"/>
      <c r="N899" s="59"/>
      <c r="Q899" s="59"/>
      <c r="R899" s="61"/>
    </row>
    <row r="900">
      <c r="B900" s="59"/>
      <c r="D900" s="59"/>
      <c r="F900" s="59"/>
      <c r="H900" s="59"/>
      <c r="J900" s="59"/>
      <c r="L900" s="59"/>
      <c r="N900" s="59"/>
      <c r="Q900" s="59"/>
      <c r="R900" s="61"/>
    </row>
    <row r="901">
      <c r="B901" s="59"/>
      <c r="D901" s="59"/>
      <c r="F901" s="59"/>
      <c r="H901" s="59"/>
      <c r="J901" s="59"/>
      <c r="L901" s="59"/>
      <c r="N901" s="59"/>
      <c r="Q901" s="59"/>
      <c r="R901" s="61"/>
    </row>
    <row r="902">
      <c r="B902" s="59"/>
      <c r="D902" s="59"/>
      <c r="F902" s="59"/>
      <c r="H902" s="59"/>
      <c r="J902" s="59"/>
      <c r="L902" s="59"/>
      <c r="N902" s="59"/>
      <c r="Q902" s="59"/>
      <c r="R902" s="61"/>
    </row>
    <row r="903">
      <c r="B903" s="59"/>
      <c r="D903" s="59"/>
      <c r="F903" s="59"/>
      <c r="H903" s="59"/>
      <c r="J903" s="59"/>
      <c r="L903" s="59"/>
      <c r="N903" s="59"/>
      <c r="Q903" s="59"/>
      <c r="R903" s="61"/>
    </row>
    <row r="904">
      <c r="B904" s="59"/>
      <c r="D904" s="59"/>
      <c r="F904" s="59"/>
      <c r="H904" s="59"/>
      <c r="J904" s="59"/>
      <c r="L904" s="59"/>
      <c r="N904" s="59"/>
      <c r="Q904" s="59"/>
      <c r="R904" s="61"/>
    </row>
    <row r="905">
      <c r="B905" s="59"/>
      <c r="D905" s="59"/>
      <c r="F905" s="59"/>
      <c r="H905" s="59"/>
      <c r="J905" s="59"/>
      <c r="L905" s="59"/>
      <c r="N905" s="59"/>
      <c r="Q905" s="59"/>
      <c r="R905" s="61"/>
    </row>
    <row r="906">
      <c r="B906" s="59"/>
      <c r="D906" s="59"/>
      <c r="F906" s="59"/>
      <c r="H906" s="59"/>
      <c r="J906" s="59"/>
      <c r="L906" s="59"/>
      <c r="N906" s="59"/>
      <c r="Q906" s="59"/>
      <c r="R906" s="61"/>
    </row>
    <row r="907">
      <c r="B907" s="59"/>
      <c r="D907" s="59"/>
      <c r="F907" s="59"/>
      <c r="H907" s="59"/>
      <c r="J907" s="59"/>
      <c r="L907" s="59"/>
      <c r="N907" s="59"/>
      <c r="Q907" s="59"/>
      <c r="R907" s="61"/>
    </row>
    <row r="908">
      <c r="B908" s="59"/>
      <c r="D908" s="59"/>
      <c r="F908" s="59"/>
      <c r="H908" s="59"/>
      <c r="J908" s="59"/>
      <c r="L908" s="59"/>
      <c r="N908" s="59"/>
      <c r="Q908" s="59"/>
      <c r="R908" s="61"/>
    </row>
    <row r="909">
      <c r="B909" s="59"/>
      <c r="D909" s="59"/>
      <c r="F909" s="59"/>
      <c r="H909" s="59"/>
      <c r="J909" s="59"/>
      <c r="L909" s="59"/>
      <c r="N909" s="59"/>
      <c r="Q909" s="59"/>
      <c r="R909" s="61"/>
    </row>
    <row r="910">
      <c r="B910" s="59"/>
      <c r="D910" s="59"/>
      <c r="F910" s="59"/>
      <c r="H910" s="59"/>
      <c r="J910" s="59"/>
      <c r="L910" s="59"/>
      <c r="N910" s="59"/>
      <c r="Q910" s="59"/>
      <c r="R910" s="61"/>
    </row>
    <row r="911">
      <c r="B911" s="59"/>
      <c r="D911" s="59"/>
      <c r="F911" s="59"/>
      <c r="H911" s="59"/>
      <c r="J911" s="59"/>
      <c r="L911" s="59"/>
      <c r="N911" s="59"/>
      <c r="Q911" s="59"/>
      <c r="R911" s="61"/>
    </row>
    <row r="912">
      <c r="B912" s="59"/>
      <c r="D912" s="59"/>
      <c r="F912" s="59"/>
      <c r="H912" s="59"/>
      <c r="J912" s="59"/>
      <c r="L912" s="59"/>
      <c r="N912" s="59"/>
      <c r="Q912" s="59"/>
      <c r="R912" s="61"/>
    </row>
    <row r="913">
      <c r="B913" s="59"/>
      <c r="D913" s="59"/>
      <c r="F913" s="59"/>
      <c r="H913" s="59"/>
      <c r="J913" s="59"/>
      <c r="L913" s="59"/>
      <c r="N913" s="59"/>
      <c r="Q913" s="59"/>
      <c r="R913" s="61"/>
    </row>
    <row r="914">
      <c r="B914" s="59"/>
      <c r="D914" s="59"/>
      <c r="F914" s="59"/>
      <c r="H914" s="59"/>
      <c r="J914" s="59"/>
      <c r="L914" s="59"/>
      <c r="N914" s="59"/>
      <c r="Q914" s="59"/>
      <c r="R914" s="61"/>
    </row>
    <row r="915">
      <c r="B915" s="59"/>
      <c r="D915" s="59"/>
      <c r="F915" s="59"/>
      <c r="H915" s="59"/>
      <c r="J915" s="59"/>
      <c r="L915" s="59"/>
      <c r="N915" s="59"/>
      <c r="Q915" s="59"/>
      <c r="R915" s="61"/>
    </row>
    <row r="916">
      <c r="B916" s="59"/>
      <c r="D916" s="59"/>
      <c r="F916" s="59"/>
      <c r="H916" s="59"/>
      <c r="J916" s="59"/>
      <c r="L916" s="59"/>
      <c r="N916" s="59"/>
      <c r="Q916" s="59"/>
      <c r="R916" s="61"/>
    </row>
    <row r="917">
      <c r="B917" s="59"/>
      <c r="D917" s="59"/>
      <c r="F917" s="59"/>
      <c r="H917" s="59"/>
      <c r="J917" s="59"/>
      <c r="L917" s="59"/>
      <c r="N917" s="59"/>
      <c r="Q917" s="59"/>
      <c r="R917" s="61"/>
    </row>
    <row r="918">
      <c r="B918" s="59"/>
      <c r="D918" s="59"/>
      <c r="F918" s="59"/>
      <c r="H918" s="59"/>
      <c r="J918" s="59"/>
      <c r="L918" s="59"/>
      <c r="N918" s="59"/>
      <c r="Q918" s="59"/>
      <c r="R918" s="61"/>
    </row>
    <row r="919">
      <c r="B919" s="59"/>
      <c r="D919" s="59"/>
      <c r="F919" s="59"/>
      <c r="H919" s="59"/>
      <c r="J919" s="59"/>
      <c r="L919" s="59"/>
      <c r="N919" s="59"/>
      <c r="Q919" s="59"/>
      <c r="R919" s="61"/>
    </row>
    <row r="920">
      <c r="B920" s="59"/>
      <c r="D920" s="59"/>
      <c r="F920" s="59"/>
      <c r="H920" s="59"/>
      <c r="J920" s="59"/>
      <c r="L920" s="59"/>
      <c r="N920" s="59"/>
      <c r="Q920" s="59"/>
      <c r="R920" s="61"/>
    </row>
    <row r="921">
      <c r="B921" s="59"/>
      <c r="D921" s="59"/>
      <c r="F921" s="59"/>
      <c r="H921" s="59"/>
      <c r="J921" s="59"/>
      <c r="L921" s="59"/>
      <c r="N921" s="59"/>
      <c r="Q921" s="59"/>
      <c r="R921" s="61"/>
    </row>
    <row r="922">
      <c r="B922" s="59"/>
      <c r="D922" s="59"/>
      <c r="F922" s="59"/>
      <c r="H922" s="59"/>
      <c r="J922" s="59"/>
      <c r="L922" s="59"/>
      <c r="N922" s="59"/>
      <c r="Q922" s="59"/>
      <c r="R922" s="61"/>
    </row>
    <row r="923">
      <c r="B923" s="59"/>
      <c r="D923" s="59"/>
      <c r="F923" s="59"/>
      <c r="H923" s="59"/>
      <c r="J923" s="59"/>
      <c r="L923" s="59"/>
      <c r="N923" s="59"/>
      <c r="Q923" s="59"/>
      <c r="R923" s="61"/>
    </row>
    <row r="924">
      <c r="B924" s="59"/>
      <c r="D924" s="59"/>
      <c r="F924" s="59"/>
      <c r="H924" s="59"/>
      <c r="J924" s="59"/>
      <c r="L924" s="59"/>
      <c r="N924" s="59"/>
      <c r="Q924" s="59"/>
      <c r="R924" s="61"/>
    </row>
    <row r="925">
      <c r="B925" s="59"/>
      <c r="D925" s="59"/>
      <c r="F925" s="59"/>
      <c r="H925" s="59"/>
      <c r="J925" s="59"/>
      <c r="L925" s="59"/>
      <c r="N925" s="59"/>
      <c r="Q925" s="59"/>
      <c r="R925" s="61"/>
    </row>
    <row r="926">
      <c r="B926" s="59"/>
      <c r="D926" s="59"/>
      <c r="F926" s="59"/>
      <c r="H926" s="59"/>
      <c r="J926" s="59"/>
      <c r="L926" s="59"/>
      <c r="N926" s="59"/>
      <c r="Q926" s="59"/>
      <c r="R926" s="61"/>
    </row>
    <row r="927">
      <c r="B927" s="59"/>
      <c r="D927" s="59"/>
      <c r="F927" s="59"/>
      <c r="H927" s="59"/>
      <c r="J927" s="59"/>
      <c r="L927" s="59"/>
      <c r="N927" s="59"/>
      <c r="Q927" s="59"/>
      <c r="R927" s="61"/>
    </row>
    <row r="928">
      <c r="B928" s="59"/>
      <c r="D928" s="59"/>
      <c r="F928" s="59"/>
      <c r="H928" s="59"/>
      <c r="J928" s="59"/>
      <c r="L928" s="59"/>
      <c r="N928" s="59"/>
      <c r="Q928" s="59"/>
      <c r="R928" s="61"/>
    </row>
    <row r="929">
      <c r="B929" s="59"/>
      <c r="D929" s="59"/>
      <c r="F929" s="59"/>
      <c r="H929" s="59"/>
      <c r="J929" s="59"/>
      <c r="L929" s="59"/>
      <c r="N929" s="59"/>
      <c r="Q929" s="59"/>
      <c r="R929" s="61"/>
    </row>
    <row r="930">
      <c r="B930" s="59"/>
      <c r="D930" s="59"/>
      <c r="F930" s="59"/>
      <c r="H930" s="59"/>
      <c r="J930" s="59"/>
      <c r="L930" s="59"/>
      <c r="N930" s="59"/>
      <c r="Q930" s="59"/>
      <c r="R930" s="61"/>
    </row>
    <row r="931">
      <c r="B931" s="59"/>
      <c r="D931" s="59"/>
      <c r="F931" s="59"/>
      <c r="H931" s="59"/>
      <c r="J931" s="59"/>
      <c r="L931" s="59"/>
      <c r="N931" s="59"/>
      <c r="Q931" s="59"/>
      <c r="R931" s="61"/>
    </row>
    <row r="932">
      <c r="B932" s="59"/>
      <c r="D932" s="59"/>
      <c r="F932" s="59"/>
      <c r="H932" s="59"/>
      <c r="J932" s="59"/>
      <c r="L932" s="59"/>
      <c r="N932" s="59"/>
      <c r="Q932" s="59"/>
      <c r="R932" s="61"/>
    </row>
    <row r="933">
      <c r="B933" s="59"/>
      <c r="D933" s="59"/>
      <c r="F933" s="59"/>
      <c r="H933" s="59"/>
      <c r="J933" s="59"/>
      <c r="L933" s="59"/>
      <c r="N933" s="59"/>
      <c r="Q933" s="59"/>
      <c r="R933" s="61"/>
    </row>
    <row r="934">
      <c r="B934" s="59"/>
      <c r="D934" s="59"/>
      <c r="F934" s="59"/>
      <c r="H934" s="59"/>
      <c r="J934" s="59"/>
      <c r="L934" s="59"/>
      <c r="N934" s="59"/>
      <c r="Q934" s="59"/>
      <c r="R934" s="61"/>
    </row>
    <row r="935">
      <c r="B935" s="59"/>
      <c r="D935" s="59"/>
      <c r="F935" s="59"/>
      <c r="H935" s="59"/>
      <c r="J935" s="59"/>
      <c r="L935" s="59"/>
      <c r="N935" s="59"/>
      <c r="Q935" s="59"/>
      <c r="R935" s="61"/>
    </row>
    <row r="936">
      <c r="B936" s="59"/>
      <c r="D936" s="59"/>
      <c r="F936" s="59"/>
      <c r="H936" s="59"/>
      <c r="J936" s="59"/>
      <c r="L936" s="59"/>
      <c r="N936" s="59"/>
      <c r="Q936" s="59"/>
      <c r="R936" s="61"/>
    </row>
    <row r="937">
      <c r="B937" s="59"/>
      <c r="D937" s="59"/>
      <c r="F937" s="59"/>
      <c r="H937" s="59"/>
      <c r="J937" s="59"/>
      <c r="L937" s="59"/>
      <c r="N937" s="59"/>
      <c r="Q937" s="59"/>
      <c r="R937" s="61"/>
    </row>
    <row r="938">
      <c r="B938" s="59"/>
      <c r="D938" s="59"/>
      <c r="F938" s="59"/>
      <c r="H938" s="59"/>
      <c r="J938" s="59"/>
      <c r="L938" s="59"/>
      <c r="N938" s="59"/>
      <c r="Q938" s="59"/>
      <c r="R938" s="61"/>
    </row>
    <row r="939">
      <c r="B939" s="59"/>
      <c r="D939" s="59"/>
      <c r="F939" s="59"/>
      <c r="H939" s="59"/>
      <c r="J939" s="59"/>
      <c r="L939" s="59"/>
      <c r="N939" s="59"/>
      <c r="Q939" s="59"/>
      <c r="R939" s="61"/>
    </row>
    <row r="940">
      <c r="B940" s="59"/>
      <c r="D940" s="59"/>
      <c r="F940" s="59"/>
      <c r="H940" s="59"/>
      <c r="J940" s="59"/>
      <c r="L940" s="59"/>
      <c r="N940" s="59"/>
      <c r="Q940" s="59"/>
      <c r="R940" s="61"/>
    </row>
    <row r="941">
      <c r="B941" s="59"/>
      <c r="D941" s="59"/>
      <c r="F941" s="59"/>
      <c r="H941" s="59"/>
      <c r="J941" s="59"/>
      <c r="L941" s="59"/>
      <c r="N941" s="59"/>
      <c r="Q941" s="59"/>
      <c r="R941" s="61"/>
    </row>
    <row r="942">
      <c r="B942" s="59"/>
      <c r="D942" s="59"/>
      <c r="F942" s="59"/>
      <c r="H942" s="59"/>
      <c r="J942" s="59"/>
      <c r="L942" s="59"/>
      <c r="N942" s="59"/>
      <c r="Q942" s="59"/>
      <c r="R942" s="61"/>
    </row>
    <row r="943">
      <c r="B943" s="59"/>
      <c r="D943" s="59"/>
      <c r="F943" s="59"/>
      <c r="H943" s="59"/>
      <c r="J943" s="59"/>
      <c r="L943" s="59"/>
      <c r="N943" s="59"/>
      <c r="Q943" s="59"/>
      <c r="R943" s="61"/>
    </row>
    <row r="944">
      <c r="B944" s="59"/>
      <c r="D944" s="59"/>
      <c r="F944" s="59"/>
      <c r="H944" s="59"/>
      <c r="J944" s="59"/>
      <c r="L944" s="59"/>
      <c r="N944" s="59"/>
      <c r="Q944" s="59"/>
      <c r="R944" s="61"/>
    </row>
    <row r="945">
      <c r="B945" s="59"/>
      <c r="D945" s="59"/>
      <c r="F945" s="59"/>
      <c r="H945" s="59"/>
      <c r="J945" s="59"/>
      <c r="L945" s="59"/>
      <c r="N945" s="59"/>
      <c r="Q945" s="59"/>
      <c r="R945" s="61"/>
    </row>
    <row r="946">
      <c r="B946" s="59"/>
      <c r="D946" s="59"/>
      <c r="F946" s="59"/>
      <c r="H946" s="59"/>
      <c r="J946" s="59"/>
      <c r="L946" s="59"/>
      <c r="N946" s="59"/>
      <c r="Q946" s="59"/>
      <c r="R946" s="61"/>
    </row>
    <row r="947">
      <c r="B947" s="59"/>
      <c r="D947" s="59"/>
      <c r="F947" s="59"/>
      <c r="H947" s="59"/>
      <c r="J947" s="59"/>
      <c r="L947" s="59"/>
      <c r="N947" s="59"/>
      <c r="Q947" s="59"/>
      <c r="R947" s="61"/>
    </row>
    <row r="948">
      <c r="B948" s="59"/>
      <c r="D948" s="59"/>
      <c r="F948" s="59"/>
      <c r="H948" s="59"/>
      <c r="J948" s="59"/>
      <c r="L948" s="59"/>
      <c r="N948" s="59"/>
      <c r="Q948" s="59"/>
      <c r="R948" s="61"/>
    </row>
    <row r="949">
      <c r="B949" s="59"/>
      <c r="D949" s="59"/>
      <c r="F949" s="59"/>
      <c r="H949" s="59"/>
      <c r="J949" s="59"/>
      <c r="L949" s="59"/>
      <c r="N949" s="59"/>
      <c r="Q949" s="59"/>
      <c r="R949" s="61"/>
    </row>
    <row r="950">
      <c r="B950" s="59"/>
      <c r="D950" s="59"/>
      <c r="F950" s="59"/>
      <c r="H950" s="59"/>
      <c r="J950" s="59"/>
      <c r="L950" s="59"/>
      <c r="N950" s="59"/>
      <c r="Q950" s="59"/>
      <c r="R950" s="61"/>
    </row>
    <row r="951">
      <c r="B951" s="59"/>
      <c r="D951" s="59"/>
      <c r="F951" s="59"/>
      <c r="H951" s="59"/>
      <c r="J951" s="59"/>
      <c r="L951" s="59"/>
      <c r="N951" s="59"/>
      <c r="Q951" s="59"/>
      <c r="R951" s="61"/>
    </row>
    <row r="952">
      <c r="B952" s="59"/>
      <c r="D952" s="59"/>
      <c r="F952" s="59"/>
      <c r="H952" s="59"/>
      <c r="J952" s="59"/>
      <c r="L952" s="59"/>
      <c r="N952" s="59"/>
      <c r="Q952" s="59"/>
      <c r="R952" s="61"/>
    </row>
    <row r="953">
      <c r="B953" s="59"/>
      <c r="D953" s="59"/>
      <c r="F953" s="59"/>
      <c r="H953" s="59"/>
      <c r="J953" s="59"/>
      <c r="L953" s="59"/>
      <c r="N953" s="59"/>
      <c r="Q953" s="59"/>
      <c r="R953" s="61"/>
    </row>
    <row r="954">
      <c r="B954" s="59"/>
      <c r="D954" s="59"/>
      <c r="F954" s="59"/>
      <c r="H954" s="59"/>
      <c r="J954" s="59"/>
      <c r="L954" s="59"/>
      <c r="N954" s="59"/>
      <c r="Q954" s="59"/>
      <c r="R954" s="61"/>
    </row>
    <row r="955">
      <c r="B955" s="59"/>
      <c r="D955" s="59"/>
      <c r="F955" s="59"/>
      <c r="H955" s="59"/>
      <c r="J955" s="59"/>
      <c r="L955" s="59"/>
      <c r="N955" s="59"/>
      <c r="Q955" s="59"/>
      <c r="R955" s="61"/>
    </row>
    <row r="956">
      <c r="B956" s="59"/>
      <c r="D956" s="59"/>
      <c r="F956" s="59"/>
      <c r="H956" s="59"/>
      <c r="J956" s="59"/>
      <c r="L956" s="59"/>
      <c r="N956" s="59"/>
      <c r="Q956" s="59"/>
      <c r="R956" s="61"/>
    </row>
    <row r="957">
      <c r="B957" s="59"/>
      <c r="D957" s="59"/>
      <c r="F957" s="59"/>
      <c r="H957" s="59"/>
      <c r="J957" s="59"/>
      <c r="L957" s="59"/>
      <c r="N957" s="59"/>
      <c r="Q957" s="59"/>
      <c r="R957" s="61"/>
    </row>
    <row r="958">
      <c r="B958" s="59"/>
      <c r="D958" s="59"/>
      <c r="F958" s="59"/>
      <c r="H958" s="59"/>
      <c r="J958" s="59"/>
      <c r="L958" s="59"/>
      <c r="N958" s="59"/>
      <c r="Q958" s="59"/>
      <c r="R958" s="61"/>
    </row>
    <row r="959">
      <c r="B959" s="59"/>
      <c r="D959" s="59"/>
      <c r="F959" s="59"/>
      <c r="H959" s="59"/>
      <c r="J959" s="59"/>
      <c r="L959" s="59"/>
      <c r="N959" s="59"/>
      <c r="Q959" s="59"/>
      <c r="R959" s="61"/>
    </row>
    <row r="960">
      <c r="B960" s="59"/>
      <c r="D960" s="59"/>
      <c r="F960" s="59"/>
      <c r="H960" s="59"/>
      <c r="J960" s="59"/>
      <c r="L960" s="59"/>
      <c r="N960" s="59"/>
      <c r="Q960" s="59"/>
      <c r="R960" s="61"/>
    </row>
    <row r="961">
      <c r="B961" s="59"/>
      <c r="D961" s="59"/>
      <c r="F961" s="59"/>
      <c r="H961" s="59"/>
      <c r="J961" s="59"/>
      <c r="L961" s="59"/>
      <c r="N961" s="59"/>
      <c r="Q961" s="59"/>
      <c r="R961" s="61"/>
    </row>
    <row r="962">
      <c r="B962" s="59"/>
      <c r="D962" s="59"/>
      <c r="F962" s="59"/>
      <c r="H962" s="59"/>
      <c r="J962" s="59"/>
      <c r="L962" s="59"/>
      <c r="N962" s="59"/>
      <c r="Q962" s="59"/>
      <c r="R962" s="61"/>
    </row>
    <row r="963">
      <c r="B963" s="59"/>
      <c r="D963" s="59"/>
      <c r="F963" s="59"/>
      <c r="H963" s="59"/>
      <c r="J963" s="59"/>
      <c r="L963" s="59"/>
      <c r="N963" s="59"/>
      <c r="Q963" s="59"/>
      <c r="R963" s="61"/>
    </row>
    <row r="964">
      <c r="B964" s="59"/>
      <c r="D964" s="59"/>
      <c r="F964" s="59"/>
      <c r="H964" s="59"/>
      <c r="J964" s="59"/>
      <c r="L964" s="59"/>
      <c r="N964" s="59"/>
      <c r="Q964" s="59"/>
      <c r="R964" s="61"/>
    </row>
    <row r="965">
      <c r="B965" s="59"/>
      <c r="D965" s="59"/>
      <c r="F965" s="59"/>
      <c r="H965" s="59"/>
      <c r="J965" s="59"/>
      <c r="L965" s="59"/>
      <c r="N965" s="59"/>
      <c r="Q965" s="59"/>
      <c r="R965" s="61"/>
    </row>
    <row r="966">
      <c r="B966" s="59"/>
      <c r="D966" s="59"/>
      <c r="F966" s="59"/>
      <c r="H966" s="59"/>
      <c r="J966" s="59"/>
      <c r="L966" s="59"/>
      <c r="N966" s="59"/>
      <c r="Q966" s="59"/>
      <c r="R966" s="61"/>
    </row>
    <row r="967">
      <c r="B967" s="59"/>
      <c r="D967" s="59"/>
      <c r="F967" s="59"/>
      <c r="H967" s="59"/>
      <c r="J967" s="59"/>
      <c r="L967" s="59"/>
      <c r="N967" s="59"/>
      <c r="Q967" s="59"/>
      <c r="R967" s="61"/>
    </row>
    <row r="968">
      <c r="B968" s="59"/>
      <c r="D968" s="59"/>
      <c r="F968" s="59"/>
      <c r="H968" s="59"/>
      <c r="J968" s="59"/>
      <c r="L968" s="59"/>
      <c r="N968" s="59"/>
      <c r="Q968" s="59"/>
      <c r="R968" s="61"/>
    </row>
    <row r="969">
      <c r="B969" s="59"/>
      <c r="D969" s="59"/>
      <c r="F969" s="59"/>
      <c r="H969" s="59"/>
      <c r="J969" s="59"/>
      <c r="L969" s="59"/>
      <c r="N969" s="59"/>
      <c r="Q969" s="59"/>
      <c r="R969" s="61"/>
    </row>
    <row r="970">
      <c r="B970" s="59"/>
      <c r="D970" s="59"/>
      <c r="F970" s="59"/>
      <c r="H970" s="59"/>
      <c r="J970" s="59"/>
      <c r="L970" s="59"/>
      <c r="N970" s="59"/>
      <c r="Q970" s="59"/>
      <c r="R970" s="61"/>
    </row>
    <row r="971">
      <c r="B971" s="59"/>
      <c r="D971" s="59"/>
      <c r="F971" s="59"/>
      <c r="H971" s="59"/>
      <c r="J971" s="59"/>
      <c r="L971" s="59"/>
      <c r="N971" s="59"/>
      <c r="Q971" s="59"/>
      <c r="R971" s="61"/>
    </row>
    <row r="972">
      <c r="B972" s="59"/>
      <c r="D972" s="59"/>
      <c r="F972" s="59"/>
      <c r="H972" s="59"/>
      <c r="J972" s="59"/>
      <c r="L972" s="59"/>
      <c r="N972" s="59"/>
      <c r="Q972" s="59"/>
      <c r="R972" s="61"/>
    </row>
    <row r="973">
      <c r="B973" s="59"/>
      <c r="D973" s="59"/>
      <c r="F973" s="59"/>
      <c r="H973" s="59"/>
      <c r="J973" s="59"/>
      <c r="L973" s="59"/>
      <c r="N973" s="59"/>
      <c r="Q973" s="59"/>
      <c r="R973" s="61"/>
    </row>
    <row r="974">
      <c r="B974" s="59"/>
      <c r="D974" s="59"/>
      <c r="F974" s="59"/>
      <c r="H974" s="59"/>
      <c r="J974" s="59"/>
      <c r="L974" s="59"/>
      <c r="N974" s="59"/>
      <c r="Q974" s="59"/>
      <c r="R974" s="61"/>
    </row>
    <row r="975">
      <c r="B975" s="59"/>
      <c r="D975" s="59"/>
      <c r="F975" s="59"/>
      <c r="H975" s="59"/>
      <c r="J975" s="59"/>
      <c r="L975" s="59"/>
      <c r="N975" s="59"/>
      <c r="Q975" s="59"/>
      <c r="R975" s="61"/>
    </row>
    <row r="976">
      <c r="B976" s="59"/>
      <c r="D976" s="59"/>
      <c r="F976" s="59"/>
      <c r="H976" s="59"/>
      <c r="J976" s="59"/>
      <c r="L976" s="59"/>
      <c r="N976" s="59"/>
      <c r="Q976" s="59"/>
      <c r="R976" s="61"/>
    </row>
    <row r="977">
      <c r="B977" s="59"/>
      <c r="D977" s="59"/>
      <c r="F977" s="59"/>
      <c r="H977" s="59"/>
      <c r="J977" s="59"/>
      <c r="L977" s="59"/>
      <c r="N977" s="59"/>
      <c r="Q977" s="59"/>
      <c r="R977" s="61"/>
    </row>
    <row r="978">
      <c r="B978" s="59"/>
      <c r="D978" s="59"/>
      <c r="F978" s="59"/>
      <c r="H978" s="59"/>
      <c r="J978" s="59"/>
      <c r="L978" s="59"/>
      <c r="N978" s="59"/>
      <c r="Q978" s="59"/>
      <c r="R978" s="61"/>
    </row>
    <row r="979">
      <c r="B979" s="59"/>
      <c r="D979" s="59"/>
      <c r="F979" s="59"/>
      <c r="H979" s="59"/>
      <c r="J979" s="59"/>
      <c r="L979" s="59"/>
      <c r="N979" s="59"/>
      <c r="Q979" s="59"/>
      <c r="R979" s="61"/>
    </row>
    <row r="980">
      <c r="B980" s="59"/>
      <c r="D980" s="59"/>
      <c r="F980" s="59"/>
      <c r="H980" s="59"/>
      <c r="J980" s="59"/>
      <c r="L980" s="59"/>
      <c r="N980" s="59"/>
      <c r="Q980" s="59"/>
      <c r="R980" s="61"/>
    </row>
    <row r="981">
      <c r="B981" s="59"/>
      <c r="D981" s="59"/>
      <c r="F981" s="59"/>
      <c r="H981" s="59"/>
      <c r="J981" s="59"/>
      <c r="L981" s="59"/>
      <c r="N981" s="59"/>
      <c r="Q981" s="59"/>
      <c r="R981" s="61"/>
    </row>
    <row r="982">
      <c r="B982" s="59"/>
      <c r="D982" s="59"/>
      <c r="F982" s="59"/>
      <c r="H982" s="59"/>
      <c r="J982" s="59"/>
      <c r="L982" s="59"/>
      <c r="N982" s="59"/>
      <c r="Q982" s="59"/>
      <c r="R982" s="61"/>
    </row>
    <row r="983">
      <c r="B983" s="59"/>
      <c r="D983" s="59"/>
      <c r="F983" s="59"/>
      <c r="H983" s="59"/>
      <c r="J983" s="59"/>
      <c r="L983" s="59"/>
      <c r="N983" s="59"/>
      <c r="Q983" s="59"/>
      <c r="R983" s="61"/>
    </row>
    <row r="984">
      <c r="B984" s="59"/>
      <c r="D984" s="59"/>
      <c r="F984" s="59"/>
      <c r="H984" s="59"/>
      <c r="J984" s="59"/>
      <c r="L984" s="59"/>
      <c r="N984" s="59"/>
      <c r="Q984" s="59"/>
      <c r="R984" s="61"/>
    </row>
    <row r="985">
      <c r="B985" s="59"/>
      <c r="D985" s="59"/>
      <c r="F985" s="59"/>
      <c r="H985" s="59"/>
      <c r="J985" s="59"/>
      <c r="L985" s="59"/>
      <c r="N985" s="59"/>
      <c r="Q985" s="59"/>
      <c r="R985" s="61"/>
    </row>
    <row r="986">
      <c r="B986" s="59"/>
      <c r="D986" s="59"/>
      <c r="F986" s="59"/>
      <c r="H986" s="59"/>
      <c r="J986" s="59"/>
      <c r="L986" s="59"/>
      <c r="N986" s="59"/>
      <c r="Q986" s="59"/>
      <c r="R986" s="61"/>
    </row>
    <row r="987">
      <c r="B987" s="59"/>
      <c r="D987" s="59"/>
      <c r="F987" s="59"/>
      <c r="H987" s="59"/>
      <c r="J987" s="59"/>
      <c r="L987" s="59"/>
      <c r="N987" s="59"/>
      <c r="Q987" s="59"/>
      <c r="R987" s="61"/>
    </row>
    <row r="988">
      <c r="B988" s="59"/>
      <c r="D988" s="59"/>
      <c r="F988" s="59"/>
      <c r="H988" s="59"/>
      <c r="J988" s="59"/>
      <c r="L988" s="59"/>
      <c r="N988" s="59"/>
      <c r="Q988" s="59"/>
      <c r="R988" s="61"/>
    </row>
    <row r="989">
      <c r="B989" s="59"/>
      <c r="D989" s="59"/>
      <c r="F989" s="59"/>
      <c r="H989" s="59"/>
      <c r="J989" s="59"/>
      <c r="L989" s="59"/>
      <c r="N989" s="59"/>
      <c r="Q989" s="59"/>
      <c r="R989" s="61"/>
    </row>
    <row r="990">
      <c r="B990" s="59"/>
      <c r="D990" s="59"/>
      <c r="F990" s="59"/>
      <c r="H990" s="59"/>
      <c r="J990" s="59"/>
      <c r="L990" s="59"/>
      <c r="N990" s="59"/>
      <c r="Q990" s="59"/>
      <c r="R990" s="61"/>
    </row>
    <row r="991">
      <c r="B991" s="59"/>
      <c r="D991" s="59"/>
      <c r="F991" s="59"/>
      <c r="H991" s="59"/>
      <c r="J991" s="59"/>
      <c r="L991" s="59"/>
      <c r="N991" s="59"/>
      <c r="Q991" s="59"/>
      <c r="R991" s="61"/>
    </row>
    <row r="992">
      <c r="B992" s="59"/>
      <c r="D992" s="59"/>
      <c r="F992" s="59"/>
      <c r="H992" s="59"/>
      <c r="J992" s="59"/>
      <c r="L992" s="59"/>
      <c r="N992" s="59"/>
      <c r="Q992" s="59"/>
      <c r="R992" s="61"/>
    </row>
    <row r="993">
      <c r="B993" s="59"/>
      <c r="D993" s="59"/>
      <c r="F993" s="59"/>
      <c r="H993" s="59"/>
      <c r="J993" s="59"/>
      <c r="L993" s="59"/>
      <c r="N993" s="59"/>
      <c r="Q993" s="59"/>
      <c r="R993" s="61"/>
    </row>
    <row r="994">
      <c r="B994" s="59"/>
      <c r="D994" s="59"/>
      <c r="F994" s="59"/>
      <c r="H994" s="59"/>
      <c r="J994" s="59"/>
      <c r="L994" s="59"/>
      <c r="N994" s="59"/>
      <c r="Q994" s="59"/>
      <c r="R994" s="61"/>
    </row>
    <row r="995">
      <c r="B995" s="59"/>
      <c r="D995" s="59"/>
      <c r="F995" s="59"/>
      <c r="H995" s="59"/>
      <c r="J995" s="59"/>
      <c r="L995" s="59"/>
      <c r="N995" s="59"/>
      <c r="Q995" s="59"/>
      <c r="R995" s="61"/>
    </row>
    <row r="996">
      <c r="B996" s="59"/>
      <c r="D996" s="59"/>
      <c r="F996" s="59"/>
      <c r="H996" s="59"/>
      <c r="J996" s="59"/>
      <c r="L996" s="59"/>
      <c r="N996" s="59"/>
      <c r="Q996" s="59"/>
      <c r="R996" s="61"/>
    </row>
    <row r="997">
      <c r="B997" s="59"/>
      <c r="D997" s="59"/>
      <c r="F997" s="59"/>
      <c r="H997" s="59"/>
      <c r="J997" s="59"/>
      <c r="L997" s="59"/>
      <c r="N997" s="59"/>
      <c r="Q997" s="59"/>
      <c r="R997" s="61"/>
    </row>
    <row r="998">
      <c r="B998" s="59"/>
      <c r="D998" s="59"/>
      <c r="F998" s="59"/>
      <c r="H998" s="59"/>
      <c r="J998" s="59"/>
      <c r="L998" s="59"/>
      <c r="N998" s="59"/>
      <c r="Q998" s="59"/>
      <c r="R998" s="61"/>
    </row>
    <row r="999">
      <c r="B999" s="59"/>
      <c r="D999" s="59"/>
      <c r="F999" s="59"/>
      <c r="H999" s="59"/>
      <c r="J999" s="59"/>
      <c r="L999" s="59"/>
      <c r="N999" s="59"/>
      <c r="Q999" s="59"/>
      <c r="R999" s="61"/>
    </row>
  </sheetData>
  <hyperlinks>
    <hyperlink r:id="rId4" ref="P6"/>
    <hyperlink r:id="rId5" ref="P7"/>
    <hyperlink r:id="rId6" ref="P8"/>
    <hyperlink r:id="rId7" ref="P9"/>
    <hyperlink r:id="rId8" ref="P10"/>
    <hyperlink r:id="rId9" ref="P11"/>
    <hyperlink r:id="rId10" ref="P12"/>
    <hyperlink r:id="rId11" ref="P13"/>
    <hyperlink r:id="rId12" ref="P14"/>
    <hyperlink r:id="rId13" ref="P15"/>
    <hyperlink r:id="rId14" ref="P16"/>
    <hyperlink r:id="rId15" ref="P17"/>
    <hyperlink r:id="rId16" ref="P18"/>
    <hyperlink r:id="rId17" ref="P19"/>
    <hyperlink r:id="rId18" ref="P20"/>
    <hyperlink r:id="rId19" ref="P21"/>
    <hyperlink r:id="rId20" ref="P22"/>
    <hyperlink r:id="rId21" ref="P23"/>
    <hyperlink r:id="rId22" ref="P24"/>
    <hyperlink r:id="rId23" ref="P25"/>
    <hyperlink r:id="rId24" ref="P26"/>
    <hyperlink r:id="rId25" ref="P27"/>
    <hyperlink r:id="rId26" ref="P28"/>
    <hyperlink r:id="rId27" ref="P29"/>
    <hyperlink r:id="rId28" ref="P30"/>
    <hyperlink r:id="rId29" ref="P31"/>
    <hyperlink r:id="rId30" ref="P32"/>
    <hyperlink r:id="rId31" ref="P33"/>
    <hyperlink r:id="rId32" ref="P34"/>
    <hyperlink r:id="rId33" ref="P35"/>
    <hyperlink r:id="rId34" ref="P36"/>
    <hyperlink r:id="rId35" ref="P37"/>
    <hyperlink r:id="rId36" ref="P38"/>
  </hyperlinks>
  <drawing r:id="rId37"/>
  <legacyDrawing r:id="rId3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38"/>
    <col customWidth="1" min="2" max="2" width="15.38"/>
    <col customWidth="1" min="5" max="5" width="20.75"/>
    <col customWidth="1" min="8" max="8" width="15.63"/>
    <col customWidth="1" min="13" max="13" width="17.25"/>
    <col customWidth="1" min="15" max="15" width="19.0"/>
    <col customWidth="1" min="16" max="16" width="93.63"/>
  </cols>
  <sheetData>
    <row r="1">
      <c r="A1" s="29" t="s">
        <v>29</v>
      </c>
      <c r="B1" s="30" t="s">
        <v>30</v>
      </c>
      <c r="C1" s="31" t="s">
        <v>31</v>
      </c>
      <c r="D1" s="30" t="s">
        <v>32</v>
      </c>
      <c r="E1" s="31" t="s">
        <v>33</v>
      </c>
      <c r="F1" s="30" t="s">
        <v>34</v>
      </c>
      <c r="G1" s="31" t="s">
        <v>35</v>
      </c>
      <c r="H1" s="32" t="s">
        <v>36</v>
      </c>
      <c r="I1" s="33" t="s">
        <v>37</v>
      </c>
      <c r="J1" s="30" t="s">
        <v>38</v>
      </c>
      <c r="K1" s="33" t="s">
        <v>39</v>
      </c>
      <c r="L1" s="30" t="s">
        <v>38</v>
      </c>
      <c r="M1" s="31" t="s">
        <v>40</v>
      </c>
      <c r="N1" s="30" t="s">
        <v>41</v>
      </c>
      <c r="O1" s="176" t="s">
        <v>460</v>
      </c>
      <c r="P1" s="31" t="s">
        <v>42</v>
      </c>
      <c r="Q1" s="34" t="s">
        <v>43</v>
      </c>
      <c r="R1" s="35">
        <f>SUM(H2:H27)</f>
        <v>6777.74</v>
      </c>
    </row>
    <row r="2">
      <c r="A2" s="194" t="s">
        <v>616</v>
      </c>
      <c r="B2" s="195" t="s">
        <v>617</v>
      </c>
      <c r="C2" s="194" t="s">
        <v>618</v>
      </c>
      <c r="D2" s="194">
        <v>1.0</v>
      </c>
      <c r="E2" s="194" t="s">
        <v>176</v>
      </c>
      <c r="F2" s="196" t="s">
        <v>619</v>
      </c>
      <c r="G2" s="197">
        <v>577.0</v>
      </c>
      <c r="H2" s="197">
        <v>577.0</v>
      </c>
      <c r="I2" s="194" t="s">
        <v>620</v>
      </c>
      <c r="J2" s="196" t="s">
        <v>548</v>
      </c>
      <c r="K2" s="194" t="s">
        <v>535</v>
      </c>
      <c r="L2" s="196" t="s">
        <v>241</v>
      </c>
      <c r="M2" s="194">
        <v>1339805.0</v>
      </c>
      <c r="N2" s="196" t="s">
        <v>621</v>
      </c>
      <c r="O2" s="198">
        <v>2174634.0</v>
      </c>
      <c r="P2" s="199" t="s">
        <v>622</v>
      </c>
      <c r="Q2" s="200"/>
      <c r="R2" s="201"/>
    </row>
    <row r="3">
      <c r="A3" s="194" t="s">
        <v>623</v>
      </c>
      <c r="B3" s="195">
        <v>61005.0</v>
      </c>
      <c r="C3" s="194" t="s">
        <v>624</v>
      </c>
      <c r="D3" s="196">
        <v>1.0</v>
      </c>
      <c r="E3" s="194" t="s">
        <v>625</v>
      </c>
      <c r="F3" s="196" t="s">
        <v>410</v>
      </c>
      <c r="G3" s="25">
        <v>944.3</v>
      </c>
      <c r="H3" s="202">
        <v>944.3</v>
      </c>
      <c r="I3" s="194" t="s">
        <v>620</v>
      </c>
      <c r="J3" s="196" t="s">
        <v>548</v>
      </c>
      <c r="K3" s="194" t="s">
        <v>626</v>
      </c>
      <c r="L3" s="196" t="s">
        <v>241</v>
      </c>
      <c r="M3" s="194">
        <v>1339805.0</v>
      </c>
      <c r="N3" s="196" t="s">
        <v>627</v>
      </c>
      <c r="O3" s="198">
        <v>2171916.0</v>
      </c>
      <c r="P3" s="199" t="s">
        <v>628</v>
      </c>
      <c r="Q3" s="200"/>
      <c r="R3" s="201"/>
    </row>
    <row r="4">
      <c r="A4" s="194" t="s">
        <v>629</v>
      </c>
      <c r="B4" s="195" t="s">
        <v>630</v>
      </c>
      <c r="C4" s="194" t="s">
        <v>435</v>
      </c>
      <c r="D4" s="196">
        <v>1.0</v>
      </c>
      <c r="E4" s="194" t="s">
        <v>625</v>
      </c>
      <c r="F4" s="196" t="s">
        <v>410</v>
      </c>
      <c r="G4" s="25">
        <v>388.0</v>
      </c>
      <c r="H4" s="203">
        <v>388.0</v>
      </c>
      <c r="I4" s="194" t="s">
        <v>620</v>
      </c>
      <c r="J4" s="196" t="s">
        <v>548</v>
      </c>
      <c r="K4" s="194" t="s">
        <v>631</v>
      </c>
      <c r="L4" s="196" t="s">
        <v>241</v>
      </c>
      <c r="M4" s="194">
        <v>1339805.0</v>
      </c>
      <c r="N4" s="196" t="s">
        <v>627</v>
      </c>
      <c r="O4" s="198">
        <v>2183100.0</v>
      </c>
      <c r="P4" s="199" t="s">
        <v>632</v>
      </c>
      <c r="Q4" s="200"/>
      <c r="R4" s="201"/>
    </row>
    <row r="5">
      <c r="A5" s="204" t="s">
        <v>633</v>
      </c>
      <c r="B5" s="205" t="s">
        <v>634</v>
      </c>
      <c r="C5" s="194" t="s">
        <v>435</v>
      </c>
      <c r="D5" s="196">
        <v>1.0</v>
      </c>
      <c r="E5" s="194" t="s">
        <v>625</v>
      </c>
      <c r="F5" s="196" t="s">
        <v>410</v>
      </c>
      <c r="G5" s="25">
        <v>83.75</v>
      </c>
      <c r="H5" s="206">
        <v>83.75</v>
      </c>
      <c r="I5" s="194" t="s">
        <v>620</v>
      </c>
      <c r="J5" s="196" t="s">
        <v>548</v>
      </c>
      <c r="K5" s="194" t="s">
        <v>626</v>
      </c>
      <c r="L5" s="196" t="s">
        <v>241</v>
      </c>
      <c r="M5" s="194">
        <v>1339805.0</v>
      </c>
      <c r="N5" s="196" t="s">
        <v>635</v>
      </c>
      <c r="O5" s="198">
        <v>2174880.0</v>
      </c>
      <c r="P5" s="199" t="s">
        <v>636</v>
      </c>
      <c r="Q5" s="200"/>
      <c r="R5" s="201"/>
    </row>
    <row r="6">
      <c r="A6" s="194" t="s">
        <v>637</v>
      </c>
      <c r="B6" s="195" t="s">
        <v>638</v>
      </c>
      <c r="C6" s="194" t="s">
        <v>639</v>
      </c>
      <c r="D6" s="196">
        <v>1.0</v>
      </c>
      <c r="E6" s="194" t="s">
        <v>625</v>
      </c>
      <c r="F6" s="196" t="s">
        <v>410</v>
      </c>
      <c r="G6" s="25">
        <v>128.3</v>
      </c>
      <c r="H6" s="202">
        <v>128.3</v>
      </c>
      <c r="I6" s="194" t="s">
        <v>620</v>
      </c>
      <c r="J6" s="196" t="s">
        <v>548</v>
      </c>
      <c r="K6" s="194" t="s">
        <v>626</v>
      </c>
      <c r="L6" s="200"/>
      <c r="M6" s="194">
        <v>1339805.0</v>
      </c>
      <c r="N6" s="196" t="s">
        <v>635</v>
      </c>
      <c r="O6" s="198">
        <v>2173722.0</v>
      </c>
      <c r="P6" s="199" t="s">
        <v>640</v>
      </c>
      <c r="Q6" s="200"/>
      <c r="R6" s="201"/>
    </row>
    <row r="7">
      <c r="A7" s="207" t="s">
        <v>641</v>
      </c>
      <c r="B7" s="195">
        <v>19133.0</v>
      </c>
      <c r="C7" s="194" t="s">
        <v>642</v>
      </c>
      <c r="D7" s="196">
        <v>1.0</v>
      </c>
      <c r="E7" s="194" t="s">
        <v>643</v>
      </c>
      <c r="F7" s="196" t="s">
        <v>410</v>
      </c>
      <c r="G7" s="25">
        <v>323.0</v>
      </c>
      <c r="H7" s="202">
        <v>323.0</v>
      </c>
      <c r="I7" s="194" t="s">
        <v>620</v>
      </c>
      <c r="J7" s="196" t="s">
        <v>548</v>
      </c>
      <c r="K7" s="194" t="s">
        <v>620</v>
      </c>
      <c r="L7" s="196" t="s">
        <v>241</v>
      </c>
      <c r="M7" s="194">
        <v>1339805.0</v>
      </c>
      <c r="N7" s="196" t="s">
        <v>644</v>
      </c>
      <c r="O7" s="198">
        <v>2171414.0</v>
      </c>
      <c r="P7" s="199" t="s">
        <v>645</v>
      </c>
      <c r="Q7" s="200"/>
      <c r="R7" s="201"/>
    </row>
    <row r="8">
      <c r="A8" s="207" t="s">
        <v>646</v>
      </c>
      <c r="B8" s="195">
        <v>1034963.0</v>
      </c>
      <c r="C8" s="194" t="s">
        <v>647</v>
      </c>
      <c r="D8" s="196">
        <v>1.0</v>
      </c>
      <c r="E8" s="194" t="s">
        <v>643</v>
      </c>
      <c r="F8" s="196" t="s">
        <v>410</v>
      </c>
      <c r="G8" s="25">
        <v>58.31</v>
      </c>
      <c r="H8" s="202">
        <v>58.3</v>
      </c>
      <c r="I8" s="194" t="s">
        <v>620</v>
      </c>
      <c r="J8" s="196" t="s">
        <v>548</v>
      </c>
      <c r="K8" s="194" t="s">
        <v>535</v>
      </c>
      <c r="L8" s="196" t="s">
        <v>241</v>
      </c>
      <c r="M8" s="194">
        <v>1339805.0</v>
      </c>
      <c r="N8" s="196" t="s">
        <v>644</v>
      </c>
      <c r="O8" s="198">
        <v>2171561.0</v>
      </c>
      <c r="P8" s="199" t="s">
        <v>648</v>
      </c>
      <c r="Q8" s="200"/>
      <c r="R8" s="201"/>
    </row>
    <row r="9">
      <c r="A9" s="207" t="s">
        <v>649</v>
      </c>
      <c r="B9" s="195" t="s">
        <v>650</v>
      </c>
      <c r="C9" s="194" t="s">
        <v>222</v>
      </c>
      <c r="D9" s="196">
        <v>1.0</v>
      </c>
      <c r="E9" s="194" t="s">
        <v>651</v>
      </c>
      <c r="F9" s="196" t="s">
        <v>410</v>
      </c>
      <c r="G9" s="208">
        <v>13.9</v>
      </c>
      <c r="H9" s="209">
        <v>13.9</v>
      </c>
      <c r="I9" s="194" t="s">
        <v>620</v>
      </c>
      <c r="J9" s="196" t="s">
        <v>548</v>
      </c>
      <c r="K9" s="194" t="s">
        <v>652</v>
      </c>
      <c r="L9" s="196" t="s">
        <v>241</v>
      </c>
      <c r="M9" s="194">
        <v>1339805.0</v>
      </c>
      <c r="N9" s="196" t="s">
        <v>635</v>
      </c>
      <c r="O9" s="198">
        <v>2171916.0</v>
      </c>
      <c r="P9" s="199" t="s">
        <v>653</v>
      </c>
      <c r="Q9" s="200"/>
      <c r="R9" s="201"/>
    </row>
    <row r="10">
      <c r="A10" s="207" t="s">
        <v>654</v>
      </c>
      <c r="B10" s="195" t="s">
        <v>655</v>
      </c>
      <c r="C10" s="210" t="s">
        <v>656</v>
      </c>
      <c r="D10" s="196">
        <v>1.0</v>
      </c>
      <c r="E10" s="194" t="s">
        <v>114</v>
      </c>
      <c r="F10" s="196" t="s">
        <v>410</v>
      </c>
      <c r="G10" s="211">
        <v>245.7</v>
      </c>
      <c r="H10" s="212">
        <v>245.7</v>
      </c>
      <c r="I10" s="194" t="s">
        <v>626</v>
      </c>
      <c r="J10" s="196" t="s">
        <v>548</v>
      </c>
      <c r="K10" s="194" t="s">
        <v>657</v>
      </c>
      <c r="L10" s="200"/>
      <c r="M10" s="194">
        <v>1339805.0</v>
      </c>
      <c r="O10" s="158">
        <v>2175396.0</v>
      </c>
      <c r="P10" s="199" t="s">
        <v>658</v>
      </c>
      <c r="Q10" s="200"/>
      <c r="R10" s="201"/>
    </row>
    <row r="11">
      <c r="A11" s="207" t="s">
        <v>659</v>
      </c>
      <c r="B11" s="195" t="s">
        <v>660</v>
      </c>
      <c r="C11" s="210" t="s">
        <v>661</v>
      </c>
      <c r="D11" s="196">
        <v>1.0</v>
      </c>
      <c r="E11" s="194" t="s">
        <v>114</v>
      </c>
      <c r="F11" s="196" t="s">
        <v>410</v>
      </c>
      <c r="G11" s="211">
        <v>245.7</v>
      </c>
      <c r="H11" s="212">
        <v>245.7</v>
      </c>
      <c r="I11" s="194" t="s">
        <v>626</v>
      </c>
      <c r="J11" s="196" t="s">
        <v>548</v>
      </c>
      <c r="K11" s="194" t="s">
        <v>657</v>
      </c>
      <c r="L11" s="200"/>
      <c r="M11" s="194">
        <v>1339805.0</v>
      </c>
      <c r="O11" s="158">
        <v>2175396.0</v>
      </c>
      <c r="P11" s="199" t="s">
        <v>658</v>
      </c>
      <c r="Q11" s="200"/>
      <c r="R11" s="201"/>
    </row>
    <row r="12">
      <c r="A12" s="207" t="s">
        <v>662</v>
      </c>
      <c r="B12" s="195" t="s">
        <v>663</v>
      </c>
      <c r="C12" s="210" t="s">
        <v>664</v>
      </c>
      <c r="D12" s="196">
        <v>1.0</v>
      </c>
      <c r="E12" s="194" t="s">
        <v>114</v>
      </c>
      <c r="F12" s="196" t="s">
        <v>410</v>
      </c>
      <c r="G12" s="211">
        <v>245.7</v>
      </c>
      <c r="H12" s="212">
        <v>245.7</v>
      </c>
      <c r="I12" s="194" t="s">
        <v>626</v>
      </c>
      <c r="J12" s="196" t="s">
        <v>548</v>
      </c>
      <c r="K12" s="194" t="s">
        <v>657</v>
      </c>
      <c r="L12" s="200"/>
      <c r="M12" s="194">
        <v>1339805.0</v>
      </c>
      <c r="O12" s="158">
        <v>2175396.0</v>
      </c>
      <c r="P12" s="199" t="s">
        <v>658</v>
      </c>
      <c r="Q12" s="200"/>
      <c r="R12" s="201"/>
    </row>
    <row r="13">
      <c r="A13" s="207" t="s">
        <v>665</v>
      </c>
      <c r="B13" s="195" t="s">
        <v>666</v>
      </c>
      <c r="C13" s="210" t="s">
        <v>667</v>
      </c>
      <c r="D13" s="196">
        <v>1.0</v>
      </c>
      <c r="E13" s="194" t="s">
        <v>114</v>
      </c>
      <c r="F13" s="196" t="s">
        <v>410</v>
      </c>
      <c r="G13" s="211">
        <v>245.7</v>
      </c>
      <c r="H13" s="212">
        <v>245.7</v>
      </c>
      <c r="I13" s="194" t="s">
        <v>626</v>
      </c>
      <c r="J13" s="196" t="s">
        <v>548</v>
      </c>
      <c r="K13" s="194" t="s">
        <v>668</v>
      </c>
      <c r="L13" s="196" t="s">
        <v>669</v>
      </c>
      <c r="M13" s="194">
        <v>1339805.0</v>
      </c>
      <c r="N13" s="158"/>
      <c r="O13" s="158">
        <v>2185724.0</v>
      </c>
      <c r="P13" s="199" t="s">
        <v>658</v>
      </c>
      <c r="Q13" s="200"/>
      <c r="R13" s="201"/>
    </row>
    <row r="14">
      <c r="A14" s="207" t="s">
        <v>670</v>
      </c>
      <c r="B14" s="213">
        <v>564116.0</v>
      </c>
      <c r="C14" s="194" t="s">
        <v>671</v>
      </c>
      <c r="D14" s="196">
        <v>1.0</v>
      </c>
      <c r="E14" s="194" t="s">
        <v>367</v>
      </c>
      <c r="F14" s="196" t="s">
        <v>410</v>
      </c>
      <c r="G14" s="211">
        <v>332.73</v>
      </c>
      <c r="H14" s="212">
        <v>332.73</v>
      </c>
      <c r="I14" s="194" t="s">
        <v>626</v>
      </c>
      <c r="J14" s="196" t="s">
        <v>672</v>
      </c>
      <c r="K14" s="194" t="s">
        <v>673</v>
      </c>
      <c r="L14" s="196" t="s">
        <v>241</v>
      </c>
      <c r="M14" s="194">
        <v>4709138.0</v>
      </c>
      <c r="N14" s="200"/>
      <c r="O14" s="198">
        <v>2176433.0</v>
      </c>
      <c r="P14" s="86" t="s">
        <v>674</v>
      </c>
      <c r="Q14" s="200"/>
      <c r="R14" s="201"/>
    </row>
    <row r="15">
      <c r="A15" s="207" t="s">
        <v>675</v>
      </c>
      <c r="B15" s="213">
        <v>563130.0</v>
      </c>
      <c r="C15" s="194" t="s">
        <v>676</v>
      </c>
      <c r="D15" s="196">
        <v>1.0</v>
      </c>
      <c r="E15" s="194" t="s">
        <v>367</v>
      </c>
      <c r="F15" s="196" t="s">
        <v>410</v>
      </c>
      <c r="G15" s="211">
        <v>264.69</v>
      </c>
      <c r="H15" s="212">
        <v>264.69</v>
      </c>
      <c r="I15" s="194" t="s">
        <v>626</v>
      </c>
      <c r="J15" s="196" t="s">
        <v>672</v>
      </c>
      <c r="K15" s="194" t="s">
        <v>673</v>
      </c>
      <c r="L15" s="196" t="s">
        <v>241</v>
      </c>
      <c r="M15" s="194">
        <v>4709138.0</v>
      </c>
      <c r="N15" s="200"/>
      <c r="O15" s="198">
        <v>2176433.0</v>
      </c>
      <c r="P15" s="86" t="s">
        <v>677</v>
      </c>
      <c r="Q15" s="200"/>
      <c r="R15" s="201"/>
    </row>
    <row r="16">
      <c r="A16" s="207" t="s">
        <v>678</v>
      </c>
      <c r="B16" s="213">
        <v>552764.0</v>
      </c>
      <c r="C16" s="194" t="s">
        <v>676</v>
      </c>
      <c r="D16" s="196">
        <v>1.0</v>
      </c>
      <c r="E16" s="194" t="s">
        <v>367</v>
      </c>
      <c r="F16" s="196" t="s">
        <v>410</v>
      </c>
      <c r="G16" s="211">
        <v>401.76</v>
      </c>
      <c r="H16" s="212">
        <v>401.76</v>
      </c>
      <c r="I16" s="194" t="s">
        <v>626</v>
      </c>
      <c r="J16" s="196" t="s">
        <v>672</v>
      </c>
      <c r="K16" s="194" t="s">
        <v>673</v>
      </c>
      <c r="L16" s="200"/>
      <c r="M16" s="194">
        <v>4709138.0</v>
      </c>
      <c r="N16" s="200"/>
      <c r="O16" s="198">
        <v>2176433.0</v>
      </c>
      <c r="P16" s="86" t="s">
        <v>679</v>
      </c>
      <c r="Q16" s="200"/>
      <c r="R16" s="201"/>
    </row>
    <row r="17">
      <c r="A17" s="214" t="s">
        <v>680</v>
      </c>
      <c r="B17" s="195">
        <v>324233.0</v>
      </c>
      <c r="C17" s="194" t="s">
        <v>681</v>
      </c>
      <c r="D17" s="196">
        <v>1.0</v>
      </c>
      <c r="E17" s="194" t="s">
        <v>578</v>
      </c>
      <c r="F17" s="196" t="s">
        <v>682</v>
      </c>
      <c r="G17" s="25">
        <v>162.0</v>
      </c>
      <c r="H17" s="212">
        <v>162.0</v>
      </c>
      <c r="I17" s="194" t="s">
        <v>626</v>
      </c>
      <c r="J17" s="196" t="s">
        <v>672</v>
      </c>
      <c r="K17" s="194" t="s">
        <v>683</v>
      </c>
      <c r="L17" s="196" t="s">
        <v>241</v>
      </c>
      <c r="M17" s="194">
        <v>4709138.0</v>
      </c>
      <c r="O17" s="215">
        <v>2177451.0</v>
      </c>
      <c r="P17" s="86" t="s">
        <v>684</v>
      </c>
      <c r="Q17" s="200"/>
      <c r="R17" s="201"/>
    </row>
    <row r="18">
      <c r="A18" s="214" t="s">
        <v>685</v>
      </c>
      <c r="B18" s="216">
        <v>2.1270563E7</v>
      </c>
      <c r="C18" s="194" t="s">
        <v>577</v>
      </c>
      <c r="D18" s="196">
        <v>1.0</v>
      </c>
      <c r="E18" s="194" t="s">
        <v>380</v>
      </c>
      <c r="F18" s="196" t="s">
        <v>686</v>
      </c>
      <c r="G18" s="25">
        <v>120.5</v>
      </c>
      <c r="H18" s="202">
        <v>120.5</v>
      </c>
      <c r="I18" s="194" t="s">
        <v>626</v>
      </c>
      <c r="J18" s="196" t="s">
        <v>672</v>
      </c>
      <c r="K18" s="194" t="s">
        <v>565</v>
      </c>
      <c r="L18" s="196" t="s">
        <v>241</v>
      </c>
      <c r="M18" s="194">
        <v>4709138.0</v>
      </c>
      <c r="N18" s="200"/>
      <c r="O18" s="158">
        <v>2175349.0</v>
      </c>
      <c r="P18" s="199" t="s">
        <v>687</v>
      </c>
      <c r="Q18" s="200"/>
      <c r="R18" s="201"/>
    </row>
    <row r="19">
      <c r="A19" s="207" t="s">
        <v>688</v>
      </c>
      <c r="B19" s="195" t="s">
        <v>689</v>
      </c>
      <c r="C19" s="194" t="s">
        <v>690</v>
      </c>
      <c r="D19" s="196">
        <v>1.0</v>
      </c>
      <c r="E19" s="194" t="s">
        <v>691</v>
      </c>
      <c r="F19" s="196" t="s">
        <v>410</v>
      </c>
      <c r="G19" s="25">
        <v>93.6</v>
      </c>
      <c r="H19" s="202">
        <v>93.6</v>
      </c>
      <c r="I19" s="194" t="s">
        <v>535</v>
      </c>
      <c r="J19" s="196" t="s">
        <v>83</v>
      </c>
      <c r="K19" s="194" t="s">
        <v>657</v>
      </c>
      <c r="L19" s="196" t="s">
        <v>241</v>
      </c>
      <c r="M19" s="194">
        <v>1339805.0</v>
      </c>
      <c r="N19" s="200"/>
      <c r="O19" s="158">
        <v>2175881.0</v>
      </c>
      <c r="P19" s="199" t="s">
        <v>692</v>
      </c>
      <c r="Q19" s="200"/>
      <c r="R19" s="201"/>
    </row>
    <row r="20">
      <c r="A20" s="17" t="s">
        <v>693</v>
      </c>
      <c r="B20" s="195">
        <v>474300.0</v>
      </c>
      <c r="C20" s="194" t="s">
        <v>694</v>
      </c>
      <c r="D20" s="196">
        <v>1.0</v>
      </c>
      <c r="E20" s="194" t="s">
        <v>651</v>
      </c>
      <c r="F20" s="196" t="s">
        <v>410</v>
      </c>
      <c r="G20" s="25">
        <v>126.65</v>
      </c>
      <c r="H20" s="25">
        <v>126.65</v>
      </c>
      <c r="I20" s="194" t="s">
        <v>673</v>
      </c>
      <c r="J20" s="196" t="s">
        <v>83</v>
      </c>
      <c r="K20" s="194" t="s">
        <v>695</v>
      </c>
      <c r="L20" s="196" t="s">
        <v>241</v>
      </c>
      <c r="M20" s="194">
        <v>1339805.0</v>
      </c>
      <c r="N20" s="200"/>
      <c r="O20" s="158">
        <v>2184031.0</v>
      </c>
      <c r="P20" s="86" t="s">
        <v>696</v>
      </c>
      <c r="Q20" s="200"/>
      <c r="R20" s="201"/>
    </row>
    <row r="21">
      <c r="A21" s="17" t="s">
        <v>697</v>
      </c>
      <c r="B21" s="195">
        <v>474305.0</v>
      </c>
      <c r="C21" s="194" t="s">
        <v>698</v>
      </c>
      <c r="D21" s="196">
        <v>2.0</v>
      </c>
      <c r="E21" s="194" t="s">
        <v>651</v>
      </c>
      <c r="F21" s="196" t="s">
        <v>410</v>
      </c>
      <c r="G21" s="22">
        <v>33.15</v>
      </c>
      <c r="H21" s="212">
        <f>G21*2</f>
        <v>66.3</v>
      </c>
      <c r="I21" s="194" t="s">
        <v>673</v>
      </c>
      <c r="J21" s="196" t="s">
        <v>83</v>
      </c>
      <c r="K21" s="194" t="s">
        <v>695</v>
      </c>
      <c r="L21" s="196" t="s">
        <v>241</v>
      </c>
      <c r="M21" s="17">
        <v>1339805.0</v>
      </c>
      <c r="N21" s="200"/>
      <c r="O21" s="158">
        <v>2184031.0</v>
      </c>
      <c r="P21" s="86" t="s">
        <v>699</v>
      </c>
      <c r="Q21" s="200"/>
      <c r="R21" s="201"/>
    </row>
    <row r="22">
      <c r="A22" s="207" t="s">
        <v>700</v>
      </c>
      <c r="B22" s="217"/>
      <c r="C22" s="218"/>
      <c r="D22" s="200"/>
      <c r="E22" s="218"/>
      <c r="F22" s="196" t="s">
        <v>701</v>
      </c>
      <c r="G22" s="25">
        <v>28.02</v>
      </c>
      <c r="H22" s="25">
        <v>28.02</v>
      </c>
      <c r="I22" s="194" t="s">
        <v>702</v>
      </c>
      <c r="J22" s="196" t="s">
        <v>83</v>
      </c>
      <c r="K22" s="194" t="s">
        <v>565</v>
      </c>
      <c r="L22" s="196" t="s">
        <v>241</v>
      </c>
      <c r="M22" s="132">
        <v>7.3049232E8</v>
      </c>
      <c r="N22" s="200"/>
      <c r="O22" s="219">
        <v>2172498.0</v>
      </c>
      <c r="P22" s="194" t="s">
        <v>703</v>
      </c>
      <c r="Q22" s="200"/>
      <c r="R22" s="201"/>
    </row>
    <row r="23">
      <c r="A23" s="207" t="s">
        <v>704</v>
      </c>
      <c r="B23" s="217"/>
      <c r="C23" s="218"/>
      <c r="D23" s="200"/>
      <c r="E23" s="218"/>
      <c r="F23" s="196" t="s">
        <v>701</v>
      </c>
      <c r="G23" s="25">
        <v>51.39</v>
      </c>
      <c r="H23" s="25">
        <v>51.39</v>
      </c>
      <c r="I23" s="194" t="s">
        <v>702</v>
      </c>
      <c r="J23" s="196" t="s">
        <v>83</v>
      </c>
      <c r="K23" s="194" t="s">
        <v>565</v>
      </c>
      <c r="L23" s="196" t="s">
        <v>241</v>
      </c>
      <c r="M23" s="132">
        <v>7.3049232E8</v>
      </c>
      <c r="N23" s="200"/>
      <c r="O23" s="198">
        <v>2172498.0</v>
      </c>
      <c r="P23" s="194" t="s">
        <v>703</v>
      </c>
      <c r="Q23" s="200"/>
      <c r="R23" s="201"/>
    </row>
    <row r="24">
      <c r="A24" s="194" t="s">
        <v>705</v>
      </c>
      <c r="B24" s="217"/>
      <c r="C24" s="218"/>
      <c r="D24" s="200"/>
      <c r="E24" s="218"/>
      <c r="F24" s="196" t="s">
        <v>152</v>
      </c>
      <c r="G24" s="25">
        <v>542.69</v>
      </c>
      <c r="H24" s="25">
        <v>542.69</v>
      </c>
      <c r="I24" s="194" t="s">
        <v>706</v>
      </c>
      <c r="J24" s="196" t="s">
        <v>511</v>
      </c>
      <c r="K24" s="194" t="s">
        <v>565</v>
      </c>
      <c r="L24" s="196" t="s">
        <v>241</v>
      </c>
      <c r="M24" s="132">
        <v>7.30492302E8</v>
      </c>
      <c r="N24" s="200"/>
      <c r="O24" s="198">
        <v>2172498.0</v>
      </c>
      <c r="P24" s="194" t="s">
        <v>703</v>
      </c>
      <c r="Q24" s="200"/>
      <c r="R24" s="201"/>
    </row>
    <row r="25">
      <c r="A25" s="194" t="s">
        <v>707</v>
      </c>
      <c r="B25" s="217"/>
      <c r="C25" s="218"/>
      <c r="D25" s="200"/>
      <c r="E25" s="218"/>
      <c r="F25" s="196" t="s">
        <v>152</v>
      </c>
      <c r="G25" s="25">
        <v>542.69</v>
      </c>
      <c r="H25" s="25">
        <v>542.69</v>
      </c>
      <c r="I25" s="194" t="s">
        <v>706</v>
      </c>
      <c r="J25" s="196" t="s">
        <v>708</v>
      </c>
      <c r="K25" s="194" t="s">
        <v>565</v>
      </c>
      <c r="L25" s="196" t="s">
        <v>241</v>
      </c>
      <c r="M25" s="132">
        <v>7.30492302E8</v>
      </c>
      <c r="N25" s="200"/>
      <c r="O25" s="198">
        <v>2172498.0</v>
      </c>
      <c r="P25" s="194" t="s">
        <v>703</v>
      </c>
      <c r="Q25" s="200"/>
      <c r="R25" s="201"/>
    </row>
    <row r="26">
      <c r="A26" s="194" t="s">
        <v>709</v>
      </c>
      <c r="B26" s="217"/>
      <c r="C26" s="218"/>
      <c r="D26" s="200"/>
      <c r="E26" s="218"/>
      <c r="F26" s="196" t="s">
        <v>152</v>
      </c>
      <c r="G26" s="25">
        <v>544.13</v>
      </c>
      <c r="H26" s="25">
        <v>544.13</v>
      </c>
      <c r="I26" s="194" t="s">
        <v>592</v>
      </c>
      <c r="J26" s="196" t="s">
        <v>710</v>
      </c>
      <c r="K26" s="194" t="s">
        <v>565</v>
      </c>
      <c r="L26" s="196" t="s">
        <v>241</v>
      </c>
      <c r="M26" s="132">
        <v>7.30492302E8</v>
      </c>
      <c r="N26" s="200"/>
      <c r="O26" s="198">
        <v>2172498.0</v>
      </c>
      <c r="P26" s="194" t="s">
        <v>703</v>
      </c>
      <c r="Q26" s="200"/>
      <c r="R26" s="201"/>
    </row>
    <row r="27">
      <c r="A27" s="194" t="s">
        <v>711</v>
      </c>
      <c r="B27" s="217"/>
      <c r="C27" s="218"/>
      <c r="D27" s="200"/>
      <c r="E27" s="218"/>
      <c r="F27" s="196" t="s">
        <v>712</v>
      </c>
      <c r="G27" s="25">
        <v>1.24</v>
      </c>
      <c r="H27" s="25">
        <v>1.24</v>
      </c>
      <c r="I27" s="194" t="s">
        <v>713</v>
      </c>
      <c r="J27" s="196" t="s">
        <v>511</v>
      </c>
      <c r="K27" s="194" t="s">
        <v>565</v>
      </c>
      <c r="L27" s="196" t="s">
        <v>241</v>
      </c>
      <c r="M27" s="132">
        <v>4709244.0</v>
      </c>
      <c r="N27" s="200"/>
      <c r="O27" s="198">
        <v>2172498.0</v>
      </c>
      <c r="P27" s="194" t="s">
        <v>703</v>
      </c>
      <c r="Q27" s="200"/>
      <c r="R27" s="201"/>
    </row>
    <row r="28">
      <c r="A28" s="194" t="s">
        <v>714</v>
      </c>
      <c r="B28" s="217"/>
      <c r="C28" s="218"/>
      <c r="D28" s="200"/>
      <c r="E28" s="218"/>
      <c r="F28" s="196" t="s">
        <v>715</v>
      </c>
      <c r="G28" s="211">
        <v>925.1</v>
      </c>
      <c r="H28" s="211">
        <v>925.1</v>
      </c>
      <c r="I28" s="194" t="s">
        <v>592</v>
      </c>
      <c r="J28" s="196" t="s">
        <v>716</v>
      </c>
      <c r="K28" s="194" t="s">
        <v>565</v>
      </c>
      <c r="L28" s="196" t="s">
        <v>241</v>
      </c>
      <c r="M28" s="132">
        <v>7.30492302E8</v>
      </c>
      <c r="N28" s="200"/>
      <c r="O28" s="198">
        <v>2172498.0</v>
      </c>
      <c r="P28" s="194" t="s">
        <v>703</v>
      </c>
      <c r="Q28" s="200"/>
      <c r="R28" s="201"/>
    </row>
    <row r="29">
      <c r="A29" s="194" t="s">
        <v>717</v>
      </c>
      <c r="B29" s="217"/>
      <c r="C29" s="218"/>
      <c r="D29" s="200"/>
      <c r="E29" s="218"/>
      <c r="F29" s="196" t="s">
        <v>718</v>
      </c>
      <c r="G29" s="211">
        <v>2418.77</v>
      </c>
      <c r="H29" s="211">
        <v>2418.77</v>
      </c>
      <c r="I29" s="194" t="s">
        <v>719</v>
      </c>
      <c r="J29" s="196" t="s">
        <v>720</v>
      </c>
      <c r="K29" s="194" t="s">
        <v>565</v>
      </c>
      <c r="L29" s="196" t="s">
        <v>241</v>
      </c>
      <c r="M29" s="132">
        <v>7.30492302E8</v>
      </c>
      <c r="N29" s="200"/>
      <c r="O29" s="198">
        <v>2172498.0</v>
      </c>
      <c r="P29" s="194" t="s">
        <v>703</v>
      </c>
      <c r="Q29" s="200"/>
      <c r="R29" s="201"/>
    </row>
    <row r="30">
      <c r="A30" s="194" t="s">
        <v>721</v>
      </c>
      <c r="B30" s="217"/>
      <c r="C30" s="218"/>
      <c r="D30" s="200"/>
      <c r="E30" s="218"/>
      <c r="F30" s="196" t="s">
        <v>152</v>
      </c>
      <c r="G30" s="211">
        <v>928.4</v>
      </c>
      <c r="H30" s="211">
        <v>928.4</v>
      </c>
      <c r="I30" s="194" t="s">
        <v>719</v>
      </c>
      <c r="J30" s="196" t="s">
        <v>716</v>
      </c>
      <c r="K30" s="194" t="s">
        <v>565</v>
      </c>
      <c r="L30" s="196" t="s">
        <v>241</v>
      </c>
      <c r="M30" s="132">
        <v>7.30492302E8</v>
      </c>
      <c r="N30" s="200"/>
      <c r="O30" s="198">
        <v>2172498.0</v>
      </c>
      <c r="P30" s="194" t="s">
        <v>703</v>
      </c>
      <c r="Q30" s="200"/>
      <c r="R30" s="201"/>
    </row>
    <row r="31">
      <c r="A31" s="194" t="s">
        <v>722</v>
      </c>
      <c r="B31" s="217"/>
      <c r="C31" s="218"/>
      <c r="D31" s="200"/>
      <c r="E31" s="218"/>
      <c r="F31" s="200"/>
      <c r="G31" s="212">
        <v>1017.32</v>
      </c>
      <c r="H31" s="212">
        <v>1017.32</v>
      </c>
      <c r="I31" s="194" t="s">
        <v>719</v>
      </c>
      <c r="J31" s="196" t="s">
        <v>723</v>
      </c>
      <c r="K31" s="194" t="s">
        <v>565</v>
      </c>
      <c r="L31" s="196" t="s">
        <v>241</v>
      </c>
      <c r="M31" s="132">
        <v>7.30492302E8</v>
      </c>
      <c r="N31" s="200"/>
      <c r="O31" s="198">
        <v>2169927.0</v>
      </c>
      <c r="P31" s="194" t="s">
        <v>724</v>
      </c>
      <c r="Q31" s="200"/>
      <c r="R31" s="201"/>
    </row>
    <row r="32">
      <c r="A32" s="132" t="s">
        <v>725</v>
      </c>
      <c r="B32" s="132" t="s">
        <v>726</v>
      </c>
      <c r="C32" s="218"/>
      <c r="D32" s="196">
        <v>1.0</v>
      </c>
      <c r="E32" s="194" t="s">
        <v>312</v>
      </c>
      <c r="F32" s="196" t="s">
        <v>727</v>
      </c>
      <c r="G32" s="212">
        <v>149.0</v>
      </c>
      <c r="H32" s="212">
        <v>149.0</v>
      </c>
      <c r="I32" s="194" t="s">
        <v>728</v>
      </c>
      <c r="J32" s="196" t="s">
        <v>716</v>
      </c>
      <c r="K32" s="194" t="s">
        <v>547</v>
      </c>
      <c r="L32" s="196" t="s">
        <v>241</v>
      </c>
      <c r="M32" s="132">
        <v>7.30492302E8</v>
      </c>
      <c r="N32" s="200"/>
      <c r="O32" s="158">
        <v>2178254.0</v>
      </c>
      <c r="P32" s="220" t="s">
        <v>729</v>
      </c>
      <c r="Q32" s="200"/>
      <c r="R32" s="201"/>
    </row>
    <row r="33">
      <c r="A33" s="47" t="s">
        <v>730</v>
      </c>
      <c r="B33" s="221">
        <v>5.011346387E9</v>
      </c>
      <c r="C33" s="218"/>
      <c r="D33" s="196">
        <v>1.0</v>
      </c>
      <c r="E33" s="194" t="s">
        <v>145</v>
      </c>
      <c r="F33" s="196" t="s">
        <v>727</v>
      </c>
      <c r="G33" s="212">
        <v>856.0</v>
      </c>
      <c r="H33" s="25">
        <v>856.0</v>
      </c>
      <c r="I33" s="194" t="s">
        <v>565</v>
      </c>
      <c r="J33" s="196" t="s">
        <v>185</v>
      </c>
      <c r="K33" s="194"/>
      <c r="L33" s="200"/>
      <c r="M33" s="194" t="s">
        <v>731</v>
      </c>
      <c r="N33" s="200"/>
      <c r="O33" s="198"/>
      <c r="P33" s="218"/>
      <c r="Q33" s="200"/>
      <c r="R33" s="201"/>
    </row>
    <row r="34">
      <c r="A34" s="47" t="s">
        <v>730</v>
      </c>
      <c r="B34" s="221">
        <v>5.011346387E9</v>
      </c>
      <c r="C34" s="218"/>
      <c r="D34" s="200"/>
      <c r="E34" s="194" t="s">
        <v>145</v>
      </c>
      <c r="F34" s="196" t="s">
        <v>727</v>
      </c>
      <c r="G34" s="212">
        <v>856.0</v>
      </c>
      <c r="H34" s="25">
        <v>856.0</v>
      </c>
      <c r="I34" s="194" t="s">
        <v>732</v>
      </c>
      <c r="J34" s="196" t="s">
        <v>733</v>
      </c>
      <c r="K34" s="194" t="s">
        <v>734</v>
      </c>
      <c r="L34" s="196" t="s">
        <v>241</v>
      </c>
      <c r="M34" s="194" t="s">
        <v>731</v>
      </c>
      <c r="N34" s="200"/>
      <c r="O34" s="178">
        <v>2196617.0</v>
      </c>
      <c r="P34" s="218"/>
      <c r="Q34" s="200"/>
      <c r="R34" s="201"/>
    </row>
    <row r="35">
      <c r="A35" s="194" t="s">
        <v>735</v>
      </c>
      <c r="B35" s="217"/>
      <c r="C35" s="218"/>
      <c r="D35" s="200"/>
      <c r="E35" s="194" t="s">
        <v>736</v>
      </c>
      <c r="F35" s="194" t="s">
        <v>736</v>
      </c>
      <c r="G35" s="212">
        <v>90.52</v>
      </c>
      <c r="H35" s="212">
        <v>90.52</v>
      </c>
      <c r="I35" s="194" t="s">
        <v>728</v>
      </c>
      <c r="J35" s="196" t="s">
        <v>185</v>
      </c>
      <c r="K35" s="194" t="s">
        <v>737</v>
      </c>
      <c r="L35" s="196" t="s">
        <v>241</v>
      </c>
      <c r="M35" s="132">
        <v>7.30492302E8</v>
      </c>
      <c r="N35" s="200"/>
      <c r="O35" s="158">
        <v>2178530.0</v>
      </c>
      <c r="P35" s="218"/>
      <c r="Q35" s="200"/>
      <c r="R35" s="201"/>
    </row>
    <row r="36">
      <c r="A36" s="194" t="s">
        <v>738</v>
      </c>
      <c r="B36" s="200"/>
      <c r="C36" s="218"/>
      <c r="D36" s="200"/>
      <c r="E36" s="194" t="s">
        <v>136</v>
      </c>
      <c r="F36" s="196" t="s">
        <v>136</v>
      </c>
      <c r="G36" s="222">
        <v>921.72</v>
      </c>
      <c r="H36" s="222">
        <v>921.72</v>
      </c>
      <c r="I36" s="194" t="s">
        <v>565</v>
      </c>
      <c r="J36" s="196" t="s">
        <v>739</v>
      </c>
      <c r="K36" s="194" t="s">
        <v>737</v>
      </c>
      <c r="L36" s="196" t="s">
        <v>241</v>
      </c>
      <c r="M36" s="132">
        <v>7.30492302E8</v>
      </c>
      <c r="N36" s="200"/>
      <c r="O36" s="218"/>
      <c r="P36" s="218"/>
      <c r="Q36" s="200"/>
      <c r="R36" s="201"/>
    </row>
    <row r="37">
      <c r="A37" s="194" t="s">
        <v>740</v>
      </c>
      <c r="B37" s="200"/>
      <c r="C37" s="218"/>
      <c r="D37" s="200"/>
      <c r="E37" s="194" t="s">
        <v>736</v>
      </c>
      <c r="F37" s="194" t="s">
        <v>736</v>
      </c>
      <c r="G37" s="212">
        <v>65.72</v>
      </c>
      <c r="H37" s="212">
        <v>65.72</v>
      </c>
      <c r="I37" s="194" t="s">
        <v>565</v>
      </c>
      <c r="J37" s="196" t="s">
        <v>708</v>
      </c>
      <c r="K37" s="194" t="s">
        <v>737</v>
      </c>
      <c r="L37" s="196" t="s">
        <v>241</v>
      </c>
      <c r="M37" s="132">
        <v>7.30492302E8</v>
      </c>
      <c r="N37" s="200"/>
      <c r="O37" s="158">
        <v>2177483.0</v>
      </c>
      <c r="P37" s="218"/>
      <c r="Q37" s="200"/>
      <c r="R37" s="201"/>
    </row>
    <row r="38">
      <c r="A38" s="194" t="s">
        <v>741</v>
      </c>
      <c r="B38" s="17" t="s">
        <v>742</v>
      </c>
      <c r="C38" s="194" t="s">
        <v>217</v>
      </c>
      <c r="D38" s="196">
        <v>1.0</v>
      </c>
      <c r="E38" s="194" t="s">
        <v>743</v>
      </c>
      <c r="F38" s="196" t="s">
        <v>208</v>
      </c>
      <c r="G38" s="212">
        <v>462.0</v>
      </c>
      <c r="H38" s="212">
        <v>462.0</v>
      </c>
      <c r="I38" s="194" t="s">
        <v>744</v>
      </c>
      <c r="J38" s="196" t="s">
        <v>511</v>
      </c>
      <c r="K38" s="194" t="s">
        <v>745</v>
      </c>
      <c r="L38" s="196" t="s">
        <v>241</v>
      </c>
      <c r="M38" s="194">
        <v>4709138.0</v>
      </c>
      <c r="N38" s="200"/>
      <c r="O38" s="158">
        <v>2182671.0</v>
      </c>
      <c r="P38" s="86" t="s">
        <v>746</v>
      </c>
      <c r="Q38" s="200"/>
      <c r="R38" s="201"/>
    </row>
    <row r="39">
      <c r="A39" s="223" t="s">
        <v>747</v>
      </c>
      <c r="B39" s="81" t="s">
        <v>748</v>
      </c>
      <c r="C39" s="17" t="s">
        <v>749</v>
      </c>
      <c r="D39" s="81">
        <v>1.0</v>
      </c>
      <c r="E39" s="17" t="s">
        <v>750</v>
      </c>
      <c r="F39" s="81" t="s">
        <v>682</v>
      </c>
      <c r="G39" s="22">
        <v>270.0</v>
      </c>
      <c r="H39" s="22">
        <v>270.0</v>
      </c>
      <c r="I39" s="17" t="s">
        <v>744</v>
      </c>
      <c r="J39" s="81" t="s">
        <v>511</v>
      </c>
      <c r="L39" s="59"/>
      <c r="M39" s="194">
        <v>4709138.0</v>
      </c>
      <c r="N39" s="59"/>
      <c r="P39" s="86" t="s">
        <v>751</v>
      </c>
      <c r="Q39" s="59"/>
      <c r="R39" s="61"/>
    </row>
    <row r="40">
      <c r="A40" s="17" t="s">
        <v>752</v>
      </c>
      <c r="B40" s="59"/>
      <c r="D40" s="59"/>
      <c r="F40" s="81" t="s">
        <v>753</v>
      </c>
      <c r="G40" s="22">
        <v>297.6</v>
      </c>
      <c r="H40" s="22">
        <v>297.6</v>
      </c>
      <c r="I40" s="17" t="s">
        <v>737</v>
      </c>
      <c r="J40" s="81" t="s">
        <v>185</v>
      </c>
      <c r="L40" s="59"/>
      <c r="M40" s="17">
        <v>7.30492302E8</v>
      </c>
      <c r="N40" s="59"/>
      <c r="O40" s="158">
        <v>2180904.0</v>
      </c>
      <c r="Q40" s="59"/>
      <c r="R40" s="61"/>
    </row>
    <row r="41">
      <c r="A41" s="224" t="s">
        <v>754</v>
      </c>
      <c r="B41" s="225">
        <v>611838.0</v>
      </c>
      <c r="C41" s="225" t="s">
        <v>755</v>
      </c>
      <c r="D41" s="226">
        <v>1.0</v>
      </c>
      <c r="E41" s="225" t="s">
        <v>756</v>
      </c>
      <c r="F41" s="226" t="s">
        <v>208</v>
      </c>
      <c r="G41" s="227">
        <v>192.87</v>
      </c>
      <c r="H41" s="227">
        <v>192.87</v>
      </c>
      <c r="I41" s="225" t="s">
        <v>757</v>
      </c>
      <c r="J41" s="226" t="s">
        <v>758</v>
      </c>
      <c r="K41" s="228"/>
      <c r="L41" s="229"/>
      <c r="M41" s="230">
        <v>4709138.0</v>
      </c>
      <c r="N41" s="229"/>
      <c r="O41" s="228"/>
      <c r="P41" s="231" t="s">
        <v>759</v>
      </c>
      <c r="Q41" s="59"/>
      <c r="R41" s="61"/>
    </row>
    <row r="42">
      <c r="A42" s="17" t="s">
        <v>760</v>
      </c>
      <c r="B42" s="81" t="s">
        <v>761</v>
      </c>
      <c r="C42" s="17" t="s">
        <v>273</v>
      </c>
      <c r="D42" s="81">
        <v>1.0</v>
      </c>
      <c r="E42" s="17" t="s">
        <v>762</v>
      </c>
      <c r="F42" s="81" t="s">
        <v>208</v>
      </c>
      <c r="G42" s="22">
        <v>390.0</v>
      </c>
      <c r="H42" s="81">
        <v>390.0</v>
      </c>
      <c r="I42" s="17" t="s">
        <v>763</v>
      </c>
      <c r="J42" s="81" t="s">
        <v>758</v>
      </c>
      <c r="K42" s="17" t="s">
        <v>668</v>
      </c>
      <c r="L42" s="81" t="s">
        <v>241</v>
      </c>
      <c r="M42" s="17">
        <v>4721414.0</v>
      </c>
      <c r="N42" s="59"/>
      <c r="O42" s="158">
        <v>2185971.0</v>
      </c>
      <c r="P42" s="17" t="s">
        <v>764</v>
      </c>
      <c r="Q42" s="59"/>
      <c r="R42" s="61"/>
    </row>
    <row r="43">
      <c r="A43" s="17" t="s">
        <v>765</v>
      </c>
      <c r="B43" s="17" t="s">
        <v>766</v>
      </c>
      <c r="C43" s="17" t="s">
        <v>767</v>
      </c>
      <c r="D43" s="81">
        <v>12.0</v>
      </c>
      <c r="E43" s="17" t="s">
        <v>239</v>
      </c>
      <c r="F43" s="81" t="s">
        <v>208</v>
      </c>
      <c r="G43" s="22">
        <v>13.2</v>
      </c>
      <c r="H43" s="60">
        <f>G43*12</f>
        <v>158.4</v>
      </c>
      <c r="I43" s="17" t="s">
        <v>768</v>
      </c>
      <c r="J43" s="81" t="s">
        <v>83</v>
      </c>
      <c r="K43" s="17" t="s">
        <v>695</v>
      </c>
      <c r="L43" s="81" t="s">
        <v>241</v>
      </c>
      <c r="M43" s="17">
        <v>4709138.0</v>
      </c>
      <c r="N43" s="59"/>
      <c r="O43" s="17">
        <v>2184014.0</v>
      </c>
      <c r="P43" s="86" t="s">
        <v>769</v>
      </c>
      <c r="Q43" s="59"/>
      <c r="R43" s="61"/>
    </row>
    <row r="44">
      <c r="A44" s="17" t="s">
        <v>770</v>
      </c>
      <c r="B44" s="59"/>
      <c r="D44" s="59"/>
      <c r="F44" s="81" t="s">
        <v>161</v>
      </c>
      <c r="G44" s="24">
        <v>498.14</v>
      </c>
      <c r="H44" s="24">
        <v>498.14</v>
      </c>
      <c r="I44" s="17" t="s">
        <v>771</v>
      </c>
      <c r="J44" s="59"/>
      <c r="L44" s="59"/>
      <c r="M44" s="17" t="s">
        <v>772</v>
      </c>
      <c r="N44" s="59"/>
      <c r="O44" s="158">
        <v>2183167.0</v>
      </c>
      <c r="Q44" s="59"/>
      <c r="R44" s="61"/>
    </row>
    <row r="45">
      <c r="A45" s="17" t="s">
        <v>773</v>
      </c>
      <c r="B45" s="59"/>
      <c r="D45" s="59"/>
      <c r="F45" s="59"/>
      <c r="G45" s="22">
        <v>100.0</v>
      </c>
      <c r="H45" s="81">
        <v>100.0</v>
      </c>
      <c r="J45" s="59"/>
      <c r="K45" s="17" t="s">
        <v>668</v>
      </c>
      <c r="L45" s="81" t="s">
        <v>241</v>
      </c>
      <c r="M45" s="17">
        <v>4709138.0</v>
      </c>
      <c r="N45" s="59"/>
      <c r="O45" s="158">
        <v>2188367.0</v>
      </c>
      <c r="Q45" s="59"/>
      <c r="R45" s="61"/>
    </row>
    <row r="46">
      <c r="B46" s="59"/>
      <c r="D46" s="59"/>
      <c r="F46" s="59"/>
      <c r="H46" s="59"/>
      <c r="J46" s="59"/>
      <c r="L46" s="59"/>
      <c r="N46" s="59"/>
      <c r="Q46" s="59"/>
      <c r="R46" s="61"/>
    </row>
    <row r="47">
      <c r="B47" s="59"/>
      <c r="D47" s="59"/>
      <c r="F47" s="59"/>
      <c r="H47" s="59"/>
      <c r="J47" s="59"/>
      <c r="L47" s="59"/>
      <c r="N47" s="59"/>
      <c r="Q47" s="59"/>
      <c r="R47" s="61"/>
    </row>
    <row r="48">
      <c r="A48" s="17" t="s">
        <v>774</v>
      </c>
      <c r="B48" s="59"/>
      <c r="D48" s="59"/>
      <c r="F48" s="59"/>
      <c r="G48" s="232">
        <f>sum(G2:G13,G19:G21)</f>
        <v>3752.76</v>
      </c>
      <c r="H48" s="59"/>
      <c r="J48" s="59"/>
      <c r="L48" s="59"/>
      <c r="N48" s="59"/>
      <c r="Q48" s="59"/>
      <c r="R48" s="61"/>
    </row>
    <row r="49">
      <c r="A49" s="17" t="s">
        <v>775</v>
      </c>
      <c r="B49" s="59"/>
      <c r="D49" s="59"/>
      <c r="F49" s="59"/>
      <c r="H49" s="60">
        <f>sum(H14:H18,H38:H39,H43,H45)</f>
        <v>2272.08</v>
      </c>
      <c r="J49" s="59"/>
      <c r="L49" s="59"/>
      <c r="N49" s="59"/>
      <c r="Q49" s="59"/>
      <c r="R49" s="61"/>
    </row>
    <row r="50">
      <c r="A50" s="17" t="s">
        <v>776</v>
      </c>
      <c r="B50" s="59"/>
      <c r="D50" s="59"/>
      <c r="F50" s="59"/>
      <c r="H50" s="60">
        <f>sum(H22,H23)</f>
        <v>79.41</v>
      </c>
      <c r="J50" s="59"/>
      <c r="L50" s="59"/>
      <c r="N50" s="59"/>
      <c r="Q50" s="59"/>
      <c r="R50" s="61"/>
    </row>
    <row r="51">
      <c r="A51" s="17" t="s">
        <v>777</v>
      </c>
      <c r="B51" s="59"/>
      <c r="D51" s="59"/>
      <c r="F51" s="59"/>
      <c r="H51" s="60">
        <f>sum(H24,H25,H26,H28,H29,H30,H31,H35,H36,H37,H40)</f>
        <v>8294.66</v>
      </c>
      <c r="J51" s="59"/>
      <c r="L51" s="59"/>
      <c r="N51" s="59"/>
      <c r="Q51" s="59"/>
      <c r="R51" s="61"/>
    </row>
    <row r="52">
      <c r="A52" s="17" t="s">
        <v>778</v>
      </c>
      <c r="B52" s="59"/>
      <c r="D52" s="59"/>
      <c r="F52" s="59"/>
      <c r="H52" s="60">
        <v>390.0</v>
      </c>
      <c r="J52" s="59"/>
      <c r="L52" s="59"/>
      <c r="N52" s="59"/>
      <c r="Q52" s="59"/>
      <c r="R52" s="61"/>
    </row>
    <row r="53">
      <c r="A53" s="17" t="s">
        <v>779</v>
      </c>
      <c r="B53" s="59"/>
      <c r="D53" s="59"/>
      <c r="F53" s="59"/>
      <c r="H53" s="24">
        <v>498.14</v>
      </c>
      <c r="J53" s="59"/>
      <c r="L53" s="59"/>
      <c r="N53" s="59"/>
      <c r="Q53" s="59"/>
      <c r="R53" s="61"/>
    </row>
    <row r="54">
      <c r="A54" s="17" t="s">
        <v>780</v>
      </c>
      <c r="B54" s="59"/>
      <c r="D54" s="59"/>
      <c r="F54" s="59"/>
      <c r="H54" s="60">
        <f>H34+H33</f>
        <v>1712</v>
      </c>
      <c r="J54" s="59"/>
      <c r="L54" s="59"/>
      <c r="N54" s="59"/>
      <c r="Q54" s="59"/>
      <c r="R54" s="61"/>
    </row>
    <row r="55">
      <c r="B55" s="59"/>
      <c r="D55" s="59"/>
      <c r="F55" s="59"/>
      <c r="H55" s="59"/>
      <c r="J55" s="59"/>
      <c r="L55" s="59"/>
      <c r="N55" s="59"/>
      <c r="Q55" s="59"/>
      <c r="R55" s="61"/>
    </row>
    <row r="56">
      <c r="B56" s="59"/>
      <c r="D56" s="59"/>
      <c r="F56" s="59"/>
      <c r="H56" s="59"/>
      <c r="J56" s="59"/>
      <c r="L56" s="59"/>
      <c r="N56" s="59"/>
      <c r="Q56" s="59"/>
      <c r="R56" s="61"/>
    </row>
    <row r="57">
      <c r="B57" s="59"/>
      <c r="D57" s="59"/>
      <c r="F57" s="59"/>
      <c r="H57" s="59"/>
      <c r="J57" s="59"/>
      <c r="L57" s="59"/>
      <c r="N57" s="59"/>
      <c r="Q57" s="59"/>
      <c r="R57" s="61"/>
    </row>
    <row r="58">
      <c r="B58" s="59"/>
      <c r="D58" s="59"/>
      <c r="F58" s="59"/>
      <c r="H58" s="59"/>
      <c r="J58" s="59"/>
      <c r="L58" s="59"/>
      <c r="N58" s="59"/>
      <c r="Q58" s="59"/>
      <c r="R58" s="61"/>
    </row>
    <row r="59">
      <c r="B59" s="59"/>
      <c r="D59" s="59"/>
      <c r="F59" s="59"/>
      <c r="H59" s="59"/>
      <c r="J59" s="59"/>
      <c r="L59" s="59"/>
      <c r="N59" s="59"/>
      <c r="Q59" s="59"/>
      <c r="R59" s="61"/>
    </row>
    <row r="60">
      <c r="B60" s="59"/>
      <c r="D60" s="59"/>
      <c r="F60" s="59"/>
      <c r="H60" s="59"/>
      <c r="J60" s="59"/>
      <c r="L60" s="59"/>
      <c r="N60" s="59"/>
      <c r="Q60" s="59"/>
      <c r="R60" s="61"/>
    </row>
    <row r="61">
      <c r="B61" s="59"/>
      <c r="D61" s="59"/>
      <c r="F61" s="59"/>
      <c r="H61" s="59"/>
      <c r="J61" s="59"/>
      <c r="L61" s="59"/>
      <c r="N61" s="59"/>
      <c r="Q61" s="59"/>
      <c r="R61" s="61"/>
    </row>
    <row r="62">
      <c r="B62" s="59"/>
      <c r="D62" s="59"/>
      <c r="F62" s="59"/>
      <c r="H62" s="59"/>
      <c r="J62" s="59"/>
      <c r="L62" s="59"/>
      <c r="N62" s="59"/>
      <c r="Q62" s="59"/>
      <c r="R62" s="61"/>
    </row>
    <row r="63">
      <c r="B63" s="59"/>
      <c r="D63" s="59"/>
      <c r="F63" s="59"/>
      <c r="H63" s="59"/>
      <c r="J63" s="59"/>
      <c r="L63" s="59"/>
      <c r="N63" s="59"/>
      <c r="Q63" s="59"/>
      <c r="R63" s="61"/>
    </row>
    <row r="64">
      <c r="B64" s="59"/>
      <c r="D64" s="59"/>
      <c r="F64" s="59"/>
      <c r="H64" s="59"/>
      <c r="J64" s="59"/>
      <c r="L64" s="59"/>
      <c r="N64" s="59"/>
      <c r="Q64" s="59"/>
      <c r="R64" s="61"/>
    </row>
    <row r="65">
      <c r="B65" s="59"/>
      <c r="D65" s="59"/>
      <c r="F65" s="59"/>
      <c r="H65" s="59"/>
      <c r="J65" s="59"/>
      <c r="L65" s="59"/>
      <c r="N65" s="59"/>
      <c r="Q65" s="59"/>
      <c r="R65" s="61"/>
    </row>
    <row r="66">
      <c r="B66" s="59"/>
      <c r="D66" s="59"/>
      <c r="F66" s="59"/>
      <c r="H66" s="59"/>
      <c r="J66" s="59"/>
      <c r="L66" s="59"/>
      <c r="N66" s="59"/>
      <c r="Q66" s="59"/>
      <c r="R66" s="61"/>
    </row>
    <row r="67">
      <c r="B67" s="59"/>
      <c r="D67" s="59"/>
      <c r="F67" s="59"/>
      <c r="H67" s="59"/>
      <c r="J67" s="59"/>
      <c r="L67" s="59"/>
      <c r="N67" s="59"/>
      <c r="Q67" s="59"/>
      <c r="R67" s="61"/>
    </row>
    <row r="68">
      <c r="B68" s="59"/>
      <c r="D68" s="59"/>
      <c r="F68" s="59"/>
      <c r="H68" s="59"/>
      <c r="J68" s="59"/>
      <c r="L68" s="59"/>
      <c r="N68" s="59"/>
      <c r="Q68" s="59"/>
      <c r="R68" s="61"/>
    </row>
    <row r="69">
      <c r="B69" s="59"/>
      <c r="D69" s="59"/>
      <c r="F69" s="59"/>
      <c r="H69" s="59"/>
      <c r="J69" s="59"/>
      <c r="L69" s="59"/>
      <c r="N69" s="59"/>
      <c r="Q69" s="59"/>
      <c r="R69" s="61"/>
    </row>
    <row r="70">
      <c r="B70" s="59"/>
      <c r="D70" s="59"/>
      <c r="F70" s="59"/>
      <c r="H70" s="59"/>
      <c r="J70" s="59"/>
      <c r="L70" s="59"/>
      <c r="N70" s="59"/>
      <c r="Q70" s="59"/>
      <c r="R70" s="61"/>
    </row>
    <row r="71">
      <c r="B71" s="59"/>
      <c r="D71" s="59"/>
      <c r="F71" s="59"/>
      <c r="H71" s="59"/>
      <c r="J71" s="59"/>
      <c r="L71" s="59"/>
      <c r="N71" s="59"/>
      <c r="Q71" s="59"/>
      <c r="R71" s="61"/>
    </row>
    <row r="72">
      <c r="B72" s="59"/>
      <c r="D72" s="59"/>
      <c r="F72" s="59"/>
      <c r="H72" s="59"/>
      <c r="J72" s="59"/>
      <c r="L72" s="59"/>
      <c r="N72" s="59"/>
      <c r="Q72" s="59"/>
      <c r="R72" s="61"/>
    </row>
    <row r="73">
      <c r="B73" s="59"/>
      <c r="D73" s="59"/>
      <c r="F73" s="59"/>
      <c r="H73" s="59"/>
      <c r="J73" s="59"/>
      <c r="L73" s="59"/>
      <c r="N73" s="59"/>
      <c r="Q73" s="59"/>
      <c r="R73" s="61"/>
    </row>
    <row r="74">
      <c r="B74" s="59"/>
      <c r="D74" s="59"/>
      <c r="F74" s="59"/>
      <c r="H74" s="59"/>
      <c r="J74" s="59"/>
      <c r="L74" s="59"/>
      <c r="N74" s="59"/>
      <c r="Q74" s="59"/>
      <c r="R74" s="61"/>
    </row>
    <row r="75">
      <c r="B75" s="59"/>
      <c r="D75" s="59"/>
      <c r="F75" s="59"/>
      <c r="H75" s="59"/>
      <c r="J75" s="59"/>
      <c r="L75" s="59"/>
      <c r="N75" s="59"/>
      <c r="Q75" s="59"/>
      <c r="R75" s="61"/>
    </row>
    <row r="76">
      <c r="B76" s="59"/>
      <c r="D76" s="59"/>
      <c r="F76" s="59"/>
      <c r="H76" s="59"/>
      <c r="J76" s="59"/>
      <c r="L76" s="59"/>
      <c r="N76" s="59"/>
      <c r="Q76" s="59"/>
      <c r="R76" s="61"/>
    </row>
    <row r="77">
      <c r="B77" s="59"/>
      <c r="D77" s="59"/>
      <c r="F77" s="59"/>
      <c r="H77" s="59"/>
      <c r="J77" s="59"/>
      <c r="L77" s="59"/>
      <c r="N77" s="59"/>
      <c r="Q77" s="59"/>
      <c r="R77" s="61"/>
    </row>
    <row r="78">
      <c r="B78" s="59"/>
      <c r="D78" s="59"/>
      <c r="F78" s="59"/>
      <c r="H78" s="59"/>
      <c r="J78" s="59"/>
      <c r="L78" s="59"/>
      <c r="N78" s="59"/>
      <c r="Q78" s="59"/>
      <c r="R78" s="61"/>
    </row>
    <row r="79">
      <c r="B79" s="59"/>
      <c r="D79" s="59"/>
      <c r="F79" s="59"/>
      <c r="H79" s="59"/>
      <c r="J79" s="59"/>
      <c r="L79" s="59"/>
      <c r="N79" s="59"/>
      <c r="Q79" s="59"/>
      <c r="R79" s="61"/>
    </row>
    <row r="80">
      <c r="B80" s="59"/>
      <c r="D80" s="59"/>
      <c r="F80" s="59"/>
      <c r="H80" s="59"/>
      <c r="J80" s="59"/>
      <c r="L80" s="59"/>
      <c r="N80" s="59"/>
      <c r="Q80" s="59"/>
      <c r="R80" s="61"/>
    </row>
    <row r="81">
      <c r="B81" s="59"/>
      <c r="D81" s="59"/>
      <c r="F81" s="59"/>
      <c r="H81" s="59"/>
      <c r="J81" s="59"/>
      <c r="L81" s="59"/>
      <c r="N81" s="59"/>
      <c r="Q81" s="59"/>
      <c r="R81" s="61"/>
    </row>
    <row r="82">
      <c r="B82" s="59"/>
      <c r="D82" s="59"/>
      <c r="F82" s="59"/>
      <c r="H82" s="59"/>
      <c r="J82" s="59"/>
      <c r="L82" s="59"/>
      <c r="N82" s="59"/>
      <c r="Q82" s="59"/>
      <c r="R82" s="61"/>
    </row>
    <row r="83">
      <c r="B83" s="59"/>
      <c r="D83" s="59"/>
      <c r="F83" s="59"/>
      <c r="H83" s="59"/>
      <c r="J83" s="59"/>
      <c r="L83" s="59"/>
      <c r="N83" s="59"/>
      <c r="Q83" s="59"/>
      <c r="R83" s="61"/>
    </row>
    <row r="84">
      <c r="B84" s="59"/>
      <c r="D84" s="59"/>
      <c r="F84" s="59"/>
      <c r="H84" s="59"/>
      <c r="J84" s="59"/>
      <c r="L84" s="59"/>
      <c r="N84" s="59"/>
      <c r="Q84" s="59"/>
      <c r="R84" s="61"/>
    </row>
    <row r="85">
      <c r="B85" s="59"/>
      <c r="D85" s="59"/>
      <c r="F85" s="59"/>
      <c r="H85" s="59"/>
      <c r="J85" s="59"/>
      <c r="L85" s="59"/>
      <c r="N85" s="59"/>
      <c r="Q85" s="59"/>
      <c r="R85" s="61"/>
    </row>
    <row r="86">
      <c r="B86" s="59"/>
      <c r="D86" s="59"/>
      <c r="F86" s="59"/>
      <c r="H86" s="59"/>
      <c r="J86" s="59"/>
      <c r="L86" s="59"/>
      <c r="N86" s="59"/>
      <c r="Q86" s="59"/>
      <c r="R86" s="61"/>
    </row>
    <row r="87">
      <c r="B87" s="59"/>
      <c r="D87" s="59"/>
      <c r="F87" s="59"/>
      <c r="H87" s="59"/>
      <c r="J87" s="59"/>
      <c r="L87" s="59"/>
      <c r="N87" s="59"/>
      <c r="Q87" s="59"/>
      <c r="R87" s="61"/>
    </row>
    <row r="88">
      <c r="B88" s="59"/>
      <c r="D88" s="59"/>
      <c r="F88" s="59"/>
      <c r="H88" s="59"/>
      <c r="J88" s="59"/>
      <c r="L88" s="59"/>
      <c r="N88" s="59"/>
      <c r="Q88" s="59"/>
      <c r="R88" s="61"/>
    </row>
    <row r="89">
      <c r="B89" s="59"/>
      <c r="D89" s="59"/>
      <c r="F89" s="59"/>
      <c r="H89" s="59"/>
      <c r="J89" s="59"/>
      <c r="L89" s="59"/>
      <c r="N89" s="59"/>
      <c r="Q89" s="59"/>
      <c r="R89" s="61"/>
    </row>
    <row r="90">
      <c r="B90" s="59"/>
      <c r="D90" s="59"/>
      <c r="F90" s="59"/>
      <c r="H90" s="59"/>
      <c r="J90" s="59"/>
      <c r="L90" s="59"/>
      <c r="N90" s="59"/>
      <c r="Q90" s="59"/>
      <c r="R90" s="61"/>
    </row>
    <row r="91">
      <c r="B91" s="59"/>
      <c r="D91" s="59"/>
      <c r="F91" s="59"/>
      <c r="H91" s="59"/>
      <c r="J91" s="59"/>
      <c r="L91" s="59"/>
      <c r="N91" s="59"/>
      <c r="Q91" s="59"/>
      <c r="R91" s="61"/>
    </row>
    <row r="92">
      <c r="B92" s="59"/>
      <c r="D92" s="59"/>
      <c r="F92" s="59"/>
      <c r="H92" s="59"/>
      <c r="J92" s="59"/>
      <c r="L92" s="59"/>
      <c r="N92" s="59"/>
      <c r="Q92" s="59"/>
      <c r="R92" s="61"/>
    </row>
    <row r="93">
      <c r="B93" s="59"/>
      <c r="D93" s="59"/>
      <c r="F93" s="59"/>
      <c r="H93" s="59"/>
      <c r="J93" s="59"/>
      <c r="L93" s="59"/>
      <c r="N93" s="59"/>
      <c r="Q93" s="59"/>
      <c r="R93" s="61"/>
    </row>
    <row r="94">
      <c r="B94" s="59"/>
      <c r="D94" s="59"/>
      <c r="F94" s="59"/>
      <c r="H94" s="59"/>
      <c r="J94" s="59"/>
      <c r="L94" s="59"/>
      <c r="N94" s="59"/>
      <c r="Q94" s="59"/>
      <c r="R94" s="61"/>
    </row>
    <row r="95">
      <c r="B95" s="59"/>
      <c r="D95" s="59"/>
      <c r="F95" s="59"/>
      <c r="H95" s="59"/>
      <c r="J95" s="59"/>
      <c r="L95" s="59"/>
      <c r="N95" s="59"/>
      <c r="Q95" s="59"/>
      <c r="R95" s="61"/>
    </row>
    <row r="96">
      <c r="B96" s="59"/>
      <c r="D96" s="59"/>
      <c r="F96" s="59"/>
      <c r="H96" s="59"/>
      <c r="J96" s="59"/>
      <c r="L96" s="59"/>
      <c r="N96" s="59"/>
      <c r="Q96" s="59"/>
      <c r="R96" s="61"/>
    </row>
    <row r="97">
      <c r="B97" s="59"/>
      <c r="D97" s="59"/>
      <c r="F97" s="59"/>
      <c r="H97" s="59"/>
      <c r="J97" s="59"/>
      <c r="L97" s="59"/>
      <c r="N97" s="59"/>
      <c r="Q97" s="59"/>
      <c r="R97" s="61"/>
    </row>
    <row r="98">
      <c r="B98" s="59"/>
      <c r="D98" s="59"/>
      <c r="F98" s="59"/>
      <c r="H98" s="59"/>
      <c r="J98" s="59"/>
      <c r="L98" s="59"/>
      <c r="N98" s="59"/>
      <c r="Q98" s="59"/>
      <c r="R98" s="61"/>
    </row>
    <row r="99">
      <c r="B99" s="59"/>
      <c r="D99" s="59"/>
      <c r="F99" s="59"/>
      <c r="H99" s="59"/>
      <c r="J99" s="59"/>
      <c r="L99" s="59"/>
      <c r="N99" s="59"/>
      <c r="Q99" s="59"/>
      <c r="R99" s="61"/>
    </row>
    <row r="100">
      <c r="B100" s="59"/>
      <c r="D100" s="59"/>
      <c r="F100" s="59"/>
      <c r="H100" s="59"/>
      <c r="J100" s="59"/>
      <c r="L100" s="59"/>
      <c r="N100" s="59"/>
      <c r="Q100" s="59"/>
      <c r="R100" s="61"/>
    </row>
    <row r="101">
      <c r="B101" s="59"/>
      <c r="D101" s="59"/>
      <c r="F101" s="59"/>
      <c r="H101" s="59"/>
      <c r="J101" s="59"/>
      <c r="L101" s="59"/>
      <c r="N101" s="59"/>
      <c r="Q101" s="59"/>
      <c r="R101" s="61"/>
    </row>
    <row r="102">
      <c r="B102" s="59"/>
      <c r="D102" s="59"/>
      <c r="F102" s="59"/>
      <c r="H102" s="59"/>
      <c r="J102" s="59"/>
      <c r="L102" s="59"/>
      <c r="N102" s="59"/>
      <c r="Q102" s="59"/>
      <c r="R102" s="61"/>
    </row>
    <row r="103">
      <c r="B103" s="59"/>
      <c r="D103" s="59"/>
      <c r="F103" s="59"/>
      <c r="H103" s="59"/>
      <c r="J103" s="59"/>
      <c r="L103" s="59"/>
      <c r="N103" s="59"/>
      <c r="Q103" s="59"/>
      <c r="R103" s="61"/>
    </row>
    <row r="104">
      <c r="B104" s="59"/>
      <c r="D104" s="59"/>
      <c r="F104" s="59"/>
      <c r="H104" s="59"/>
      <c r="J104" s="59"/>
      <c r="L104" s="59"/>
      <c r="N104" s="59"/>
      <c r="Q104" s="59"/>
      <c r="R104" s="61"/>
    </row>
    <row r="105">
      <c r="B105" s="59"/>
      <c r="D105" s="59"/>
      <c r="F105" s="59"/>
      <c r="H105" s="59"/>
      <c r="J105" s="59"/>
      <c r="L105" s="59"/>
      <c r="N105" s="59"/>
      <c r="Q105" s="59"/>
      <c r="R105" s="61"/>
    </row>
    <row r="106">
      <c r="B106" s="59"/>
      <c r="D106" s="59"/>
      <c r="F106" s="59"/>
      <c r="H106" s="59"/>
      <c r="J106" s="59"/>
      <c r="L106" s="59"/>
      <c r="N106" s="59"/>
      <c r="Q106" s="59"/>
      <c r="R106" s="61"/>
    </row>
    <row r="107">
      <c r="B107" s="59"/>
      <c r="D107" s="59"/>
      <c r="F107" s="59"/>
      <c r="H107" s="59"/>
      <c r="J107" s="59"/>
      <c r="L107" s="59"/>
      <c r="N107" s="59"/>
      <c r="Q107" s="59"/>
      <c r="R107" s="61"/>
    </row>
    <row r="108">
      <c r="B108" s="59"/>
      <c r="D108" s="59"/>
      <c r="F108" s="59"/>
      <c r="H108" s="59"/>
      <c r="J108" s="59"/>
      <c r="L108" s="59"/>
      <c r="N108" s="59"/>
      <c r="Q108" s="59"/>
      <c r="R108" s="61"/>
    </row>
    <row r="109">
      <c r="B109" s="59"/>
      <c r="D109" s="59"/>
      <c r="F109" s="59"/>
      <c r="H109" s="59"/>
      <c r="J109" s="59"/>
      <c r="L109" s="59"/>
      <c r="N109" s="59"/>
      <c r="Q109" s="59"/>
      <c r="R109" s="61"/>
    </row>
    <row r="110">
      <c r="B110" s="59"/>
      <c r="D110" s="59"/>
      <c r="F110" s="59"/>
      <c r="H110" s="59"/>
      <c r="J110" s="59"/>
      <c r="L110" s="59"/>
      <c r="N110" s="59"/>
      <c r="Q110" s="59"/>
      <c r="R110" s="61"/>
    </row>
    <row r="111">
      <c r="B111" s="59"/>
      <c r="D111" s="59"/>
      <c r="F111" s="59"/>
      <c r="H111" s="59"/>
      <c r="J111" s="59"/>
      <c r="L111" s="59"/>
      <c r="N111" s="59"/>
      <c r="Q111" s="59"/>
      <c r="R111" s="61"/>
    </row>
    <row r="112">
      <c r="B112" s="59"/>
      <c r="D112" s="59"/>
      <c r="F112" s="59"/>
      <c r="H112" s="59"/>
      <c r="J112" s="59"/>
      <c r="L112" s="59"/>
      <c r="N112" s="59"/>
      <c r="Q112" s="59"/>
      <c r="R112" s="61"/>
    </row>
    <row r="113">
      <c r="B113" s="59"/>
      <c r="D113" s="59"/>
      <c r="F113" s="59"/>
      <c r="H113" s="59"/>
      <c r="J113" s="59"/>
      <c r="L113" s="59"/>
      <c r="N113" s="59"/>
      <c r="Q113" s="59"/>
      <c r="R113" s="61"/>
    </row>
    <row r="114">
      <c r="B114" s="59"/>
      <c r="D114" s="59"/>
      <c r="F114" s="59"/>
      <c r="H114" s="59"/>
      <c r="J114" s="59"/>
      <c r="L114" s="59"/>
      <c r="N114" s="59"/>
      <c r="Q114" s="59"/>
      <c r="R114" s="61"/>
    </row>
    <row r="115">
      <c r="B115" s="59"/>
      <c r="D115" s="59"/>
      <c r="F115" s="59"/>
      <c r="H115" s="59"/>
      <c r="J115" s="59"/>
      <c r="L115" s="59"/>
      <c r="N115" s="59"/>
      <c r="Q115" s="59"/>
      <c r="R115" s="61"/>
    </row>
    <row r="116">
      <c r="B116" s="59"/>
      <c r="D116" s="59"/>
      <c r="F116" s="59"/>
      <c r="H116" s="59"/>
      <c r="J116" s="59"/>
      <c r="L116" s="59"/>
      <c r="N116" s="59"/>
      <c r="Q116" s="59"/>
      <c r="R116" s="61"/>
    </row>
    <row r="117">
      <c r="B117" s="59"/>
      <c r="D117" s="59"/>
      <c r="F117" s="59"/>
      <c r="H117" s="59"/>
      <c r="J117" s="59"/>
      <c r="L117" s="59"/>
      <c r="N117" s="59"/>
      <c r="Q117" s="59"/>
      <c r="R117" s="61"/>
    </row>
    <row r="118">
      <c r="B118" s="59"/>
      <c r="D118" s="59"/>
      <c r="F118" s="59"/>
      <c r="H118" s="59"/>
      <c r="J118" s="59"/>
      <c r="L118" s="59"/>
      <c r="N118" s="59"/>
      <c r="Q118" s="59"/>
      <c r="R118" s="61"/>
    </row>
    <row r="119">
      <c r="B119" s="59"/>
      <c r="D119" s="59"/>
      <c r="F119" s="59"/>
      <c r="H119" s="59"/>
      <c r="J119" s="59"/>
      <c r="L119" s="59"/>
      <c r="N119" s="59"/>
      <c r="Q119" s="59"/>
      <c r="R119" s="61"/>
    </row>
    <row r="120">
      <c r="B120" s="59"/>
      <c r="D120" s="59"/>
      <c r="F120" s="59"/>
      <c r="H120" s="59"/>
      <c r="J120" s="59"/>
      <c r="L120" s="59"/>
      <c r="N120" s="59"/>
      <c r="Q120" s="59"/>
      <c r="R120" s="61"/>
    </row>
    <row r="121">
      <c r="B121" s="59"/>
      <c r="D121" s="59"/>
      <c r="F121" s="59"/>
      <c r="H121" s="59"/>
      <c r="J121" s="59"/>
      <c r="L121" s="59"/>
      <c r="N121" s="59"/>
      <c r="Q121" s="59"/>
      <c r="R121" s="61"/>
    </row>
    <row r="122">
      <c r="B122" s="59"/>
      <c r="D122" s="59"/>
      <c r="F122" s="59"/>
      <c r="H122" s="59"/>
      <c r="J122" s="59"/>
      <c r="L122" s="59"/>
      <c r="N122" s="59"/>
      <c r="Q122" s="59"/>
      <c r="R122" s="61"/>
    </row>
    <row r="123">
      <c r="B123" s="59"/>
      <c r="D123" s="59"/>
      <c r="F123" s="59"/>
      <c r="H123" s="59"/>
      <c r="J123" s="59"/>
      <c r="L123" s="59"/>
      <c r="N123" s="59"/>
      <c r="Q123" s="59"/>
      <c r="R123" s="61"/>
    </row>
    <row r="124">
      <c r="B124" s="59"/>
      <c r="D124" s="59"/>
      <c r="F124" s="59"/>
      <c r="H124" s="59"/>
      <c r="J124" s="59"/>
      <c r="L124" s="59"/>
      <c r="N124" s="59"/>
      <c r="Q124" s="59"/>
      <c r="R124" s="61"/>
    </row>
    <row r="125">
      <c r="B125" s="59"/>
      <c r="D125" s="59"/>
      <c r="F125" s="59"/>
      <c r="H125" s="59"/>
      <c r="J125" s="59"/>
      <c r="L125" s="59"/>
      <c r="N125" s="59"/>
      <c r="Q125" s="59"/>
      <c r="R125" s="61"/>
    </row>
    <row r="126">
      <c r="B126" s="59"/>
      <c r="D126" s="59"/>
      <c r="F126" s="59"/>
      <c r="H126" s="59"/>
      <c r="J126" s="59"/>
      <c r="L126" s="59"/>
      <c r="N126" s="59"/>
      <c r="Q126" s="59"/>
      <c r="R126" s="61"/>
    </row>
    <row r="127">
      <c r="B127" s="59"/>
      <c r="D127" s="59"/>
      <c r="F127" s="59"/>
      <c r="H127" s="59"/>
      <c r="J127" s="59"/>
      <c r="L127" s="59"/>
      <c r="N127" s="59"/>
      <c r="Q127" s="59"/>
      <c r="R127" s="61"/>
    </row>
    <row r="128">
      <c r="B128" s="59"/>
      <c r="D128" s="59"/>
      <c r="F128" s="59"/>
      <c r="H128" s="59"/>
      <c r="J128" s="59"/>
      <c r="L128" s="59"/>
      <c r="N128" s="59"/>
      <c r="Q128" s="59"/>
      <c r="R128" s="61"/>
    </row>
    <row r="129">
      <c r="B129" s="59"/>
      <c r="D129" s="59"/>
      <c r="F129" s="59"/>
      <c r="H129" s="59"/>
      <c r="J129" s="59"/>
      <c r="L129" s="59"/>
      <c r="N129" s="59"/>
      <c r="Q129" s="59"/>
      <c r="R129" s="61"/>
    </row>
    <row r="130">
      <c r="B130" s="59"/>
      <c r="D130" s="59"/>
      <c r="F130" s="59"/>
      <c r="H130" s="59"/>
      <c r="J130" s="59"/>
      <c r="L130" s="59"/>
      <c r="N130" s="59"/>
      <c r="Q130" s="59"/>
      <c r="R130" s="61"/>
    </row>
    <row r="131">
      <c r="B131" s="59"/>
      <c r="D131" s="59"/>
      <c r="F131" s="59"/>
      <c r="H131" s="59"/>
      <c r="J131" s="59"/>
      <c r="L131" s="59"/>
      <c r="N131" s="59"/>
      <c r="Q131" s="59"/>
      <c r="R131" s="61"/>
    </row>
    <row r="132">
      <c r="B132" s="59"/>
      <c r="D132" s="59"/>
      <c r="F132" s="59"/>
      <c r="H132" s="59"/>
      <c r="J132" s="59"/>
      <c r="L132" s="59"/>
      <c r="N132" s="59"/>
      <c r="Q132" s="59"/>
      <c r="R132" s="61"/>
    </row>
    <row r="133">
      <c r="B133" s="59"/>
      <c r="D133" s="59"/>
      <c r="F133" s="59"/>
      <c r="H133" s="59"/>
      <c r="J133" s="59"/>
      <c r="L133" s="59"/>
      <c r="N133" s="59"/>
      <c r="Q133" s="59"/>
      <c r="R133" s="61"/>
    </row>
    <row r="134">
      <c r="B134" s="59"/>
      <c r="D134" s="59"/>
      <c r="F134" s="59"/>
      <c r="H134" s="59"/>
      <c r="J134" s="59"/>
      <c r="L134" s="59"/>
      <c r="N134" s="59"/>
      <c r="Q134" s="59"/>
      <c r="R134" s="61"/>
    </row>
    <row r="135">
      <c r="B135" s="59"/>
      <c r="D135" s="59"/>
      <c r="F135" s="59"/>
      <c r="H135" s="59"/>
      <c r="J135" s="59"/>
      <c r="L135" s="59"/>
      <c r="N135" s="59"/>
      <c r="Q135" s="59"/>
      <c r="R135" s="61"/>
    </row>
    <row r="136">
      <c r="B136" s="59"/>
      <c r="D136" s="59"/>
      <c r="F136" s="59"/>
      <c r="H136" s="59"/>
      <c r="J136" s="59"/>
      <c r="L136" s="59"/>
      <c r="N136" s="59"/>
      <c r="Q136" s="59"/>
      <c r="R136" s="61"/>
    </row>
    <row r="137">
      <c r="B137" s="59"/>
      <c r="D137" s="59"/>
      <c r="F137" s="59"/>
      <c r="H137" s="59"/>
      <c r="J137" s="59"/>
      <c r="L137" s="59"/>
      <c r="N137" s="59"/>
      <c r="Q137" s="59"/>
      <c r="R137" s="61"/>
    </row>
    <row r="138">
      <c r="B138" s="59"/>
      <c r="D138" s="59"/>
      <c r="F138" s="59"/>
      <c r="H138" s="59"/>
      <c r="J138" s="59"/>
      <c r="L138" s="59"/>
      <c r="N138" s="59"/>
      <c r="Q138" s="59"/>
      <c r="R138" s="61"/>
    </row>
    <row r="139">
      <c r="B139" s="59"/>
      <c r="D139" s="59"/>
      <c r="F139" s="59"/>
      <c r="H139" s="59"/>
      <c r="J139" s="59"/>
      <c r="L139" s="59"/>
      <c r="N139" s="59"/>
      <c r="Q139" s="59"/>
      <c r="R139" s="61"/>
    </row>
    <row r="140">
      <c r="B140" s="59"/>
      <c r="D140" s="59"/>
      <c r="F140" s="59"/>
      <c r="H140" s="59"/>
      <c r="J140" s="59"/>
      <c r="L140" s="59"/>
      <c r="N140" s="59"/>
      <c r="Q140" s="59"/>
      <c r="R140" s="61"/>
    </row>
    <row r="141">
      <c r="B141" s="59"/>
      <c r="D141" s="59"/>
      <c r="F141" s="59"/>
      <c r="H141" s="59"/>
      <c r="J141" s="59"/>
      <c r="L141" s="59"/>
      <c r="N141" s="59"/>
      <c r="Q141" s="59"/>
      <c r="R141" s="61"/>
    </row>
    <row r="142">
      <c r="B142" s="59"/>
      <c r="D142" s="59"/>
      <c r="F142" s="59"/>
      <c r="H142" s="59"/>
      <c r="J142" s="59"/>
      <c r="L142" s="59"/>
      <c r="N142" s="59"/>
      <c r="Q142" s="59"/>
      <c r="R142" s="61"/>
    </row>
    <row r="143">
      <c r="B143" s="59"/>
      <c r="D143" s="59"/>
      <c r="F143" s="59"/>
      <c r="H143" s="59"/>
      <c r="J143" s="59"/>
      <c r="L143" s="59"/>
      <c r="N143" s="59"/>
      <c r="Q143" s="59"/>
      <c r="R143" s="61"/>
    </row>
    <row r="144">
      <c r="B144" s="59"/>
      <c r="D144" s="59"/>
      <c r="F144" s="59"/>
      <c r="H144" s="59"/>
      <c r="J144" s="59"/>
      <c r="L144" s="59"/>
      <c r="N144" s="59"/>
      <c r="Q144" s="59"/>
      <c r="R144" s="61"/>
    </row>
    <row r="145">
      <c r="B145" s="59"/>
      <c r="D145" s="59"/>
      <c r="F145" s="59"/>
      <c r="H145" s="59"/>
      <c r="J145" s="59"/>
      <c r="L145" s="59"/>
      <c r="N145" s="59"/>
      <c r="Q145" s="59"/>
      <c r="R145" s="61"/>
    </row>
    <row r="146">
      <c r="B146" s="59"/>
      <c r="D146" s="59"/>
      <c r="F146" s="59"/>
      <c r="H146" s="59"/>
      <c r="J146" s="59"/>
      <c r="L146" s="59"/>
      <c r="N146" s="59"/>
      <c r="Q146" s="59"/>
      <c r="R146" s="61"/>
    </row>
    <row r="147">
      <c r="B147" s="59"/>
      <c r="D147" s="59"/>
      <c r="F147" s="59"/>
      <c r="H147" s="59"/>
      <c r="J147" s="59"/>
      <c r="L147" s="59"/>
      <c r="N147" s="59"/>
      <c r="Q147" s="59"/>
      <c r="R147" s="61"/>
    </row>
    <row r="148">
      <c r="B148" s="59"/>
      <c r="D148" s="59"/>
      <c r="F148" s="59"/>
      <c r="H148" s="59"/>
      <c r="J148" s="59"/>
      <c r="L148" s="59"/>
      <c r="N148" s="59"/>
      <c r="Q148" s="59"/>
      <c r="R148" s="61"/>
    </row>
    <row r="149">
      <c r="B149" s="59"/>
      <c r="D149" s="59"/>
      <c r="F149" s="59"/>
      <c r="H149" s="59"/>
      <c r="J149" s="59"/>
      <c r="L149" s="59"/>
      <c r="N149" s="59"/>
      <c r="Q149" s="59"/>
      <c r="R149" s="61"/>
    </row>
    <row r="150">
      <c r="B150" s="59"/>
      <c r="D150" s="59"/>
      <c r="F150" s="59"/>
      <c r="H150" s="59"/>
      <c r="J150" s="59"/>
      <c r="L150" s="59"/>
      <c r="N150" s="59"/>
      <c r="Q150" s="59"/>
      <c r="R150" s="61"/>
    </row>
    <row r="151">
      <c r="B151" s="59"/>
      <c r="D151" s="59"/>
      <c r="F151" s="59"/>
      <c r="H151" s="59"/>
      <c r="J151" s="59"/>
      <c r="L151" s="59"/>
      <c r="N151" s="59"/>
      <c r="Q151" s="59"/>
      <c r="R151" s="61"/>
    </row>
    <row r="152">
      <c r="B152" s="59"/>
      <c r="D152" s="59"/>
      <c r="F152" s="59"/>
      <c r="H152" s="59"/>
      <c r="J152" s="59"/>
      <c r="L152" s="59"/>
      <c r="N152" s="59"/>
      <c r="Q152" s="59"/>
      <c r="R152" s="61"/>
    </row>
    <row r="153">
      <c r="B153" s="59"/>
      <c r="D153" s="59"/>
      <c r="F153" s="59"/>
      <c r="H153" s="59"/>
      <c r="J153" s="59"/>
      <c r="L153" s="59"/>
      <c r="N153" s="59"/>
      <c r="Q153" s="59"/>
      <c r="R153" s="61"/>
    </row>
    <row r="154">
      <c r="B154" s="59"/>
      <c r="D154" s="59"/>
      <c r="F154" s="59"/>
      <c r="H154" s="59"/>
      <c r="J154" s="59"/>
      <c r="L154" s="59"/>
      <c r="N154" s="59"/>
      <c r="Q154" s="59"/>
      <c r="R154" s="61"/>
    </row>
    <row r="155">
      <c r="B155" s="59"/>
      <c r="D155" s="59"/>
      <c r="F155" s="59"/>
      <c r="H155" s="59"/>
      <c r="J155" s="59"/>
      <c r="L155" s="59"/>
      <c r="N155" s="59"/>
      <c r="Q155" s="59"/>
      <c r="R155" s="61"/>
    </row>
    <row r="156">
      <c r="B156" s="59"/>
      <c r="D156" s="59"/>
      <c r="F156" s="59"/>
      <c r="H156" s="59"/>
      <c r="J156" s="59"/>
      <c r="L156" s="59"/>
      <c r="N156" s="59"/>
      <c r="Q156" s="59"/>
      <c r="R156" s="61"/>
    </row>
    <row r="157">
      <c r="B157" s="59"/>
      <c r="D157" s="59"/>
      <c r="F157" s="59"/>
      <c r="H157" s="59"/>
      <c r="J157" s="59"/>
      <c r="L157" s="59"/>
      <c r="N157" s="59"/>
      <c r="Q157" s="59"/>
      <c r="R157" s="61"/>
    </row>
    <row r="158">
      <c r="B158" s="59"/>
      <c r="D158" s="59"/>
      <c r="F158" s="59"/>
      <c r="H158" s="59"/>
      <c r="J158" s="59"/>
      <c r="L158" s="59"/>
      <c r="N158" s="59"/>
      <c r="Q158" s="59"/>
      <c r="R158" s="61"/>
    </row>
    <row r="159">
      <c r="B159" s="59"/>
      <c r="D159" s="59"/>
      <c r="F159" s="59"/>
      <c r="H159" s="59"/>
      <c r="J159" s="59"/>
      <c r="L159" s="59"/>
      <c r="N159" s="59"/>
      <c r="Q159" s="59"/>
      <c r="R159" s="61"/>
    </row>
    <row r="160">
      <c r="B160" s="59"/>
      <c r="D160" s="59"/>
      <c r="F160" s="59"/>
      <c r="H160" s="59"/>
      <c r="J160" s="59"/>
      <c r="L160" s="59"/>
      <c r="N160" s="59"/>
      <c r="Q160" s="59"/>
      <c r="R160" s="61"/>
    </row>
    <row r="161">
      <c r="B161" s="59"/>
      <c r="D161" s="59"/>
      <c r="F161" s="59"/>
      <c r="H161" s="59"/>
      <c r="J161" s="59"/>
      <c r="L161" s="59"/>
      <c r="N161" s="59"/>
      <c r="Q161" s="59"/>
      <c r="R161" s="61"/>
    </row>
    <row r="162">
      <c r="B162" s="59"/>
      <c r="D162" s="59"/>
      <c r="F162" s="59"/>
      <c r="H162" s="59"/>
      <c r="J162" s="59"/>
      <c r="L162" s="59"/>
      <c r="N162" s="59"/>
      <c r="Q162" s="59"/>
      <c r="R162" s="61"/>
    </row>
    <row r="163">
      <c r="B163" s="59"/>
      <c r="D163" s="59"/>
      <c r="F163" s="59"/>
      <c r="H163" s="59"/>
      <c r="J163" s="59"/>
      <c r="L163" s="59"/>
      <c r="N163" s="59"/>
      <c r="Q163" s="59"/>
      <c r="R163" s="61"/>
    </row>
    <row r="164">
      <c r="B164" s="59"/>
      <c r="D164" s="59"/>
      <c r="F164" s="59"/>
      <c r="H164" s="59"/>
      <c r="J164" s="59"/>
      <c r="L164" s="59"/>
      <c r="N164" s="59"/>
      <c r="Q164" s="59"/>
      <c r="R164" s="61"/>
    </row>
    <row r="165">
      <c r="B165" s="59"/>
      <c r="D165" s="59"/>
      <c r="F165" s="59"/>
      <c r="H165" s="59"/>
      <c r="J165" s="59"/>
      <c r="L165" s="59"/>
      <c r="N165" s="59"/>
      <c r="Q165" s="59"/>
      <c r="R165" s="61"/>
    </row>
    <row r="166">
      <c r="B166" s="59"/>
      <c r="D166" s="59"/>
      <c r="F166" s="59"/>
      <c r="H166" s="59"/>
      <c r="J166" s="59"/>
      <c r="L166" s="59"/>
      <c r="N166" s="59"/>
      <c r="Q166" s="59"/>
      <c r="R166" s="61"/>
    </row>
    <row r="167">
      <c r="B167" s="59"/>
      <c r="D167" s="59"/>
      <c r="F167" s="59"/>
      <c r="H167" s="59"/>
      <c r="J167" s="59"/>
      <c r="L167" s="59"/>
      <c r="N167" s="59"/>
      <c r="Q167" s="59"/>
      <c r="R167" s="61"/>
    </row>
    <row r="168">
      <c r="B168" s="59"/>
      <c r="D168" s="59"/>
      <c r="F168" s="59"/>
      <c r="H168" s="59"/>
      <c r="J168" s="59"/>
      <c r="L168" s="59"/>
      <c r="N168" s="59"/>
      <c r="Q168" s="59"/>
      <c r="R168" s="61"/>
    </row>
    <row r="169">
      <c r="B169" s="59"/>
      <c r="D169" s="59"/>
      <c r="F169" s="59"/>
      <c r="H169" s="59"/>
      <c r="J169" s="59"/>
      <c r="L169" s="59"/>
      <c r="N169" s="59"/>
      <c r="Q169" s="59"/>
      <c r="R169" s="61"/>
    </row>
    <row r="170">
      <c r="B170" s="59"/>
      <c r="D170" s="59"/>
      <c r="F170" s="59"/>
      <c r="H170" s="59"/>
      <c r="J170" s="59"/>
      <c r="L170" s="59"/>
      <c r="N170" s="59"/>
      <c r="Q170" s="59"/>
      <c r="R170" s="61"/>
    </row>
    <row r="171">
      <c r="B171" s="59"/>
      <c r="D171" s="59"/>
      <c r="F171" s="59"/>
      <c r="H171" s="59"/>
      <c r="J171" s="59"/>
      <c r="L171" s="59"/>
      <c r="N171" s="59"/>
      <c r="Q171" s="59"/>
      <c r="R171" s="61"/>
    </row>
    <row r="172">
      <c r="B172" s="59"/>
      <c r="D172" s="59"/>
      <c r="F172" s="59"/>
      <c r="H172" s="59"/>
      <c r="J172" s="59"/>
      <c r="L172" s="59"/>
      <c r="N172" s="59"/>
      <c r="Q172" s="59"/>
      <c r="R172" s="61"/>
    </row>
    <row r="173">
      <c r="B173" s="59"/>
      <c r="D173" s="59"/>
      <c r="F173" s="59"/>
      <c r="H173" s="59"/>
      <c r="J173" s="59"/>
      <c r="L173" s="59"/>
      <c r="N173" s="59"/>
      <c r="Q173" s="59"/>
      <c r="R173" s="61"/>
    </row>
    <row r="174">
      <c r="B174" s="59"/>
      <c r="D174" s="59"/>
      <c r="F174" s="59"/>
      <c r="H174" s="59"/>
      <c r="J174" s="59"/>
      <c r="L174" s="59"/>
      <c r="N174" s="59"/>
      <c r="Q174" s="59"/>
      <c r="R174" s="61"/>
    </row>
    <row r="175">
      <c r="B175" s="59"/>
      <c r="D175" s="59"/>
      <c r="F175" s="59"/>
      <c r="H175" s="59"/>
      <c r="J175" s="59"/>
      <c r="L175" s="59"/>
      <c r="N175" s="59"/>
      <c r="Q175" s="59"/>
      <c r="R175" s="61"/>
    </row>
    <row r="176">
      <c r="B176" s="59"/>
      <c r="D176" s="59"/>
      <c r="F176" s="59"/>
      <c r="H176" s="59"/>
      <c r="J176" s="59"/>
      <c r="L176" s="59"/>
      <c r="N176" s="59"/>
      <c r="Q176" s="59"/>
      <c r="R176" s="61"/>
    </row>
    <row r="177">
      <c r="B177" s="59"/>
      <c r="D177" s="59"/>
      <c r="F177" s="59"/>
      <c r="H177" s="59"/>
      <c r="J177" s="59"/>
      <c r="L177" s="59"/>
      <c r="N177" s="59"/>
      <c r="Q177" s="59"/>
      <c r="R177" s="61"/>
    </row>
    <row r="178">
      <c r="B178" s="59"/>
      <c r="D178" s="59"/>
      <c r="F178" s="59"/>
      <c r="H178" s="59"/>
      <c r="J178" s="59"/>
      <c r="L178" s="59"/>
      <c r="N178" s="59"/>
      <c r="Q178" s="59"/>
      <c r="R178" s="61"/>
    </row>
    <row r="179">
      <c r="B179" s="59"/>
      <c r="D179" s="59"/>
      <c r="F179" s="59"/>
      <c r="H179" s="59"/>
      <c r="J179" s="59"/>
      <c r="L179" s="59"/>
      <c r="N179" s="59"/>
      <c r="Q179" s="59"/>
      <c r="R179" s="61"/>
    </row>
    <row r="180">
      <c r="B180" s="59"/>
      <c r="D180" s="59"/>
      <c r="F180" s="59"/>
      <c r="H180" s="59"/>
      <c r="J180" s="59"/>
      <c r="L180" s="59"/>
      <c r="N180" s="59"/>
      <c r="Q180" s="59"/>
      <c r="R180" s="61"/>
    </row>
    <row r="181">
      <c r="B181" s="59"/>
      <c r="D181" s="59"/>
      <c r="F181" s="59"/>
      <c r="H181" s="59"/>
      <c r="J181" s="59"/>
      <c r="L181" s="59"/>
      <c r="N181" s="59"/>
      <c r="Q181" s="59"/>
      <c r="R181" s="61"/>
    </row>
    <row r="182">
      <c r="B182" s="59"/>
      <c r="D182" s="59"/>
      <c r="F182" s="59"/>
      <c r="H182" s="59"/>
      <c r="J182" s="59"/>
      <c r="L182" s="59"/>
      <c r="N182" s="59"/>
      <c r="Q182" s="59"/>
      <c r="R182" s="61"/>
    </row>
    <row r="183">
      <c r="B183" s="59"/>
      <c r="D183" s="59"/>
      <c r="F183" s="59"/>
      <c r="H183" s="59"/>
      <c r="J183" s="59"/>
      <c r="L183" s="59"/>
      <c r="N183" s="59"/>
      <c r="Q183" s="59"/>
      <c r="R183" s="61"/>
    </row>
    <row r="184">
      <c r="B184" s="59"/>
      <c r="D184" s="59"/>
      <c r="F184" s="59"/>
      <c r="H184" s="59"/>
      <c r="J184" s="59"/>
      <c r="L184" s="59"/>
      <c r="N184" s="59"/>
      <c r="Q184" s="59"/>
      <c r="R184" s="61"/>
    </row>
    <row r="185">
      <c r="B185" s="59"/>
      <c r="D185" s="59"/>
      <c r="F185" s="59"/>
      <c r="H185" s="59"/>
      <c r="J185" s="59"/>
      <c r="L185" s="59"/>
      <c r="N185" s="59"/>
      <c r="Q185" s="59"/>
      <c r="R185" s="61"/>
    </row>
    <row r="186">
      <c r="B186" s="59"/>
      <c r="D186" s="59"/>
      <c r="F186" s="59"/>
      <c r="H186" s="59"/>
      <c r="J186" s="59"/>
      <c r="L186" s="59"/>
      <c r="N186" s="59"/>
      <c r="Q186" s="59"/>
      <c r="R186" s="61"/>
    </row>
    <row r="187">
      <c r="B187" s="59"/>
      <c r="D187" s="59"/>
      <c r="F187" s="59"/>
      <c r="H187" s="59"/>
      <c r="J187" s="59"/>
      <c r="L187" s="59"/>
      <c r="N187" s="59"/>
      <c r="Q187" s="59"/>
      <c r="R187" s="61"/>
    </row>
    <row r="188">
      <c r="B188" s="59"/>
      <c r="D188" s="59"/>
      <c r="F188" s="59"/>
      <c r="H188" s="59"/>
      <c r="J188" s="59"/>
      <c r="L188" s="59"/>
      <c r="N188" s="59"/>
      <c r="Q188" s="59"/>
      <c r="R188" s="61"/>
    </row>
    <row r="189">
      <c r="B189" s="59"/>
      <c r="D189" s="59"/>
      <c r="F189" s="59"/>
      <c r="H189" s="59"/>
      <c r="J189" s="59"/>
      <c r="L189" s="59"/>
      <c r="N189" s="59"/>
      <c r="Q189" s="59"/>
      <c r="R189" s="61"/>
    </row>
    <row r="190">
      <c r="B190" s="59"/>
      <c r="D190" s="59"/>
      <c r="F190" s="59"/>
      <c r="H190" s="59"/>
      <c r="J190" s="59"/>
      <c r="L190" s="59"/>
      <c r="N190" s="59"/>
      <c r="Q190" s="59"/>
      <c r="R190" s="61"/>
    </row>
    <row r="191">
      <c r="B191" s="59"/>
      <c r="D191" s="59"/>
      <c r="F191" s="59"/>
      <c r="H191" s="59"/>
      <c r="J191" s="59"/>
      <c r="L191" s="59"/>
      <c r="N191" s="59"/>
      <c r="Q191" s="59"/>
      <c r="R191" s="61"/>
    </row>
    <row r="192">
      <c r="B192" s="59"/>
      <c r="D192" s="59"/>
      <c r="F192" s="59"/>
      <c r="H192" s="59"/>
      <c r="J192" s="59"/>
      <c r="L192" s="59"/>
      <c r="N192" s="59"/>
      <c r="Q192" s="59"/>
      <c r="R192" s="61"/>
    </row>
    <row r="193">
      <c r="B193" s="59"/>
      <c r="D193" s="59"/>
      <c r="F193" s="59"/>
      <c r="H193" s="59"/>
      <c r="J193" s="59"/>
      <c r="L193" s="59"/>
      <c r="N193" s="59"/>
      <c r="Q193" s="59"/>
      <c r="R193" s="61"/>
    </row>
    <row r="194">
      <c r="B194" s="59"/>
      <c r="D194" s="59"/>
      <c r="F194" s="59"/>
      <c r="H194" s="59"/>
      <c r="J194" s="59"/>
      <c r="L194" s="59"/>
      <c r="N194" s="59"/>
      <c r="Q194" s="59"/>
      <c r="R194" s="61"/>
    </row>
    <row r="195">
      <c r="B195" s="59"/>
      <c r="D195" s="59"/>
      <c r="F195" s="59"/>
      <c r="H195" s="59"/>
      <c r="J195" s="59"/>
      <c r="L195" s="59"/>
      <c r="N195" s="59"/>
      <c r="Q195" s="59"/>
      <c r="R195" s="61"/>
    </row>
    <row r="196">
      <c r="B196" s="59"/>
      <c r="D196" s="59"/>
      <c r="F196" s="59"/>
      <c r="H196" s="59"/>
      <c r="J196" s="59"/>
      <c r="L196" s="59"/>
      <c r="N196" s="59"/>
      <c r="Q196" s="59"/>
      <c r="R196" s="61"/>
    </row>
    <row r="197">
      <c r="B197" s="59"/>
      <c r="D197" s="59"/>
      <c r="F197" s="59"/>
      <c r="H197" s="59"/>
      <c r="J197" s="59"/>
      <c r="L197" s="59"/>
      <c r="N197" s="59"/>
      <c r="Q197" s="59"/>
      <c r="R197" s="61"/>
    </row>
    <row r="198">
      <c r="B198" s="59"/>
      <c r="D198" s="59"/>
      <c r="F198" s="59"/>
      <c r="H198" s="59"/>
      <c r="J198" s="59"/>
      <c r="L198" s="59"/>
      <c r="N198" s="59"/>
      <c r="Q198" s="59"/>
      <c r="R198" s="61"/>
    </row>
    <row r="199">
      <c r="B199" s="59"/>
      <c r="D199" s="59"/>
      <c r="F199" s="59"/>
      <c r="H199" s="59"/>
      <c r="J199" s="59"/>
      <c r="L199" s="59"/>
      <c r="N199" s="59"/>
      <c r="Q199" s="59"/>
      <c r="R199" s="61"/>
    </row>
    <row r="200">
      <c r="B200" s="59"/>
      <c r="D200" s="59"/>
      <c r="F200" s="59"/>
      <c r="H200" s="59"/>
      <c r="J200" s="59"/>
      <c r="L200" s="59"/>
      <c r="N200" s="59"/>
      <c r="Q200" s="59"/>
      <c r="R200" s="61"/>
    </row>
    <row r="201">
      <c r="B201" s="59"/>
      <c r="D201" s="59"/>
      <c r="F201" s="59"/>
      <c r="H201" s="59"/>
      <c r="J201" s="59"/>
      <c r="L201" s="59"/>
      <c r="N201" s="59"/>
      <c r="Q201" s="59"/>
      <c r="R201" s="61"/>
    </row>
    <row r="202">
      <c r="B202" s="59"/>
      <c r="D202" s="59"/>
      <c r="F202" s="59"/>
      <c r="H202" s="59"/>
      <c r="J202" s="59"/>
      <c r="L202" s="59"/>
      <c r="N202" s="59"/>
      <c r="Q202" s="59"/>
      <c r="R202" s="61"/>
    </row>
    <row r="203">
      <c r="B203" s="59"/>
      <c r="D203" s="59"/>
      <c r="F203" s="59"/>
      <c r="H203" s="59"/>
      <c r="J203" s="59"/>
      <c r="L203" s="59"/>
      <c r="N203" s="59"/>
      <c r="Q203" s="59"/>
      <c r="R203" s="61"/>
    </row>
    <row r="204">
      <c r="B204" s="59"/>
      <c r="D204" s="59"/>
      <c r="F204" s="59"/>
      <c r="H204" s="59"/>
      <c r="J204" s="59"/>
      <c r="L204" s="59"/>
      <c r="N204" s="59"/>
      <c r="Q204" s="59"/>
      <c r="R204" s="61"/>
    </row>
    <row r="205">
      <c r="B205" s="59"/>
      <c r="D205" s="59"/>
      <c r="F205" s="59"/>
      <c r="H205" s="59"/>
      <c r="J205" s="59"/>
      <c r="L205" s="59"/>
      <c r="N205" s="59"/>
      <c r="Q205" s="59"/>
      <c r="R205" s="61"/>
    </row>
    <row r="206">
      <c r="B206" s="59"/>
      <c r="D206" s="59"/>
      <c r="F206" s="59"/>
      <c r="H206" s="59"/>
      <c r="J206" s="59"/>
      <c r="L206" s="59"/>
      <c r="N206" s="59"/>
      <c r="Q206" s="59"/>
      <c r="R206" s="61"/>
    </row>
    <row r="207">
      <c r="B207" s="59"/>
      <c r="D207" s="59"/>
      <c r="F207" s="59"/>
      <c r="H207" s="59"/>
      <c r="J207" s="59"/>
      <c r="L207" s="59"/>
      <c r="N207" s="59"/>
      <c r="Q207" s="59"/>
      <c r="R207" s="61"/>
    </row>
    <row r="208">
      <c r="B208" s="59"/>
      <c r="D208" s="59"/>
      <c r="F208" s="59"/>
      <c r="H208" s="59"/>
      <c r="J208" s="59"/>
      <c r="L208" s="59"/>
      <c r="N208" s="59"/>
      <c r="Q208" s="59"/>
      <c r="R208" s="61"/>
    </row>
    <row r="209">
      <c r="B209" s="59"/>
      <c r="D209" s="59"/>
      <c r="F209" s="59"/>
      <c r="H209" s="59"/>
      <c r="J209" s="59"/>
      <c r="L209" s="59"/>
      <c r="N209" s="59"/>
      <c r="Q209" s="59"/>
      <c r="R209" s="61"/>
    </row>
    <row r="210">
      <c r="B210" s="59"/>
      <c r="D210" s="59"/>
      <c r="F210" s="59"/>
      <c r="H210" s="59"/>
      <c r="J210" s="59"/>
      <c r="L210" s="59"/>
      <c r="N210" s="59"/>
      <c r="Q210" s="59"/>
      <c r="R210" s="61"/>
    </row>
    <row r="211">
      <c r="B211" s="59"/>
      <c r="D211" s="59"/>
      <c r="F211" s="59"/>
      <c r="H211" s="59"/>
      <c r="J211" s="59"/>
      <c r="L211" s="59"/>
      <c r="N211" s="59"/>
      <c r="Q211" s="59"/>
      <c r="R211" s="61"/>
    </row>
    <row r="212">
      <c r="B212" s="59"/>
      <c r="D212" s="59"/>
      <c r="F212" s="59"/>
      <c r="H212" s="59"/>
      <c r="J212" s="59"/>
      <c r="L212" s="59"/>
      <c r="N212" s="59"/>
      <c r="Q212" s="59"/>
      <c r="R212" s="61"/>
    </row>
    <row r="213">
      <c r="B213" s="59"/>
      <c r="D213" s="59"/>
      <c r="F213" s="59"/>
      <c r="H213" s="59"/>
      <c r="J213" s="59"/>
      <c r="L213" s="59"/>
      <c r="N213" s="59"/>
      <c r="Q213" s="59"/>
      <c r="R213" s="61"/>
    </row>
    <row r="214">
      <c r="B214" s="59"/>
      <c r="D214" s="59"/>
      <c r="F214" s="59"/>
      <c r="H214" s="59"/>
      <c r="J214" s="59"/>
      <c r="L214" s="59"/>
      <c r="N214" s="59"/>
      <c r="Q214" s="59"/>
      <c r="R214" s="61"/>
    </row>
    <row r="215">
      <c r="B215" s="59"/>
      <c r="D215" s="59"/>
      <c r="F215" s="59"/>
      <c r="H215" s="59"/>
      <c r="J215" s="59"/>
      <c r="L215" s="59"/>
      <c r="N215" s="59"/>
      <c r="Q215" s="59"/>
      <c r="R215" s="61"/>
    </row>
    <row r="216">
      <c r="B216" s="59"/>
      <c r="D216" s="59"/>
      <c r="F216" s="59"/>
      <c r="H216" s="59"/>
      <c r="J216" s="59"/>
      <c r="L216" s="59"/>
      <c r="N216" s="59"/>
      <c r="Q216" s="59"/>
      <c r="R216" s="61"/>
    </row>
    <row r="217">
      <c r="B217" s="59"/>
      <c r="D217" s="59"/>
      <c r="F217" s="59"/>
      <c r="H217" s="59"/>
      <c r="J217" s="59"/>
      <c r="L217" s="59"/>
      <c r="N217" s="59"/>
      <c r="Q217" s="59"/>
      <c r="R217" s="61"/>
    </row>
    <row r="218">
      <c r="B218" s="59"/>
      <c r="D218" s="59"/>
      <c r="F218" s="59"/>
      <c r="H218" s="59"/>
      <c r="J218" s="59"/>
      <c r="L218" s="59"/>
      <c r="N218" s="59"/>
      <c r="Q218" s="59"/>
      <c r="R218" s="61"/>
    </row>
    <row r="219">
      <c r="B219" s="59"/>
      <c r="D219" s="59"/>
      <c r="F219" s="59"/>
      <c r="H219" s="59"/>
      <c r="J219" s="59"/>
      <c r="L219" s="59"/>
      <c r="N219" s="59"/>
      <c r="Q219" s="59"/>
      <c r="R219" s="61"/>
    </row>
    <row r="220">
      <c r="B220" s="59"/>
      <c r="D220" s="59"/>
      <c r="F220" s="59"/>
      <c r="H220" s="59"/>
      <c r="J220" s="59"/>
      <c r="L220" s="59"/>
      <c r="N220" s="59"/>
      <c r="Q220" s="59"/>
      <c r="R220" s="61"/>
    </row>
    <row r="221">
      <c r="B221" s="59"/>
      <c r="D221" s="59"/>
      <c r="F221" s="59"/>
      <c r="H221" s="59"/>
      <c r="J221" s="59"/>
      <c r="L221" s="59"/>
      <c r="N221" s="59"/>
      <c r="Q221" s="59"/>
      <c r="R221" s="61"/>
    </row>
    <row r="222">
      <c r="B222" s="59"/>
      <c r="D222" s="59"/>
      <c r="F222" s="59"/>
      <c r="H222" s="59"/>
      <c r="J222" s="59"/>
      <c r="L222" s="59"/>
      <c r="N222" s="59"/>
      <c r="Q222" s="59"/>
      <c r="R222" s="61"/>
    </row>
    <row r="223">
      <c r="B223" s="59"/>
      <c r="D223" s="59"/>
      <c r="F223" s="59"/>
      <c r="H223" s="59"/>
      <c r="J223" s="59"/>
      <c r="L223" s="59"/>
      <c r="N223" s="59"/>
      <c r="Q223" s="59"/>
      <c r="R223" s="61"/>
    </row>
    <row r="224">
      <c r="B224" s="59"/>
      <c r="D224" s="59"/>
      <c r="F224" s="59"/>
      <c r="H224" s="59"/>
      <c r="J224" s="59"/>
      <c r="L224" s="59"/>
      <c r="N224" s="59"/>
      <c r="Q224" s="59"/>
      <c r="R224" s="61"/>
    </row>
    <row r="225">
      <c r="B225" s="59"/>
      <c r="D225" s="59"/>
      <c r="F225" s="59"/>
      <c r="H225" s="59"/>
      <c r="J225" s="59"/>
      <c r="L225" s="59"/>
      <c r="N225" s="59"/>
      <c r="Q225" s="59"/>
      <c r="R225" s="61"/>
    </row>
    <row r="226">
      <c r="B226" s="59"/>
      <c r="D226" s="59"/>
      <c r="F226" s="59"/>
      <c r="H226" s="59"/>
      <c r="J226" s="59"/>
      <c r="L226" s="59"/>
      <c r="N226" s="59"/>
      <c r="Q226" s="59"/>
      <c r="R226" s="61"/>
    </row>
    <row r="227">
      <c r="B227" s="59"/>
      <c r="D227" s="59"/>
      <c r="F227" s="59"/>
      <c r="H227" s="59"/>
      <c r="J227" s="59"/>
      <c r="L227" s="59"/>
      <c r="N227" s="59"/>
      <c r="Q227" s="59"/>
      <c r="R227" s="61"/>
    </row>
    <row r="228">
      <c r="B228" s="59"/>
      <c r="D228" s="59"/>
      <c r="F228" s="59"/>
      <c r="H228" s="59"/>
      <c r="J228" s="59"/>
      <c r="L228" s="59"/>
      <c r="N228" s="59"/>
      <c r="Q228" s="59"/>
      <c r="R228" s="61"/>
    </row>
    <row r="229">
      <c r="B229" s="59"/>
      <c r="D229" s="59"/>
      <c r="F229" s="59"/>
      <c r="H229" s="59"/>
      <c r="J229" s="59"/>
      <c r="L229" s="59"/>
      <c r="N229" s="59"/>
      <c r="Q229" s="59"/>
      <c r="R229" s="61"/>
    </row>
    <row r="230">
      <c r="B230" s="59"/>
      <c r="D230" s="59"/>
      <c r="F230" s="59"/>
      <c r="H230" s="59"/>
      <c r="J230" s="59"/>
      <c r="L230" s="59"/>
      <c r="N230" s="59"/>
      <c r="Q230" s="59"/>
      <c r="R230" s="61"/>
    </row>
    <row r="231">
      <c r="B231" s="59"/>
      <c r="D231" s="59"/>
      <c r="F231" s="59"/>
      <c r="H231" s="59"/>
      <c r="J231" s="59"/>
      <c r="L231" s="59"/>
      <c r="N231" s="59"/>
      <c r="Q231" s="59"/>
      <c r="R231" s="61"/>
    </row>
    <row r="232">
      <c r="B232" s="59"/>
      <c r="D232" s="59"/>
      <c r="F232" s="59"/>
      <c r="H232" s="59"/>
      <c r="J232" s="59"/>
      <c r="L232" s="59"/>
      <c r="N232" s="59"/>
      <c r="Q232" s="59"/>
      <c r="R232" s="61"/>
    </row>
    <row r="233">
      <c r="B233" s="59"/>
      <c r="D233" s="59"/>
      <c r="F233" s="59"/>
      <c r="H233" s="59"/>
      <c r="J233" s="59"/>
      <c r="L233" s="59"/>
      <c r="N233" s="59"/>
      <c r="Q233" s="59"/>
      <c r="R233" s="61"/>
    </row>
    <row r="234">
      <c r="B234" s="59"/>
      <c r="D234" s="59"/>
      <c r="F234" s="59"/>
      <c r="H234" s="59"/>
      <c r="J234" s="59"/>
      <c r="L234" s="59"/>
      <c r="N234" s="59"/>
      <c r="Q234" s="59"/>
      <c r="R234" s="61"/>
    </row>
    <row r="235">
      <c r="B235" s="59"/>
      <c r="D235" s="59"/>
      <c r="F235" s="59"/>
      <c r="H235" s="59"/>
      <c r="J235" s="59"/>
      <c r="L235" s="59"/>
      <c r="N235" s="59"/>
      <c r="Q235" s="59"/>
      <c r="R235" s="61"/>
    </row>
    <row r="236">
      <c r="B236" s="59"/>
      <c r="D236" s="59"/>
      <c r="F236" s="59"/>
      <c r="H236" s="59"/>
      <c r="J236" s="59"/>
      <c r="L236" s="59"/>
      <c r="N236" s="59"/>
      <c r="Q236" s="59"/>
      <c r="R236" s="61"/>
    </row>
    <row r="237">
      <c r="B237" s="59"/>
      <c r="D237" s="59"/>
      <c r="F237" s="59"/>
      <c r="H237" s="59"/>
      <c r="J237" s="59"/>
      <c r="L237" s="59"/>
      <c r="N237" s="59"/>
      <c r="Q237" s="59"/>
      <c r="R237" s="61"/>
    </row>
    <row r="238">
      <c r="B238" s="59"/>
      <c r="D238" s="59"/>
      <c r="F238" s="59"/>
      <c r="H238" s="59"/>
      <c r="J238" s="59"/>
      <c r="L238" s="59"/>
      <c r="N238" s="59"/>
      <c r="Q238" s="59"/>
      <c r="R238" s="61"/>
    </row>
    <row r="239">
      <c r="B239" s="59"/>
      <c r="D239" s="59"/>
      <c r="F239" s="59"/>
      <c r="H239" s="59"/>
      <c r="J239" s="59"/>
      <c r="L239" s="59"/>
      <c r="N239" s="59"/>
      <c r="Q239" s="59"/>
      <c r="R239" s="61"/>
    </row>
    <row r="240">
      <c r="B240" s="59"/>
      <c r="D240" s="59"/>
      <c r="F240" s="59"/>
      <c r="H240" s="59"/>
      <c r="J240" s="59"/>
      <c r="L240" s="59"/>
      <c r="N240" s="59"/>
      <c r="Q240" s="59"/>
      <c r="R240" s="61"/>
    </row>
    <row r="241">
      <c r="B241" s="59"/>
      <c r="D241" s="59"/>
      <c r="F241" s="59"/>
      <c r="H241" s="59"/>
      <c r="J241" s="59"/>
      <c r="L241" s="59"/>
      <c r="N241" s="59"/>
      <c r="Q241" s="59"/>
      <c r="R241" s="61"/>
    </row>
    <row r="242">
      <c r="B242" s="59"/>
      <c r="D242" s="59"/>
      <c r="F242" s="59"/>
      <c r="H242" s="59"/>
      <c r="J242" s="59"/>
      <c r="L242" s="59"/>
      <c r="N242" s="59"/>
      <c r="Q242" s="59"/>
      <c r="R242" s="61"/>
    </row>
    <row r="243">
      <c r="B243" s="59"/>
      <c r="D243" s="59"/>
      <c r="F243" s="59"/>
      <c r="H243" s="59"/>
      <c r="J243" s="59"/>
      <c r="L243" s="59"/>
      <c r="N243" s="59"/>
      <c r="Q243" s="59"/>
      <c r="R243" s="61"/>
    </row>
    <row r="244">
      <c r="B244" s="59"/>
      <c r="D244" s="59"/>
      <c r="F244" s="59"/>
      <c r="H244" s="59"/>
      <c r="J244" s="59"/>
      <c r="L244" s="59"/>
      <c r="N244" s="59"/>
      <c r="Q244" s="59"/>
      <c r="R244" s="61"/>
    </row>
    <row r="245">
      <c r="B245" s="59"/>
      <c r="D245" s="59"/>
      <c r="F245" s="59"/>
      <c r="H245" s="59"/>
      <c r="J245" s="59"/>
      <c r="L245" s="59"/>
      <c r="N245" s="59"/>
      <c r="Q245" s="59"/>
      <c r="R245" s="61"/>
    </row>
    <row r="246">
      <c r="B246" s="59"/>
      <c r="D246" s="59"/>
      <c r="F246" s="59"/>
      <c r="H246" s="59"/>
      <c r="J246" s="59"/>
      <c r="L246" s="59"/>
      <c r="N246" s="59"/>
      <c r="Q246" s="59"/>
      <c r="R246" s="61"/>
    </row>
    <row r="247">
      <c r="B247" s="59"/>
      <c r="D247" s="59"/>
      <c r="F247" s="59"/>
      <c r="H247" s="59"/>
      <c r="J247" s="59"/>
      <c r="L247" s="59"/>
      <c r="N247" s="59"/>
      <c r="Q247" s="59"/>
      <c r="R247" s="61"/>
    </row>
    <row r="248">
      <c r="B248" s="59"/>
      <c r="D248" s="59"/>
      <c r="F248" s="59"/>
      <c r="H248" s="59"/>
      <c r="J248" s="59"/>
      <c r="L248" s="59"/>
      <c r="N248" s="59"/>
      <c r="Q248" s="59"/>
      <c r="R248" s="61"/>
    </row>
    <row r="249">
      <c r="B249" s="59"/>
      <c r="D249" s="59"/>
      <c r="F249" s="59"/>
      <c r="H249" s="59"/>
      <c r="J249" s="59"/>
      <c r="L249" s="59"/>
      <c r="N249" s="59"/>
      <c r="Q249" s="59"/>
      <c r="R249" s="61"/>
    </row>
    <row r="250">
      <c r="B250" s="59"/>
      <c r="D250" s="59"/>
      <c r="F250" s="59"/>
      <c r="H250" s="59"/>
      <c r="J250" s="59"/>
      <c r="L250" s="59"/>
      <c r="N250" s="59"/>
      <c r="Q250" s="59"/>
      <c r="R250" s="61"/>
    </row>
    <row r="251">
      <c r="B251" s="59"/>
      <c r="D251" s="59"/>
      <c r="F251" s="59"/>
      <c r="H251" s="59"/>
      <c r="J251" s="59"/>
      <c r="L251" s="59"/>
      <c r="N251" s="59"/>
      <c r="Q251" s="59"/>
      <c r="R251" s="61"/>
    </row>
    <row r="252">
      <c r="B252" s="59"/>
      <c r="D252" s="59"/>
      <c r="F252" s="59"/>
      <c r="H252" s="59"/>
      <c r="J252" s="59"/>
      <c r="L252" s="59"/>
      <c r="N252" s="59"/>
      <c r="Q252" s="59"/>
      <c r="R252" s="61"/>
    </row>
    <row r="253">
      <c r="B253" s="59"/>
      <c r="D253" s="59"/>
      <c r="F253" s="59"/>
      <c r="H253" s="59"/>
      <c r="J253" s="59"/>
      <c r="L253" s="59"/>
      <c r="N253" s="59"/>
      <c r="Q253" s="59"/>
      <c r="R253" s="61"/>
    </row>
    <row r="254">
      <c r="B254" s="59"/>
      <c r="D254" s="59"/>
      <c r="F254" s="59"/>
      <c r="H254" s="59"/>
      <c r="J254" s="59"/>
      <c r="L254" s="59"/>
      <c r="N254" s="59"/>
      <c r="Q254" s="59"/>
      <c r="R254" s="61"/>
    </row>
    <row r="255">
      <c r="B255" s="59"/>
      <c r="D255" s="59"/>
      <c r="F255" s="59"/>
      <c r="H255" s="59"/>
      <c r="J255" s="59"/>
      <c r="L255" s="59"/>
      <c r="N255" s="59"/>
      <c r="Q255" s="59"/>
      <c r="R255" s="61"/>
    </row>
    <row r="256">
      <c r="B256" s="59"/>
      <c r="D256" s="59"/>
      <c r="F256" s="59"/>
      <c r="H256" s="59"/>
      <c r="J256" s="59"/>
      <c r="L256" s="59"/>
      <c r="N256" s="59"/>
      <c r="Q256" s="59"/>
      <c r="R256" s="61"/>
    </row>
    <row r="257">
      <c r="B257" s="59"/>
      <c r="D257" s="59"/>
      <c r="F257" s="59"/>
      <c r="H257" s="59"/>
      <c r="J257" s="59"/>
      <c r="L257" s="59"/>
      <c r="N257" s="59"/>
      <c r="Q257" s="59"/>
      <c r="R257" s="61"/>
    </row>
    <row r="258">
      <c r="B258" s="59"/>
      <c r="D258" s="59"/>
      <c r="F258" s="59"/>
      <c r="H258" s="59"/>
      <c r="J258" s="59"/>
      <c r="L258" s="59"/>
      <c r="N258" s="59"/>
      <c r="Q258" s="59"/>
      <c r="R258" s="61"/>
    </row>
    <row r="259">
      <c r="B259" s="59"/>
      <c r="D259" s="59"/>
      <c r="F259" s="59"/>
      <c r="H259" s="59"/>
      <c r="J259" s="59"/>
      <c r="L259" s="59"/>
      <c r="N259" s="59"/>
      <c r="Q259" s="59"/>
      <c r="R259" s="61"/>
    </row>
    <row r="260">
      <c r="B260" s="59"/>
      <c r="D260" s="59"/>
      <c r="F260" s="59"/>
      <c r="H260" s="59"/>
      <c r="J260" s="59"/>
      <c r="L260" s="59"/>
      <c r="N260" s="59"/>
      <c r="Q260" s="59"/>
      <c r="R260" s="61"/>
    </row>
    <row r="261">
      <c r="B261" s="59"/>
      <c r="D261" s="59"/>
      <c r="F261" s="59"/>
      <c r="H261" s="59"/>
      <c r="J261" s="59"/>
      <c r="L261" s="59"/>
      <c r="N261" s="59"/>
      <c r="Q261" s="59"/>
      <c r="R261" s="61"/>
    </row>
    <row r="262">
      <c r="B262" s="59"/>
      <c r="D262" s="59"/>
      <c r="F262" s="59"/>
      <c r="H262" s="59"/>
      <c r="J262" s="59"/>
      <c r="L262" s="59"/>
      <c r="N262" s="59"/>
      <c r="Q262" s="59"/>
      <c r="R262" s="61"/>
    </row>
    <row r="263">
      <c r="B263" s="59"/>
      <c r="D263" s="59"/>
      <c r="F263" s="59"/>
      <c r="H263" s="59"/>
      <c r="J263" s="59"/>
      <c r="L263" s="59"/>
      <c r="N263" s="59"/>
      <c r="Q263" s="59"/>
      <c r="R263" s="61"/>
    </row>
    <row r="264">
      <c r="B264" s="59"/>
      <c r="D264" s="59"/>
      <c r="F264" s="59"/>
      <c r="H264" s="59"/>
      <c r="J264" s="59"/>
      <c r="L264" s="59"/>
      <c r="N264" s="59"/>
      <c r="Q264" s="59"/>
      <c r="R264" s="61"/>
    </row>
    <row r="265">
      <c r="B265" s="59"/>
      <c r="D265" s="59"/>
      <c r="F265" s="59"/>
      <c r="H265" s="59"/>
      <c r="J265" s="59"/>
      <c r="L265" s="59"/>
      <c r="N265" s="59"/>
      <c r="Q265" s="59"/>
      <c r="R265" s="61"/>
    </row>
    <row r="266">
      <c r="B266" s="59"/>
      <c r="D266" s="59"/>
      <c r="F266" s="59"/>
      <c r="H266" s="59"/>
      <c r="J266" s="59"/>
      <c r="L266" s="59"/>
      <c r="N266" s="59"/>
      <c r="Q266" s="59"/>
      <c r="R266" s="61"/>
    </row>
    <row r="267">
      <c r="B267" s="59"/>
      <c r="D267" s="59"/>
      <c r="F267" s="59"/>
      <c r="H267" s="59"/>
      <c r="J267" s="59"/>
      <c r="L267" s="59"/>
      <c r="N267" s="59"/>
      <c r="Q267" s="59"/>
      <c r="R267" s="61"/>
    </row>
    <row r="268">
      <c r="B268" s="59"/>
      <c r="D268" s="59"/>
      <c r="F268" s="59"/>
      <c r="H268" s="59"/>
      <c r="J268" s="59"/>
      <c r="L268" s="59"/>
      <c r="N268" s="59"/>
      <c r="Q268" s="59"/>
      <c r="R268" s="61"/>
    </row>
    <row r="269">
      <c r="B269" s="59"/>
      <c r="D269" s="59"/>
      <c r="F269" s="59"/>
      <c r="H269" s="59"/>
      <c r="J269" s="59"/>
      <c r="L269" s="59"/>
      <c r="N269" s="59"/>
      <c r="Q269" s="59"/>
      <c r="R269" s="61"/>
    </row>
    <row r="270">
      <c r="B270" s="59"/>
      <c r="D270" s="59"/>
      <c r="F270" s="59"/>
      <c r="H270" s="59"/>
      <c r="J270" s="59"/>
      <c r="L270" s="59"/>
      <c r="N270" s="59"/>
      <c r="Q270" s="59"/>
      <c r="R270" s="61"/>
    </row>
    <row r="271">
      <c r="B271" s="59"/>
      <c r="D271" s="59"/>
      <c r="F271" s="59"/>
      <c r="H271" s="59"/>
      <c r="J271" s="59"/>
      <c r="L271" s="59"/>
      <c r="N271" s="59"/>
      <c r="Q271" s="59"/>
      <c r="R271" s="61"/>
    </row>
    <row r="272">
      <c r="B272" s="59"/>
      <c r="D272" s="59"/>
      <c r="F272" s="59"/>
      <c r="H272" s="59"/>
      <c r="J272" s="59"/>
      <c r="L272" s="59"/>
      <c r="N272" s="59"/>
      <c r="Q272" s="59"/>
      <c r="R272" s="61"/>
    </row>
    <row r="273">
      <c r="B273" s="59"/>
      <c r="D273" s="59"/>
      <c r="F273" s="59"/>
      <c r="H273" s="59"/>
      <c r="J273" s="59"/>
      <c r="L273" s="59"/>
      <c r="N273" s="59"/>
      <c r="Q273" s="59"/>
      <c r="R273" s="61"/>
    </row>
    <row r="274">
      <c r="B274" s="59"/>
      <c r="D274" s="59"/>
      <c r="F274" s="59"/>
      <c r="H274" s="59"/>
      <c r="J274" s="59"/>
      <c r="L274" s="59"/>
      <c r="N274" s="59"/>
      <c r="Q274" s="59"/>
      <c r="R274" s="61"/>
    </row>
    <row r="275">
      <c r="B275" s="59"/>
      <c r="D275" s="59"/>
      <c r="F275" s="59"/>
      <c r="H275" s="59"/>
      <c r="J275" s="59"/>
      <c r="L275" s="59"/>
      <c r="N275" s="59"/>
      <c r="Q275" s="59"/>
      <c r="R275" s="61"/>
    </row>
    <row r="276">
      <c r="B276" s="59"/>
      <c r="D276" s="59"/>
      <c r="F276" s="59"/>
      <c r="H276" s="59"/>
      <c r="J276" s="59"/>
      <c r="L276" s="59"/>
      <c r="N276" s="59"/>
      <c r="Q276" s="59"/>
      <c r="R276" s="61"/>
    </row>
    <row r="277">
      <c r="B277" s="59"/>
      <c r="D277" s="59"/>
      <c r="F277" s="59"/>
      <c r="H277" s="59"/>
      <c r="J277" s="59"/>
      <c r="L277" s="59"/>
      <c r="N277" s="59"/>
      <c r="Q277" s="59"/>
      <c r="R277" s="61"/>
    </row>
    <row r="278">
      <c r="B278" s="59"/>
      <c r="D278" s="59"/>
      <c r="F278" s="59"/>
      <c r="H278" s="59"/>
      <c r="J278" s="59"/>
      <c r="L278" s="59"/>
      <c r="N278" s="59"/>
      <c r="Q278" s="59"/>
      <c r="R278" s="61"/>
    </row>
    <row r="279">
      <c r="B279" s="59"/>
      <c r="D279" s="59"/>
      <c r="F279" s="59"/>
      <c r="H279" s="59"/>
      <c r="J279" s="59"/>
      <c r="L279" s="59"/>
      <c r="N279" s="59"/>
      <c r="Q279" s="59"/>
      <c r="R279" s="61"/>
    </row>
    <row r="280">
      <c r="B280" s="59"/>
      <c r="D280" s="59"/>
      <c r="F280" s="59"/>
      <c r="H280" s="59"/>
      <c r="J280" s="59"/>
      <c r="L280" s="59"/>
      <c r="N280" s="59"/>
      <c r="Q280" s="59"/>
      <c r="R280" s="61"/>
    </row>
    <row r="281">
      <c r="B281" s="59"/>
      <c r="D281" s="59"/>
      <c r="F281" s="59"/>
      <c r="H281" s="59"/>
      <c r="J281" s="59"/>
      <c r="L281" s="59"/>
      <c r="N281" s="59"/>
      <c r="Q281" s="59"/>
      <c r="R281" s="61"/>
    </row>
    <row r="282">
      <c r="B282" s="59"/>
      <c r="D282" s="59"/>
      <c r="F282" s="59"/>
      <c r="H282" s="59"/>
      <c r="J282" s="59"/>
      <c r="L282" s="59"/>
      <c r="N282" s="59"/>
      <c r="Q282" s="59"/>
      <c r="R282" s="61"/>
    </row>
    <row r="283">
      <c r="B283" s="59"/>
      <c r="D283" s="59"/>
      <c r="F283" s="59"/>
      <c r="H283" s="59"/>
      <c r="J283" s="59"/>
      <c r="L283" s="59"/>
      <c r="N283" s="59"/>
      <c r="Q283" s="59"/>
      <c r="R283" s="61"/>
    </row>
    <row r="284">
      <c r="B284" s="59"/>
      <c r="D284" s="59"/>
      <c r="F284" s="59"/>
      <c r="H284" s="59"/>
      <c r="J284" s="59"/>
      <c r="L284" s="59"/>
      <c r="N284" s="59"/>
      <c r="Q284" s="59"/>
      <c r="R284" s="61"/>
    </row>
    <row r="285">
      <c r="B285" s="59"/>
      <c r="D285" s="59"/>
      <c r="F285" s="59"/>
      <c r="H285" s="59"/>
      <c r="J285" s="59"/>
      <c r="L285" s="59"/>
      <c r="N285" s="59"/>
      <c r="Q285" s="59"/>
      <c r="R285" s="61"/>
    </row>
    <row r="286">
      <c r="B286" s="59"/>
      <c r="D286" s="59"/>
      <c r="F286" s="59"/>
      <c r="H286" s="59"/>
      <c r="J286" s="59"/>
      <c r="L286" s="59"/>
      <c r="N286" s="59"/>
      <c r="Q286" s="59"/>
      <c r="R286" s="61"/>
    </row>
    <row r="287">
      <c r="B287" s="59"/>
      <c r="D287" s="59"/>
      <c r="F287" s="59"/>
      <c r="H287" s="59"/>
      <c r="J287" s="59"/>
      <c r="L287" s="59"/>
      <c r="N287" s="59"/>
      <c r="Q287" s="59"/>
      <c r="R287" s="61"/>
    </row>
    <row r="288">
      <c r="B288" s="59"/>
      <c r="D288" s="59"/>
      <c r="F288" s="59"/>
      <c r="H288" s="59"/>
      <c r="J288" s="59"/>
      <c r="L288" s="59"/>
      <c r="N288" s="59"/>
      <c r="Q288" s="59"/>
      <c r="R288" s="61"/>
    </row>
    <row r="289">
      <c r="B289" s="59"/>
      <c r="D289" s="59"/>
      <c r="F289" s="59"/>
      <c r="H289" s="59"/>
      <c r="J289" s="59"/>
      <c r="L289" s="59"/>
      <c r="N289" s="59"/>
      <c r="Q289" s="59"/>
      <c r="R289" s="61"/>
    </row>
    <row r="290">
      <c r="B290" s="59"/>
      <c r="D290" s="59"/>
      <c r="F290" s="59"/>
      <c r="H290" s="59"/>
      <c r="J290" s="59"/>
      <c r="L290" s="59"/>
      <c r="N290" s="59"/>
      <c r="Q290" s="59"/>
      <c r="R290" s="61"/>
    </row>
    <row r="291">
      <c r="B291" s="59"/>
      <c r="D291" s="59"/>
      <c r="F291" s="59"/>
      <c r="H291" s="59"/>
      <c r="J291" s="59"/>
      <c r="L291" s="59"/>
      <c r="N291" s="59"/>
      <c r="Q291" s="59"/>
      <c r="R291" s="61"/>
    </row>
    <row r="292">
      <c r="B292" s="59"/>
      <c r="D292" s="59"/>
      <c r="F292" s="59"/>
      <c r="H292" s="59"/>
      <c r="J292" s="59"/>
      <c r="L292" s="59"/>
      <c r="N292" s="59"/>
      <c r="Q292" s="59"/>
      <c r="R292" s="61"/>
    </row>
    <row r="293">
      <c r="B293" s="59"/>
      <c r="D293" s="59"/>
      <c r="F293" s="59"/>
      <c r="H293" s="59"/>
      <c r="J293" s="59"/>
      <c r="L293" s="59"/>
      <c r="N293" s="59"/>
      <c r="Q293" s="59"/>
      <c r="R293" s="61"/>
    </row>
    <row r="294">
      <c r="B294" s="59"/>
      <c r="D294" s="59"/>
      <c r="F294" s="59"/>
      <c r="H294" s="59"/>
      <c r="J294" s="59"/>
      <c r="L294" s="59"/>
      <c r="N294" s="59"/>
      <c r="Q294" s="59"/>
      <c r="R294" s="61"/>
    </row>
    <row r="295">
      <c r="B295" s="59"/>
      <c r="D295" s="59"/>
      <c r="F295" s="59"/>
      <c r="H295" s="59"/>
      <c r="J295" s="59"/>
      <c r="L295" s="59"/>
      <c r="N295" s="59"/>
      <c r="Q295" s="59"/>
      <c r="R295" s="61"/>
    </row>
    <row r="296">
      <c r="B296" s="59"/>
      <c r="D296" s="59"/>
      <c r="F296" s="59"/>
      <c r="H296" s="59"/>
      <c r="J296" s="59"/>
      <c r="L296" s="59"/>
      <c r="N296" s="59"/>
      <c r="Q296" s="59"/>
      <c r="R296" s="61"/>
    </row>
    <row r="297">
      <c r="B297" s="59"/>
      <c r="D297" s="59"/>
      <c r="F297" s="59"/>
      <c r="H297" s="59"/>
      <c r="J297" s="59"/>
      <c r="L297" s="59"/>
      <c r="N297" s="59"/>
      <c r="Q297" s="59"/>
      <c r="R297" s="61"/>
    </row>
    <row r="298">
      <c r="B298" s="59"/>
      <c r="D298" s="59"/>
      <c r="F298" s="59"/>
      <c r="H298" s="59"/>
      <c r="J298" s="59"/>
      <c r="L298" s="59"/>
      <c r="N298" s="59"/>
      <c r="Q298" s="59"/>
      <c r="R298" s="61"/>
    </row>
    <row r="299">
      <c r="B299" s="59"/>
      <c r="D299" s="59"/>
      <c r="F299" s="59"/>
      <c r="H299" s="59"/>
      <c r="J299" s="59"/>
      <c r="L299" s="59"/>
      <c r="N299" s="59"/>
      <c r="Q299" s="59"/>
      <c r="R299" s="61"/>
    </row>
    <row r="300">
      <c r="B300" s="59"/>
      <c r="D300" s="59"/>
      <c r="F300" s="59"/>
      <c r="H300" s="59"/>
      <c r="J300" s="59"/>
      <c r="L300" s="59"/>
      <c r="N300" s="59"/>
      <c r="Q300" s="59"/>
      <c r="R300" s="61"/>
    </row>
    <row r="301">
      <c r="B301" s="59"/>
      <c r="D301" s="59"/>
      <c r="F301" s="59"/>
      <c r="H301" s="59"/>
      <c r="J301" s="59"/>
      <c r="L301" s="59"/>
      <c r="N301" s="59"/>
      <c r="Q301" s="59"/>
      <c r="R301" s="61"/>
    </row>
    <row r="302">
      <c r="B302" s="59"/>
      <c r="D302" s="59"/>
      <c r="F302" s="59"/>
      <c r="H302" s="59"/>
      <c r="J302" s="59"/>
      <c r="L302" s="59"/>
      <c r="N302" s="59"/>
      <c r="Q302" s="59"/>
      <c r="R302" s="61"/>
    </row>
    <row r="303">
      <c r="B303" s="59"/>
      <c r="D303" s="59"/>
      <c r="F303" s="59"/>
      <c r="H303" s="59"/>
      <c r="J303" s="59"/>
      <c r="L303" s="59"/>
      <c r="N303" s="59"/>
      <c r="Q303" s="59"/>
      <c r="R303" s="61"/>
    </row>
    <row r="304">
      <c r="B304" s="59"/>
      <c r="D304" s="59"/>
      <c r="F304" s="59"/>
      <c r="H304" s="59"/>
      <c r="J304" s="59"/>
      <c r="L304" s="59"/>
      <c r="N304" s="59"/>
      <c r="Q304" s="59"/>
      <c r="R304" s="61"/>
    </row>
    <row r="305">
      <c r="B305" s="59"/>
      <c r="D305" s="59"/>
      <c r="F305" s="59"/>
      <c r="H305" s="59"/>
      <c r="J305" s="59"/>
      <c r="L305" s="59"/>
      <c r="N305" s="59"/>
      <c r="Q305" s="59"/>
      <c r="R305" s="61"/>
    </row>
    <row r="306">
      <c r="B306" s="59"/>
      <c r="D306" s="59"/>
      <c r="F306" s="59"/>
      <c r="H306" s="59"/>
      <c r="J306" s="59"/>
      <c r="L306" s="59"/>
      <c r="N306" s="59"/>
      <c r="Q306" s="59"/>
      <c r="R306" s="61"/>
    </row>
    <row r="307">
      <c r="B307" s="59"/>
      <c r="D307" s="59"/>
      <c r="F307" s="59"/>
      <c r="H307" s="59"/>
      <c r="J307" s="59"/>
      <c r="L307" s="59"/>
      <c r="N307" s="59"/>
      <c r="Q307" s="59"/>
      <c r="R307" s="61"/>
    </row>
    <row r="308">
      <c r="B308" s="59"/>
      <c r="D308" s="59"/>
      <c r="F308" s="59"/>
      <c r="H308" s="59"/>
      <c r="J308" s="59"/>
      <c r="L308" s="59"/>
      <c r="N308" s="59"/>
      <c r="Q308" s="59"/>
      <c r="R308" s="61"/>
    </row>
    <row r="309">
      <c r="B309" s="59"/>
      <c r="D309" s="59"/>
      <c r="F309" s="59"/>
      <c r="H309" s="59"/>
      <c r="J309" s="59"/>
      <c r="L309" s="59"/>
      <c r="N309" s="59"/>
      <c r="Q309" s="59"/>
      <c r="R309" s="61"/>
    </row>
    <row r="310">
      <c r="B310" s="59"/>
      <c r="D310" s="59"/>
      <c r="F310" s="59"/>
      <c r="H310" s="59"/>
      <c r="J310" s="59"/>
      <c r="L310" s="59"/>
      <c r="N310" s="59"/>
      <c r="Q310" s="59"/>
      <c r="R310" s="61"/>
    </row>
    <row r="311">
      <c r="B311" s="59"/>
      <c r="D311" s="59"/>
      <c r="F311" s="59"/>
      <c r="H311" s="59"/>
      <c r="J311" s="59"/>
      <c r="L311" s="59"/>
      <c r="N311" s="59"/>
      <c r="Q311" s="59"/>
      <c r="R311" s="61"/>
    </row>
    <row r="312">
      <c r="B312" s="59"/>
      <c r="D312" s="59"/>
      <c r="F312" s="59"/>
      <c r="H312" s="59"/>
      <c r="J312" s="59"/>
      <c r="L312" s="59"/>
      <c r="N312" s="59"/>
      <c r="Q312" s="59"/>
      <c r="R312" s="61"/>
    </row>
    <row r="313">
      <c r="B313" s="59"/>
      <c r="D313" s="59"/>
      <c r="F313" s="59"/>
      <c r="H313" s="59"/>
      <c r="J313" s="59"/>
      <c r="L313" s="59"/>
      <c r="N313" s="59"/>
      <c r="Q313" s="59"/>
      <c r="R313" s="61"/>
    </row>
    <row r="314">
      <c r="B314" s="59"/>
      <c r="D314" s="59"/>
      <c r="F314" s="59"/>
      <c r="H314" s="59"/>
      <c r="J314" s="59"/>
      <c r="L314" s="59"/>
      <c r="N314" s="59"/>
      <c r="Q314" s="59"/>
      <c r="R314" s="61"/>
    </row>
    <row r="315">
      <c r="B315" s="59"/>
      <c r="D315" s="59"/>
      <c r="F315" s="59"/>
      <c r="H315" s="59"/>
      <c r="J315" s="59"/>
      <c r="L315" s="59"/>
      <c r="N315" s="59"/>
      <c r="Q315" s="59"/>
      <c r="R315" s="61"/>
    </row>
    <row r="316">
      <c r="B316" s="59"/>
      <c r="D316" s="59"/>
      <c r="F316" s="59"/>
      <c r="H316" s="59"/>
      <c r="J316" s="59"/>
      <c r="L316" s="59"/>
      <c r="N316" s="59"/>
      <c r="Q316" s="59"/>
      <c r="R316" s="61"/>
    </row>
    <row r="317">
      <c r="B317" s="59"/>
      <c r="D317" s="59"/>
      <c r="F317" s="59"/>
      <c r="H317" s="59"/>
      <c r="J317" s="59"/>
      <c r="L317" s="59"/>
      <c r="N317" s="59"/>
      <c r="Q317" s="59"/>
      <c r="R317" s="61"/>
    </row>
    <row r="318">
      <c r="B318" s="59"/>
      <c r="D318" s="59"/>
      <c r="F318" s="59"/>
      <c r="H318" s="59"/>
      <c r="J318" s="59"/>
      <c r="L318" s="59"/>
      <c r="N318" s="59"/>
      <c r="Q318" s="59"/>
      <c r="R318" s="61"/>
    </row>
    <row r="319">
      <c r="B319" s="59"/>
      <c r="D319" s="59"/>
      <c r="F319" s="59"/>
      <c r="H319" s="59"/>
      <c r="J319" s="59"/>
      <c r="L319" s="59"/>
      <c r="N319" s="59"/>
      <c r="Q319" s="59"/>
      <c r="R319" s="61"/>
    </row>
    <row r="320">
      <c r="B320" s="59"/>
      <c r="D320" s="59"/>
      <c r="F320" s="59"/>
      <c r="H320" s="59"/>
      <c r="J320" s="59"/>
      <c r="L320" s="59"/>
      <c r="N320" s="59"/>
      <c r="Q320" s="59"/>
      <c r="R320" s="61"/>
    </row>
    <row r="321">
      <c r="B321" s="59"/>
      <c r="D321" s="59"/>
      <c r="F321" s="59"/>
      <c r="H321" s="59"/>
      <c r="J321" s="59"/>
      <c r="L321" s="59"/>
      <c r="N321" s="59"/>
      <c r="Q321" s="59"/>
      <c r="R321" s="61"/>
    </row>
    <row r="322">
      <c r="B322" s="59"/>
      <c r="D322" s="59"/>
      <c r="F322" s="59"/>
      <c r="H322" s="59"/>
      <c r="J322" s="59"/>
      <c r="L322" s="59"/>
      <c r="N322" s="59"/>
      <c r="Q322" s="59"/>
      <c r="R322" s="61"/>
    </row>
    <row r="323">
      <c r="B323" s="59"/>
      <c r="D323" s="59"/>
      <c r="F323" s="59"/>
      <c r="H323" s="59"/>
      <c r="J323" s="59"/>
      <c r="L323" s="59"/>
      <c r="N323" s="59"/>
      <c r="Q323" s="59"/>
      <c r="R323" s="61"/>
    </row>
    <row r="324">
      <c r="B324" s="59"/>
      <c r="D324" s="59"/>
      <c r="F324" s="59"/>
      <c r="H324" s="59"/>
      <c r="J324" s="59"/>
      <c r="L324" s="59"/>
      <c r="N324" s="59"/>
      <c r="Q324" s="59"/>
      <c r="R324" s="61"/>
    </row>
    <row r="325">
      <c r="B325" s="59"/>
      <c r="D325" s="59"/>
      <c r="F325" s="59"/>
      <c r="H325" s="59"/>
      <c r="J325" s="59"/>
      <c r="L325" s="59"/>
      <c r="N325" s="59"/>
      <c r="Q325" s="59"/>
      <c r="R325" s="61"/>
    </row>
    <row r="326">
      <c r="B326" s="59"/>
      <c r="D326" s="59"/>
      <c r="F326" s="59"/>
      <c r="H326" s="59"/>
      <c r="J326" s="59"/>
      <c r="L326" s="59"/>
      <c r="N326" s="59"/>
      <c r="Q326" s="59"/>
      <c r="R326" s="61"/>
    </row>
    <row r="327">
      <c r="B327" s="59"/>
      <c r="D327" s="59"/>
      <c r="F327" s="59"/>
      <c r="H327" s="59"/>
      <c r="J327" s="59"/>
      <c r="L327" s="59"/>
      <c r="N327" s="59"/>
      <c r="Q327" s="59"/>
      <c r="R327" s="61"/>
    </row>
    <row r="328">
      <c r="B328" s="59"/>
      <c r="D328" s="59"/>
      <c r="F328" s="59"/>
      <c r="H328" s="59"/>
      <c r="J328" s="59"/>
      <c r="L328" s="59"/>
      <c r="N328" s="59"/>
      <c r="Q328" s="59"/>
      <c r="R328" s="61"/>
    </row>
    <row r="329">
      <c r="B329" s="59"/>
      <c r="D329" s="59"/>
      <c r="F329" s="59"/>
      <c r="H329" s="59"/>
      <c r="J329" s="59"/>
      <c r="L329" s="59"/>
      <c r="N329" s="59"/>
      <c r="Q329" s="59"/>
      <c r="R329" s="61"/>
    </row>
    <row r="330">
      <c r="B330" s="59"/>
      <c r="D330" s="59"/>
      <c r="F330" s="59"/>
      <c r="H330" s="59"/>
      <c r="J330" s="59"/>
      <c r="L330" s="59"/>
      <c r="N330" s="59"/>
      <c r="Q330" s="59"/>
      <c r="R330" s="61"/>
    </row>
    <row r="331">
      <c r="B331" s="59"/>
      <c r="D331" s="59"/>
      <c r="F331" s="59"/>
      <c r="H331" s="59"/>
      <c r="J331" s="59"/>
      <c r="L331" s="59"/>
      <c r="N331" s="59"/>
      <c r="Q331" s="59"/>
      <c r="R331" s="61"/>
    </row>
    <row r="332">
      <c r="B332" s="59"/>
      <c r="D332" s="59"/>
      <c r="F332" s="59"/>
      <c r="H332" s="59"/>
      <c r="J332" s="59"/>
      <c r="L332" s="59"/>
      <c r="N332" s="59"/>
      <c r="Q332" s="59"/>
      <c r="R332" s="61"/>
    </row>
    <row r="333">
      <c r="B333" s="59"/>
      <c r="D333" s="59"/>
      <c r="F333" s="59"/>
      <c r="H333" s="59"/>
      <c r="J333" s="59"/>
      <c r="L333" s="59"/>
      <c r="N333" s="59"/>
      <c r="Q333" s="59"/>
      <c r="R333" s="61"/>
    </row>
    <row r="334">
      <c r="B334" s="59"/>
      <c r="D334" s="59"/>
      <c r="F334" s="59"/>
      <c r="H334" s="59"/>
      <c r="J334" s="59"/>
      <c r="L334" s="59"/>
      <c r="N334" s="59"/>
      <c r="Q334" s="59"/>
      <c r="R334" s="61"/>
    </row>
    <row r="335">
      <c r="B335" s="59"/>
      <c r="D335" s="59"/>
      <c r="F335" s="59"/>
      <c r="H335" s="59"/>
      <c r="J335" s="59"/>
      <c r="L335" s="59"/>
      <c r="N335" s="59"/>
      <c r="Q335" s="59"/>
      <c r="R335" s="61"/>
    </row>
    <row r="336">
      <c r="B336" s="59"/>
      <c r="D336" s="59"/>
      <c r="F336" s="59"/>
      <c r="H336" s="59"/>
      <c r="J336" s="59"/>
      <c r="L336" s="59"/>
      <c r="N336" s="59"/>
      <c r="Q336" s="59"/>
      <c r="R336" s="61"/>
    </row>
    <row r="337">
      <c r="B337" s="59"/>
      <c r="D337" s="59"/>
      <c r="F337" s="59"/>
      <c r="H337" s="59"/>
      <c r="J337" s="59"/>
      <c r="L337" s="59"/>
      <c r="N337" s="59"/>
      <c r="Q337" s="59"/>
      <c r="R337" s="61"/>
    </row>
    <row r="338">
      <c r="B338" s="59"/>
      <c r="D338" s="59"/>
      <c r="F338" s="59"/>
      <c r="H338" s="59"/>
      <c r="J338" s="59"/>
      <c r="L338" s="59"/>
      <c r="N338" s="59"/>
      <c r="Q338" s="59"/>
      <c r="R338" s="61"/>
    </row>
    <row r="339">
      <c r="B339" s="59"/>
      <c r="D339" s="59"/>
      <c r="F339" s="59"/>
      <c r="H339" s="59"/>
      <c r="J339" s="59"/>
      <c r="L339" s="59"/>
      <c r="N339" s="59"/>
      <c r="Q339" s="59"/>
      <c r="R339" s="61"/>
    </row>
    <row r="340">
      <c r="B340" s="59"/>
      <c r="D340" s="59"/>
      <c r="F340" s="59"/>
      <c r="H340" s="59"/>
      <c r="J340" s="59"/>
      <c r="L340" s="59"/>
      <c r="N340" s="59"/>
      <c r="Q340" s="59"/>
      <c r="R340" s="61"/>
    </row>
    <row r="341">
      <c r="B341" s="59"/>
      <c r="D341" s="59"/>
      <c r="F341" s="59"/>
      <c r="H341" s="59"/>
      <c r="J341" s="59"/>
      <c r="L341" s="59"/>
      <c r="N341" s="59"/>
      <c r="Q341" s="59"/>
      <c r="R341" s="61"/>
    </row>
    <row r="342">
      <c r="B342" s="59"/>
      <c r="D342" s="59"/>
      <c r="F342" s="59"/>
      <c r="H342" s="59"/>
      <c r="J342" s="59"/>
      <c r="L342" s="59"/>
      <c r="N342" s="59"/>
      <c r="Q342" s="59"/>
      <c r="R342" s="61"/>
    </row>
    <row r="343">
      <c r="B343" s="59"/>
      <c r="D343" s="59"/>
      <c r="F343" s="59"/>
      <c r="H343" s="59"/>
      <c r="J343" s="59"/>
      <c r="L343" s="59"/>
      <c r="N343" s="59"/>
      <c r="Q343" s="59"/>
      <c r="R343" s="61"/>
    </row>
    <row r="344">
      <c r="B344" s="59"/>
      <c r="D344" s="59"/>
      <c r="F344" s="59"/>
      <c r="H344" s="59"/>
      <c r="J344" s="59"/>
      <c r="L344" s="59"/>
      <c r="N344" s="59"/>
      <c r="Q344" s="59"/>
      <c r="R344" s="61"/>
    </row>
    <row r="345">
      <c r="B345" s="59"/>
      <c r="D345" s="59"/>
      <c r="F345" s="59"/>
      <c r="H345" s="59"/>
      <c r="J345" s="59"/>
      <c r="L345" s="59"/>
      <c r="N345" s="59"/>
      <c r="Q345" s="59"/>
      <c r="R345" s="61"/>
    </row>
    <row r="346">
      <c r="B346" s="59"/>
      <c r="D346" s="59"/>
      <c r="F346" s="59"/>
      <c r="H346" s="59"/>
      <c r="J346" s="59"/>
      <c r="L346" s="59"/>
      <c r="N346" s="59"/>
      <c r="Q346" s="59"/>
      <c r="R346" s="61"/>
    </row>
    <row r="347">
      <c r="B347" s="59"/>
      <c r="D347" s="59"/>
      <c r="F347" s="59"/>
      <c r="H347" s="59"/>
      <c r="J347" s="59"/>
      <c r="L347" s="59"/>
      <c r="N347" s="59"/>
      <c r="Q347" s="59"/>
      <c r="R347" s="61"/>
    </row>
    <row r="348">
      <c r="B348" s="59"/>
      <c r="D348" s="59"/>
      <c r="F348" s="59"/>
      <c r="H348" s="59"/>
      <c r="J348" s="59"/>
      <c r="L348" s="59"/>
      <c r="N348" s="59"/>
      <c r="Q348" s="59"/>
      <c r="R348" s="61"/>
    </row>
    <row r="349">
      <c r="B349" s="59"/>
      <c r="D349" s="59"/>
      <c r="F349" s="59"/>
      <c r="H349" s="59"/>
      <c r="J349" s="59"/>
      <c r="L349" s="59"/>
      <c r="N349" s="59"/>
      <c r="Q349" s="59"/>
      <c r="R349" s="61"/>
    </row>
    <row r="350">
      <c r="B350" s="59"/>
      <c r="D350" s="59"/>
      <c r="F350" s="59"/>
      <c r="H350" s="59"/>
      <c r="J350" s="59"/>
      <c r="L350" s="59"/>
      <c r="N350" s="59"/>
      <c r="Q350" s="59"/>
      <c r="R350" s="61"/>
    </row>
    <row r="351">
      <c r="B351" s="59"/>
      <c r="D351" s="59"/>
      <c r="F351" s="59"/>
      <c r="H351" s="59"/>
      <c r="J351" s="59"/>
      <c r="L351" s="59"/>
      <c r="N351" s="59"/>
      <c r="Q351" s="59"/>
      <c r="R351" s="61"/>
    </row>
    <row r="352">
      <c r="B352" s="59"/>
      <c r="D352" s="59"/>
      <c r="F352" s="59"/>
      <c r="H352" s="59"/>
      <c r="J352" s="59"/>
      <c r="L352" s="59"/>
      <c r="N352" s="59"/>
      <c r="Q352" s="59"/>
      <c r="R352" s="61"/>
    </row>
    <row r="353">
      <c r="B353" s="59"/>
      <c r="D353" s="59"/>
      <c r="F353" s="59"/>
      <c r="H353" s="59"/>
      <c r="J353" s="59"/>
      <c r="L353" s="59"/>
      <c r="N353" s="59"/>
      <c r="Q353" s="59"/>
      <c r="R353" s="61"/>
    </row>
    <row r="354">
      <c r="B354" s="59"/>
      <c r="D354" s="59"/>
      <c r="F354" s="59"/>
      <c r="H354" s="59"/>
      <c r="J354" s="59"/>
      <c r="L354" s="59"/>
      <c r="N354" s="59"/>
      <c r="Q354" s="59"/>
      <c r="R354" s="61"/>
    </row>
    <row r="355">
      <c r="B355" s="59"/>
      <c r="D355" s="59"/>
      <c r="F355" s="59"/>
      <c r="H355" s="59"/>
      <c r="J355" s="59"/>
      <c r="L355" s="59"/>
      <c r="N355" s="59"/>
      <c r="Q355" s="59"/>
      <c r="R355" s="61"/>
    </row>
    <row r="356">
      <c r="B356" s="59"/>
      <c r="D356" s="59"/>
      <c r="F356" s="59"/>
      <c r="H356" s="59"/>
      <c r="J356" s="59"/>
      <c r="L356" s="59"/>
      <c r="N356" s="59"/>
      <c r="Q356" s="59"/>
      <c r="R356" s="61"/>
    </row>
    <row r="357">
      <c r="B357" s="59"/>
      <c r="D357" s="59"/>
      <c r="F357" s="59"/>
      <c r="H357" s="59"/>
      <c r="J357" s="59"/>
      <c r="L357" s="59"/>
      <c r="N357" s="59"/>
      <c r="Q357" s="59"/>
      <c r="R357" s="61"/>
    </row>
    <row r="358">
      <c r="B358" s="59"/>
      <c r="D358" s="59"/>
      <c r="F358" s="59"/>
      <c r="H358" s="59"/>
      <c r="J358" s="59"/>
      <c r="L358" s="59"/>
      <c r="N358" s="59"/>
      <c r="Q358" s="59"/>
      <c r="R358" s="61"/>
    </row>
    <row r="359">
      <c r="B359" s="59"/>
      <c r="D359" s="59"/>
      <c r="F359" s="59"/>
      <c r="H359" s="59"/>
      <c r="J359" s="59"/>
      <c r="L359" s="59"/>
      <c r="N359" s="59"/>
      <c r="Q359" s="59"/>
      <c r="R359" s="61"/>
    </row>
    <row r="360">
      <c r="B360" s="59"/>
      <c r="D360" s="59"/>
      <c r="F360" s="59"/>
      <c r="H360" s="59"/>
      <c r="J360" s="59"/>
      <c r="L360" s="59"/>
      <c r="N360" s="59"/>
      <c r="Q360" s="59"/>
      <c r="R360" s="61"/>
    </row>
    <row r="361">
      <c r="B361" s="59"/>
      <c r="D361" s="59"/>
      <c r="F361" s="59"/>
      <c r="H361" s="59"/>
      <c r="J361" s="59"/>
      <c r="L361" s="59"/>
      <c r="N361" s="59"/>
      <c r="Q361" s="59"/>
      <c r="R361" s="61"/>
    </row>
    <row r="362">
      <c r="B362" s="59"/>
      <c r="D362" s="59"/>
      <c r="F362" s="59"/>
      <c r="H362" s="59"/>
      <c r="J362" s="59"/>
      <c r="L362" s="59"/>
      <c r="N362" s="59"/>
      <c r="Q362" s="59"/>
      <c r="R362" s="61"/>
    </row>
    <row r="363">
      <c r="B363" s="59"/>
      <c r="D363" s="59"/>
      <c r="F363" s="59"/>
      <c r="H363" s="59"/>
      <c r="J363" s="59"/>
      <c r="L363" s="59"/>
      <c r="N363" s="59"/>
      <c r="Q363" s="59"/>
      <c r="R363" s="61"/>
    </row>
    <row r="364">
      <c r="B364" s="59"/>
      <c r="D364" s="59"/>
      <c r="F364" s="59"/>
      <c r="H364" s="59"/>
      <c r="J364" s="59"/>
      <c r="L364" s="59"/>
      <c r="N364" s="59"/>
      <c r="Q364" s="59"/>
      <c r="R364" s="61"/>
    </row>
    <row r="365">
      <c r="B365" s="59"/>
      <c r="D365" s="59"/>
      <c r="F365" s="59"/>
      <c r="H365" s="59"/>
      <c r="J365" s="59"/>
      <c r="L365" s="59"/>
      <c r="N365" s="59"/>
      <c r="Q365" s="59"/>
      <c r="R365" s="61"/>
    </row>
    <row r="366">
      <c r="B366" s="59"/>
      <c r="D366" s="59"/>
      <c r="F366" s="59"/>
      <c r="H366" s="59"/>
      <c r="J366" s="59"/>
      <c r="L366" s="59"/>
      <c r="N366" s="59"/>
      <c r="Q366" s="59"/>
      <c r="R366" s="61"/>
    </row>
    <row r="367">
      <c r="B367" s="59"/>
      <c r="D367" s="59"/>
      <c r="F367" s="59"/>
      <c r="H367" s="59"/>
      <c r="J367" s="59"/>
      <c r="L367" s="59"/>
      <c r="N367" s="59"/>
      <c r="Q367" s="59"/>
      <c r="R367" s="61"/>
    </row>
    <row r="368">
      <c r="B368" s="59"/>
      <c r="D368" s="59"/>
      <c r="F368" s="59"/>
      <c r="H368" s="59"/>
      <c r="J368" s="59"/>
      <c r="L368" s="59"/>
      <c r="N368" s="59"/>
      <c r="Q368" s="59"/>
      <c r="R368" s="61"/>
    </row>
    <row r="369">
      <c r="B369" s="59"/>
      <c r="D369" s="59"/>
      <c r="F369" s="59"/>
      <c r="H369" s="59"/>
      <c r="J369" s="59"/>
      <c r="L369" s="59"/>
      <c r="N369" s="59"/>
      <c r="Q369" s="59"/>
      <c r="R369" s="61"/>
    </row>
    <row r="370">
      <c r="B370" s="59"/>
      <c r="D370" s="59"/>
      <c r="F370" s="59"/>
      <c r="H370" s="59"/>
      <c r="J370" s="59"/>
      <c r="L370" s="59"/>
      <c r="N370" s="59"/>
      <c r="Q370" s="59"/>
      <c r="R370" s="61"/>
    </row>
    <row r="371">
      <c r="B371" s="59"/>
      <c r="D371" s="59"/>
      <c r="F371" s="59"/>
      <c r="H371" s="59"/>
      <c r="J371" s="59"/>
      <c r="L371" s="59"/>
      <c r="N371" s="59"/>
      <c r="Q371" s="59"/>
      <c r="R371" s="61"/>
    </row>
    <row r="372">
      <c r="B372" s="59"/>
      <c r="D372" s="59"/>
      <c r="F372" s="59"/>
      <c r="H372" s="59"/>
      <c r="J372" s="59"/>
      <c r="L372" s="59"/>
      <c r="N372" s="59"/>
      <c r="Q372" s="59"/>
      <c r="R372" s="61"/>
    </row>
    <row r="373">
      <c r="B373" s="59"/>
      <c r="D373" s="59"/>
      <c r="F373" s="59"/>
      <c r="H373" s="59"/>
      <c r="J373" s="59"/>
      <c r="L373" s="59"/>
      <c r="N373" s="59"/>
      <c r="Q373" s="59"/>
      <c r="R373" s="61"/>
    </row>
    <row r="374">
      <c r="B374" s="59"/>
      <c r="D374" s="59"/>
      <c r="F374" s="59"/>
      <c r="H374" s="59"/>
      <c r="J374" s="59"/>
      <c r="L374" s="59"/>
      <c r="N374" s="59"/>
      <c r="Q374" s="59"/>
      <c r="R374" s="61"/>
    </row>
    <row r="375">
      <c r="B375" s="59"/>
      <c r="D375" s="59"/>
      <c r="F375" s="59"/>
      <c r="H375" s="59"/>
      <c r="J375" s="59"/>
      <c r="L375" s="59"/>
      <c r="N375" s="59"/>
      <c r="Q375" s="59"/>
      <c r="R375" s="61"/>
    </row>
    <row r="376">
      <c r="B376" s="59"/>
      <c r="D376" s="59"/>
      <c r="F376" s="59"/>
      <c r="H376" s="59"/>
      <c r="J376" s="59"/>
      <c r="L376" s="59"/>
      <c r="N376" s="59"/>
      <c r="Q376" s="59"/>
      <c r="R376" s="61"/>
    </row>
    <row r="377">
      <c r="B377" s="59"/>
      <c r="D377" s="59"/>
      <c r="F377" s="59"/>
      <c r="H377" s="59"/>
      <c r="J377" s="59"/>
      <c r="L377" s="59"/>
      <c r="N377" s="59"/>
      <c r="Q377" s="59"/>
      <c r="R377" s="61"/>
    </row>
    <row r="378">
      <c r="B378" s="59"/>
      <c r="D378" s="59"/>
      <c r="F378" s="59"/>
      <c r="H378" s="59"/>
      <c r="J378" s="59"/>
      <c r="L378" s="59"/>
      <c r="N378" s="59"/>
      <c r="Q378" s="59"/>
      <c r="R378" s="61"/>
    </row>
    <row r="379">
      <c r="B379" s="59"/>
      <c r="D379" s="59"/>
      <c r="F379" s="59"/>
      <c r="H379" s="59"/>
      <c r="J379" s="59"/>
      <c r="L379" s="59"/>
      <c r="N379" s="59"/>
      <c r="Q379" s="59"/>
      <c r="R379" s="61"/>
    </row>
    <row r="380">
      <c r="B380" s="59"/>
      <c r="D380" s="59"/>
      <c r="F380" s="59"/>
      <c r="H380" s="59"/>
      <c r="J380" s="59"/>
      <c r="L380" s="59"/>
      <c r="N380" s="59"/>
      <c r="Q380" s="59"/>
      <c r="R380" s="61"/>
    </row>
    <row r="381">
      <c r="B381" s="59"/>
      <c r="D381" s="59"/>
      <c r="F381" s="59"/>
      <c r="H381" s="59"/>
      <c r="J381" s="59"/>
      <c r="L381" s="59"/>
      <c r="N381" s="59"/>
      <c r="Q381" s="59"/>
      <c r="R381" s="61"/>
    </row>
    <row r="382">
      <c r="B382" s="59"/>
      <c r="D382" s="59"/>
      <c r="F382" s="59"/>
      <c r="H382" s="59"/>
      <c r="J382" s="59"/>
      <c r="L382" s="59"/>
      <c r="N382" s="59"/>
      <c r="Q382" s="59"/>
      <c r="R382" s="61"/>
    </row>
    <row r="383">
      <c r="B383" s="59"/>
      <c r="D383" s="59"/>
      <c r="F383" s="59"/>
      <c r="H383" s="59"/>
      <c r="J383" s="59"/>
      <c r="L383" s="59"/>
      <c r="N383" s="59"/>
      <c r="Q383" s="59"/>
      <c r="R383" s="61"/>
    </row>
    <row r="384">
      <c r="B384" s="59"/>
      <c r="D384" s="59"/>
      <c r="F384" s="59"/>
      <c r="H384" s="59"/>
      <c r="J384" s="59"/>
      <c r="L384" s="59"/>
      <c r="N384" s="59"/>
      <c r="Q384" s="59"/>
      <c r="R384" s="61"/>
    </row>
    <row r="385">
      <c r="B385" s="59"/>
      <c r="D385" s="59"/>
      <c r="F385" s="59"/>
      <c r="H385" s="59"/>
      <c r="J385" s="59"/>
      <c r="L385" s="59"/>
      <c r="N385" s="59"/>
      <c r="Q385" s="59"/>
      <c r="R385" s="61"/>
    </row>
    <row r="386">
      <c r="B386" s="59"/>
      <c r="D386" s="59"/>
      <c r="F386" s="59"/>
      <c r="H386" s="59"/>
      <c r="J386" s="59"/>
      <c r="L386" s="59"/>
      <c r="N386" s="59"/>
      <c r="Q386" s="59"/>
      <c r="R386" s="61"/>
    </row>
    <row r="387">
      <c r="B387" s="59"/>
      <c r="D387" s="59"/>
      <c r="F387" s="59"/>
      <c r="H387" s="59"/>
      <c r="J387" s="59"/>
      <c r="L387" s="59"/>
      <c r="N387" s="59"/>
      <c r="Q387" s="59"/>
      <c r="R387" s="61"/>
    </row>
    <row r="388">
      <c r="B388" s="59"/>
      <c r="D388" s="59"/>
      <c r="F388" s="59"/>
      <c r="H388" s="59"/>
      <c r="J388" s="59"/>
      <c r="L388" s="59"/>
      <c r="N388" s="59"/>
      <c r="Q388" s="59"/>
      <c r="R388" s="61"/>
    </row>
    <row r="389">
      <c r="B389" s="59"/>
      <c r="D389" s="59"/>
      <c r="F389" s="59"/>
      <c r="H389" s="59"/>
      <c r="J389" s="59"/>
      <c r="L389" s="59"/>
      <c r="N389" s="59"/>
      <c r="Q389" s="59"/>
      <c r="R389" s="61"/>
    </row>
    <row r="390">
      <c r="B390" s="59"/>
      <c r="D390" s="59"/>
      <c r="F390" s="59"/>
      <c r="H390" s="59"/>
      <c r="J390" s="59"/>
      <c r="L390" s="59"/>
      <c r="N390" s="59"/>
      <c r="Q390" s="59"/>
      <c r="R390" s="61"/>
    </row>
    <row r="391">
      <c r="B391" s="59"/>
      <c r="D391" s="59"/>
      <c r="F391" s="59"/>
      <c r="H391" s="59"/>
      <c r="J391" s="59"/>
      <c r="L391" s="59"/>
      <c r="N391" s="59"/>
      <c r="Q391" s="59"/>
      <c r="R391" s="61"/>
    </row>
    <row r="392">
      <c r="B392" s="59"/>
      <c r="D392" s="59"/>
      <c r="F392" s="59"/>
      <c r="H392" s="59"/>
      <c r="J392" s="59"/>
      <c r="L392" s="59"/>
      <c r="N392" s="59"/>
      <c r="Q392" s="59"/>
      <c r="R392" s="61"/>
    </row>
    <row r="393">
      <c r="B393" s="59"/>
      <c r="D393" s="59"/>
      <c r="F393" s="59"/>
      <c r="H393" s="59"/>
      <c r="J393" s="59"/>
      <c r="L393" s="59"/>
      <c r="N393" s="59"/>
      <c r="Q393" s="59"/>
      <c r="R393" s="61"/>
    </row>
    <row r="394">
      <c r="B394" s="59"/>
      <c r="D394" s="59"/>
      <c r="F394" s="59"/>
      <c r="H394" s="59"/>
      <c r="J394" s="59"/>
      <c r="L394" s="59"/>
      <c r="N394" s="59"/>
      <c r="Q394" s="59"/>
      <c r="R394" s="61"/>
    </row>
    <row r="395">
      <c r="B395" s="59"/>
      <c r="D395" s="59"/>
      <c r="F395" s="59"/>
      <c r="H395" s="59"/>
      <c r="J395" s="59"/>
      <c r="L395" s="59"/>
      <c r="N395" s="59"/>
      <c r="Q395" s="59"/>
      <c r="R395" s="61"/>
    </row>
    <row r="396">
      <c r="B396" s="59"/>
      <c r="D396" s="59"/>
      <c r="F396" s="59"/>
      <c r="H396" s="59"/>
      <c r="J396" s="59"/>
      <c r="L396" s="59"/>
      <c r="N396" s="59"/>
      <c r="Q396" s="59"/>
      <c r="R396" s="61"/>
    </row>
    <row r="397">
      <c r="B397" s="59"/>
      <c r="D397" s="59"/>
      <c r="F397" s="59"/>
      <c r="H397" s="59"/>
      <c r="J397" s="59"/>
      <c r="L397" s="59"/>
      <c r="N397" s="59"/>
      <c r="Q397" s="59"/>
      <c r="R397" s="61"/>
    </row>
    <row r="398">
      <c r="B398" s="59"/>
      <c r="D398" s="59"/>
      <c r="F398" s="59"/>
      <c r="H398" s="59"/>
      <c r="J398" s="59"/>
      <c r="L398" s="59"/>
      <c r="N398" s="59"/>
      <c r="Q398" s="59"/>
      <c r="R398" s="61"/>
    </row>
    <row r="399">
      <c r="B399" s="59"/>
      <c r="D399" s="59"/>
      <c r="F399" s="59"/>
      <c r="H399" s="59"/>
      <c r="J399" s="59"/>
      <c r="L399" s="59"/>
      <c r="N399" s="59"/>
      <c r="Q399" s="59"/>
      <c r="R399" s="61"/>
    </row>
    <row r="400">
      <c r="B400" s="59"/>
      <c r="D400" s="59"/>
      <c r="F400" s="59"/>
      <c r="H400" s="59"/>
      <c r="J400" s="59"/>
      <c r="L400" s="59"/>
      <c r="N400" s="59"/>
      <c r="Q400" s="59"/>
      <c r="R400" s="61"/>
    </row>
    <row r="401">
      <c r="B401" s="59"/>
      <c r="D401" s="59"/>
      <c r="F401" s="59"/>
      <c r="H401" s="59"/>
      <c r="J401" s="59"/>
      <c r="L401" s="59"/>
      <c r="N401" s="59"/>
      <c r="Q401" s="59"/>
      <c r="R401" s="61"/>
    </row>
    <row r="402">
      <c r="B402" s="59"/>
      <c r="D402" s="59"/>
      <c r="F402" s="59"/>
      <c r="H402" s="59"/>
      <c r="J402" s="59"/>
      <c r="L402" s="59"/>
      <c r="N402" s="59"/>
      <c r="Q402" s="59"/>
      <c r="R402" s="61"/>
    </row>
    <row r="403">
      <c r="B403" s="59"/>
      <c r="D403" s="59"/>
      <c r="F403" s="59"/>
      <c r="H403" s="59"/>
      <c r="J403" s="59"/>
      <c r="L403" s="59"/>
      <c r="N403" s="59"/>
      <c r="Q403" s="59"/>
      <c r="R403" s="61"/>
    </row>
    <row r="404">
      <c r="B404" s="59"/>
      <c r="D404" s="59"/>
      <c r="F404" s="59"/>
      <c r="H404" s="59"/>
      <c r="J404" s="59"/>
      <c r="L404" s="59"/>
      <c r="N404" s="59"/>
      <c r="Q404" s="59"/>
      <c r="R404" s="61"/>
    </row>
    <row r="405">
      <c r="B405" s="59"/>
      <c r="D405" s="59"/>
      <c r="F405" s="59"/>
      <c r="H405" s="59"/>
      <c r="J405" s="59"/>
      <c r="L405" s="59"/>
      <c r="N405" s="59"/>
      <c r="Q405" s="59"/>
      <c r="R405" s="61"/>
    </row>
    <row r="406">
      <c r="B406" s="59"/>
      <c r="D406" s="59"/>
      <c r="F406" s="59"/>
      <c r="H406" s="59"/>
      <c r="J406" s="59"/>
      <c r="L406" s="59"/>
      <c r="N406" s="59"/>
      <c r="Q406" s="59"/>
      <c r="R406" s="61"/>
    </row>
    <row r="407">
      <c r="B407" s="59"/>
      <c r="D407" s="59"/>
      <c r="F407" s="59"/>
      <c r="H407" s="59"/>
      <c r="J407" s="59"/>
      <c r="L407" s="59"/>
      <c r="N407" s="59"/>
      <c r="Q407" s="59"/>
      <c r="R407" s="61"/>
    </row>
    <row r="408">
      <c r="B408" s="59"/>
      <c r="D408" s="59"/>
      <c r="F408" s="59"/>
      <c r="H408" s="59"/>
      <c r="J408" s="59"/>
      <c r="L408" s="59"/>
      <c r="N408" s="59"/>
      <c r="Q408" s="59"/>
      <c r="R408" s="61"/>
    </row>
    <row r="409">
      <c r="B409" s="59"/>
      <c r="D409" s="59"/>
      <c r="F409" s="59"/>
      <c r="H409" s="59"/>
      <c r="J409" s="59"/>
      <c r="L409" s="59"/>
      <c r="N409" s="59"/>
      <c r="Q409" s="59"/>
      <c r="R409" s="61"/>
    </row>
    <row r="410">
      <c r="B410" s="59"/>
      <c r="D410" s="59"/>
      <c r="F410" s="59"/>
      <c r="H410" s="59"/>
      <c r="J410" s="59"/>
      <c r="L410" s="59"/>
      <c r="N410" s="59"/>
      <c r="Q410" s="59"/>
      <c r="R410" s="61"/>
    </row>
    <row r="411">
      <c r="B411" s="59"/>
      <c r="D411" s="59"/>
      <c r="F411" s="59"/>
      <c r="H411" s="59"/>
      <c r="J411" s="59"/>
      <c r="L411" s="59"/>
      <c r="N411" s="59"/>
      <c r="Q411" s="59"/>
      <c r="R411" s="61"/>
    </row>
    <row r="412">
      <c r="B412" s="59"/>
      <c r="D412" s="59"/>
      <c r="F412" s="59"/>
      <c r="H412" s="59"/>
      <c r="J412" s="59"/>
      <c r="L412" s="59"/>
      <c r="N412" s="59"/>
      <c r="Q412" s="59"/>
      <c r="R412" s="61"/>
    </row>
    <row r="413">
      <c r="B413" s="59"/>
      <c r="D413" s="59"/>
      <c r="F413" s="59"/>
      <c r="H413" s="59"/>
      <c r="J413" s="59"/>
      <c r="L413" s="59"/>
      <c r="N413" s="59"/>
      <c r="Q413" s="59"/>
      <c r="R413" s="61"/>
    </row>
    <row r="414">
      <c r="B414" s="59"/>
      <c r="D414" s="59"/>
      <c r="F414" s="59"/>
      <c r="H414" s="59"/>
      <c r="J414" s="59"/>
      <c r="L414" s="59"/>
      <c r="N414" s="59"/>
      <c r="Q414" s="59"/>
      <c r="R414" s="61"/>
    </row>
    <row r="415">
      <c r="B415" s="59"/>
      <c r="D415" s="59"/>
      <c r="F415" s="59"/>
      <c r="H415" s="59"/>
      <c r="J415" s="59"/>
      <c r="L415" s="59"/>
      <c r="N415" s="59"/>
      <c r="Q415" s="59"/>
      <c r="R415" s="61"/>
    </row>
    <row r="416">
      <c r="B416" s="59"/>
      <c r="D416" s="59"/>
      <c r="F416" s="59"/>
      <c r="H416" s="59"/>
      <c r="J416" s="59"/>
      <c r="L416" s="59"/>
      <c r="N416" s="59"/>
      <c r="Q416" s="59"/>
      <c r="R416" s="61"/>
    </row>
    <row r="417">
      <c r="B417" s="59"/>
      <c r="D417" s="59"/>
      <c r="F417" s="59"/>
      <c r="H417" s="59"/>
      <c r="J417" s="59"/>
      <c r="L417" s="59"/>
      <c r="N417" s="59"/>
      <c r="Q417" s="59"/>
      <c r="R417" s="61"/>
    </row>
    <row r="418">
      <c r="B418" s="59"/>
      <c r="D418" s="59"/>
      <c r="F418" s="59"/>
      <c r="H418" s="59"/>
      <c r="J418" s="59"/>
      <c r="L418" s="59"/>
      <c r="N418" s="59"/>
      <c r="Q418" s="59"/>
      <c r="R418" s="61"/>
    </row>
    <row r="419">
      <c r="B419" s="59"/>
      <c r="D419" s="59"/>
      <c r="F419" s="59"/>
      <c r="H419" s="59"/>
      <c r="J419" s="59"/>
      <c r="L419" s="59"/>
      <c r="N419" s="59"/>
      <c r="Q419" s="59"/>
      <c r="R419" s="61"/>
    </row>
    <row r="420">
      <c r="B420" s="59"/>
      <c r="D420" s="59"/>
      <c r="F420" s="59"/>
      <c r="H420" s="59"/>
      <c r="J420" s="59"/>
      <c r="L420" s="59"/>
      <c r="N420" s="59"/>
      <c r="Q420" s="59"/>
      <c r="R420" s="61"/>
    </row>
    <row r="421">
      <c r="B421" s="59"/>
      <c r="D421" s="59"/>
      <c r="F421" s="59"/>
      <c r="H421" s="59"/>
      <c r="J421" s="59"/>
      <c r="L421" s="59"/>
      <c r="N421" s="59"/>
      <c r="Q421" s="59"/>
      <c r="R421" s="61"/>
    </row>
    <row r="422">
      <c r="B422" s="59"/>
      <c r="D422" s="59"/>
      <c r="F422" s="59"/>
      <c r="H422" s="59"/>
      <c r="J422" s="59"/>
      <c r="L422" s="59"/>
      <c r="N422" s="59"/>
      <c r="Q422" s="59"/>
      <c r="R422" s="61"/>
    </row>
    <row r="423">
      <c r="B423" s="59"/>
      <c r="D423" s="59"/>
      <c r="F423" s="59"/>
      <c r="H423" s="59"/>
      <c r="J423" s="59"/>
      <c r="L423" s="59"/>
      <c r="N423" s="59"/>
      <c r="Q423" s="59"/>
      <c r="R423" s="61"/>
    </row>
    <row r="424">
      <c r="B424" s="59"/>
      <c r="D424" s="59"/>
      <c r="F424" s="59"/>
      <c r="H424" s="59"/>
      <c r="J424" s="59"/>
      <c r="L424" s="59"/>
      <c r="N424" s="59"/>
      <c r="Q424" s="59"/>
      <c r="R424" s="61"/>
    </row>
    <row r="425">
      <c r="B425" s="59"/>
      <c r="D425" s="59"/>
      <c r="F425" s="59"/>
      <c r="H425" s="59"/>
      <c r="J425" s="59"/>
      <c r="L425" s="59"/>
      <c r="N425" s="59"/>
      <c r="Q425" s="59"/>
      <c r="R425" s="61"/>
    </row>
    <row r="426">
      <c r="B426" s="59"/>
      <c r="D426" s="59"/>
      <c r="F426" s="59"/>
      <c r="H426" s="59"/>
      <c r="J426" s="59"/>
      <c r="L426" s="59"/>
      <c r="N426" s="59"/>
      <c r="Q426" s="59"/>
      <c r="R426" s="61"/>
    </row>
    <row r="427">
      <c r="B427" s="59"/>
      <c r="D427" s="59"/>
      <c r="F427" s="59"/>
      <c r="H427" s="59"/>
      <c r="J427" s="59"/>
      <c r="L427" s="59"/>
      <c r="N427" s="59"/>
      <c r="Q427" s="59"/>
      <c r="R427" s="61"/>
    </row>
    <row r="428">
      <c r="B428" s="59"/>
      <c r="D428" s="59"/>
      <c r="F428" s="59"/>
      <c r="H428" s="59"/>
      <c r="J428" s="59"/>
      <c r="L428" s="59"/>
      <c r="N428" s="59"/>
      <c r="Q428" s="59"/>
      <c r="R428" s="61"/>
    </row>
    <row r="429">
      <c r="B429" s="59"/>
      <c r="D429" s="59"/>
      <c r="F429" s="59"/>
      <c r="H429" s="59"/>
      <c r="J429" s="59"/>
      <c r="L429" s="59"/>
      <c r="N429" s="59"/>
      <c r="Q429" s="59"/>
      <c r="R429" s="61"/>
    </row>
    <row r="430">
      <c r="B430" s="59"/>
      <c r="D430" s="59"/>
      <c r="F430" s="59"/>
      <c r="H430" s="59"/>
      <c r="J430" s="59"/>
      <c r="L430" s="59"/>
      <c r="N430" s="59"/>
      <c r="Q430" s="59"/>
      <c r="R430" s="61"/>
    </row>
    <row r="431">
      <c r="B431" s="59"/>
      <c r="D431" s="59"/>
      <c r="F431" s="59"/>
      <c r="H431" s="59"/>
      <c r="J431" s="59"/>
      <c r="L431" s="59"/>
      <c r="N431" s="59"/>
      <c r="Q431" s="59"/>
      <c r="R431" s="61"/>
    </row>
    <row r="432">
      <c r="B432" s="59"/>
      <c r="D432" s="59"/>
      <c r="F432" s="59"/>
      <c r="H432" s="59"/>
      <c r="J432" s="59"/>
      <c r="L432" s="59"/>
      <c r="N432" s="59"/>
      <c r="Q432" s="59"/>
      <c r="R432" s="61"/>
    </row>
    <row r="433">
      <c r="B433" s="59"/>
      <c r="D433" s="59"/>
      <c r="F433" s="59"/>
      <c r="H433" s="59"/>
      <c r="J433" s="59"/>
      <c r="L433" s="59"/>
      <c r="N433" s="59"/>
      <c r="Q433" s="59"/>
      <c r="R433" s="61"/>
    </row>
    <row r="434">
      <c r="B434" s="59"/>
      <c r="D434" s="59"/>
      <c r="F434" s="59"/>
      <c r="H434" s="59"/>
      <c r="J434" s="59"/>
      <c r="L434" s="59"/>
      <c r="N434" s="59"/>
      <c r="Q434" s="59"/>
      <c r="R434" s="61"/>
    </row>
    <row r="435">
      <c r="B435" s="59"/>
      <c r="D435" s="59"/>
      <c r="F435" s="59"/>
      <c r="H435" s="59"/>
      <c r="J435" s="59"/>
      <c r="L435" s="59"/>
      <c r="N435" s="59"/>
      <c r="Q435" s="59"/>
      <c r="R435" s="61"/>
    </row>
    <row r="436">
      <c r="B436" s="59"/>
      <c r="D436" s="59"/>
      <c r="F436" s="59"/>
      <c r="H436" s="59"/>
      <c r="J436" s="59"/>
      <c r="L436" s="59"/>
      <c r="N436" s="59"/>
      <c r="Q436" s="59"/>
      <c r="R436" s="61"/>
    </row>
    <row r="437">
      <c r="B437" s="59"/>
      <c r="D437" s="59"/>
      <c r="F437" s="59"/>
      <c r="H437" s="59"/>
      <c r="J437" s="59"/>
      <c r="L437" s="59"/>
      <c r="N437" s="59"/>
      <c r="Q437" s="59"/>
      <c r="R437" s="61"/>
    </row>
    <row r="438">
      <c r="B438" s="59"/>
      <c r="D438" s="59"/>
      <c r="F438" s="59"/>
      <c r="H438" s="59"/>
      <c r="J438" s="59"/>
      <c r="L438" s="59"/>
      <c r="N438" s="59"/>
      <c r="Q438" s="59"/>
      <c r="R438" s="61"/>
    </row>
    <row r="439">
      <c r="B439" s="59"/>
      <c r="D439" s="59"/>
      <c r="F439" s="59"/>
      <c r="H439" s="59"/>
      <c r="J439" s="59"/>
      <c r="L439" s="59"/>
      <c r="N439" s="59"/>
      <c r="Q439" s="59"/>
      <c r="R439" s="61"/>
    </row>
    <row r="440">
      <c r="B440" s="59"/>
      <c r="D440" s="59"/>
      <c r="F440" s="59"/>
      <c r="H440" s="59"/>
      <c r="J440" s="59"/>
      <c r="L440" s="59"/>
      <c r="N440" s="59"/>
      <c r="Q440" s="59"/>
      <c r="R440" s="61"/>
    </row>
    <row r="441">
      <c r="B441" s="59"/>
      <c r="D441" s="59"/>
      <c r="F441" s="59"/>
      <c r="H441" s="59"/>
      <c r="J441" s="59"/>
      <c r="L441" s="59"/>
      <c r="N441" s="59"/>
      <c r="Q441" s="59"/>
      <c r="R441" s="61"/>
    </row>
    <row r="442">
      <c r="B442" s="59"/>
      <c r="D442" s="59"/>
      <c r="F442" s="59"/>
      <c r="H442" s="59"/>
      <c r="J442" s="59"/>
      <c r="L442" s="59"/>
      <c r="N442" s="59"/>
      <c r="Q442" s="59"/>
      <c r="R442" s="61"/>
    </row>
    <row r="443">
      <c r="B443" s="59"/>
      <c r="D443" s="59"/>
      <c r="F443" s="59"/>
      <c r="H443" s="59"/>
      <c r="J443" s="59"/>
      <c r="L443" s="59"/>
      <c r="N443" s="59"/>
      <c r="Q443" s="59"/>
      <c r="R443" s="61"/>
    </row>
    <row r="444">
      <c r="B444" s="59"/>
      <c r="D444" s="59"/>
      <c r="F444" s="59"/>
      <c r="H444" s="59"/>
      <c r="J444" s="59"/>
      <c r="L444" s="59"/>
      <c r="N444" s="59"/>
      <c r="Q444" s="59"/>
      <c r="R444" s="61"/>
    </row>
    <row r="445">
      <c r="B445" s="59"/>
      <c r="D445" s="59"/>
      <c r="F445" s="59"/>
      <c r="H445" s="59"/>
      <c r="J445" s="59"/>
      <c r="L445" s="59"/>
      <c r="N445" s="59"/>
      <c r="Q445" s="59"/>
      <c r="R445" s="61"/>
    </row>
    <row r="446">
      <c r="B446" s="59"/>
      <c r="D446" s="59"/>
      <c r="F446" s="59"/>
      <c r="H446" s="59"/>
      <c r="J446" s="59"/>
      <c r="L446" s="59"/>
      <c r="N446" s="59"/>
      <c r="Q446" s="59"/>
      <c r="R446" s="61"/>
    </row>
    <row r="447">
      <c r="B447" s="59"/>
      <c r="D447" s="59"/>
      <c r="F447" s="59"/>
      <c r="H447" s="59"/>
      <c r="J447" s="59"/>
      <c r="L447" s="59"/>
      <c r="N447" s="59"/>
      <c r="Q447" s="59"/>
      <c r="R447" s="61"/>
    </row>
    <row r="448">
      <c r="B448" s="59"/>
      <c r="D448" s="59"/>
      <c r="F448" s="59"/>
      <c r="H448" s="59"/>
      <c r="J448" s="59"/>
      <c r="L448" s="59"/>
      <c r="N448" s="59"/>
      <c r="Q448" s="59"/>
      <c r="R448" s="61"/>
    </row>
    <row r="449">
      <c r="B449" s="59"/>
      <c r="D449" s="59"/>
      <c r="F449" s="59"/>
      <c r="H449" s="59"/>
      <c r="J449" s="59"/>
      <c r="L449" s="59"/>
      <c r="N449" s="59"/>
      <c r="Q449" s="59"/>
      <c r="R449" s="61"/>
    </row>
    <row r="450">
      <c r="B450" s="59"/>
      <c r="D450" s="59"/>
      <c r="F450" s="59"/>
      <c r="H450" s="59"/>
      <c r="J450" s="59"/>
      <c r="L450" s="59"/>
      <c r="N450" s="59"/>
      <c r="Q450" s="59"/>
      <c r="R450" s="61"/>
    </row>
    <row r="451">
      <c r="B451" s="59"/>
      <c r="D451" s="59"/>
      <c r="F451" s="59"/>
      <c r="H451" s="59"/>
      <c r="J451" s="59"/>
      <c r="L451" s="59"/>
      <c r="N451" s="59"/>
      <c r="Q451" s="59"/>
      <c r="R451" s="61"/>
    </row>
    <row r="452">
      <c r="B452" s="59"/>
      <c r="D452" s="59"/>
      <c r="F452" s="59"/>
      <c r="H452" s="59"/>
      <c r="J452" s="59"/>
      <c r="L452" s="59"/>
      <c r="N452" s="59"/>
      <c r="Q452" s="59"/>
      <c r="R452" s="61"/>
    </row>
    <row r="453">
      <c r="B453" s="59"/>
      <c r="D453" s="59"/>
      <c r="F453" s="59"/>
      <c r="H453" s="59"/>
      <c r="J453" s="59"/>
      <c r="L453" s="59"/>
      <c r="N453" s="59"/>
      <c r="Q453" s="59"/>
      <c r="R453" s="61"/>
    </row>
    <row r="454">
      <c r="B454" s="59"/>
      <c r="D454" s="59"/>
      <c r="F454" s="59"/>
      <c r="H454" s="59"/>
      <c r="J454" s="59"/>
      <c r="L454" s="59"/>
      <c r="N454" s="59"/>
      <c r="Q454" s="59"/>
      <c r="R454" s="61"/>
    </row>
    <row r="455">
      <c r="B455" s="59"/>
      <c r="D455" s="59"/>
      <c r="F455" s="59"/>
      <c r="H455" s="59"/>
      <c r="J455" s="59"/>
      <c r="L455" s="59"/>
      <c r="N455" s="59"/>
      <c r="Q455" s="59"/>
      <c r="R455" s="61"/>
    </row>
    <row r="456">
      <c r="B456" s="59"/>
      <c r="D456" s="59"/>
      <c r="F456" s="59"/>
      <c r="H456" s="59"/>
      <c r="J456" s="59"/>
      <c r="L456" s="59"/>
      <c r="N456" s="59"/>
      <c r="Q456" s="59"/>
      <c r="R456" s="61"/>
    </row>
    <row r="457">
      <c r="B457" s="59"/>
      <c r="D457" s="59"/>
      <c r="F457" s="59"/>
      <c r="H457" s="59"/>
      <c r="J457" s="59"/>
      <c r="L457" s="59"/>
      <c r="N457" s="59"/>
      <c r="Q457" s="59"/>
      <c r="R457" s="61"/>
    </row>
    <row r="458">
      <c r="B458" s="59"/>
      <c r="D458" s="59"/>
      <c r="F458" s="59"/>
      <c r="H458" s="59"/>
      <c r="J458" s="59"/>
      <c r="L458" s="59"/>
      <c r="N458" s="59"/>
      <c r="Q458" s="59"/>
      <c r="R458" s="61"/>
    </row>
    <row r="459">
      <c r="B459" s="59"/>
      <c r="D459" s="59"/>
      <c r="F459" s="59"/>
      <c r="H459" s="59"/>
      <c r="J459" s="59"/>
      <c r="L459" s="59"/>
      <c r="N459" s="59"/>
      <c r="Q459" s="59"/>
      <c r="R459" s="61"/>
    </row>
    <row r="460">
      <c r="B460" s="59"/>
      <c r="D460" s="59"/>
      <c r="F460" s="59"/>
      <c r="H460" s="59"/>
      <c r="J460" s="59"/>
      <c r="L460" s="59"/>
      <c r="N460" s="59"/>
      <c r="Q460" s="59"/>
      <c r="R460" s="61"/>
    </row>
    <row r="461">
      <c r="B461" s="59"/>
      <c r="D461" s="59"/>
      <c r="F461" s="59"/>
      <c r="H461" s="59"/>
      <c r="J461" s="59"/>
      <c r="L461" s="59"/>
      <c r="N461" s="59"/>
      <c r="Q461" s="59"/>
      <c r="R461" s="61"/>
    </row>
    <row r="462">
      <c r="B462" s="59"/>
      <c r="D462" s="59"/>
      <c r="F462" s="59"/>
      <c r="H462" s="59"/>
      <c r="J462" s="59"/>
      <c r="L462" s="59"/>
      <c r="N462" s="59"/>
      <c r="Q462" s="59"/>
      <c r="R462" s="61"/>
    </row>
    <row r="463">
      <c r="B463" s="59"/>
      <c r="D463" s="59"/>
      <c r="F463" s="59"/>
      <c r="H463" s="59"/>
      <c r="J463" s="59"/>
      <c r="L463" s="59"/>
      <c r="N463" s="59"/>
      <c r="Q463" s="59"/>
      <c r="R463" s="61"/>
    </row>
    <row r="464">
      <c r="B464" s="59"/>
      <c r="D464" s="59"/>
      <c r="F464" s="59"/>
      <c r="H464" s="59"/>
      <c r="J464" s="59"/>
      <c r="L464" s="59"/>
      <c r="N464" s="59"/>
      <c r="Q464" s="59"/>
      <c r="R464" s="61"/>
    </row>
    <row r="465">
      <c r="B465" s="59"/>
      <c r="D465" s="59"/>
      <c r="F465" s="59"/>
      <c r="H465" s="59"/>
      <c r="J465" s="59"/>
      <c r="L465" s="59"/>
      <c r="N465" s="59"/>
      <c r="Q465" s="59"/>
      <c r="R465" s="61"/>
    </row>
    <row r="466">
      <c r="B466" s="59"/>
      <c r="D466" s="59"/>
      <c r="F466" s="59"/>
      <c r="H466" s="59"/>
      <c r="J466" s="59"/>
      <c r="L466" s="59"/>
      <c r="N466" s="59"/>
      <c r="Q466" s="59"/>
      <c r="R466" s="61"/>
    </row>
    <row r="467">
      <c r="B467" s="59"/>
      <c r="D467" s="59"/>
      <c r="F467" s="59"/>
      <c r="H467" s="59"/>
      <c r="J467" s="59"/>
      <c r="L467" s="59"/>
      <c r="N467" s="59"/>
      <c r="Q467" s="59"/>
      <c r="R467" s="61"/>
    </row>
    <row r="468">
      <c r="B468" s="59"/>
      <c r="D468" s="59"/>
      <c r="F468" s="59"/>
      <c r="H468" s="59"/>
      <c r="J468" s="59"/>
      <c r="L468" s="59"/>
      <c r="N468" s="59"/>
      <c r="Q468" s="59"/>
      <c r="R468" s="61"/>
    </row>
    <row r="469">
      <c r="B469" s="59"/>
      <c r="D469" s="59"/>
      <c r="F469" s="59"/>
      <c r="H469" s="59"/>
      <c r="J469" s="59"/>
      <c r="L469" s="59"/>
      <c r="N469" s="59"/>
      <c r="Q469" s="59"/>
      <c r="R469" s="61"/>
    </row>
    <row r="470">
      <c r="B470" s="59"/>
      <c r="D470" s="59"/>
      <c r="F470" s="59"/>
      <c r="H470" s="59"/>
      <c r="J470" s="59"/>
      <c r="L470" s="59"/>
      <c r="N470" s="59"/>
      <c r="Q470" s="59"/>
      <c r="R470" s="61"/>
    </row>
    <row r="471">
      <c r="B471" s="59"/>
      <c r="D471" s="59"/>
      <c r="F471" s="59"/>
      <c r="H471" s="59"/>
      <c r="J471" s="59"/>
      <c r="L471" s="59"/>
      <c r="N471" s="59"/>
      <c r="Q471" s="59"/>
      <c r="R471" s="61"/>
    </row>
    <row r="472">
      <c r="B472" s="59"/>
      <c r="D472" s="59"/>
      <c r="F472" s="59"/>
      <c r="H472" s="59"/>
      <c r="J472" s="59"/>
      <c r="L472" s="59"/>
      <c r="N472" s="59"/>
      <c r="Q472" s="59"/>
      <c r="R472" s="61"/>
    </row>
    <row r="473">
      <c r="B473" s="59"/>
      <c r="D473" s="59"/>
      <c r="F473" s="59"/>
      <c r="H473" s="59"/>
      <c r="J473" s="59"/>
      <c r="L473" s="59"/>
      <c r="N473" s="59"/>
      <c r="Q473" s="59"/>
      <c r="R473" s="61"/>
    </row>
    <row r="474">
      <c r="B474" s="59"/>
      <c r="D474" s="59"/>
      <c r="F474" s="59"/>
      <c r="H474" s="59"/>
      <c r="J474" s="59"/>
      <c r="L474" s="59"/>
      <c r="N474" s="59"/>
      <c r="Q474" s="59"/>
      <c r="R474" s="61"/>
    </row>
    <row r="475">
      <c r="B475" s="59"/>
      <c r="D475" s="59"/>
      <c r="F475" s="59"/>
      <c r="H475" s="59"/>
      <c r="J475" s="59"/>
      <c r="L475" s="59"/>
      <c r="N475" s="59"/>
      <c r="Q475" s="59"/>
      <c r="R475" s="61"/>
    </row>
    <row r="476">
      <c r="B476" s="59"/>
      <c r="D476" s="59"/>
      <c r="F476" s="59"/>
      <c r="H476" s="59"/>
      <c r="J476" s="59"/>
      <c r="L476" s="59"/>
      <c r="N476" s="59"/>
      <c r="Q476" s="59"/>
      <c r="R476" s="61"/>
    </row>
    <row r="477">
      <c r="B477" s="59"/>
      <c r="D477" s="59"/>
      <c r="F477" s="59"/>
      <c r="H477" s="59"/>
      <c r="J477" s="59"/>
      <c r="L477" s="59"/>
      <c r="N477" s="59"/>
      <c r="Q477" s="59"/>
      <c r="R477" s="61"/>
    </row>
    <row r="478">
      <c r="B478" s="59"/>
      <c r="D478" s="59"/>
      <c r="F478" s="59"/>
      <c r="H478" s="59"/>
      <c r="J478" s="59"/>
      <c r="L478" s="59"/>
      <c r="N478" s="59"/>
      <c r="Q478" s="59"/>
      <c r="R478" s="61"/>
    </row>
    <row r="479">
      <c r="B479" s="59"/>
      <c r="D479" s="59"/>
      <c r="F479" s="59"/>
      <c r="H479" s="59"/>
      <c r="J479" s="59"/>
      <c r="L479" s="59"/>
      <c r="N479" s="59"/>
      <c r="Q479" s="59"/>
      <c r="R479" s="61"/>
    </row>
    <row r="480">
      <c r="B480" s="59"/>
      <c r="D480" s="59"/>
      <c r="F480" s="59"/>
      <c r="H480" s="59"/>
      <c r="J480" s="59"/>
      <c r="L480" s="59"/>
      <c r="N480" s="59"/>
      <c r="Q480" s="59"/>
      <c r="R480" s="61"/>
    </row>
    <row r="481">
      <c r="B481" s="59"/>
      <c r="D481" s="59"/>
      <c r="F481" s="59"/>
      <c r="H481" s="59"/>
      <c r="J481" s="59"/>
      <c r="L481" s="59"/>
      <c r="N481" s="59"/>
      <c r="Q481" s="59"/>
      <c r="R481" s="61"/>
    </row>
    <row r="482">
      <c r="B482" s="59"/>
      <c r="D482" s="59"/>
      <c r="F482" s="59"/>
      <c r="H482" s="59"/>
      <c r="J482" s="59"/>
      <c r="L482" s="59"/>
      <c r="N482" s="59"/>
      <c r="Q482" s="59"/>
      <c r="R482" s="61"/>
    </row>
    <row r="483">
      <c r="B483" s="59"/>
      <c r="D483" s="59"/>
      <c r="F483" s="59"/>
      <c r="H483" s="59"/>
      <c r="J483" s="59"/>
      <c r="L483" s="59"/>
      <c r="N483" s="59"/>
      <c r="Q483" s="59"/>
      <c r="R483" s="61"/>
    </row>
    <row r="484">
      <c r="B484" s="59"/>
      <c r="D484" s="59"/>
      <c r="F484" s="59"/>
      <c r="H484" s="59"/>
      <c r="J484" s="59"/>
      <c r="L484" s="59"/>
      <c r="N484" s="59"/>
      <c r="Q484" s="59"/>
      <c r="R484" s="61"/>
    </row>
    <row r="485">
      <c r="B485" s="59"/>
      <c r="D485" s="59"/>
      <c r="F485" s="59"/>
      <c r="H485" s="59"/>
      <c r="J485" s="59"/>
      <c r="L485" s="59"/>
      <c r="N485" s="59"/>
      <c r="Q485" s="59"/>
      <c r="R485" s="61"/>
    </row>
    <row r="486">
      <c r="B486" s="59"/>
      <c r="D486" s="59"/>
      <c r="F486" s="59"/>
      <c r="H486" s="59"/>
      <c r="J486" s="59"/>
      <c r="L486" s="59"/>
      <c r="N486" s="59"/>
      <c r="Q486" s="59"/>
      <c r="R486" s="61"/>
    </row>
    <row r="487">
      <c r="B487" s="59"/>
      <c r="D487" s="59"/>
      <c r="F487" s="59"/>
      <c r="H487" s="59"/>
      <c r="J487" s="59"/>
      <c r="L487" s="59"/>
      <c r="N487" s="59"/>
      <c r="Q487" s="59"/>
      <c r="R487" s="61"/>
    </row>
    <row r="488">
      <c r="B488" s="59"/>
      <c r="D488" s="59"/>
      <c r="F488" s="59"/>
      <c r="H488" s="59"/>
      <c r="J488" s="59"/>
      <c r="L488" s="59"/>
      <c r="N488" s="59"/>
      <c r="Q488" s="59"/>
      <c r="R488" s="61"/>
    </row>
    <row r="489">
      <c r="B489" s="59"/>
      <c r="D489" s="59"/>
      <c r="F489" s="59"/>
      <c r="H489" s="59"/>
      <c r="J489" s="59"/>
      <c r="L489" s="59"/>
      <c r="N489" s="59"/>
      <c r="Q489" s="59"/>
      <c r="R489" s="61"/>
    </row>
    <row r="490">
      <c r="B490" s="59"/>
      <c r="D490" s="59"/>
      <c r="F490" s="59"/>
      <c r="H490" s="59"/>
      <c r="J490" s="59"/>
      <c r="L490" s="59"/>
      <c r="N490" s="59"/>
      <c r="Q490" s="59"/>
      <c r="R490" s="61"/>
    </row>
    <row r="491">
      <c r="B491" s="59"/>
      <c r="D491" s="59"/>
      <c r="F491" s="59"/>
      <c r="H491" s="59"/>
      <c r="J491" s="59"/>
      <c r="L491" s="59"/>
      <c r="N491" s="59"/>
      <c r="Q491" s="59"/>
      <c r="R491" s="61"/>
    </row>
    <row r="492">
      <c r="B492" s="59"/>
      <c r="D492" s="59"/>
      <c r="F492" s="59"/>
      <c r="H492" s="59"/>
      <c r="J492" s="59"/>
      <c r="L492" s="59"/>
      <c r="N492" s="59"/>
      <c r="Q492" s="59"/>
      <c r="R492" s="61"/>
    </row>
    <row r="493">
      <c r="B493" s="59"/>
      <c r="D493" s="59"/>
      <c r="F493" s="59"/>
      <c r="H493" s="59"/>
      <c r="J493" s="59"/>
      <c r="L493" s="59"/>
      <c r="N493" s="59"/>
      <c r="Q493" s="59"/>
      <c r="R493" s="61"/>
    </row>
    <row r="494">
      <c r="B494" s="59"/>
      <c r="D494" s="59"/>
      <c r="F494" s="59"/>
      <c r="H494" s="59"/>
      <c r="J494" s="59"/>
      <c r="L494" s="59"/>
      <c r="N494" s="59"/>
      <c r="Q494" s="59"/>
      <c r="R494" s="61"/>
    </row>
    <row r="495">
      <c r="B495" s="59"/>
      <c r="D495" s="59"/>
      <c r="F495" s="59"/>
      <c r="H495" s="59"/>
      <c r="J495" s="59"/>
      <c r="L495" s="59"/>
      <c r="N495" s="59"/>
      <c r="Q495" s="59"/>
      <c r="R495" s="61"/>
    </row>
    <row r="496">
      <c r="B496" s="59"/>
      <c r="D496" s="59"/>
      <c r="F496" s="59"/>
      <c r="H496" s="59"/>
      <c r="J496" s="59"/>
      <c r="L496" s="59"/>
      <c r="N496" s="59"/>
      <c r="Q496" s="59"/>
      <c r="R496" s="61"/>
    </row>
    <row r="497">
      <c r="B497" s="59"/>
      <c r="D497" s="59"/>
      <c r="F497" s="59"/>
      <c r="H497" s="59"/>
      <c r="J497" s="59"/>
      <c r="L497" s="59"/>
      <c r="N497" s="59"/>
      <c r="Q497" s="59"/>
      <c r="R497" s="61"/>
    </row>
    <row r="498">
      <c r="B498" s="59"/>
      <c r="D498" s="59"/>
      <c r="F498" s="59"/>
      <c r="H498" s="59"/>
      <c r="J498" s="59"/>
      <c r="L498" s="59"/>
      <c r="N498" s="59"/>
      <c r="Q498" s="59"/>
      <c r="R498" s="61"/>
    </row>
    <row r="499">
      <c r="B499" s="59"/>
      <c r="D499" s="59"/>
      <c r="F499" s="59"/>
      <c r="H499" s="59"/>
      <c r="J499" s="59"/>
      <c r="L499" s="59"/>
      <c r="N499" s="59"/>
      <c r="Q499" s="59"/>
      <c r="R499" s="61"/>
    </row>
    <row r="500">
      <c r="B500" s="59"/>
      <c r="D500" s="59"/>
      <c r="F500" s="59"/>
      <c r="H500" s="59"/>
      <c r="J500" s="59"/>
      <c r="L500" s="59"/>
      <c r="N500" s="59"/>
      <c r="Q500" s="59"/>
      <c r="R500" s="61"/>
    </row>
    <row r="501">
      <c r="B501" s="59"/>
      <c r="D501" s="59"/>
      <c r="F501" s="59"/>
      <c r="H501" s="59"/>
      <c r="J501" s="59"/>
      <c r="L501" s="59"/>
      <c r="N501" s="59"/>
      <c r="Q501" s="59"/>
      <c r="R501" s="61"/>
    </row>
    <row r="502">
      <c r="B502" s="59"/>
      <c r="D502" s="59"/>
      <c r="F502" s="59"/>
      <c r="H502" s="59"/>
      <c r="J502" s="59"/>
      <c r="L502" s="59"/>
      <c r="N502" s="59"/>
      <c r="Q502" s="59"/>
      <c r="R502" s="61"/>
    </row>
    <row r="503">
      <c r="B503" s="59"/>
      <c r="D503" s="59"/>
      <c r="F503" s="59"/>
      <c r="H503" s="59"/>
      <c r="J503" s="59"/>
      <c r="L503" s="59"/>
      <c r="N503" s="59"/>
      <c r="Q503" s="59"/>
      <c r="R503" s="61"/>
    </row>
    <row r="504">
      <c r="B504" s="59"/>
      <c r="D504" s="59"/>
      <c r="F504" s="59"/>
      <c r="H504" s="59"/>
      <c r="J504" s="59"/>
      <c r="L504" s="59"/>
      <c r="N504" s="59"/>
      <c r="Q504" s="59"/>
      <c r="R504" s="61"/>
    </row>
    <row r="505">
      <c r="B505" s="59"/>
      <c r="D505" s="59"/>
      <c r="F505" s="59"/>
      <c r="H505" s="59"/>
      <c r="J505" s="59"/>
      <c r="L505" s="59"/>
      <c r="N505" s="59"/>
      <c r="Q505" s="59"/>
      <c r="R505" s="61"/>
    </row>
    <row r="506">
      <c r="B506" s="59"/>
      <c r="D506" s="59"/>
      <c r="F506" s="59"/>
      <c r="H506" s="59"/>
      <c r="J506" s="59"/>
      <c r="L506" s="59"/>
      <c r="N506" s="59"/>
      <c r="Q506" s="59"/>
      <c r="R506" s="61"/>
    </row>
    <row r="507">
      <c r="B507" s="59"/>
      <c r="D507" s="59"/>
      <c r="F507" s="59"/>
      <c r="H507" s="59"/>
      <c r="J507" s="59"/>
      <c r="L507" s="59"/>
      <c r="N507" s="59"/>
      <c r="Q507" s="59"/>
      <c r="R507" s="61"/>
    </row>
    <row r="508">
      <c r="B508" s="59"/>
      <c r="D508" s="59"/>
      <c r="F508" s="59"/>
      <c r="H508" s="59"/>
      <c r="J508" s="59"/>
      <c r="L508" s="59"/>
      <c r="N508" s="59"/>
      <c r="Q508" s="59"/>
      <c r="R508" s="61"/>
    </row>
    <row r="509">
      <c r="B509" s="59"/>
      <c r="D509" s="59"/>
      <c r="F509" s="59"/>
      <c r="H509" s="59"/>
      <c r="J509" s="59"/>
      <c r="L509" s="59"/>
      <c r="N509" s="59"/>
      <c r="Q509" s="59"/>
      <c r="R509" s="61"/>
    </row>
    <row r="510">
      <c r="B510" s="59"/>
      <c r="D510" s="59"/>
      <c r="F510" s="59"/>
      <c r="H510" s="59"/>
      <c r="J510" s="59"/>
      <c r="L510" s="59"/>
      <c r="N510" s="59"/>
      <c r="Q510" s="59"/>
      <c r="R510" s="61"/>
    </row>
    <row r="511">
      <c r="B511" s="59"/>
      <c r="D511" s="59"/>
      <c r="F511" s="59"/>
      <c r="H511" s="59"/>
      <c r="J511" s="59"/>
      <c r="L511" s="59"/>
      <c r="N511" s="59"/>
      <c r="Q511" s="59"/>
      <c r="R511" s="61"/>
    </row>
    <row r="512">
      <c r="B512" s="59"/>
      <c r="D512" s="59"/>
      <c r="F512" s="59"/>
      <c r="H512" s="59"/>
      <c r="J512" s="59"/>
      <c r="L512" s="59"/>
      <c r="N512" s="59"/>
      <c r="Q512" s="59"/>
      <c r="R512" s="61"/>
    </row>
    <row r="513">
      <c r="B513" s="59"/>
      <c r="D513" s="59"/>
      <c r="F513" s="59"/>
      <c r="H513" s="59"/>
      <c r="J513" s="59"/>
      <c r="L513" s="59"/>
      <c r="N513" s="59"/>
      <c r="Q513" s="59"/>
      <c r="R513" s="61"/>
    </row>
    <row r="514">
      <c r="B514" s="59"/>
      <c r="D514" s="59"/>
      <c r="F514" s="59"/>
      <c r="H514" s="59"/>
      <c r="J514" s="59"/>
      <c r="L514" s="59"/>
      <c r="N514" s="59"/>
      <c r="Q514" s="59"/>
      <c r="R514" s="61"/>
    </row>
    <row r="515">
      <c r="B515" s="59"/>
      <c r="D515" s="59"/>
      <c r="F515" s="59"/>
      <c r="H515" s="59"/>
      <c r="J515" s="59"/>
      <c r="L515" s="59"/>
      <c r="N515" s="59"/>
      <c r="Q515" s="59"/>
      <c r="R515" s="61"/>
    </row>
    <row r="516">
      <c r="B516" s="59"/>
      <c r="D516" s="59"/>
      <c r="F516" s="59"/>
      <c r="H516" s="59"/>
      <c r="J516" s="59"/>
      <c r="L516" s="59"/>
      <c r="N516" s="59"/>
      <c r="Q516" s="59"/>
      <c r="R516" s="61"/>
    </row>
    <row r="517">
      <c r="B517" s="59"/>
      <c r="D517" s="59"/>
      <c r="F517" s="59"/>
      <c r="H517" s="59"/>
      <c r="J517" s="59"/>
      <c r="L517" s="59"/>
      <c r="N517" s="59"/>
      <c r="Q517" s="59"/>
      <c r="R517" s="61"/>
    </row>
    <row r="518">
      <c r="B518" s="59"/>
      <c r="D518" s="59"/>
      <c r="F518" s="59"/>
      <c r="H518" s="59"/>
      <c r="J518" s="59"/>
      <c r="L518" s="59"/>
      <c r="N518" s="59"/>
      <c r="Q518" s="59"/>
      <c r="R518" s="61"/>
    </row>
    <row r="519">
      <c r="B519" s="59"/>
      <c r="D519" s="59"/>
      <c r="F519" s="59"/>
      <c r="H519" s="59"/>
      <c r="J519" s="59"/>
      <c r="L519" s="59"/>
      <c r="N519" s="59"/>
      <c r="Q519" s="59"/>
      <c r="R519" s="61"/>
    </row>
    <row r="520">
      <c r="B520" s="59"/>
      <c r="D520" s="59"/>
      <c r="F520" s="59"/>
      <c r="H520" s="59"/>
      <c r="J520" s="59"/>
      <c r="L520" s="59"/>
      <c r="N520" s="59"/>
      <c r="Q520" s="59"/>
      <c r="R520" s="61"/>
    </row>
    <row r="521">
      <c r="B521" s="59"/>
      <c r="D521" s="59"/>
      <c r="F521" s="59"/>
      <c r="H521" s="59"/>
      <c r="J521" s="59"/>
      <c r="L521" s="59"/>
      <c r="N521" s="59"/>
      <c r="Q521" s="59"/>
      <c r="R521" s="61"/>
    </row>
    <row r="522">
      <c r="B522" s="59"/>
      <c r="D522" s="59"/>
      <c r="F522" s="59"/>
      <c r="H522" s="59"/>
      <c r="J522" s="59"/>
      <c r="L522" s="59"/>
      <c r="N522" s="59"/>
      <c r="Q522" s="59"/>
      <c r="R522" s="61"/>
    </row>
    <row r="523">
      <c r="B523" s="59"/>
      <c r="D523" s="59"/>
      <c r="F523" s="59"/>
      <c r="H523" s="59"/>
      <c r="J523" s="59"/>
      <c r="L523" s="59"/>
      <c r="N523" s="59"/>
      <c r="Q523" s="59"/>
      <c r="R523" s="61"/>
    </row>
    <row r="524">
      <c r="B524" s="59"/>
      <c r="D524" s="59"/>
      <c r="F524" s="59"/>
      <c r="H524" s="59"/>
      <c r="J524" s="59"/>
      <c r="L524" s="59"/>
      <c r="N524" s="59"/>
      <c r="Q524" s="59"/>
      <c r="R524" s="61"/>
    </row>
    <row r="525">
      <c r="B525" s="59"/>
      <c r="D525" s="59"/>
      <c r="F525" s="59"/>
      <c r="H525" s="59"/>
      <c r="J525" s="59"/>
      <c r="L525" s="59"/>
      <c r="N525" s="59"/>
      <c r="Q525" s="59"/>
      <c r="R525" s="61"/>
    </row>
    <row r="526">
      <c r="B526" s="59"/>
      <c r="D526" s="59"/>
      <c r="F526" s="59"/>
      <c r="H526" s="59"/>
      <c r="J526" s="59"/>
      <c r="L526" s="59"/>
      <c r="N526" s="59"/>
      <c r="Q526" s="59"/>
      <c r="R526" s="61"/>
    </row>
    <row r="527">
      <c r="B527" s="59"/>
      <c r="D527" s="59"/>
      <c r="F527" s="59"/>
      <c r="H527" s="59"/>
      <c r="J527" s="59"/>
      <c r="L527" s="59"/>
      <c r="N527" s="59"/>
      <c r="Q527" s="59"/>
      <c r="R527" s="61"/>
    </row>
    <row r="528">
      <c r="B528" s="59"/>
      <c r="D528" s="59"/>
      <c r="F528" s="59"/>
      <c r="H528" s="59"/>
      <c r="J528" s="59"/>
      <c r="L528" s="59"/>
      <c r="N528" s="59"/>
      <c r="Q528" s="59"/>
      <c r="R528" s="61"/>
    </row>
    <row r="529">
      <c r="B529" s="59"/>
      <c r="D529" s="59"/>
      <c r="F529" s="59"/>
      <c r="H529" s="59"/>
      <c r="J529" s="59"/>
      <c r="L529" s="59"/>
      <c r="N529" s="59"/>
      <c r="Q529" s="59"/>
      <c r="R529" s="61"/>
    </row>
    <row r="530">
      <c r="B530" s="59"/>
      <c r="D530" s="59"/>
      <c r="F530" s="59"/>
      <c r="H530" s="59"/>
      <c r="J530" s="59"/>
      <c r="L530" s="59"/>
      <c r="N530" s="59"/>
      <c r="Q530" s="59"/>
      <c r="R530" s="61"/>
    </row>
    <row r="531">
      <c r="B531" s="59"/>
      <c r="D531" s="59"/>
      <c r="F531" s="59"/>
      <c r="H531" s="59"/>
      <c r="J531" s="59"/>
      <c r="L531" s="59"/>
      <c r="N531" s="59"/>
      <c r="Q531" s="59"/>
      <c r="R531" s="61"/>
    </row>
    <row r="532">
      <c r="B532" s="59"/>
      <c r="D532" s="59"/>
      <c r="F532" s="59"/>
      <c r="H532" s="59"/>
      <c r="J532" s="59"/>
      <c r="L532" s="59"/>
      <c r="N532" s="59"/>
      <c r="Q532" s="59"/>
      <c r="R532" s="61"/>
    </row>
    <row r="533">
      <c r="B533" s="59"/>
      <c r="D533" s="59"/>
      <c r="F533" s="59"/>
      <c r="H533" s="59"/>
      <c r="J533" s="59"/>
      <c r="L533" s="59"/>
      <c r="N533" s="59"/>
      <c r="Q533" s="59"/>
      <c r="R533" s="61"/>
    </row>
    <row r="534">
      <c r="B534" s="59"/>
      <c r="D534" s="59"/>
      <c r="F534" s="59"/>
      <c r="H534" s="59"/>
      <c r="J534" s="59"/>
      <c r="L534" s="59"/>
      <c r="N534" s="59"/>
      <c r="Q534" s="59"/>
      <c r="R534" s="61"/>
    </row>
    <row r="535">
      <c r="B535" s="59"/>
      <c r="D535" s="59"/>
      <c r="F535" s="59"/>
      <c r="H535" s="59"/>
      <c r="J535" s="59"/>
      <c r="L535" s="59"/>
      <c r="N535" s="59"/>
      <c r="Q535" s="59"/>
      <c r="R535" s="61"/>
    </row>
    <row r="536">
      <c r="B536" s="59"/>
      <c r="D536" s="59"/>
      <c r="F536" s="59"/>
      <c r="H536" s="59"/>
      <c r="J536" s="59"/>
      <c r="L536" s="59"/>
      <c r="N536" s="59"/>
      <c r="Q536" s="59"/>
      <c r="R536" s="61"/>
    </row>
    <row r="537">
      <c r="B537" s="59"/>
      <c r="D537" s="59"/>
      <c r="F537" s="59"/>
      <c r="H537" s="59"/>
      <c r="J537" s="59"/>
      <c r="L537" s="59"/>
      <c r="N537" s="59"/>
      <c r="Q537" s="59"/>
      <c r="R537" s="61"/>
    </row>
    <row r="538">
      <c r="B538" s="59"/>
      <c r="D538" s="59"/>
      <c r="F538" s="59"/>
      <c r="H538" s="59"/>
      <c r="J538" s="59"/>
      <c r="L538" s="59"/>
      <c r="N538" s="59"/>
      <c r="Q538" s="59"/>
      <c r="R538" s="61"/>
    </row>
    <row r="539">
      <c r="B539" s="59"/>
      <c r="D539" s="59"/>
      <c r="F539" s="59"/>
      <c r="H539" s="59"/>
      <c r="J539" s="59"/>
      <c r="L539" s="59"/>
      <c r="N539" s="59"/>
      <c r="Q539" s="59"/>
      <c r="R539" s="61"/>
    </row>
    <row r="540">
      <c r="B540" s="59"/>
      <c r="D540" s="59"/>
      <c r="F540" s="59"/>
      <c r="H540" s="59"/>
      <c r="J540" s="59"/>
      <c r="L540" s="59"/>
      <c r="N540" s="59"/>
      <c r="Q540" s="59"/>
      <c r="R540" s="61"/>
    </row>
    <row r="541">
      <c r="B541" s="59"/>
      <c r="D541" s="59"/>
      <c r="F541" s="59"/>
      <c r="H541" s="59"/>
      <c r="J541" s="59"/>
      <c r="L541" s="59"/>
      <c r="N541" s="59"/>
      <c r="Q541" s="59"/>
      <c r="R541" s="61"/>
    </row>
    <row r="542">
      <c r="B542" s="59"/>
      <c r="D542" s="59"/>
      <c r="F542" s="59"/>
      <c r="H542" s="59"/>
      <c r="J542" s="59"/>
      <c r="L542" s="59"/>
      <c r="N542" s="59"/>
      <c r="Q542" s="59"/>
      <c r="R542" s="61"/>
    </row>
    <row r="543">
      <c r="B543" s="59"/>
      <c r="D543" s="59"/>
      <c r="F543" s="59"/>
      <c r="H543" s="59"/>
      <c r="J543" s="59"/>
      <c r="L543" s="59"/>
      <c r="N543" s="59"/>
      <c r="Q543" s="59"/>
      <c r="R543" s="61"/>
    </row>
    <row r="544">
      <c r="B544" s="59"/>
      <c r="D544" s="59"/>
      <c r="F544" s="59"/>
      <c r="H544" s="59"/>
      <c r="J544" s="59"/>
      <c r="L544" s="59"/>
      <c r="N544" s="59"/>
      <c r="Q544" s="59"/>
      <c r="R544" s="61"/>
    </row>
    <row r="545">
      <c r="B545" s="59"/>
      <c r="D545" s="59"/>
      <c r="F545" s="59"/>
      <c r="H545" s="59"/>
      <c r="J545" s="59"/>
      <c r="L545" s="59"/>
      <c r="N545" s="59"/>
      <c r="Q545" s="59"/>
      <c r="R545" s="61"/>
    </row>
    <row r="546">
      <c r="B546" s="59"/>
      <c r="D546" s="59"/>
      <c r="F546" s="59"/>
      <c r="H546" s="59"/>
      <c r="J546" s="59"/>
      <c r="L546" s="59"/>
      <c r="N546" s="59"/>
      <c r="Q546" s="59"/>
      <c r="R546" s="61"/>
    </row>
    <row r="547">
      <c r="B547" s="59"/>
      <c r="D547" s="59"/>
      <c r="F547" s="59"/>
      <c r="H547" s="59"/>
      <c r="J547" s="59"/>
      <c r="L547" s="59"/>
      <c r="N547" s="59"/>
      <c r="Q547" s="59"/>
      <c r="R547" s="61"/>
    </row>
    <row r="548">
      <c r="B548" s="59"/>
      <c r="D548" s="59"/>
      <c r="F548" s="59"/>
      <c r="H548" s="59"/>
      <c r="J548" s="59"/>
      <c r="L548" s="59"/>
      <c r="N548" s="59"/>
      <c r="Q548" s="59"/>
      <c r="R548" s="61"/>
    </row>
    <row r="549">
      <c r="B549" s="59"/>
      <c r="D549" s="59"/>
      <c r="F549" s="59"/>
      <c r="H549" s="59"/>
      <c r="J549" s="59"/>
      <c r="L549" s="59"/>
      <c r="N549" s="59"/>
      <c r="Q549" s="59"/>
      <c r="R549" s="61"/>
    </row>
    <row r="550">
      <c r="B550" s="59"/>
      <c r="D550" s="59"/>
      <c r="F550" s="59"/>
      <c r="H550" s="59"/>
      <c r="J550" s="59"/>
      <c r="L550" s="59"/>
      <c r="N550" s="59"/>
      <c r="Q550" s="59"/>
      <c r="R550" s="61"/>
    </row>
    <row r="551">
      <c r="B551" s="59"/>
      <c r="D551" s="59"/>
      <c r="F551" s="59"/>
      <c r="H551" s="59"/>
      <c r="J551" s="59"/>
      <c r="L551" s="59"/>
      <c r="N551" s="59"/>
      <c r="Q551" s="59"/>
      <c r="R551" s="61"/>
    </row>
    <row r="552">
      <c r="B552" s="59"/>
      <c r="D552" s="59"/>
      <c r="F552" s="59"/>
      <c r="H552" s="59"/>
      <c r="J552" s="59"/>
      <c r="L552" s="59"/>
      <c r="N552" s="59"/>
      <c r="Q552" s="59"/>
      <c r="R552" s="61"/>
    </row>
    <row r="553">
      <c r="B553" s="59"/>
      <c r="D553" s="59"/>
      <c r="F553" s="59"/>
      <c r="H553" s="59"/>
      <c r="J553" s="59"/>
      <c r="L553" s="59"/>
      <c r="N553" s="59"/>
      <c r="Q553" s="59"/>
      <c r="R553" s="61"/>
    </row>
    <row r="554">
      <c r="B554" s="59"/>
      <c r="D554" s="59"/>
      <c r="F554" s="59"/>
      <c r="H554" s="59"/>
      <c r="J554" s="59"/>
      <c r="L554" s="59"/>
      <c r="N554" s="59"/>
      <c r="Q554" s="59"/>
      <c r="R554" s="61"/>
    </row>
    <row r="555">
      <c r="B555" s="59"/>
      <c r="D555" s="59"/>
      <c r="F555" s="59"/>
      <c r="H555" s="59"/>
      <c r="J555" s="59"/>
      <c r="L555" s="59"/>
      <c r="N555" s="59"/>
      <c r="Q555" s="59"/>
      <c r="R555" s="61"/>
    </row>
    <row r="556">
      <c r="B556" s="59"/>
      <c r="D556" s="59"/>
      <c r="F556" s="59"/>
      <c r="H556" s="59"/>
      <c r="J556" s="59"/>
      <c r="L556" s="59"/>
      <c r="N556" s="59"/>
      <c r="Q556" s="59"/>
      <c r="R556" s="61"/>
    </row>
    <row r="557">
      <c r="B557" s="59"/>
      <c r="D557" s="59"/>
      <c r="F557" s="59"/>
      <c r="H557" s="59"/>
      <c r="J557" s="59"/>
      <c r="L557" s="59"/>
      <c r="N557" s="59"/>
      <c r="Q557" s="59"/>
      <c r="R557" s="61"/>
    </row>
    <row r="558">
      <c r="B558" s="59"/>
      <c r="D558" s="59"/>
      <c r="F558" s="59"/>
      <c r="H558" s="59"/>
      <c r="J558" s="59"/>
      <c r="L558" s="59"/>
      <c r="N558" s="59"/>
      <c r="Q558" s="59"/>
      <c r="R558" s="61"/>
    </row>
    <row r="559">
      <c r="B559" s="59"/>
      <c r="D559" s="59"/>
      <c r="F559" s="59"/>
      <c r="H559" s="59"/>
      <c r="J559" s="59"/>
      <c r="L559" s="59"/>
      <c r="N559" s="59"/>
      <c r="Q559" s="59"/>
      <c r="R559" s="61"/>
    </row>
    <row r="560">
      <c r="B560" s="59"/>
      <c r="D560" s="59"/>
      <c r="F560" s="59"/>
      <c r="H560" s="59"/>
      <c r="J560" s="59"/>
      <c r="L560" s="59"/>
      <c r="N560" s="59"/>
      <c r="Q560" s="59"/>
      <c r="R560" s="61"/>
    </row>
    <row r="561">
      <c r="B561" s="59"/>
      <c r="D561" s="59"/>
      <c r="F561" s="59"/>
      <c r="H561" s="59"/>
      <c r="J561" s="59"/>
      <c r="L561" s="59"/>
      <c r="N561" s="59"/>
      <c r="Q561" s="59"/>
      <c r="R561" s="61"/>
    </row>
    <row r="562">
      <c r="B562" s="59"/>
      <c r="D562" s="59"/>
      <c r="F562" s="59"/>
      <c r="H562" s="59"/>
      <c r="J562" s="59"/>
      <c r="L562" s="59"/>
      <c r="N562" s="59"/>
      <c r="Q562" s="59"/>
      <c r="R562" s="61"/>
    </row>
    <row r="563">
      <c r="B563" s="59"/>
      <c r="D563" s="59"/>
      <c r="F563" s="59"/>
      <c r="H563" s="59"/>
      <c r="J563" s="59"/>
      <c r="L563" s="59"/>
      <c r="N563" s="59"/>
      <c r="Q563" s="59"/>
      <c r="R563" s="61"/>
    </row>
    <row r="564">
      <c r="B564" s="59"/>
      <c r="D564" s="59"/>
      <c r="F564" s="59"/>
      <c r="H564" s="59"/>
      <c r="J564" s="59"/>
      <c r="L564" s="59"/>
      <c r="N564" s="59"/>
      <c r="Q564" s="59"/>
      <c r="R564" s="61"/>
    </row>
    <row r="565">
      <c r="B565" s="59"/>
      <c r="D565" s="59"/>
      <c r="F565" s="59"/>
      <c r="H565" s="59"/>
      <c r="J565" s="59"/>
      <c r="L565" s="59"/>
      <c r="N565" s="59"/>
      <c r="Q565" s="59"/>
      <c r="R565" s="61"/>
    </row>
    <row r="566">
      <c r="B566" s="59"/>
      <c r="D566" s="59"/>
      <c r="F566" s="59"/>
      <c r="H566" s="59"/>
      <c r="J566" s="59"/>
      <c r="L566" s="59"/>
      <c r="N566" s="59"/>
      <c r="Q566" s="59"/>
      <c r="R566" s="61"/>
    </row>
    <row r="567">
      <c r="B567" s="59"/>
      <c r="D567" s="59"/>
      <c r="F567" s="59"/>
      <c r="H567" s="59"/>
      <c r="J567" s="59"/>
      <c r="L567" s="59"/>
      <c r="N567" s="59"/>
      <c r="Q567" s="59"/>
      <c r="R567" s="61"/>
    </row>
    <row r="568">
      <c r="B568" s="59"/>
      <c r="D568" s="59"/>
      <c r="F568" s="59"/>
      <c r="H568" s="59"/>
      <c r="J568" s="59"/>
      <c r="L568" s="59"/>
      <c r="N568" s="59"/>
      <c r="Q568" s="59"/>
      <c r="R568" s="61"/>
    </row>
    <row r="569">
      <c r="B569" s="59"/>
      <c r="D569" s="59"/>
      <c r="F569" s="59"/>
      <c r="H569" s="59"/>
      <c r="J569" s="59"/>
      <c r="L569" s="59"/>
      <c r="N569" s="59"/>
      <c r="Q569" s="59"/>
      <c r="R569" s="61"/>
    </row>
    <row r="570">
      <c r="B570" s="59"/>
      <c r="D570" s="59"/>
      <c r="F570" s="59"/>
      <c r="H570" s="59"/>
      <c r="J570" s="59"/>
      <c r="L570" s="59"/>
      <c r="N570" s="59"/>
      <c r="Q570" s="59"/>
      <c r="R570" s="61"/>
    </row>
    <row r="571">
      <c r="B571" s="59"/>
      <c r="D571" s="59"/>
      <c r="F571" s="59"/>
      <c r="H571" s="59"/>
      <c r="J571" s="59"/>
      <c r="L571" s="59"/>
      <c r="N571" s="59"/>
      <c r="Q571" s="59"/>
      <c r="R571" s="61"/>
    </row>
    <row r="572">
      <c r="B572" s="59"/>
      <c r="D572" s="59"/>
      <c r="F572" s="59"/>
      <c r="H572" s="59"/>
      <c r="J572" s="59"/>
      <c r="L572" s="59"/>
      <c r="N572" s="59"/>
      <c r="Q572" s="59"/>
      <c r="R572" s="61"/>
    </row>
    <row r="573">
      <c r="B573" s="59"/>
      <c r="D573" s="59"/>
      <c r="F573" s="59"/>
      <c r="H573" s="59"/>
      <c r="J573" s="59"/>
      <c r="L573" s="59"/>
      <c r="N573" s="59"/>
      <c r="Q573" s="59"/>
      <c r="R573" s="61"/>
    </row>
    <row r="574">
      <c r="B574" s="59"/>
      <c r="D574" s="59"/>
      <c r="F574" s="59"/>
      <c r="H574" s="59"/>
      <c r="J574" s="59"/>
      <c r="L574" s="59"/>
      <c r="N574" s="59"/>
      <c r="Q574" s="59"/>
      <c r="R574" s="61"/>
    </row>
    <row r="575">
      <c r="B575" s="59"/>
      <c r="D575" s="59"/>
      <c r="F575" s="59"/>
      <c r="H575" s="59"/>
      <c r="J575" s="59"/>
      <c r="L575" s="59"/>
      <c r="N575" s="59"/>
      <c r="Q575" s="59"/>
      <c r="R575" s="61"/>
    </row>
    <row r="576">
      <c r="B576" s="59"/>
      <c r="D576" s="59"/>
      <c r="F576" s="59"/>
      <c r="H576" s="59"/>
      <c r="J576" s="59"/>
      <c r="L576" s="59"/>
      <c r="N576" s="59"/>
      <c r="Q576" s="59"/>
      <c r="R576" s="61"/>
    </row>
    <row r="577">
      <c r="B577" s="59"/>
      <c r="D577" s="59"/>
      <c r="F577" s="59"/>
      <c r="H577" s="59"/>
      <c r="J577" s="59"/>
      <c r="L577" s="59"/>
      <c r="N577" s="59"/>
      <c r="Q577" s="59"/>
      <c r="R577" s="61"/>
    </row>
    <row r="578">
      <c r="B578" s="59"/>
      <c r="D578" s="59"/>
      <c r="F578" s="59"/>
      <c r="H578" s="59"/>
      <c r="J578" s="59"/>
      <c r="L578" s="59"/>
      <c r="N578" s="59"/>
      <c r="Q578" s="59"/>
      <c r="R578" s="61"/>
    </row>
    <row r="579">
      <c r="B579" s="59"/>
      <c r="D579" s="59"/>
      <c r="F579" s="59"/>
      <c r="H579" s="59"/>
      <c r="J579" s="59"/>
      <c r="L579" s="59"/>
      <c r="N579" s="59"/>
      <c r="Q579" s="59"/>
      <c r="R579" s="61"/>
    </row>
    <row r="580">
      <c r="B580" s="59"/>
      <c r="D580" s="59"/>
      <c r="F580" s="59"/>
      <c r="H580" s="59"/>
      <c r="J580" s="59"/>
      <c r="L580" s="59"/>
      <c r="N580" s="59"/>
      <c r="Q580" s="59"/>
      <c r="R580" s="61"/>
    </row>
    <row r="581">
      <c r="B581" s="59"/>
      <c r="D581" s="59"/>
      <c r="F581" s="59"/>
      <c r="H581" s="59"/>
      <c r="J581" s="59"/>
      <c r="L581" s="59"/>
      <c r="N581" s="59"/>
      <c r="Q581" s="59"/>
      <c r="R581" s="61"/>
    </row>
    <row r="582">
      <c r="B582" s="59"/>
      <c r="D582" s="59"/>
      <c r="F582" s="59"/>
      <c r="H582" s="59"/>
      <c r="J582" s="59"/>
      <c r="L582" s="59"/>
      <c r="N582" s="59"/>
      <c r="Q582" s="59"/>
      <c r="R582" s="61"/>
    </row>
    <row r="583">
      <c r="B583" s="59"/>
      <c r="D583" s="59"/>
      <c r="F583" s="59"/>
      <c r="H583" s="59"/>
      <c r="J583" s="59"/>
      <c r="L583" s="59"/>
      <c r="N583" s="59"/>
      <c r="Q583" s="59"/>
      <c r="R583" s="61"/>
    </row>
    <row r="584">
      <c r="B584" s="59"/>
      <c r="D584" s="59"/>
      <c r="F584" s="59"/>
      <c r="H584" s="59"/>
      <c r="J584" s="59"/>
      <c r="L584" s="59"/>
      <c r="N584" s="59"/>
      <c r="Q584" s="59"/>
      <c r="R584" s="61"/>
    </row>
    <row r="585">
      <c r="B585" s="59"/>
      <c r="D585" s="59"/>
      <c r="F585" s="59"/>
      <c r="H585" s="59"/>
      <c r="J585" s="59"/>
      <c r="L585" s="59"/>
      <c r="N585" s="59"/>
      <c r="Q585" s="59"/>
      <c r="R585" s="61"/>
    </row>
    <row r="586">
      <c r="B586" s="59"/>
      <c r="D586" s="59"/>
      <c r="F586" s="59"/>
      <c r="H586" s="59"/>
      <c r="J586" s="59"/>
      <c r="L586" s="59"/>
      <c r="N586" s="59"/>
      <c r="Q586" s="59"/>
      <c r="R586" s="61"/>
    </row>
    <row r="587">
      <c r="B587" s="59"/>
      <c r="D587" s="59"/>
      <c r="F587" s="59"/>
      <c r="H587" s="59"/>
      <c r="J587" s="59"/>
      <c r="L587" s="59"/>
      <c r="N587" s="59"/>
      <c r="Q587" s="59"/>
      <c r="R587" s="61"/>
    </row>
    <row r="588">
      <c r="B588" s="59"/>
      <c r="D588" s="59"/>
      <c r="F588" s="59"/>
      <c r="H588" s="59"/>
      <c r="J588" s="59"/>
      <c r="L588" s="59"/>
      <c r="N588" s="59"/>
      <c r="Q588" s="59"/>
      <c r="R588" s="61"/>
    </row>
    <row r="589">
      <c r="B589" s="59"/>
      <c r="D589" s="59"/>
      <c r="F589" s="59"/>
      <c r="H589" s="59"/>
      <c r="J589" s="59"/>
      <c r="L589" s="59"/>
      <c r="N589" s="59"/>
      <c r="Q589" s="59"/>
      <c r="R589" s="61"/>
    </row>
    <row r="590">
      <c r="B590" s="59"/>
      <c r="D590" s="59"/>
      <c r="F590" s="59"/>
      <c r="H590" s="59"/>
      <c r="J590" s="59"/>
      <c r="L590" s="59"/>
      <c r="N590" s="59"/>
      <c r="Q590" s="59"/>
      <c r="R590" s="61"/>
    </row>
    <row r="591">
      <c r="B591" s="59"/>
      <c r="D591" s="59"/>
      <c r="F591" s="59"/>
      <c r="H591" s="59"/>
      <c r="J591" s="59"/>
      <c r="L591" s="59"/>
      <c r="N591" s="59"/>
      <c r="Q591" s="59"/>
      <c r="R591" s="61"/>
    </row>
    <row r="592">
      <c r="B592" s="59"/>
      <c r="D592" s="59"/>
      <c r="F592" s="59"/>
      <c r="H592" s="59"/>
      <c r="J592" s="59"/>
      <c r="L592" s="59"/>
      <c r="N592" s="59"/>
      <c r="Q592" s="59"/>
      <c r="R592" s="61"/>
    </row>
    <row r="593">
      <c r="B593" s="59"/>
      <c r="D593" s="59"/>
      <c r="F593" s="59"/>
      <c r="H593" s="59"/>
      <c r="J593" s="59"/>
      <c r="L593" s="59"/>
      <c r="N593" s="59"/>
      <c r="Q593" s="59"/>
      <c r="R593" s="61"/>
    </row>
    <row r="594">
      <c r="B594" s="59"/>
      <c r="D594" s="59"/>
      <c r="F594" s="59"/>
      <c r="H594" s="59"/>
      <c r="J594" s="59"/>
      <c r="L594" s="59"/>
      <c r="N594" s="59"/>
      <c r="Q594" s="59"/>
      <c r="R594" s="61"/>
    </row>
    <row r="595">
      <c r="B595" s="59"/>
      <c r="D595" s="59"/>
      <c r="F595" s="59"/>
      <c r="H595" s="59"/>
      <c r="J595" s="59"/>
      <c r="L595" s="59"/>
      <c r="N595" s="59"/>
      <c r="Q595" s="59"/>
      <c r="R595" s="61"/>
    </row>
    <row r="596">
      <c r="B596" s="59"/>
      <c r="D596" s="59"/>
      <c r="F596" s="59"/>
      <c r="H596" s="59"/>
      <c r="J596" s="59"/>
      <c r="L596" s="59"/>
      <c r="N596" s="59"/>
      <c r="Q596" s="59"/>
      <c r="R596" s="61"/>
    </row>
    <row r="597">
      <c r="B597" s="59"/>
      <c r="D597" s="59"/>
      <c r="F597" s="59"/>
      <c r="H597" s="59"/>
      <c r="J597" s="59"/>
      <c r="L597" s="59"/>
      <c r="N597" s="59"/>
      <c r="Q597" s="59"/>
      <c r="R597" s="61"/>
    </row>
    <row r="598">
      <c r="B598" s="59"/>
      <c r="D598" s="59"/>
      <c r="F598" s="59"/>
      <c r="H598" s="59"/>
      <c r="J598" s="59"/>
      <c r="L598" s="59"/>
      <c r="N598" s="59"/>
      <c r="Q598" s="59"/>
      <c r="R598" s="61"/>
    </row>
    <row r="599">
      <c r="B599" s="59"/>
      <c r="D599" s="59"/>
      <c r="F599" s="59"/>
      <c r="H599" s="59"/>
      <c r="J599" s="59"/>
      <c r="L599" s="59"/>
      <c r="N599" s="59"/>
      <c r="Q599" s="59"/>
      <c r="R599" s="61"/>
    </row>
    <row r="600">
      <c r="B600" s="59"/>
      <c r="D600" s="59"/>
      <c r="F600" s="59"/>
      <c r="H600" s="59"/>
      <c r="J600" s="59"/>
      <c r="L600" s="59"/>
      <c r="N600" s="59"/>
      <c r="Q600" s="59"/>
      <c r="R600" s="61"/>
    </row>
    <row r="601">
      <c r="B601" s="59"/>
      <c r="D601" s="59"/>
      <c r="F601" s="59"/>
      <c r="H601" s="59"/>
      <c r="J601" s="59"/>
      <c r="L601" s="59"/>
      <c r="N601" s="59"/>
      <c r="Q601" s="59"/>
      <c r="R601" s="61"/>
    </row>
    <row r="602">
      <c r="B602" s="59"/>
      <c r="D602" s="59"/>
      <c r="F602" s="59"/>
      <c r="H602" s="59"/>
      <c r="J602" s="59"/>
      <c r="L602" s="59"/>
      <c r="N602" s="59"/>
      <c r="Q602" s="59"/>
      <c r="R602" s="61"/>
    </row>
    <row r="603">
      <c r="B603" s="59"/>
      <c r="D603" s="59"/>
      <c r="F603" s="59"/>
      <c r="H603" s="59"/>
      <c r="J603" s="59"/>
      <c r="L603" s="59"/>
      <c r="N603" s="59"/>
      <c r="Q603" s="59"/>
      <c r="R603" s="61"/>
    </row>
    <row r="604">
      <c r="B604" s="59"/>
      <c r="D604" s="59"/>
      <c r="F604" s="59"/>
      <c r="H604" s="59"/>
      <c r="J604" s="59"/>
      <c r="L604" s="59"/>
      <c r="N604" s="59"/>
      <c r="Q604" s="59"/>
      <c r="R604" s="61"/>
    </row>
    <row r="605">
      <c r="B605" s="59"/>
      <c r="D605" s="59"/>
      <c r="F605" s="59"/>
      <c r="H605" s="59"/>
      <c r="J605" s="59"/>
      <c r="L605" s="59"/>
      <c r="N605" s="59"/>
      <c r="Q605" s="59"/>
      <c r="R605" s="61"/>
    </row>
    <row r="606">
      <c r="B606" s="59"/>
      <c r="D606" s="59"/>
      <c r="F606" s="59"/>
      <c r="H606" s="59"/>
      <c r="J606" s="59"/>
      <c r="L606" s="59"/>
      <c r="N606" s="59"/>
      <c r="Q606" s="59"/>
      <c r="R606" s="61"/>
    </row>
    <row r="607">
      <c r="B607" s="59"/>
      <c r="D607" s="59"/>
      <c r="F607" s="59"/>
      <c r="H607" s="59"/>
      <c r="J607" s="59"/>
      <c r="L607" s="59"/>
      <c r="N607" s="59"/>
      <c r="Q607" s="59"/>
      <c r="R607" s="61"/>
    </row>
    <row r="608">
      <c r="B608" s="59"/>
      <c r="D608" s="59"/>
      <c r="F608" s="59"/>
      <c r="H608" s="59"/>
      <c r="J608" s="59"/>
      <c r="L608" s="59"/>
      <c r="N608" s="59"/>
      <c r="Q608" s="59"/>
      <c r="R608" s="61"/>
    </row>
    <row r="609">
      <c r="B609" s="59"/>
      <c r="D609" s="59"/>
      <c r="F609" s="59"/>
      <c r="H609" s="59"/>
      <c r="J609" s="59"/>
      <c r="L609" s="59"/>
      <c r="N609" s="59"/>
      <c r="Q609" s="59"/>
      <c r="R609" s="61"/>
    </row>
    <row r="610">
      <c r="B610" s="59"/>
      <c r="D610" s="59"/>
      <c r="F610" s="59"/>
      <c r="H610" s="59"/>
      <c r="J610" s="59"/>
      <c r="L610" s="59"/>
      <c r="N610" s="59"/>
      <c r="Q610" s="59"/>
      <c r="R610" s="61"/>
    </row>
    <row r="611">
      <c r="B611" s="59"/>
      <c r="D611" s="59"/>
      <c r="F611" s="59"/>
      <c r="H611" s="59"/>
      <c r="J611" s="59"/>
      <c r="L611" s="59"/>
      <c r="N611" s="59"/>
      <c r="Q611" s="59"/>
      <c r="R611" s="61"/>
    </row>
    <row r="612">
      <c r="B612" s="59"/>
      <c r="D612" s="59"/>
      <c r="F612" s="59"/>
      <c r="H612" s="59"/>
      <c r="J612" s="59"/>
      <c r="L612" s="59"/>
      <c r="N612" s="59"/>
      <c r="Q612" s="59"/>
      <c r="R612" s="61"/>
    </row>
    <row r="613">
      <c r="B613" s="59"/>
      <c r="D613" s="59"/>
      <c r="F613" s="59"/>
      <c r="H613" s="59"/>
      <c r="J613" s="59"/>
      <c r="L613" s="59"/>
      <c r="N613" s="59"/>
      <c r="Q613" s="59"/>
      <c r="R613" s="61"/>
    </row>
    <row r="614">
      <c r="B614" s="59"/>
      <c r="D614" s="59"/>
      <c r="F614" s="59"/>
      <c r="H614" s="59"/>
      <c r="J614" s="59"/>
      <c r="L614" s="59"/>
      <c r="N614" s="59"/>
      <c r="Q614" s="59"/>
      <c r="R614" s="61"/>
    </row>
    <row r="615">
      <c r="B615" s="59"/>
      <c r="D615" s="59"/>
      <c r="F615" s="59"/>
      <c r="H615" s="59"/>
      <c r="J615" s="59"/>
      <c r="L615" s="59"/>
      <c r="N615" s="59"/>
      <c r="Q615" s="59"/>
      <c r="R615" s="61"/>
    </row>
    <row r="616">
      <c r="B616" s="59"/>
      <c r="D616" s="59"/>
      <c r="F616" s="59"/>
      <c r="H616" s="59"/>
      <c r="J616" s="59"/>
      <c r="L616" s="59"/>
      <c r="N616" s="59"/>
      <c r="Q616" s="59"/>
      <c r="R616" s="61"/>
    </row>
    <row r="617">
      <c r="B617" s="59"/>
      <c r="D617" s="59"/>
      <c r="F617" s="59"/>
      <c r="H617" s="59"/>
      <c r="J617" s="59"/>
      <c r="L617" s="59"/>
      <c r="N617" s="59"/>
      <c r="Q617" s="59"/>
      <c r="R617" s="61"/>
    </row>
    <row r="618">
      <c r="B618" s="59"/>
      <c r="D618" s="59"/>
      <c r="F618" s="59"/>
      <c r="H618" s="59"/>
      <c r="J618" s="59"/>
      <c r="L618" s="59"/>
      <c r="N618" s="59"/>
      <c r="Q618" s="59"/>
      <c r="R618" s="61"/>
    </row>
    <row r="619">
      <c r="B619" s="59"/>
      <c r="D619" s="59"/>
      <c r="F619" s="59"/>
      <c r="H619" s="59"/>
      <c r="J619" s="59"/>
      <c r="L619" s="59"/>
      <c r="N619" s="59"/>
      <c r="Q619" s="59"/>
      <c r="R619" s="61"/>
    </row>
    <row r="620">
      <c r="B620" s="59"/>
      <c r="D620" s="59"/>
      <c r="F620" s="59"/>
      <c r="H620" s="59"/>
      <c r="J620" s="59"/>
      <c r="L620" s="59"/>
      <c r="N620" s="59"/>
      <c r="Q620" s="59"/>
      <c r="R620" s="61"/>
    </row>
    <row r="621">
      <c r="B621" s="59"/>
      <c r="D621" s="59"/>
      <c r="F621" s="59"/>
      <c r="H621" s="59"/>
      <c r="J621" s="59"/>
      <c r="L621" s="59"/>
      <c r="N621" s="59"/>
      <c r="Q621" s="59"/>
      <c r="R621" s="61"/>
    </row>
    <row r="622">
      <c r="B622" s="59"/>
      <c r="D622" s="59"/>
      <c r="F622" s="59"/>
      <c r="H622" s="59"/>
      <c r="J622" s="59"/>
      <c r="L622" s="59"/>
      <c r="N622" s="59"/>
      <c r="Q622" s="59"/>
      <c r="R622" s="61"/>
    </row>
    <row r="623">
      <c r="B623" s="59"/>
      <c r="D623" s="59"/>
      <c r="F623" s="59"/>
      <c r="H623" s="59"/>
      <c r="J623" s="59"/>
      <c r="L623" s="59"/>
      <c r="N623" s="59"/>
      <c r="Q623" s="59"/>
      <c r="R623" s="61"/>
    </row>
    <row r="624">
      <c r="B624" s="59"/>
      <c r="D624" s="59"/>
      <c r="F624" s="59"/>
      <c r="H624" s="59"/>
      <c r="J624" s="59"/>
      <c r="L624" s="59"/>
      <c r="N624" s="59"/>
      <c r="Q624" s="59"/>
      <c r="R624" s="61"/>
    </row>
    <row r="625">
      <c r="B625" s="59"/>
      <c r="D625" s="59"/>
      <c r="F625" s="59"/>
      <c r="H625" s="59"/>
      <c r="J625" s="59"/>
      <c r="L625" s="59"/>
      <c r="N625" s="59"/>
      <c r="Q625" s="59"/>
      <c r="R625" s="61"/>
    </row>
    <row r="626">
      <c r="B626" s="59"/>
      <c r="D626" s="59"/>
      <c r="F626" s="59"/>
      <c r="H626" s="59"/>
      <c r="J626" s="59"/>
      <c r="L626" s="59"/>
      <c r="N626" s="59"/>
      <c r="Q626" s="59"/>
      <c r="R626" s="61"/>
    </row>
    <row r="627">
      <c r="B627" s="59"/>
      <c r="D627" s="59"/>
      <c r="F627" s="59"/>
      <c r="H627" s="59"/>
      <c r="J627" s="59"/>
      <c r="L627" s="59"/>
      <c r="N627" s="59"/>
      <c r="Q627" s="59"/>
      <c r="R627" s="61"/>
    </row>
    <row r="628">
      <c r="B628" s="59"/>
      <c r="D628" s="59"/>
      <c r="F628" s="59"/>
      <c r="H628" s="59"/>
      <c r="J628" s="59"/>
      <c r="L628" s="59"/>
      <c r="N628" s="59"/>
      <c r="Q628" s="59"/>
      <c r="R628" s="61"/>
    </row>
    <row r="629">
      <c r="B629" s="59"/>
      <c r="D629" s="59"/>
      <c r="F629" s="59"/>
      <c r="H629" s="59"/>
      <c r="J629" s="59"/>
      <c r="L629" s="59"/>
      <c r="N629" s="59"/>
      <c r="Q629" s="59"/>
      <c r="R629" s="61"/>
    </row>
    <row r="630">
      <c r="B630" s="59"/>
      <c r="D630" s="59"/>
      <c r="F630" s="59"/>
      <c r="H630" s="59"/>
      <c r="J630" s="59"/>
      <c r="L630" s="59"/>
      <c r="N630" s="59"/>
      <c r="Q630" s="59"/>
      <c r="R630" s="61"/>
    </row>
    <row r="631">
      <c r="B631" s="59"/>
      <c r="D631" s="59"/>
      <c r="F631" s="59"/>
      <c r="H631" s="59"/>
      <c r="J631" s="59"/>
      <c r="L631" s="59"/>
      <c r="N631" s="59"/>
      <c r="Q631" s="59"/>
      <c r="R631" s="61"/>
    </row>
    <row r="632">
      <c r="B632" s="59"/>
      <c r="D632" s="59"/>
      <c r="F632" s="59"/>
      <c r="H632" s="59"/>
      <c r="J632" s="59"/>
      <c r="L632" s="59"/>
      <c r="N632" s="59"/>
      <c r="Q632" s="59"/>
      <c r="R632" s="61"/>
    </row>
    <row r="633">
      <c r="B633" s="59"/>
      <c r="D633" s="59"/>
      <c r="F633" s="59"/>
      <c r="H633" s="59"/>
      <c r="J633" s="59"/>
      <c r="L633" s="59"/>
      <c r="N633" s="59"/>
      <c r="Q633" s="59"/>
      <c r="R633" s="61"/>
    </row>
    <row r="634">
      <c r="B634" s="59"/>
      <c r="D634" s="59"/>
      <c r="F634" s="59"/>
      <c r="H634" s="59"/>
      <c r="J634" s="59"/>
      <c r="L634" s="59"/>
      <c r="N634" s="59"/>
      <c r="Q634" s="59"/>
      <c r="R634" s="61"/>
    </row>
    <row r="635">
      <c r="B635" s="59"/>
      <c r="D635" s="59"/>
      <c r="F635" s="59"/>
      <c r="H635" s="59"/>
      <c r="J635" s="59"/>
      <c r="L635" s="59"/>
      <c r="N635" s="59"/>
      <c r="Q635" s="59"/>
      <c r="R635" s="61"/>
    </row>
    <row r="636">
      <c r="B636" s="59"/>
      <c r="D636" s="59"/>
      <c r="F636" s="59"/>
      <c r="H636" s="59"/>
      <c r="J636" s="59"/>
      <c r="L636" s="59"/>
      <c r="N636" s="59"/>
      <c r="Q636" s="59"/>
      <c r="R636" s="61"/>
    </row>
    <row r="637">
      <c r="B637" s="59"/>
      <c r="D637" s="59"/>
      <c r="F637" s="59"/>
      <c r="H637" s="59"/>
      <c r="J637" s="59"/>
      <c r="L637" s="59"/>
      <c r="N637" s="59"/>
      <c r="Q637" s="59"/>
      <c r="R637" s="61"/>
    </row>
    <row r="638">
      <c r="B638" s="59"/>
      <c r="D638" s="59"/>
      <c r="F638" s="59"/>
      <c r="H638" s="59"/>
      <c r="J638" s="59"/>
      <c r="L638" s="59"/>
      <c r="N638" s="59"/>
      <c r="Q638" s="59"/>
      <c r="R638" s="61"/>
    </row>
    <row r="639">
      <c r="B639" s="59"/>
      <c r="D639" s="59"/>
      <c r="F639" s="59"/>
      <c r="H639" s="59"/>
      <c r="J639" s="59"/>
      <c r="L639" s="59"/>
      <c r="N639" s="59"/>
      <c r="Q639" s="59"/>
      <c r="R639" s="61"/>
    </row>
    <row r="640">
      <c r="B640" s="59"/>
      <c r="D640" s="59"/>
      <c r="F640" s="59"/>
      <c r="H640" s="59"/>
      <c r="J640" s="59"/>
      <c r="L640" s="59"/>
      <c r="N640" s="59"/>
      <c r="Q640" s="59"/>
      <c r="R640" s="61"/>
    </row>
    <row r="641">
      <c r="B641" s="59"/>
      <c r="D641" s="59"/>
      <c r="F641" s="59"/>
      <c r="H641" s="59"/>
      <c r="J641" s="59"/>
      <c r="L641" s="59"/>
      <c r="N641" s="59"/>
      <c r="Q641" s="59"/>
      <c r="R641" s="61"/>
    </row>
    <row r="642">
      <c r="B642" s="59"/>
      <c r="D642" s="59"/>
      <c r="F642" s="59"/>
      <c r="H642" s="59"/>
      <c r="J642" s="59"/>
      <c r="L642" s="59"/>
      <c r="N642" s="59"/>
      <c r="Q642" s="59"/>
      <c r="R642" s="61"/>
    </row>
    <row r="643">
      <c r="B643" s="59"/>
      <c r="D643" s="59"/>
      <c r="F643" s="59"/>
      <c r="H643" s="59"/>
      <c r="J643" s="59"/>
      <c r="L643" s="59"/>
      <c r="N643" s="59"/>
      <c r="Q643" s="59"/>
      <c r="R643" s="61"/>
    </row>
    <row r="644">
      <c r="B644" s="59"/>
      <c r="D644" s="59"/>
      <c r="F644" s="59"/>
      <c r="H644" s="59"/>
      <c r="J644" s="59"/>
      <c r="L644" s="59"/>
      <c r="N644" s="59"/>
      <c r="Q644" s="59"/>
      <c r="R644" s="61"/>
    </row>
    <row r="645">
      <c r="B645" s="59"/>
      <c r="D645" s="59"/>
      <c r="F645" s="59"/>
      <c r="H645" s="59"/>
      <c r="J645" s="59"/>
      <c r="L645" s="59"/>
      <c r="N645" s="59"/>
      <c r="Q645" s="59"/>
      <c r="R645" s="61"/>
    </row>
    <row r="646">
      <c r="B646" s="59"/>
      <c r="D646" s="59"/>
      <c r="F646" s="59"/>
      <c r="H646" s="59"/>
      <c r="J646" s="59"/>
      <c r="L646" s="59"/>
      <c r="N646" s="59"/>
      <c r="Q646" s="59"/>
      <c r="R646" s="61"/>
    </row>
    <row r="647">
      <c r="B647" s="59"/>
      <c r="D647" s="59"/>
      <c r="F647" s="59"/>
      <c r="H647" s="59"/>
      <c r="J647" s="59"/>
      <c r="L647" s="59"/>
      <c r="N647" s="59"/>
      <c r="Q647" s="59"/>
      <c r="R647" s="61"/>
    </row>
    <row r="648">
      <c r="B648" s="59"/>
      <c r="D648" s="59"/>
      <c r="F648" s="59"/>
      <c r="H648" s="59"/>
      <c r="J648" s="59"/>
      <c r="L648" s="59"/>
      <c r="N648" s="59"/>
      <c r="Q648" s="59"/>
      <c r="R648" s="61"/>
    </row>
    <row r="649">
      <c r="B649" s="59"/>
      <c r="D649" s="59"/>
      <c r="F649" s="59"/>
      <c r="H649" s="59"/>
      <c r="J649" s="59"/>
      <c r="L649" s="59"/>
      <c r="N649" s="59"/>
      <c r="Q649" s="59"/>
      <c r="R649" s="61"/>
    </row>
    <row r="650">
      <c r="B650" s="59"/>
      <c r="D650" s="59"/>
      <c r="F650" s="59"/>
      <c r="H650" s="59"/>
      <c r="J650" s="59"/>
      <c r="L650" s="59"/>
      <c r="N650" s="59"/>
      <c r="Q650" s="59"/>
      <c r="R650" s="61"/>
    </row>
    <row r="651">
      <c r="B651" s="59"/>
      <c r="D651" s="59"/>
      <c r="F651" s="59"/>
      <c r="H651" s="59"/>
      <c r="J651" s="59"/>
      <c r="L651" s="59"/>
      <c r="N651" s="59"/>
      <c r="Q651" s="59"/>
      <c r="R651" s="61"/>
    </row>
    <row r="652">
      <c r="B652" s="59"/>
      <c r="D652" s="59"/>
      <c r="F652" s="59"/>
      <c r="H652" s="59"/>
      <c r="J652" s="59"/>
      <c r="L652" s="59"/>
      <c r="N652" s="59"/>
      <c r="Q652" s="59"/>
      <c r="R652" s="61"/>
    </row>
    <row r="653">
      <c r="B653" s="59"/>
      <c r="D653" s="59"/>
      <c r="F653" s="59"/>
      <c r="H653" s="59"/>
      <c r="J653" s="59"/>
      <c r="L653" s="59"/>
      <c r="N653" s="59"/>
      <c r="Q653" s="59"/>
      <c r="R653" s="61"/>
    </row>
    <row r="654">
      <c r="B654" s="59"/>
      <c r="D654" s="59"/>
      <c r="F654" s="59"/>
      <c r="H654" s="59"/>
      <c r="J654" s="59"/>
      <c r="L654" s="59"/>
      <c r="N654" s="59"/>
      <c r="Q654" s="59"/>
      <c r="R654" s="61"/>
    </row>
    <row r="655">
      <c r="B655" s="59"/>
      <c r="D655" s="59"/>
      <c r="F655" s="59"/>
      <c r="H655" s="59"/>
      <c r="J655" s="59"/>
      <c r="L655" s="59"/>
      <c r="N655" s="59"/>
      <c r="Q655" s="59"/>
      <c r="R655" s="61"/>
    </row>
    <row r="656">
      <c r="B656" s="59"/>
      <c r="D656" s="59"/>
      <c r="F656" s="59"/>
      <c r="H656" s="59"/>
      <c r="J656" s="59"/>
      <c r="L656" s="59"/>
      <c r="N656" s="59"/>
      <c r="Q656" s="59"/>
      <c r="R656" s="61"/>
    </row>
    <row r="657">
      <c r="B657" s="59"/>
      <c r="D657" s="59"/>
      <c r="F657" s="59"/>
      <c r="H657" s="59"/>
      <c r="J657" s="59"/>
      <c r="L657" s="59"/>
      <c r="N657" s="59"/>
      <c r="Q657" s="59"/>
      <c r="R657" s="61"/>
    </row>
    <row r="658">
      <c r="B658" s="59"/>
      <c r="D658" s="59"/>
      <c r="F658" s="59"/>
      <c r="H658" s="59"/>
      <c r="J658" s="59"/>
      <c r="L658" s="59"/>
      <c r="N658" s="59"/>
      <c r="Q658" s="59"/>
      <c r="R658" s="61"/>
    </row>
    <row r="659">
      <c r="B659" s="59"/>
      <c r="D659" s="59"/>
      <c r="F659" s="59"/>
      <c r="H659" s="59"/>
      <c r="J659" s="59"/>
      <c r="L659" s="59"/>
      <c r="N659" s="59"/>
      <c r="Q659" s="59"/>
      <c r="R659" s="61"/>
    </row>
    <row r="660">
      <c r="B660" s="59"/>
      <c r="D660" s="59"/>
      <c r="F660" s="59"/>
      <c r="H660" s="59"/>
      <c r="J660" s="59"/>
      <c r="L660" s="59"/>
      <c r="N660" s="59"/>
      <c r="Q660" s="59"/>
      <c r="R660" s="61"/>
    </row>
    <row r="661">
      <c r="B661" s="59"/>
      <c r="D661" s="59"/>
      <c r="F661" s="59"/>
      <c r="H661" s="59"/>
      <c r="J661" s="59"/>
      <c r="L661" s="59"/>
      <c r="N661" s="59"/>
      <c r="Q661" s="59"/>
      <c r="R661" s="61"/>
    </row>
    <row r="662">
      <c r="B662" s="59"/>
      <c r="D662" s="59"/>
      <c r="F662" s="59"/>
      <c r="H662" s="59"/>
      <c r="J662" s="59"/>
      <c r="L662" s="59"/>
      <c r="N662" s="59"/>
      <c r="Q662" s="59"/>
      <c r="R662" s="61"/>
    </row>
    <row r="663">
      <c r="B663" s="59"/>
      <c r="D663" s="59"/>
      <c r="F663" s="59"/>
      <c r="H663" s="59"/>
      <c r="J663" s="59"/>
      <c r="L663" s="59"/>
      <c r="N663" s="59"/>
      <c r="Q663" s="59"/>
      <c r="R663" s="61"/>
    </row>
    <row r="664">
      <c r="B664" s="59"/>
      <c r="D664" s="59"/>
      <c r="F664" s="59"/>
      <c r="H664" s="59"/>
      <c r="J664" s="59"/>
      <c r="L664" s="59"/>
      <c r="N664" s="59"/>
      <c r="Q664" s="59"/>
      <c r="R664" s="61"/>
    </row>
    <row r="665">
      <c r="B665" s="59"/>
      <c r="D665" s="59"/>
      <c r="F665" s="59"/>
      <c r="H665" s="59"/>
      <c r="J665" s="59"/>
      <c r="L665" s="59"/>
      <c r="N665" s="59"/>
      <c r="Q665" s="59"/>
      <c r="R665" s="61"/>
    </row>
    <row r="666">
      <c r="B666" s="59"/>
      <c r="D666" s="59"/>
      <c r="F666" s="59"/>
      <c r="H666" s="59"/>
      <c r="J666" s="59"/>
      <c r="L666" s="59"/>
      <c r="N666" s="59"/>
      <c r="Q666" s="59"/>
      <c r="R666" s="61"/>
    </row>
    <row r="667">
      <c r="B667" s="59"/>
      <c r="D667" s="59"/>
      <c r="F667" s="59"/>
      <c r="H667" s="59"/>
      <c r="J667" s="59"/>
      <c r="L667" s="59"/>
      <c r="N667" s="59"/>
      <c r="Q667" s="59"/>
      <c r="R667" s="61"/>
    </row>
    <row r="668">
      <c r="B668" s="59"/>
      <c r="D668" s="59"/>
      <c r="F668" s="59"/>
      <c r="H668" s="59"/>
      <c r="J668" s="59"/>
      <c r="L668" s="59"/>
      <c r="N668" s="59"/>
      <c r="Q668" s="59"/>
      <c r="R668" s="61"/>
    </row>
    <row r="669">
      <c r="B669" s="59"/>
      <c r="D669" s="59"/>
      <c r="F669" s="59"/>
      <c r="H669" s="59"/>
      <c r="J669" s="59"/>
      <c r="L669" s="59"/>
      <c r="N669" s="59"/>
      <c r="Q669" s="59"/>
      <c r="R669" s="61"/>
    </row>
    <row r="670">
      <c r="B670" s="59"/>
      <c r="D670" s="59"/>
      <c r="F670" s="59"/>
      <c r="H670" s="59"/>
      <c r="J670" s="59"/>
      <c r="L670" s="59"/>
      <c r="N670" s="59"/>
      <c r="Q670" s="59"/>
      <c r="R670" s="61"/>
    </row>
    <row r="671">
      <c r="B671" s="59"/>
      <c r="D671" s="59"/>
      <c r="F671" s="59"/>
      <c r="H671" s="59"/>
      <c r="J671" s="59"/>
      <c r="L671" s="59"/>
      <c r="N671" s="59"/>
      <c r="Q671" s="59"/>
      <c r="R671" s="61"/>
    </row>
    <row r="672">
      <c r="B672" s="59"/>
      <c r="D672" s="59"/>
      <c r="F672" s="59"/>
      <c r="H672" s="59"/>
      <c r="J672" s="59"/>
      <c r="L672" s="59"/>
      <c r="N672" s="59"/>
      <c r="Q672" s="59"/>
      <c r="R672" s="61"/>
    </row>
    <row r="673">
      <c r="B673" s="59"/>
      <c r="D673" s="59"/>
      <c r="F673" s="59"/>
      <c r="H673" s="59"/>
      <c r="J673" s="59"/>
      <c r="L673" s="59"/>
      <c r="N673" s="59"/>
      <c r="Q673" s="59"/>
      <c r="R673" s="61"/>
    </row>
    <row r="674">
      <c r="B674" s="59"/>
      <c r="D674" s="59"/>
      <c r="F674" s="59"/>
      <c r="H674" s="59"/>
      <c r="J674" s="59"/>
      <c r="L674" s="59"/>
      <c r="N674" s="59"/>
      <c r="Q674" s="59"/>
      <c r="R674" s="61"/>
    </row>
    <row r="675">
      <c r="B675" s="59"/>
      <c r="D675" s="59"/>
      <c r="F675" s="59"/>
      <c r="H675" s="59"/>
      <c r="J675" s="59"/>
      <c r="L675" s="59"/>
      <c r="N675" s="59"/>
      <c r="Q675" s="59"/>
      <c r="R675" s="61"/>
    </row>
    <row r="676">
      <c r="B676" s="59"/>
      <c r="D676" s="59"/>
      <c r="F676" s="59"/>
      <c r="H676" s="59"/>
      <c r="J676" s="59"/>
      <c r="L676" s="59"/>
      <c r="N676" s="59"/>
      <c r="Q676" s="59"/>
      <c r="R676" s="61"/>
    </row>
    <row r="677">
      <c r="B677" s="59"/>
      <c r="D677" s="59"/>
      <c r="F677" s="59"/>
      <c r="H677" s="59"/>
      <c r="J677" s="59"/>
      <c r="L677" s="59"/>
      <c r="N677" s="59"/>
      <c r="Q677" s="59"/>
      <c r="R677" s="61"/>
    </row>
    <row r="678">
      <c r="B678" s="59"/>
      <c r="D678" s="59"/>
      <c r="F678" s="59"/>
      <c r="H678" s="59"/>
      <c r="J678" s="59"/>
      <c r="L678" s="59"/>
      <c r="N678" s="59"/>
      <c r="Q678" s="59"/>
      <c r="R678" s="61"/>
    </row>
    <row r="679">
      <c r="B679" s="59"/>
      <c r="D679" s="59"/>
      <c r="F679" s="59"/>
      <c r="H679" s="59"/>
      <c r="J679" s="59"/>
      <c r="L679" s="59"/>
      <c r="N679" s="59"/>
      <c r="Q679" s="59"/>
      <c r="R679" s="61"/>
    </row>
    <row r="680">
      <c r="B680" s="59"/>
      <c r="D680" s="59"/>
      <c r="F680" s="59"/>
      <c r="H680" s="59"/>
      <c r="J680" s="59"/>
      <c r="L680" s="59"/>
      <c r="N680" s="59"/>
      <c r="Q680" s="59"/>
      <c r="R680" s="61"/>
    </row>
    <row r="681">
      <c r="B681" s="59"/>
      <c r="D681" s="59"/>
      <c r="F681" s="59"/>
      <c r="H681" s="59"/>
      <c r="J681" s="59"/>
      <c r="L681" s="59"/>
      <c r="N681" s="59"/>
      <c r="Q681" s="59"/>
      <c r="R681" s="61"/>
    </row>
    <row r="682">
      <c r="B682" s="59"/>
      <c r="D682" s="59"/>
      <c r="F682" s="59"/>
      <c r="H682" s="59"/>
      <c r="J682" s="59"/>
      <c r="L682" s="59"/>
      <c r="N682" s="59"/>
      <c r="Q682" s="59"/>
      <c r="R682" s="61"/>
    </row>
    <row r="683">
      <c r="B683" s="59"/>
      <c r="D683" s="59"/>
      <c r="F683" s="59"/>
      <c r="H683" s="59"/>
      <c r="J683" s="59"/>
      <c r="L683" s="59"/>
      <c r="N683" s="59"/>
      <c r="Q683" s="59"/>
      <c r="R683" s="61"/>
    </row>
    <row r="684">
      <c r="B684" s="59"/>
      <c r="D684" s="59"/>
      <c r="F684" s="59"/>
      <c r="H684" s="59"/>
      <c r="J684" s="59"/>
      <c r="L684" s="59"/>
      <c r="N684" s="59"/>
      <c r="Q684" s="59"/>
      <c r="R684" s="61"/>
    </row>
    <row r="685">
      <c r="B685" s="59"/>
      <c r="D685" s="59"/>
      <c r="F685" s="59"/>
      <c r="H685" s="59"/>
      <c r="J685" s="59"/>
      <c r="L685" s="59"/>
      <c r="N685" s="59"/>
      <c r="Q685" s="59"/>
      <c r="R685" s="61"/>
    </row>
    <row r="686">
      <c r="B686" s="59"/>
      <c r="D686" s="59"/>
      <c r="F686" s="59"/>
      <c r="H686" s="59"/>
      <c r="J686" s="59"/>
      <c r="L686" s="59"/>
      <c r="N686" s="59"/>
      <c r="Q686" s="59"/>
      <c r="R686" s="61"/>
    </row>
    <row r="687">
      <c r="B687" s="59"/>
      <c r="D687" s="59"/>
      <c r="F687" s="59"/>
      <c r="H687" s="59"/>
      <c r="J687" s="59"/>
      <c r="L687" s="59"/>
      <c r="N687" s="59"/>
      <c r="Q687" s="59"/>
      <c r="R687" s="61"/>
    </row>
    <row r="688">
      <c r="B688" s="59"/>
      <c r="D688" s="59"/>
      <c r="F688" s="59"/>
      <c r="H688" s="59"/>
      <c r="J688" s="59"/>
      <c r="L688" s="59"/>
      <c r="N688" s="59"/>
      <c r="Q688" s="59"/>
      <c r="R688" s="61"/>
    </row>
    <row r="689">
      <c r="B689" s="59"/>
      <c r="D689" s="59"/>
      <c r="F689" s="59"/>
      <c r="H689" s="59"/>
      <c r="J689" s="59"/>
      <c r="L689" s="59"/>
      <c r="N689" s="59"/>
      <c r="Q689" s="59"/>
      <c r="R689" s="61"/>
    </row>
    <row r="690">
      <c r="B690" s="59"/>
      <c r="D690" s="59"/>
      <c r="F690" s="59"/>
      <c r="H690" s="59"/>
      <c r="J690" s="59"/>
      <c r="L690" s="59"/>
      <c r="N690" s="59"/>
      <c r="Q690" s="59"/>
      <c r="R690" s="61"/>
    </row>
    <row r="691">
      <c r="B691" s="59"/>
      <c r="D691" s="59"/>
      <c r="F691" s="59"/>
      <c r="H691" s="59"/>
      <c r="J691" s="59"/>
      <c r="L691" s="59"/>
      <c r="N691" s="59"/>
      <c r="Q691" s="59"/>
      <c r="R691" s="61"/>
    </row>
    <row r="692">
      <c r="B692" s="59"/>
      <c r="D692" s="59"/>
      <c r="F692" s="59"/>
      <c r="H692" s="59"/>
      <c r="J692" s="59"/>
      <c r="L692" s="59"/>
      <c r="N692" s="59"/>
      <c r="Q692" s="59"/>
      <c r="R692" s="61"/>
    </row>
    <row r="693">
      <c r="B693" s="59"/>
      <c r="D693" s="59"/>
      <c r="F693" s="59"/>
      <c r="H693" s="59"/>
      <c r="J693" s="59"/>
      <c r="L693" s="59"/>
      <c r="N693" s="59"/>
      <c r="Q693" s="59"/>
      <c r="R693" s="61"/>
    </row>
    <row r="694">
      <c r="B694" s="59"/>
      <c r="D694" s="59"/>
      <c r="F694" s="59"/>
      <c r="H694" s="59"/>
      <c r="J694" s="59"/>
      <c r="L694" s="59"/>
      <c r="N694" s="59"/>
      <c r="Q694" s="59"/>
      <c r="R694" s="61"/>
    </row>
    <row r="695">
      <c r="B695" s="59"/>
      <c r="D695" s="59"/>
      <c r="F695" s="59"/>
      <c r="H695" s="59"/>
      <c r="J695" s="59"/>
      <c r="L695" s="59"/>
      <c r="N695" s="59"/>
      <c r="Q695" s="59"/>
      <c r="R695" s="61"/>
    </row>
    <row r="696">
      <c r="B696" s="59"/>
      <c r="D696" s="59"/>
      <c r="F696" s="59"/>
      <c r="H696" s="59"/>
      <c r="J696" s="59"/>
      <c r="L696" s="59"/>
      <c r="N696" s="59"/>
      <c r="Q696" s="59"/>
      <c r="R696" s="61"/>
    </row>
    <row r="697">
      <c r="B697" s="59"/>
      <c r="D697" s="59"/>
      <c r="F697" s="59"/>
      <c r="H697" s="59"/>
      <c r="J697" s="59"/>
      <c r="L697" s="59"/>
      <c r="N697" s="59"/>
      <c r="Q697" s="59"/>
      <c r="R697" s="61"/>
    </row>
    <row r="698">
      <c r="B698" s="59"/>
      <c r="D698" s="59"/>
      <c r="F698" s="59"/>
      <c r="H698" s="59"/>
      <c r="J698" s="59"/>
      <c r="L698" s="59"/>
      <c r="N698" s="59"/>
      <c r="Q698" s="59"/>
      <c r="R698" s="61"/>
    </row>
    <row r="699">
      <c r="B699" s="59"/>
      <c r="D699" s="59"/>
      <c r="F699" s="59"/>
      <c r="H699" s="59"/>
      <c r="J699" s="59"/>
      <c r="L699" s="59"/>
      <c r="N699" s="59"/>
      <c r="Q699" s="59"/>
      <c r="R699" s="61"/>
    </row>
    <row r="700">
      <c r="B700" s="59"/>
      <c r="D700" s="59"/>
      <c r="F700" s="59"/>
      <c r="H700" s="59"/>
      <c r="J700" s="59"/>
      <c r="L700" s="59"/>
      <c r="N700" s="59"/>
      <c r="Q700" s="59"/>
      <c r="R700" s="61"/>
    </row>
    <row r="701">
      <c r="B701" s="59"/>
      <c r="D701" s="59"/>
      <c r="F701" s="59"/>
      <c r="H701" s="59"/>
      <c r="J701" s="59"/>
      <c r="L701" s="59"/>
      <c r="N701" s="59"/>
      <c r="Q701" s="59"/>
      <c r="R701" s="61"/>
    </row>
    <row r="702">
      <c r="B702" s="59"/>
      <c r="D702" s="59"/>
      <c r="F702" s="59"/>
      <c r="H702" s="59"/>
      <c r="J702" s="59"/>
      <c r="L702" s="59"/>
      <c r="N702" s="59"/>
      <c r="Q702" s="59"/>
      <c r="R702" s="61"/>
    </row>
    <row r="703">
      <c r="B703" s="59"/>
      <c r="D703" s="59"/>
      <c r="F703" s="59"/>
      <c r="H703" s="59"/>
      <c r="J703" s="59"/>
      <c r="L703" s="59"/>
      <c r="N703" s="59"/>
      <c r="Q703" s="59"/>
      <c r="R703" s="61"/>
    </row>
    <row r="704">
      <c r="B704" s="59"/>
      <c r="D704" s="59"/>
      <c r="F704" s="59"/>
      <c r="H704" s="59"/>
      <c r="J704" s="59"/>
      <c r="L704" s="59"/>
      <c r="N704" s="59"/>
      <c r="Q704" s="59"/>
      <c r="R704" s="61"/>
    </row>
    <row r="705">
      <c r="B705" s="59"/>
      <c r="D705" s="59"/>
      <c r="F705" s="59"/>
      <c r="H705" s="59"/>
      <c r="J705" s="59"/>
      <c r="L705" s="59"/>
      <c r="N705" s="59"/>
      <c r="Q705" s="59"/>
      <c r="R705" s="61"/>
    </row>
    <row r="706">
      <c r="B706" s="59"/>
      <c r="D706" s="59"/>
      <c r="F706" s="59"/>
      <c r="H706" s="59"/>
      <c r="J706" s="59"/>
      <c r="L706" s="59"/>
      <c r="N706" s="59"/>
      <c r="Q706" s="59"/>
      <c r="R706" s="61"/>
    </row>
    <row r="707">
      <c r="B707" s="59"/>
      <c r="D707" s="59"/>
      <c r="F707" s="59"/>
      <c r="H707" s="59"/>
      <c r="J707" s="59"/>
      <c r="L707" s="59"/>
      <c r="N707" s="59"/>
      <c r="Q707" s="59"/>
      <c r="R707" s="61"/>
    </row>
    <row r="708">
      <c r="B708" s="59"/>
      <c r="D708" s="59"/>
      <c r="F708" s="59"/>
      <c r="H708" s="59"/>
      <c r="J708" s="59"/>
      <c r="L708" s="59"/>
      <c r="N708" s="59"/>
      <c r="Q708" s="59"/>
      <c r="R708" s="61"/>
    </row>
    <row r="709">
      <c r="B709" s="59"/>
      <c r="D709" s="59"/>
      <c r="F709" s="59"/>
      <c r="H709" s="59"/>
      <c r="J709" s="59"/>
      <c r="L709" s="59"/>
      <c r="N709" s="59"/>
      <c r="Q709" s="59"/>
      <c r="R709" s="61"/>
    </row>
    <row r="710">
      <c r="B710" s="59"/>
      <c r="D710" s="59"/>
      <c r="F710" s="59"/>
      <c r="H710" s="59"/>
      <c r="J710" s="59"/>
      <c r="L710" s="59"/>
      <c r="N710" s="59"/>
      <c r="Q710" s="59"/>
      <c r="R710" s="61"/>
    </row>
    <row r="711">
      <c r="B711" s="59"/>
      <c r="D711" s="59"/>
      <c r="F711" s="59"/>
      <c r="H711" s="59"/>
      <c r="J711" s="59"/>
      <c r="L711" s="59"/>
      <c r="N711" s="59"/>
      <c r="Q711" s="59"/>
      <c r="R711" s="61"/>
    </row>
    <row r="712">
      <c r="B712" s="59"/>
      <c r="D712" s="59"/>
      <c r="F712" s="59"/>
      <c r="H712" s="59"/>
      <c r="J712" s="59"/>
      <c r="L712" s="59"/>
      <c r="N712" s="59"/>
      <c r="Q712" s="59"/>
      <c r="R712" s="61"/>
    </row>
    <row r="713">
      <c r="B713" s="59"/>
      <c r="D713" s="59"/>
      <c r="F713" s="59"/>
      <c r="H713" s="59"/>
      <c r="J713" s="59"/>
      <c r="L713" s="59"/>
      <c r="N713" s="59"/>
      <c r="Q713" s="59"/>
      <c r="R713" s="61"/>
    </row>
    <row r="714">
      <c r="B714" s="59"/>
      <c r="D714" s="59"/>
      <c r="F714" s="59"/>
      <c r="H714" s="59"/>
      <c r="J714" s="59"/>
      <c r="L714" s="59"/>
      <c r="N714" s="59"/>
      <c r="Q714" s="59"/>
      <c r="R714" s="61"/>
    </row>
    <row r="715">
      <c r="B715" s="59"/>
      <c r="D715" s="59"/>
      <c r="F715" s="59"/>
      <c r="H715" s="59"/>
      <c r="J715" s="59"/>
      <c r="L715" s="59"/>
      <c r="N715" s="59"/>
      <c r="Q715" s="59"/>
      <c r="R715" s="61"/>
    </row>
    <row r="716">
      <c r="B716" s="59"/>
      <c r="D716" s="59"/>
      <c r="F716" s="59"/>
      <c r="H716" s="59"/>
      <c r="J716" s="59"/>
      <c r="L716" s="59"/>
      <c r="N716" s="59"/>
      <c r="Q716" s="59"/>
      <c r="R716" s="61"/>
    </row>
    <row r="717">
      <c r="B717" s="59"/>
      <c r="D717" s="59"/>
      <c r="F717" s="59"/>
      <c r="H717" s="59"/>
      <c r="J717" s="59"/>
      <c r="L717" s="59"/>
      <c r="N717" s="59"/>
      <c r="Q717" s="59"/>
      <c r="R717" s="61"/>
    </row>
    <row r="718">
      <c r="B718" s="59"/>
      <c r="D718" s="59"/>
      <c r="F718" s="59"/>
      <c r="H718" s="59"/>
      <c r="J718" s="59"/>
      <c r="L718" s="59"/>
      <c r="N718" s="59"/>
      <c r="Q718" s="59"/>
      <c r="R718" s="61"/>
    </row>
    <row r="719">
      <c r="B719" s="59"/>
      <c r="D719" s="59"/>
      <c r="F719" s="59"/>
      <c r="H719" s="59"/>
      <c r="J719" s="59"/>
      <c r="L719" s="59"/>
      <c r="N719" s="59"/>
      <c r="Q719" s="59"/>
      <c r="R719" s="61"/>
    </row>
    <row r="720">
      <c r="B720" s="59"/>
      <c r="D720" s="59"/>
      <c r="F720" s="59"/>
      <c r="H720" s="59"/>
      <c r="J720" s="59"/>
      <c r="L720" s="59"/>
      <c r="N720" s="59"/>
      <c r="Q720" s="59"/>
      <c r="R720" s="61"/>
    </row>
    <row r="721">
      <c r="B721" s="59"/>
      <c r="D721" s="59"/>
      <c r="F721" s="59"/>
      <c r="H721" s="59"/>
      <c r="J721" s="59"/>
      <c r="L721" s="59"/>
      <c r="N721" s="59"/>
      <c r="Q721" s="59"/>
      <c r="R721" s="61"/>
    </row>
    <row r="722">
      <c r="B722" s="59"/>
      <c r="D722" s="59"/>
      <c r="F722" s="59"/>
      <c r="H722" s="59"/>
      <c r="J722" s="59"/>
      <c r="L722" s="59"/>
      <c r="N722" s="59"/>
      <c r="Q722" s="59"/>
      <c r="R722" s="61"/>
    </row>
    <row r="723">
      <c r="B723" s="59"/>
      <c r="D723" s="59"/>
      <c r="F723" s="59"/>
      <c r="H723" s="59"/>
      <c r="J723" s="59"/>
      <c r="L723" s="59"/>
      <c r="N723" s="59"/>
      <c r="Q723" s="59"/>
      <c r="R723" s="61"/>
    </row>
    <row r="724">
      <c r="B724" s="59"/>
      <c r="D724" s="59"/>
      <c r="F724" s="59"/>
      <c r="H724" s="59"/>
      <c r="J724" s="59"/>
      <c r="L724" s="59"/>
      <c r="N724" s="59"/>
      <c r="Q724" s="59"/>
      <c r="R724" s="61"/>
    </row>
    <row r="725">
      <c r="B725" s="59"/>
      <c r="D725" s="59"/>
      <c r="F725" s="59"/>
      <c r="H725" s="59"/>
      <c r="J725" s="59"/>
      <c r="L725" s="59"/>
      <c r="N725" s="59"/>
      <c r="Q725" s="59"/>
      <c r="R725" s="61"/>
    </row>
    <row r="726">
      <c r="B726" s="59"/>
      <c r="D726" s="59"/>
      <c r="F726" s="59"/>
      <c r="H726" s="59"/>
      <c r="J726" s="59"/>
      <c r="L726" s="59"/>
      <c r="N726" s="59"/>
      <c r="Q726" s="59"/>
      <c r="R726" s="61"/>
    </row>
    <row r="727">
      <c r="B727" s="59"/>
      <c r="D727" s="59"/>
      <c r="F727" s="59"/>
      <c r="H727" s="59"/>
      <c r="J727" s="59"/>
      <c r="L727" s="59"/>
      <c r="N727" s="59"/>
      <c r="Q727" s="59"/>
      <c r="R727" s="61"/>
    </row>
    <row r="728">
      <c r="B728" s="59"/>
      <c r="D728" s="59"/>
      <c r="F728" s="59"/>
      <c r="H728" s="59"/>
      <c r="J728" s="59"/>
      <c r="L728" s="59"/>
      <c r="N728" s="59"/>
      <c r="Q728" s="59"/>
      <c r="R728" s="61"/>
    </row>
    <row r="729">
      <c r="B729" s="59"/>
      <c r="D729" s="59"/>
      <c r="F729" s="59"/>
      <c r="H729" s="59"/>
      <c r="J729" s="59"/>
      <c r="L729" s="59"/>
      <c r="N729" s="59"/>
      <c r="Q729" s="59"/>
      <c r="R729" s="61"/>
    </row>
    <row r="730">
      <c r="B730" s="59"/>
      <c r="D730" s="59"/>
      <c r="F730" s="59"/>
      <c r="H730" s="59"/>
      <c r="J730" s="59"/>
      <c r="L730" s="59"/>
      <c r="N730" s="59"/>
      <c r="Q730" s="59"/>
      <c r="R730" s="61"/>
    </row>
    <row r="731">
      <c r="B731" s="59"/>
      <c r="D731" s="59"/>
      <c r="F731" s="59"/>
      <c r="H731" s="59"/>
      <c r="J731" s="59"/>
      <c r="L731" s="59"/>
      <c r="N731" s="59"/>
      <c r="Q731" s="59"/>
      <c r="R731" s="61"/>
    </row>
    <row r="732">
      <c r="B732" s="59"/>
      <c r="D732" s="59"/>
      <c r="F732" s="59"/>
      <c r="H732" s="59"/>
      <c r="J732" s="59"/>
      <c r="L732" s="59"/>
      <c r="N732" s="59"/>
      <c r="Q732" s="59"/>
      <c r="R732" s="61"/>
    </row>
    <row r="733">
      <c r="B733" s="59"/>
      <c r="D733" s="59"/>
      <c r="F733" s="59"/>
      <c r="H733" s="59"/>
      <c r="J733" s="59"/>
      <c r="L733" s="59"/>
      <c r="N733" s="59"/>
      <c r="Q733" s="59"/>
      <c r="R733" s="61"/>
    </row>
    <row r="734">
      <c r="B734" s="59"/>
      <c r="D734" s="59"/>
      <c r="F734" s="59"/>
      <c r="H734" s="59"/>
      <c r="J734" s="59"/>
      <c r="L734" s="59"/>
      <c r="N734" s="59"/>
      <c r="Q734" s="59"/>
      <c r="R734" s="61"/>
    </row>
    <row r="735">
      <c r="B735" s="59"/>
      <c r="D735" s="59"/>
      <c r="F735" s="59"/>
      <c r="H735" s="59"/>
      <c r="J735" s="59"/>
      <c r="L735" s="59"/>
      <c r="N735" s="59"/>
      <c r="Q735" s="59"/>
      <c r="R735" s="61"/>
    </row>
    <row r="736">
      <c r="B736" s="59"/>
      <c r="D736" s="59"/>
      <c r="F736" s="59"/>
      <c r="H736" s="59"/>
      <c r="J736" s="59"/>
      <c r="L736" s="59"/>
      <c r="N736" s="59"/>
      <c r="Q736" s="59"/>
      <c r="R736" s="61"/>
    </row>
    <row r="737">
      <c r="B737" s="59"/>
      <c r="D737" s="59"/>
      <c r="F737" s="59"/>
      <c r="H737" s="59"/>
      <c r="J737" s="59"/>
      <c r="L737" s="59"/>
      <c r="N737" s="59"/>
      <c r="Q737" s="59"/>
      <c r="R737" s="61"/>
    </row>
    <row r="738">
      <c r="B738" s="59"/>
      <c r="D738" s="59"/>
      <c r="F738" s="59"/>
      <c r="H738" s="59"/>
      <c r="J738" s="59"/>
      <c r="L738" s="59"/>
      <c r="N738" s="59"/>
      <c r="Q738" s="59"/>
      <c r="R738" s="61"/>
    </row>
    <row r="739">
      <c r="B739" s="59"/>
      <c r="D739" s="59"/>
      <c r="F739" s="59"/>
      <c r="H739" s="59"/>
      <c r="J739" s="59"/>
      <c r="L739" s="59"/>
      <c r="N739" s="59"/>
      <c r="Q739" s="59"/>
      <c r="R739" s="61"/>
    </row>
    <row r="740">
      <c r="B740" s="59"/>
      <c r="D740" s="59"/>
      <c r="F740" s="59"/>
      <c r="H740" s="59"/>
      <c r="J740" s="59"/>
      <c r="L740" s="59"/>
      <c r="N740" s="59"/>
      <c r="Q740" s="59"/>
      <c r="R740" s="61"/>
    </row>
    <row r="741">
      <c r="B741" s="59"/>
      <c r="D741" s="59"/>
      <c r="F741" s="59"/>
      <c r="H741" s="59"/>
      <c r="J741" s="59"/>
      <c r="L741" s="59"/>
      <c r="N741" s="59"/>
      <c r="Q741" s="59"/>
      <c r="R741" s="61"/>
    </row>
    <row r="742">
      <c r="B742" s="59"/>
      <c r="D742" s="59"/>
      <c r="F742" s="59"/>
      <c r="H742" s="59"/>
      <c r="J742" s="59"/>
      <c r="L742" s="59"/>
      <c r="N742" s="59"/>
      <c r="Q742" s="59"/>
      <c r="R742" s="61"/>
    </row>
    <row r="743">
      <c r="B743" s="59"/>
      <c r="D743" s="59"/>
      <c r="F743" s="59"/>
      <c r="H743" s="59"/>
      <c r="J743" s="59"/>
      <c r="L743" s="59"/>
      <c r="N743" s="59"/>
      <c r="Q743" s="59"/>
      <c r="R743" s="61"/>
    </row>
    <row r="744">
      <c r="B744" s="59"/>
      <c r="D744" s="59"/>
      <c r="F744" s="59"/>
      <c r="H744" s="59"/>
      <c r="J744" s="59"/>
      <c r="L744" s="59"/>
      <c r="N744" s="59"/>
      <c r="Q744" s="59"/>
      <c r="R744" s="61"/>
    </row>
    <row r="745">
      <c r="B745" s="59"/>
      <c r="D745" s="59"/>
      <c r="F745" s="59"/>
      <c r="H745" s="59"/>
      <c r="J745" s="59"/>
      <c r="L745" s="59"/>
      <c r="N745" s="59"/>
      <c r="Q745" s="59"/>
      <c r="R745" s="61"/>
    </row>
    <row r="746">
      <c r="B746" s="59"/>
      <c r="D746" s="59"/>
      <c r="F746" s="59"/>
      <c r="H746" s="59"/>
      <c r="J746" s="59"/>
      <c r="L746" s="59"/>
      <c r="N746" s="59"/>
      <c r="Q746" s="59"/>
      <c r="R746" s="61"/>
    </row>
    <row r="747">
      <c r="B747" s="59"/>
      <c r="D747" s="59"/>
      <c r="F747" s="59"/>
      <c r="H747" s="59"/>
      <c r="J747" s="59"/>
      <c r="L747" s="59"/>
      <c r="N747" s="59"/>
      <c r="Q747" s="59"/>
      <c r="R747" s="61"/>
    </row>
    <row r="748">
      <c r="B748" s="59"/>
      <c r="D748" s="59"/>
      <c r="F748" s="59"/>
      <c r="H748" s="59"/>
      <c r="J748" s="59"/>
      <c r="L748" s="59"/>
      <c r="N748" s="59"/>
      <c r="Q748" s="59"/>
      <c r="R748" s="61"/>
    </row>
    <row r="749">
      <c r="B749" s="59"/>
      <c r="D749" s="59"/>
      <c r="F749" s="59"/>
      <c r="H749" s="59"/>
      <c r="J749" s="59"/>
      <c r="L749" s="59"/>
      <c r="N749" s="59"/>
      <c r="Q749" s="59"/>
      <c r="R749" s="61"/>
    </row>
    <row r="750">
      <c r="B750" s="59"/>
      <c r="D750" s="59"/>
      <c r="F750" s="59"/>
      <c r="H750" s="59"/>
      <c r="J750" s="59"/>
      <c r="L750" s="59"/>
      <c r="N750" s="59"/>
      <c r="Q750" s="59"/>
      <c r="R750" s="61"/>
    </row>
    <row r="751">
      <c r="B751" s="59"/>
      <c r="D751" s="59"/>
      <c r="F751" s="59"/>
      <c r="H751" s="59"/>
      <c r="J751" s="59"/>
      <c r="L751" s="59"/>
      <c r="N751" s="59"/>
      <c r="Q751" s="59"/>
      <c r="R751" s="61"/>
    </row>
    <row r="752">
      <c r="B752" s="59"/>
      <c r="D752" s="59"/>
      <c r="F752" s="59"/>
      <c r="H752" s="59"/>
      <c r="J752" s="59"/>
      <c r="L752" s="59"/>
      <c r="N752" s="59"/>
      <c r="Q752" s="59"/>
      <c r="R752" s="61"/>
    </row>
    <row r="753">
      <c r="B753" s="59"/>
      <c r="D753" s="59"/>
      <c r="F753" s="59"/>
      <c r="H753" s="59"/>
      <c r="J753" s="59"/>
      <c r="L753" s="59"/>
      <c r="N753" s="59"/>
      <c r="Q753" s="59"/>
      <c r="R753" s="61"/>
    </row>
    <row r="754">
      <c r="B754" s="59"/>
      <c r="D754" s="59"/>
      <c r="F754" s="59"/>
      <c r="H754" s="59"/>
      <c r="J754" s="59"/>
      <c r="L754" s="59"/>
      <c r="N754" s="59"/>
      <c r="Q754" s="59"/>
      <c r="R754" s="61"/>
    </row>
    <row r="755">
      <c r="B755" s="59"/>
      <c r="D755" s="59"/>
      <c r="F755" s="59"/>
      <c r="H755" s="59"/>
      <c r="J755" s="59"/>
      <c r="L755" s="59"/>
      <c r="N755" s="59"/>
      <c r="Q755" s="59"/>
      <c r="R755" s="61"/>
    </row>
    <row r="756">
      <c r="B756" s="59"/>
      <c r="D756" s="59"/>
      <c r="F756" s="59"/>
      <c r="H756" s="59"/>
      <c r="J756" s="59"/>
      <c r="L756" s="59"/>
      <c r="N756" s="59"/>
      <c r="Q756" s="59"/>
      <c r="R756" s="61"/>
    </row>
    <row r="757">
      <c r="B757" s="59"/>
      <c r="D757" s="59"/>
      <c r="F757" s="59"/>
      <c r="H757" s="59"/>
      <c r="J757" s="59"/>
      <c r="L757" s="59"/>
      <c r="N757" s="59"/>
      <c r="Q757" s="59"/>
      <c r="R757" s="61"/>
    </row>
    <row r="758">
      <c r="B758" s="59"/>
      <c r="D758" s="59"/>
      <c r="F758" s="59"/>
      <c r="H758" s="59"/>
      <c r="J758" s="59"/>
      <c r="L758" s="59"/>
      <c r="N758" s="59"/>
      <c r="Q758" s="59"/>
      <c r="R758" s="61"/>
    </row>
    <row r="759">
      <c r="B759" s="59"/>
      <c r="D759" s="59"/>
      <c r="F759" s="59"/>
      <c r="H759" s="59"/>
      <c r="J759" s="59"/>
      <c r="L759" s="59"/>
      <c r="N759" s="59"/>
      <c r="Q759" s="59"/>
      <c r="R759" s="61"/>
    </row>
    <row r="760">
      <c r="B760" s="59"/>
      <c r="D760" s="59"/>
      <c r="F760" s="59"/>
      <c r="H760" s="59"/>
      <c r="J760" s="59"/>
      <c r="L760" s="59"/>
      <c r="N760" s="59"/>
      <c r="Q760" s="59"/>
      <c r="R760" s="61"/>
    </row>
    <row r="761">
      <c r="B761" s="59"/>
      <c r="D761" s="59"/>
      <c r="F761" s="59"/>
      <c r="H761" s="59"/>
      <c r="J761" s="59"/>
      <c r="L761" s="59"/>
      <c r="N761" s="59"/>
      <c r="Q761" s="59"/>
      <c r="R761" s="61"/>
    </row>
    <row r="762">
      <c r="B762" s="59"/>
      <c r="D762" s="59"/>
      <c r="F762" s="59"/>
      <c r="H762" s="59"/>
      <c r="J762" s="59"/>
      <c r="L762" s="59"/>
      <c r="N762" s="59"/>
      <c r="Q762" s="59"/>
      <c r="R762" s="61"/>
    </row>
    <row r="763">
      <c r="B763" s="59"/>
      <c r="D763" s="59"/>
      <c r="F763" s="59"/>
      <c r="H763" s="59"/>
      <c r="J763" s="59"/>
      <c r="L763" s="59"/>
      <c r="N763" s="59"/>
      <c r="Q763" s="59"/>
      <c r="R763" s="61"/>
    </row>
    <row r="764">
      <c r="B764" s="59"/>
      <c r="D764" s="59"/>
      <c r="F764" s="59"/>
      <c r="H764" s="59"/>
      <c r="J764" s="59"/>
      <c r="L764" s="59"/>
      <c r="N764" s="59"/>
      <c r="Q764" s="59"/>
      <c r="R764" s="61"/>
    </row>
    <row r="765">
      <c r="B765" s="59"/>
      <c r="D765" s="59"/>
      <c r="F765" s="59"/>
      <c r="H765" s="59"/>
      <c r="J765" s="59"/>
      <c r="L765" s="59"/>
      <c r="N765" s="59"/>
      <c r="Q765" s="59"/>
      <c r="R765" s="61"/>
    </row>
    <row r="766">
      <c r="B766" s="59"/>
      <c r="D766" s="59"/>
      <c r="F766" s="59"/>
      <c r="H766" s="59"/>
      <c r="J766" s="59"/>
      <c r="L766" s="59"/>
      <c r="N766" s="59"/>
      <c r="Q766" s="59"/>
      <c r="R766" s="61"/>
    </row>
    <row r="767">
      <c r="B767" s="59"/>
      <c r="D767" s="59"/>
      <c r="F767" s="59"/>
      <c r="H767" s="59"/>
      <c r="J767" s="59"/>
      <c r="L767" s="59"/>
      <c r="N767" s="59"/>
      <c r="Q767" s="59"/>
      <c r="R767" s="61"/>
    </row>
    <row r="768">
      <c r="B768" s="59"/>
      <c r="D768" s="59"/>
      <c r="F768" s="59"/>
      <c r="H768" s="59"/>
      <c r="J768" s="59"/>
      <c r="L768" s="59"/>
      <c r="N768" s="59"/>
      <c r="Q768" s="59"/>
      <c r="R768" s="61"/>
    </row>
    <row r="769">
      <c r="B769" s="59"/>
      <c r="D769" s="59"/>
      <c r="F769" s="59"/>
      <c r="H769" s="59"/>
      <c r="J769" s="59"/>
      <c r="L769" s="59"/>
      <c r="N769" s="59"/>
      <c r="Q769" s="59"/>
      <c r="R769" s="61"/>
    </row>
    <row r="770">
      <c r="B770" s="59"/>
      <c r="D770" s="59"/>
      <c r="F770" s="59"/>
      <c r="H770" s="59"/>
      <c r="J770" s="59"/>
      <c r="L770" s="59"/>
      <c r="N770" s="59"/>
      <c r="Q770" s="59"/>
      <c r="R770" s="61"/>
    </row>
    <row r="771">
      <c r="B771" s="59"/>
      <c r="D771" s="59"/>
      <c r="F771" s="59"/>
      <c r="H771" s="59"/>
      <c r="J771" s="59"/>
      <c r="L771" s="59"/>
      <c r="N771" s="59"/>
      <c r="Q771" s="59"/>
      <c r="R771" s="61"/>
    </row>
    <row r="772">
      <c r="B772" s="59"/>
      <c r="D772" s="59"/>
      <c r="F772" s="59"/>
      <c r="H772" s="59"/>
      <c r="J772" s="59"/>
      <c r="L772" s="59"/>
      <c r="N772" s="59"/>
      <c r="Q772" s="59"/>
      <c r="R772" s="61"/>
    </row>
    <row r="773">
      <c r="B773" s="59"/>
      <c r="D773" s="59"/>
      <c r="F773" s="59"/>
      <c r="H773" s="59"/>
      <c r="J773" s="59"/>
      <c r="L773" s="59"/>
      <c r="N773" s="59"/>
      <c r="Q773" s="59"/>
      <c r="R773" s="61"/>
    </row>
    <row r="774">
      <c r="B774" s="59"/>
      <c r="D774" s="59"/>
      <c r="F774" s="59"/>
      <c r="H774" s="59"/>
      <c r="J774" s="59"/>
      <c r="L774" s="59"/>
      <c r="N774" s="59"/>
      <c r="Q774" s="59"/>
      <c r="R774" s="61"/>
    </row>
    <row r="775">
      <c r="B775" s="59"/>
      <c r="D775" s="59"/>
      <c r="F775" s="59"/>
      <c r="H775" s="59"/>
      <c r="J775" s="59"/>
      <c r="L775" s="59"/>
      <c r="N775" s="59"/>
      <c r="Q775" s="59"/>
      <c r="R775" s="61"/>
    </row>
    <row r="776">
      <c r="B776" s="59"/>
      <c r="D776" s="59"/>
      <c r="F776" s="59"/>
      <c r="H776" s="59"/>
      <c r="J776" s="59"/>
      <c r="L776" s="59"/>
      <c r="N776" s="59"/>
      <c r="Q776" s="59"/>
      <c r="R776" s="61"/>
    </row>
    <row r="777">
      <c r="B777" s="59"/>
      <c r="D777" s="59"/>
      <c r="F777" s="59"/>
      <c r="H777" s="59"/>
      <c r="J777" s="59"/>
      <c r="L777" s="59"/>
      <c r="N777" s="59"/>
      <c r="Q777" s="59"/>
      <c r="R777" s="61"/>
    </row>
    <row r="778">
      <c r="B778" s="59"/>
      <c r="D778" s="59"/>
      <c r="F778" s="59"/>
      <c r="H778" s="59"/>
      <c r="J778" s="59"/>
      <c r="L778" s="59"/>
      <c r="N778" s="59"/>
      <c r="Q778" s="59"/>
      <c r="R778" s="61"/>
    </row>
    <row r="779">
      <c r="B779" s="59"/>
      <c r="D779" s="59"/>
      <c r="F779" s="59"/>
      <c r="H779" s="59"/>
      <c r="J779" s="59"/>
      <c r="L779" s="59"/>
      <c r="N779" s="59"/>
      <c r="Q779" s="59"/>
      <c r="R779" s="61"/>
    </row>
    <row r="780">
      <c r="B780" s="59"/>
      <c r="D780" s="59"/>
      <c r="F780" s="59"/>
      <c r="H780" s="59"/>
      <c r="J780" s="59"/>
      <c r="L780" s="59"/>
      <c r="N780" s="59"/>
      <c r="Q780" s="59"/>
      <c r="R780" s="61"/>
    </row>
    <row r="781">
      <c r="B781" s="59"/>
      <c r="D781" s="59"/>
      <c r="F781" s="59"/>
      <c r="H781" s="59"/>
      <c r="J781" s="59"/>
      <c r="L781" s="59"/>
      <c r="N781" s="59"/>
      <c r="Q781" s="59"/>
      <c r="R781" s="61"/>
    </row>
    <row r="782">
      <c r="B782" s="59"/>
      <c r="D782" s="59"/>
      <c r="F782" s="59"/>
      <c r="H782" s="59"/>
      <c r="J782" s="59"/>
      <c r="L782" s="59"/>
      <c r="N782" s="59"/>
      <c r="Q782" s="59"/>
      <c r="R782" s="61"/>
    </row>
    <row r="783">
      <c r="B783" s="59"/>
      <c r="D783" s="59"/>
      <c r="F783" s="59"/>
      <c r="H783" s="59"/>
      <c r="J783" s="59"/>
      <c r="L783" s="59"/>
      <c r="N783" s="59"/>
      <c r="Q783" s="59"/>
      <c r="R783" s="61"/>
    </row>
    <row r="784">
      <c r="B784" s="59"/>
      <c r="D784" s="59"/>
      <c r="F784" s="59"/>
      <c r="H784" s="59"/>
      <c r="J784" s="59"/>
      <c r="L784" s="59"/>
      <c r="N784" s="59"/>
      <c r="Q784" s="59"/>
      <c r="R784" s="61"/>
    </row>
    <row r="785">
      <c r="B785" s="59"/>
      <c r="D785" s="59"/>
      <c r="F785" s="59"/>
      <c r="H785" s="59"/>
      <c r="J785" s="59"/>
      <c r="L785" s="59"/>
      <c r="N785" s="59"/>
      <c r="Q785" s="59"/>
      <c r="R785" s="61"/>
    </row>
    <row r="786">
      <c r="B786" s="59"/>
      <c r="D786" s="59"/>
      <c r="F786" s="59"/>
      <c r="H786" s="59"/>
      <c r="J786" s="59"/>
      <c r="L786" s="59"/>
      <c r="N786" s="59"/>
      <c r="Q786" s="59"/>
      <c r="R786" s="61"/>
    </row>
    <row r="787">
      <c r="B787" s="59"/>
      <c r="D787" s="59"/>
      <c r="F787" s="59"/>
      <c r="H787" s="59"/>
      <c r="J787" s="59"/>
      <c r="L787" s="59"/>
      <c r="N787" s="59"/>
      <c r="Q787" s="59"/>
      <c r="R787" s="61"/>
    </row>
    <row r="788">
      <c r="B788" s="59"/>
      <c r="D788" s="59"/>
      <c r="F788" s="59"/>
      <c r="H788" s="59"/>
      <c r="J788" s="59"/>
      <c r="L788" s="59"/>
      <c r="N788" s="59"/>
      <c r="Q788" s="59"/>
      <c r="R788" s="61"/>
    </row>
    <row r="789">
      <c r="B789" s="59"/>
      <c r="D789" s="59"/>
      <c r="F789" s="59"/>
      <c r="H789" s="59"/>
      <c r="J789" s="59"/>
      <c r="L789" s="59"/>
      <c r="N789" s="59"/>
      <c r="Q789" s="59"/>
      <c r="R789" s="61"/>
    </row>
    <row r="790">
      <c r="B790" s="59"/>
      <c r="D790" s="59"/>
      <c r="F790" s="59"/>
      <c r="H790" s="59"/>
      <c r="J790" s="59"/>
      <c r="L790" s="59"/>
      <c r="N790" s="59"/>
      <c r="Q790" s="59"/>
      <c r="R790" s="61"/>
    </row>
    <row r="791">
      <c r="B791" s="59"/>
      <c r="D791" s="59"/>
      <c r="F791" s="59"/>
      <c r="H791" s="59"/>
      <c r="J791" s="59"/>
      <c r="L791" s="59"/>
      <c r="N791" s="59"/>
      <c r="Q791" s="59"/>
      <c r="R791" s="61"/>
    </row>
    <row r="792">
      <c r="B792" s="59"/>
      <c r="D792" s="59"/>
      <c r="F792" s="59"/>
      <c r="H792" s="59"/>
      <c r="J792" s="59"/>
      <c r="L792" s="59"/>
      <c r="N792" s="59"/>
      <c r="Q792" s="59"/>
      <c r="R792" s="61"/>
    </row>
    <row r="793">
      <c r="B793" s="59"/>
      <c r="D793" s="59"/>
      <c r="F793" s="59"/>
      <c r="H793" s="59"/>
      <c r="J793" s="59"/>
      <c r="L793" s="59"/>
      <c r="N793" s="59"/>
      <c r="Q793" s="59"/>
      <c r="R793" s="61"/>
    </row>
    <row r="794">
      <c r="B794" s="59"/>
      <c r="D794" s="59"/>
      <c r="F794" s="59"/>
      <c r="H794" s="59"/>
      <c r="J794" s="59"/>
      <c r="L794" s="59"/>
      <c r="N794" s="59"/>
      <c r="Q794" s="59"/>
      <c r="R794" s="61"/>
    </row>
    <row r="795">
      <c r="B795" s="59"/>
      <c r="D795" s="59"/>
      <c r="F795" s="59"/>
      <c r="H795" s="59"/>
      <c r="J795" s="59"/>
      <c r="L795" s="59"/>
      <c r="N795" s="59"/>
      <c r="Q795" s="59"/>
      <c r="R795" s="61"/>
    </row>
    <row r="796">
      <c r="B796" s="59"/>
      <c r="D796" s="59"/>
      <c r="F796" s="59"/>
      <c r="H796" s="59"/>
      <c r="J796" s="59"/>
      <c r="L796" s="59"/>
      <c r="N796" s="59"/>
      <c r="Q796" s="59"/>
      <c r="R796" s="61"/>
    </row>
    <row r="797">
      <c r="B797" s="59"/>
      <c r="D797" s="59"/>
      <c r="F797" s="59"/>
      <c r="H797" s="59"/>
      <c r="J797" s="59"/>
      <c r="L797" s="59"/>
      <c r="N797" s="59"/>
      <c r="Q797" s="59"/>
      <c r="R797" s="61"/>
    </row>
    <row r="798">
      <c r="B798" s="59"/>
      <c r="D798" s="59"/>
      <c r="F798" s="59"/>
      <c r="H798" s="59"/>
      <c r="J798" s="59"/>
      <c r="L798" s="59"/>
      <c r="N798" s="59"/>
      <c r="Q798" s="59"/>
      <c r="R798" s="61"/>
    </row>
    <row r="799">
      <c r="B799" s="59"/>
      <c r="D799" s="59"/>
      <c r="F799" s="59"/>
      <c r="H799" s="59"/>
      <c r="J799" s="59"/>
      <c r="L799" s="59"/>
      <c r="N799" s="59"/>
      <c r="Q799" s="59"/>
      <c r="R799" s="61"/>
    </row>
    <row r="800">
      <c r="B800" s="59"/>
      <c r="D800" s="59"/>
      <c r="F800" s="59"/>
      <c r="H800" s="59"/>
      <c r="J800" s="59"/>
      <c r="L800" s="59"/>
      <c r="N800" s="59"/>
      <c r="Q800" s="59"/>
      <c r="R800" s="61"/>
    </row>
    <row r="801">
      <c r="B801" s="59"/>
      <c r="D801" s="59"/>
      <c r="F801" s="59"/>
      <c r="H801" s="59"/>
      <c r="J801" s="59"/>
      <c r="L801" s="59"/>
      <c r="N801" s="59"/>
      <c r="Q801" s="59"/>
      <c r="R801" s="61"/>
    </row>
    <row r="802">
      <c r="B802" s="59"/>
      <c r="D802" s="59"/>
      <c r="F802" s="59"/>
      <c r="H802" s="59"/>
      <c r="J802" s="59"/>
      <c r="L802" s="59"/>
      <c r="N802" s="59"/>
      <c r="Q802" s="59"/>
      <c r="R802" s="61"/>
    </row>
    <row r="803">
      <c r="B803" s="59"/>
      <c r="D803" s="59"/>
      <c r="F803" s="59"/>
      <c r="H803" s="59"/>
      <c r="J803" s="59"/>
      <c r="L803" s="59"/>
      <c r="N803" s="59"/>
      <c r="Q803" s="59"/>
      <c r="R803" s="61"/>
    </row>
    <row r="804">
      <c r="B804" s="59"/>
      <c r="D804" s="59"/>
      <c r="F804" s="59"/>
      <c r="H804" s="59"/>
      <c r="J804" s="59"/>
      <c r="L804" s="59"/>
      <c r="N804" s="59"/>
      <c r="Q804" s="59"/>
      <c r="R804" s="61"/>
    </row>
    <row r="805">
      <c r="B805" s="59"/>
      <c r="D805" s="59"/>
      <c r="F805" s="59"/>
      <c r="H805" s="59"/>
      <c r="J805" s="59"/>
      <c r="L805" s="59"/>
      <c r="N805" s="59"/>
      <c r="Q805" s="59"/>
      <c r="R805" s="61"/>
    </row>
    <row r="806">
      <c r="B806" s="59"/>
      <c r="D806" s="59"/>
      <c r="F806" s="59"/>
      <c r="H806" s="59"/>
      <c r="J806" s="59"/>
      <c r="L806" s="59"/>
      <c r="N806" s="59"/>
      <c r="Q806" s="59"/>
      <c r="R806" s="61"/>
    </row>
    <row r="807">
      <c r="B807" s="59"/>
      <c r="D807" s="59"/>
      <c r="F807" s="59"/>
      <c r="H807" s="59"/>
      <c r="J807" s="59"/>
      <c r="L807" s="59"/>
      <c r="N807" s="59"/>
      <c r="Q807" s="59"/>
      <c r="R807" s="61"/>
    </row>
    <row r="808">
      <c r="B808" s="59"/>
      <c r="D808" s="59"/>
      <c r="F808" s="59"/>
      <c r="H808" s="59"/>
      <c r="J808" s="59"/>
      <c r="L808" s="59"/>
      <c r="N808" s="59"/>
      <c r="Q808" s="59"/>
      <c r="R808" s="61"/>
    </row>
    <row r="809">
      <c r="B809" s="59"/>
      <c r="D809" s="59"/>
      <c r="F809" s="59"/>
      <c r="H809" s="59"/>
      <c r="J809" s="59"/>
      <c r="L809" s="59"/>
      <c r="N809" s="59"/>
      <c r="Q809" s="59"/>
      <c r="R809" s="61"/>
    </row>
    <row r="810">
      <c r="B810" s="59"/>
      <c r="D810" s="59"/>
      <c r="F810" s="59"/>
      <c r="H810" s="59"/>
      <c r="J810" s="59"/>
      <c r="L810" s="59"/>
      <c r="N810" s="59"/>
      <c r="Q810" s="59"/>
      <c r="R810" s="61"/>
    </row>
    <row r="811">
      <c r="B811" s="59"/>
      <c r="D811" s="59"/>
      <c r="F811" s="59"/>
      <c r="H811" s="59"/>
      <c r="J811" s="59"/>
      <c r="L811" s="59"/>
      <c r="N811" s="59"/>
      <c r="Q811" s="59"/>
      <c r="R811" s="61"/>
    </row>
    <row r="812">
      <c r="B812" s="59"/>
      <c r="D812" s="59"/>
      <c r="F812" s="59"/>
      <c r="H812" s="59"/>
      <c r="J812" s="59"/>
      <c r="L812" s="59"/>
      <c r="N812" s="59"/>
      <c r="Q812" s="59"/>
      <c r="R812" s="61"/>
    </row>
    <row r="813">
      <c r="B813" s="59"/>
      <c r="D813" s="59"/>
      <c r="F813" s="59"/>
      <c r="H813" s="59"/>
      <c r="J813" s="59"/>
      <c r="L813" s="59"/>
      <c r="N813" s="59"/>
      <c r="Q813" s="59"/>
      <c r="R813" s="61"/>
    </row>
    <row r="814">
      <c r="B814" s="59"/>
      <c r="D814" s="59"/>
      <c r="F814" s="59"/>
      <c r="H814" s="59"/>
      <c r="J814" s="59"/>
      <c r="L814" s="59"/>
      <c r="N814" s="59"/>
      <c r="Q814" s="59"/>
      <c r="R814" s="61"/>
    </row>
    <row r="815">
      <c r="B815" s="59"/>
      <c r="D815" s="59"/>
      <c r="F815" s="59"/>
      <c r="H815" s="59"/>
      <c r="J815" s="59"/>
      <c r="L815" s="59"/>
      <c r="N815" s="59"/>
      <c r="Q815" s="59"/>
      <c r="R815" s="61"/>
    </row>
    <row r="816">
      <c r="B816" s="59"/>
      <c r="D816" s="59"/>
      <c r="F816" s="59"/>
      <c r="H816" s="59"/>
      <c r="J816" s="59"/>
      <c r="L816" s="59"/>
      <c r="N816" s="59"/>
      <c r="Q816" s="59"/>
      <c r="R816" s="61"/>
    </row>
    <row r="817">
      <c r="B817" s="59"/>
      <c r="D817" s="59"/>
      <c r="F817" s="59"/>
      <c r="H817" s="59"/>
      <c r="J817" s="59"/>
      <c r="L817" s="59"/>
      <c r="N817" s="59"/>
      <c r="Q817" s="59"/>
      <c r="R817" s="61"/>
    </row>
    <row r="818">
      <c r="B818" s="59"/>
      <c r="D818" s="59"/>
      <c r="F818" s="59"/>
      <c r="H818" s="59"/>
      <c r="J818" s="59"/>
      <c r="L818" s="59"/>
      <c r="N818" s="59"/>
      <c r="Q818" s="59"/>
      <c r="R818" s="61"/>
    </row>
    <row r="819">
      <c r="B819" s="59"/>
      <c r="D819" s="59"/>
      <c r="F819" s="59"/>
      <c r="H819" s="59"/>
      <c r="J819" s="59"/>
      <c r="L819" s="59"/>
      <c r="N819" s="59"/>
      <c r="Q819" s="59"/>
      <c r="R819" s="61"/>
    </row>
    <row r="820">
      <c r="B820" s="59"/>
      <c r="D820" s="59"/>
      <c r="F820" s="59"/>
      <c r="H820" s="59"/>
      <c r="J820" s="59"/>
      <c r="L820" s="59"/>
      <c r="N820" s="59"/>
      <c r="Q820" s="59"/>
      <c r="R820" s="61"/>
    </row>
    <row r="821">
      <c r="B821" s="59"/>
      <c r="D821" s="59"/>
      <c r="F821" s="59"/>
      <c r="H821" s="59"/>
      <c r="J821" s="59"/>
      <c r="L821" s="59"/>
      <c r="N821" s="59"/>
      <c r="Q821" s="59"/>
      <c r="R821" s="61"/>
    </row>
    <row r="822">
      <c r="B822" s="59"/>
      <c r="D822" s="59"/>
      <c r="F822" s="59"/>
      <c r="H822" s="59"/>
      <c r="J822" s="59"/>
      <c r="L822" s="59"/>
      <c r="N822" s="59"/>
      <c r="Q822" s="59"/>
      <c r="R822" s="61"/>
    </row>
    <row r="823">
      <c r="B823" s="59"/>
      <c r="D823" s="59"/>
      <c r="F823" s="59"/>
      <c r="H823" s="59"/>
      <c r="J823" s="59"/>
      <c r="L823" s="59"/>
      <c r="N823" s="59"/>
      <c r="Q823" s="59"/>
      <c r="R823" s="61"/>
    </row>
    <row r="824">
      <c r="B824" s="59"/>
      <c r="D824" s="59"/>
      <c r="F824" s="59"/>
      <c r="H824" s="59"/>
      <c r="J824" s="59"/>
      <c r="L824" s="59"/>
      <c r="N824" s="59"/>
      <c r="Q824" s="59"/>
      <c r="R824" s="61"/>
    </row>
    <row r="825">
      <c r="B825" s="59"/>
      <c r="D825" s="59"/>
      <c r="F825" s="59"/>
      <c r="H825" s="59"/>
      <c r="J825" s="59"/>
      <c r="L825" s="59"/>
      <c r="N825" s="59"/>
      <c r="Q825" s="59"/>
      <c r="R825" s="61"/>
    </row>
    <row r="826">
      <c r="B826" s="59"/>
      <c r="D826" s="59"/>
      <c r="F826" s="59"/>
      <c r="H826" s="59"/>
      <c r="J826" s="59"/>
      <c r="L826" s="59"/>
      <c r="N826" s="59"/>
      <c r="Q826" s="59"/>
      <c r="R826" s="61"/>
    </row>
    <row r="827">
      <c r="B827" s="59"/>
      <c r="D827" s="59"/>
      <c r="F827" s="59"/>
      <c r="H827" s="59"/>
      <c r="J827" s="59"/>
      <c r="L827" s="59"/>
      <c r="N827" s="59"/>
      <c r="Q827" s="59"/>
      <c r="R827" s="61"/>
    </row>
    <row r="828">
      <c r="B828" s="59"/>
      <c r="D828" s="59"/>
      <c r="F828" s="59"/>
      <c r="H828" s="59"/>
      <c r="J828" s="59"/>
      <c r="L828" s="59"/>
      <c r="N828" s="59"/>
      <c r="Q828" s="59"/>
      <c r="R828" s="61"/>
    </row>
    <row r="829">
      <c r="B829" s="59"/>
      <c r="D829" s="59"/>
      <c r="F829" s="59"/>
      <c r="H829" s="59"/>
      <c r="J829" s="59"/>
      <c r="L829" s="59"/>
      <c r="N829" s="59"/>
      <c r="Q829" s="59"/>
      <c r="R829" s="61"/>
    </row>
    <row r="830">
      <c r="B830" s="59"/>
      <c r="D830" s="59"/>
      <c r="F830" s="59"/>
      <c r="H830" s="59"/>
      <c r="J830" s="59"/>
      <c r="L830" s="59"/>
      <c r="N830" s="59"/>
      <c r="Q830" s="59"/>
      <c r="R830" s="61"/>
    </row>
    <row r="831">
      <c r="B831" s="59"/>
      <c r="D831" s="59"/>
      <c r="F831" s="59"/>
      <c r="H831" s="59"/>
      <c r="J831" s="59"/>
      <c r="L831" s="59"/>
      <c r="N831" s="59"/>
      <c r="Q831" s="59"/>
      <c r="R831" s="61"/>
    </row>
    <row r="832">
      <c r="B832" s="59"/>
      <c r="D832" s="59"/>
      <c r="F832" s="59"/>
      <c r="H832" s="59"/>
      <c r="J832" s="59"/>
      <c r="L832" s="59"/>
      <c r="N832" s="59"/>
      <c r="Q832" s="59"/>
      <c r="R832" s="61"/>
    </row>
    <row r="833">
      <c r="B833" s="59"/>
      <c r="D833" s="59"/>
      <c r="F833" s="59"/>
      <c r="H833" s="59"/>
      <c r="J833" s="59"/>
      <c r="L833" s="59"/>
      <c r="N833" s="59"/>
      <c r="Q833" s="59"/>
      <c r="R833" s="61"/>
    </row>
    <row r="834">
      <c r="B834" s="59"/>
      <c r="D834" s="59"/>
      <c r="F834" s="59"/>
      <c r="H834" s="59"/>
      <c r="J834" s="59"/>
      <c r="L834" s="59"/>
      <c r="N834" s="59"/>
      <c r="Q834" s="59"/>
      <c r="R834" s="61"/>
    </row>
    <row r="835">
      <c r="B835" s="59"/>
      <c r="D835" s="59"/>
      <c r="F835" s="59"/>
      <c r="H835" s="59"/>
      <c r="J835" s="59"/>
      <c r="L835" s="59"/>
      <c r="N835" s="59"/>
      <c r="Q835" s="59"/>
      <c r="R835" s="61"/>
    </row>
    <row r="836">
      <c r="B836" s="59"/>
      <c r="D836" s="59"/>
      <c r="F836" s="59"/>
      <c r="H836" s="59"/>
      <c r="J836" s="59"/>
      <c r="L836" s="59"/>
      <c r="N836" s="59"/>
      <c r="Q836" s="59"/>
      <c r="R836" s="61"/>
    </row>
    <row r="837">
      <c r="B837" s="59"/>
      <c r="D837" s="59"/>
      <c r="F837" s="59"/>
      <c r="H837" s="59"/>
      <c r="J837" s="59"/>
      <c r="L837" s="59"/>
      <c r="N837" s="59"/>
      <c r="Q837" s="59"/>
      <c r="R837" s="61"/>
    </row>
    <row r="838">
      <c r="B838" s="59"/>
      <c r="D838" s="59"/>
      <c r="F838" s="59"/>
      <c r="H838" s="59"/>
      <c r="J838" s="59"/>
      <c r="L838" s="59"/>
      <c r="N838" s="59"/>
      <c r="Q838" s="59"/>
      <c r="R838" s="61"/>
    </row>
    <row r="839">
      <c r="B839" s="59"/>
      <c r="D839" s="59"/>
      <c r="F839" s="59"/>
      <c r="H839" s="59"/>
      <c r="J839" s="59"/>
      <c r="L839" s="59"/>
      <c r="N839" s="59"/>
      <c r="Q839" s="59"/>
      <c r="R839" s="61"/>
    </row>
    <row r="840">
      <c r="B840" s="59"/>
      <c r="D840" s="59"/>
      <c r="F840" s="59"/>
      <c r="H840" s="59"/>
      <c r="J840" s="59"/>
      <c r="L840" s="59"/>
      <c r="N840" s="59"/>
      <c r="Q840" s="59"/>
      <c r="R840" s="61"/>
    </row>
    <row r="841">
      <c r="B841" s="59"/>
      <c r="D841" s="59"/>
      <c r="F841" s="59"/>
      <c r="H841" s="59"/>
      <c r="J841" s="59"/>
      <c r="L841" s="59"/>
      <c r="N841" s="59"/>
      <c r="Q841" s="59"/>
      <c r="R841" s="61"/>
    </row>
    <row r="842">
      <c r="B842" s="59"/>
      <c r="D842" s="59"/>
      <c r="F842" s="59"/>
      <c r="H842" s="59"/>
      <c r="J842" s="59"/>
      <c r="L842" s="59"/>
      <c r="N842" s="59"/>
      <c r="Q842" s="59"/>
      <c r="R842" s="61"/>
    </row>
    <row r="843">
      <c r="B843" s="59"/>
      <c r="D843" s="59"/>
      <c r="F843" s="59"/>
      <c r="H843" s="59"/>
      <c r="J843" s="59"/>
      <c r="L843" s="59"/>
      <c r="N843" s="59"/>
      <c r="Q843" s="59"/>
      <c r="R843" s="61"/>
    </row>
    <row r="844">
      <c r="B844" s="59"/>
      <c r="D844" s="59"/>
      <c r="F844" s="59"/>
      <c r="H844" s="59"/>
      <c r="J844" s="59"/>
      <c r="L844" s="59"/>
      <c r="N844" s="59"/>
      <c r="Q844" s="59"/>
      <c r="R844" s="61"/>
    </row>
    <row r="845">
      <c r="B845" s="59"/>
      <c r="D845" s="59"/>
      <c r="F845" s="59"/>
      <c r="H845" s="59"/>
      <c r="J845" s="59"/>
      <c r="L845" s="59"/>
      <c r="N845" s="59"/>
      <c r="Q845" s="59"/>
      <c r="R845" s="61"/>
    </row>
    <row r="846">
      <c r="B846" s="59"/>
      <c r="D846" s="59"/>
      <c r="F846" s="59"/>
      <c r="H846" s="59"/>
      <c r="J846" s="59"/>
      <c r="L846" s="59"/>
      <c r="N846" s="59"/>
      <c r="Q846" s="59"/>
      <c r="R846" s="61"/>
    </row>
    <row r="847">
      <c r="B847" s="59"/>
      <c r="D847" s="59"/>
      <c r="F847" s="59"/>
      <c r="H847" s="59"/>
      <c r="J847" s="59"/>
      <c r="L847" s="59"/>
      <c r="N847" s="59"/>
      <c r="Q847" s="59"/>
      <c r="R847" s="61"/>
    </row>
    <row r="848">
      <c r="B848" s="59"/>
      <c r="D848" s="59"/>
      <c r="F848" s="59"/>
      <c r="H848" s="59"/>
      <c r="J848" s="59"/>
      <c r="L848" s="59"/>
      <c r="N848" s="59"/>
      <c r="Q848" s="59"/>
      <c r="R848" s="61"/>
    </row>
    <row r="849">
      <c r="B849" s="59"/>
      <c r="D849" s="59"/>
      <c r="F849" s="59"/>
      <c r="H849" s="59"/>
      <c r="J849" s="59"/>
      <c r="L849" s="59"/>
      <c r="N849" s="59"/>
      <c r="Q849" s="59"/>
      <c r="R849" s="61"/>
    </row>
    <row r="850">
      <c r="B850" s="59"/>
      <c r="D850" s="59"/>
      <c r="F850" s="59"/>
      <c r="H850" s="59"/>
      <c r="J850" s="59"/>
      <c r="L850" s="59"/>
      <c r="N850" s="59"/>
      <c r="Q850" s="59"/>
      <c r="R850" s="61"/>
    </row>
    <row r="851">
      <c r="B851" s="59"/>
      <c r="D851" s="59"/>
      <c r="F851" s="59"/>
      <c r="H851" s="59"/>
      <c r="J851" s="59"/>
      <c r="L851" s="59"/>
      <c r="N851" s="59"/>
      <c r="Q851" s="59"/>
      <c r="R851" s="61"/>
    </row>
    <row r="852">
      <c r="B852" s="59"/>
      <c r="D852" s="59"/>
      <c r="F852" s="59"/>
      <c r="H852" s="59"/>
      <c r="J852" s="59"/>
      <c r="L852" s="59"/>
      <c r="N852" s="59"/>
      <c r="Q852" s="59"/>
      <c r="R852" s="61"/>
    </row>
    <row r="853">
      <c r="B853" s="59"/>
      <c r="D853" s="59"/>
      <c r="F853" s="59"/>
      <c r="H853" s="59"/>
      <c r="J853" s="59"/>
      <c r="L853" s="59"/>
      <c r="N853" s="59"/>
      <c r="Q853" s="59"/>
      <c r="R853" s="61"/>
    </row>
    <row r="854">
      <c r="B854" s="59"/>
      <c r="D854" s="59"/>
      <c r="F854" s="59"/>
      <c r="H854" s="59"/>
      <c r="J854" s="59"/>
      <c r="L854" s="59"/>
      <c r="N854" s="59"/>
      <c r="Q854" s="59"/>
      <c r="R854" s="61"/>
    </row>
    <row r="855">
      <c r="B855" s="59"/>
      <c r="D855" s="59"/>
      <c r="F855" s="59"/>
      <c r="H855" s="59"/>
      <c r="J855" s="59"/>
      <c r="L855" s="59"/>
      <c r="N855" s="59"/>
      <c r="Q855" s="59"/>
      <c r="R855" s="61"/>
    </row>
    <row r="856">
      <c r="B856" s="59"/>
      <c r="D856" s="59"/>
      <c r="F856" s="59"/>
      <c r="H856" s="59"/>
      <c r="J856" s="59"/>
      <c r="L856" s="59"/>
      <c r="N856" s="59"/>
      <c r="Q856" s="59"/>
      <c r="R856" s="61"/>
    </row>
    <row r="857">
      <c r="B857" s="59"/>
      <c r="D857" s="59"/>
      <c r="F857" s="59"/>
      <c r="H857" s="59"/>
      <c r="J857" s="59"/>
      <c r="L857" s="59"/>
      <c r="N857" s="59"/>
      <c r="Q857" s="59"/>
      <c r="R857" s="61"/>
    </row>
    <row r="858">
      <c r="B858" s="59"/>
      <c r="D858" s="59"/>
      <c r="F858" s="59"/>
      <c r="H858" s="59"/>
      <c r="J858" s="59"/>
      <c r="L858" s="59"/>
      <c r="N858" s="59"/>
      <c r="Q858" s="59"/>
      <c r="R858" s="61"/>
    </row>
    <row r="859">
      <c r="B859" s="59"/>
      <c r="D859" s="59"/>
      <c r="F859" s="59"/>
      <c r="H859" s="59"/>
      <c r="J859" s="59"/>
      <c r="L859" s="59"/>
      <c r="N859" s="59"/>
      <c r="Q859" s="59"/>
      <c r="R859" s="61"/>
    </row>
    <row r="860">
      <c r="B860" s="59"/>
      <c r="D860" s="59"/>
      <c r="F860" s="59"/>
      <c r="H860" s="59"/>
      <c r="J860" s="59"/>
      <c r="L860" s="59"/>
      <c r="N860" s="59"/>
      <c r="Q860" s="59"/>
      <c r="R860" s="61"/>
    </row>
    <row r="861">
      <c r="B861" s="59"/>
      <c r="D861" s="59"/>
      <c r="F861" s="59"/>
      <c r="H861" s="59"/>
      <c r="J861" s="59"/>
      <c r="L861" s="59"/>
      <c r="N861" s="59"/>
      <c r="Q861" s="59"/>
      <c r="R861" s="61"/>
    </row>
    <row r="862">
      <c r="B862" s="59"/>
      <c r="D862" s="59"/>
      <c r="F862" s="59"/>
      <c r="H862" s="59"/>
      <c r="J862" s="59"/>
      <c r="L862" s="59"/>
      <c r="N862" s="59"/>
      <c r="Q862" s="59"/>
      <c r="R862" s="61"/>
    </row>
    <row r="863">
      <c r="B863" s="59"/>
      <c r="D863" s="59"/>
      <c r="F863" s="59"/>
      <c r="H863" s="59"/>
      <c r="J863" s="59"/>
      <c r="L863" s="59"/>
      <c r="N863" s="59"/>
      <c r="Q863" s="59"/>
      <c r="R863" s="61"/>
    </row>
    <row r="864">
      <c r="B864" s="59"/>
      <c r="D864" s="59"/>
      <c r="F864" s="59"/>
      <c r="H864" s="59"/>
      <c r="J864" s="59"/>
      <c r="L864" s="59"/>
      <c r="N864" s="59"/>
      <c r="Q864" s="59"/>
      <c r="R864" s="61"/>
    </row>
    <row r="865">
      <c r="B865" s="59"/>
      <c r="D865" s="59"/>
      <c r="F865" s="59"/>
      <c r="H865" s="59"/>
      <c r="J865" s="59"/>
      <c r="L865" s="59"/>
      <c r="N865" s="59"/>
      <c r="Q865" s="59"/>
      <c r="R865" s="61"/>
    </row>
    <row r="866">
      <c r="B866" s="59"/>
      <c r="D866" s="59"/>
      <c r="F866" s="59"/>
      <c r="H866" s="59"/>
      <c r="J866" s="59"/>
      <c r="L866" s="59"/>
      <c r="N866" s="59"/>
      <c r="Q866" s="59"/>
      <c r="R866" s="61"/>
    </row>
    <row r="867">
      <c r="B867" s="59"/>
      <c r="D867" s="59"/>
      <c r="F867" s="59"/>
      <c r="H867" s="59"/>
      <c r="J867" s="59"/>
      <c r="L867" s="59"/>
      <c r="N867" s="59"/>
      <c r="Q867" s="59"/>
      <c r="R867" s="61"/>
    </row>
    <row r="868">
      <c r="B868" s="59"/>
      <c r="D868" s="59"/>
      <c r="F868" s="59"/>
      <c r="H868" s="59"/>
      <c r="J868" s="59"/>
      <c r="L868" s="59"/>
      <c r="N868" s="59"/>
      <c r="Q868" s="59"/>
      <c r="R868" s="61"/>
    </row>
    <row r="869">
      <c r="B869" s="59"/>
      <c r="D869" s="59"/>
      <c r="F869" s="59"/>
      <c r="H869" s="59"/>
      <c r="J869" s="59"/>
      <c r="L869" s="59"/>
      <c r="N869" s="59"/>
      <c r="Q869" s="59"/>
      <c r="R869" s="61"/>
    </row>
    <row r="870">
      <c r="B870" s="59"/>
      <c r="D870" s="59"/>
      <c r="F870" s="59"/>
      <c r="H870" s="59"/>
      <c r="J870" s="59"/>
      <c r="L870" s="59"/>
      <c r="N870" s="59"/>
      <c r="Q870" s="59"/>
      <c r="R870" s="61"/>
    </row>
    <row r="871">
      <c r="B871" s="59"/>
      <c r="D871" s="59"/>
      <c r="F871" s="59"/>
      <c r="H871" s="59"/>
      <c r="J871" s="59"/>
      <c r="L871" s="59"/>
      <c r="N871" s="59"/>
      <c r="Q871" s="59"/>
      <c r="R871" s="61"/>
    </row>
    <row r="872">
      <c r="B872" s="59"/>
      <c r="D872" s="59"/>
      <c r="F872" s="59"/>
      <c r="H872" s="59"/>
      <c r="J872" s="59"/>
      <c r="L872" s="59"/>
      <c r="N872" s="59"/>
      <c r="Q872" s="59"/>
      <c r="R872" s="61"/>
    </row>
    <row r="873">
      <c r="B873" s="59"/>
      <c r="D873" s="59"/>
      <c r="F873" s="59"/>
      <c r="H873" s="59"/>
      <c r="J873" s="59"/>
      <c r="L873" s="59"/>
      <c r="N873" s="59"/>
      <c r="Q873" s="59"/>
      <c r="R873" s="61"/>
    </row>
    <row r="874">
      <c r="B874" s="59"/>
      <c r="D874" s="59"/>
      <c r="F874" s="59"/>
      <c r="H874" s="59"/>
      <c r="J874" s="59"/>
      <c r="L874" s="59"/>
      <c r="N874" s="59"/>
      <c r="Q874" s="59"/>
      <c r="R874" s="61"/>
    </row>
    <row r="875">
      <c r="B875" s="59"/>
      <c r="D875" s="59"/>
      <c r="F875" s="59"/>
      <c r="H875" s="59"/>
      <c r="J875" s="59"/>
      <c r="L875" s="59"/>
      <c r="N875" s="59"/>
      <c r="Q875" s="59"/>
      <c r="R875" s="61"/>
    </row>
    <row r="876">
      <c r="B876" s="59"/>
      <c r="D876" s="59"/>
      <c r="F876" s="59"/>
      <c r="H876" s="59"/>
      <c r="J876" s="59"/>
      <c r="L876" s="59"/>
      <c r="N876" s="59"/>
      <c r="Q876" s="59"/>
      <c r="R876" s="61"/>
    </row>
    <row r="877">
      <c r="B877" s="59"/>
      <c r="D877" s="59"/>
      <c r="F877" s="59"/>
      <c r="H877" s="59"/>
      <c r="J877" s="59"/>
      <c r="L877" s="59"/>
      <c r="N877" s="59"/>
      <c r="Q877" s="59"/>
      <c r="R877" s="61"/>
    </row>
    <row r="878">
      <c r="B878" s="59"/>
      <c r="D878" s="59"/>
      <c r="F878" s="59"/>
      <c r="H878" s="59"/>
      <c r="J878" s="59"/>
      <c r="L878" s="59"/>
      <c r="N878" s="59"/>
      <c r="Q878" s="59"/>
      <c r="R878" s="61"/>
    </row>
    <row r="879">
      <c r="B879" s="59"/>
      <c r="D879" s="59"/>
      <c r="F879" s="59"/>
      <c r="H879" s="59"/>
      <c r="J879" s="59"/>
      <c r="L879" s="59"/>
      <c r="N879" s="59"/>
      <c r="Q879" s="59"/>
      <c r="R879" s="61"/>
    </row>
    <row r="880">
      <c r="B880" s="59"/>
      <c r="D880" s="59"/>
      <c r="F880" s="59"/>
      <c r="H880" s="59"/>
      <c r="J880" s="59"/>
      <c r="L880" s="59"/>
      <c r="N880" s="59"/>
      <c r="Q880" s="59"/>
      <c r="R880" s="61"/>
    </row>
    <row r="881">
      <c r="B881" s="59"/>
      <c r="D881" s="59"/>
      <c r="F881" s="59"/>
      <c r="H881" s="59"/>
      <c r="J881" s="59"/>
      <c r="L881" s="59"/>
      <c r="N881" s="59"/>
      <c r="Q881" s="59"/>
      <c r="R881" s="61"/>
    </row>
    <row r="882">
      <c r="B882" s="59"/>
      <c r="D882" s="59"/>
      <c r="F882" s="59"/>
      <c r="H882" s="59"/>
      <c r="J882" s="59"/>
      <c r="L882" s="59"/>
      <c r="N882" s="59"/>
      <c r="Q882" s="59"/>
      <c r="R882" s="61"/>
    </row>
    <row r="883">
      <c r="B883" s="59"/>
      <c r="D883" s="59"/>
      <c r="F883" s="59"/>
      <c r="H883" s="59"/>
      <c r="J883" s="59"/>
      <c r="L883" s="59"/>
      <c r="N883" s="59"/>
      <c r="Q883" s="59"/>
      <c r="R883" s="61"/>
    </row>
    <row r="884">
      <c r="B884" s="59"/>
      <c r="D884" s="59"/>
      <c r="F884" s="59"/>
      <c r="H884" s="59"/>
      <c r="J884" s="59"/>
      <c r="L884" s="59"/>
      <c r="N884" s="59"/>
      <c r="Q884" s="59"/>
      <c r="R884" s="61"/>
    </row>
    <row r="885">
      <c r="B885" s="59"/>
      <c r="D885" s="59"/>
      <c r="F885" s="59"/>
      <c r="H885" s="59"/>
      <c r="J885" s="59"/>
      <c r="L885" s="59"/>
      <c r="N885" s="59"/>
      <c r="Q885" s="59"/>
      <c r="R885" s="61"/>
    </row>
    <row r="886">
      <c r="B886" s="59"/>
      <c r="D886" s="59"/>
      <c r="F886" s="59"/>
      <c r="H886" s="59"/>
      <c r="J886" s="59"/>
      <c r="L886" s="59"/>
      <c r="N886" s="59"/>
      <c r="Q886" s="59"/>
      <c r="R886" s="61"/>
    </row>
    <row r="887">
      <c r="B887" s="59"/>
      <c r="D887" s="59"/>
      <c r="F887" s="59"/>
      <c r="H887" s="59"/>
      <c r="J887" s="59"/>
      <c r="L887" s="59"/>
      <c r="N887" s="59"/>
      <c r="Q887" s="59"/>
      <c r="R887" s="61"/>
    </row>
    <row r="888">
      <c r="B888" s="59"/>
      <c r="D888" s="59"/>
      <c r="F888" s="59"/>
      <c r="H888" s="59"/>
      <c r="J888" s="59"/>
      <c r="L888" s="59"/>
      <c r="N888" s="59"/>
      <c r="Q888" s="59"/>
      <c r="R888" s="61"/>
    </row>
    <row r="889">
      <c r="B889" s="59"/>
      <c r="D889" s="59"/>
      <c r="F889" s="59"/>
      <c r="H889" s="59"/>
      <c r="J889" s="59"/>
      <c r="L889" s="59"/>
      <c r="N889" s="59"/>
      <c r="Q889" s="59"/>
      <c r="R889" s="61"/>
    </row>
    <row r="890">
      <c r="B890" s="59"/>
      <c r="D890" s="59"/>
      <c r="F890" s="59"/>
      <c r="H890" s="59"/>
      <c r="J890" s="59"/>
      <c r="L890" s="59"/>
      <c r="N890" s="59"/>
      <c r="Q890" s="59"/>
      <c r="R890" s="61"/>
    </row>
    <row r="891">
      <c r="B891" s="59"/>
      <c r="D891" s="59"/>
      <c r="F891" s="59"/>
      <c r="H891" s="59"/>
      <c r="J891" s="59"/>
      <c r="L891" s="59"/>
      <c r="N891" s="59"/>
      <c r="Q891" s="59"/>
      <c r="R891" s="61"/>
    </row>
    <row r="892">
      <c r="B892" s="59"/>
      <c r="D892" s="59"/>
      <c r="F892" s="59"/>
      <c r="H892" s="59"/>
      <c r="J892" s="59"/>
      <c r="L892" s="59"/>
      <c r="N892" s="59"/>
      <c r="Q892" s="59"/>
      <c r="R892" s="61"/>
    </row>
    <row r="893">
      <c r="B893" s="59"/>
      <c r="D893" s="59"/>
      <c r="F893" s="59"/>
      <c r="H893" s="59"/>
      <c r="J893" s="59"/>
      <c r="L893" s="59"/>
      <c r="N893" s="59"/>
      <c r="Q893" s="59"/>
      <c r="R893" s="61"/>
    </row>
    <row r="894">
      <c r="B894" s="59"/>
      <c r="D894" s="59"/>
      <c r="F894" s="59"/>
      <c r="H894" s="59"/>
      <c r="J894" s="59"/>
      <c r="L894" s="59"/>
      <c r="N894" s="59"/>
      <c r="Q894" s="59"/>
      <c r="R894" s="61"/>
    </row>
    <row r="895">
      <c r="B895" s="59"/>
      <c r="D895" s="59"/>
      <c r="F895" s="59"/>
      <c r="H895" s="59"/>
      <c r="J895" s="59"/>
      <c r="L895" s="59"/>
      <c r="N895" s="59"/>
      <c r="Q895" s="59"/>
      <c r="R895" s="61"/>
    </row>
    <row r="896">
      <c r="B896" s="59"/>
      <c r="D896" s="59"/>
      <c r="F896" s="59"/>
      <c r="H896" s="59"/>
      <c r="J896" s="59"/>
      <c r="L896" s="59"/>
      <c r="N896" s="59"/>
      <c r="Q896" s="59"/>
      <c r="R896" s="61"/>
    </row>
    <row r="897">
      <c r="B897" s="59"/>
      <c r="D897" s="59"/>
      <c r="F897" s="59"/>
      <c r="H897" s="59"/>
      <c r="J897" s="59"/>
      <c r="L897" s="59"/>
      <c r="N897" s="59"/>
      <c r="Q897" s="59"/>
      <c r="R897" s="61"/>
    </row>
    <row r="898">
      <c r="B898" s="59"/>
      <c r="D898" s="59"/>
      <c r="F898" s="59"/>
      <c r="H898" s="59"/>
      <c r="J898" s="59"/>
      <c r="L898" s="59"/>
      <c r="N898" s="59"/>
      <c r="Q898" s="59"/>
      <c r="R898" s="61"/>
    </row>
    <row r="899">
      <c r="B899" s="59"/>
      <c r="D899" s="59"/>
      <c r="F899" s="59"/>
      <c r="H899" s="59"/>
      <c r="J899" s="59"/>
      <c r="L899" s="59"/>
      <c r="N899" s="59"/>
      <c r="Q899" s="59"/>
      <c r="R899" s="61"/>
    </row>
    <row r="900">
      <c r="B900" s="59"/>
      <c r="D900" s="59"/>
      <c r="F900" s="59"/>
      <c r="H900" s="59"/>
      <c r="J900" s="59"/>
      <c r="L900" s="59"/>
      <c r="N900" s="59"/>
      <c r="Q900" s="59"/>
      <c r="R900" s="61"/>
    </row>
    <row r="901">
      <c r="B901" s="59"/>
      <c r="D901" s="59"/>
      <c r="F901" s="59"/>
      <c r="H901" s="59"/>
      <c r="J901" s="59"/>
      <c r="L901" s="59"/>
      <c r="N901" s="59"/>
      <c r="Q901" s="59"/>
      <c r="R901" s="61"/>
    </row>
    <row r="902">
      <c r="B902" s="59"/>
      <c r="D902" s="59"/>
      <c r="F902" s="59"/>
      <c r="H902" s="59"/>
      <c r="J902" s="59"/>
      <c r="L902" s="59"/>
      <c r="N902" s="59"/>
      <c r="Q902" s="59"/>
      <c r="R902" s="61"/>
    </row>
    <row r="903">
      <c r="B903" s="59"/>
      <c r="D903" s="59"/>
      <c r="F903" s="59"/>
      <c r="H903" s="59"/>
      <c r="J903" s="59"/>
      <c r="L903" s="59"/>
      <c r="N903" s="59"/>
      <c r="Q903" s="59"/>
      <c r="R903" s="61"/>
    </row>
    <row r="904">
      <c r="B904" s="59"/>
      <c r="D904" s="59"/>
      <c r="F904" s="59"/>
      <c r="H904" s="59"/>
      <c r="J904" s="59"/>
      <c r="L904" s="59"/>
      <c r="N904" s="59"/>
      <c r="Q904" s="59"/>
      <c r="R904" s="61"/>
    </row>
    <row r="905">
      <c r="B905" s="59"/>
      <c r="D905" s="59"/>
      <c r="F905" s="59"/>
      <c r="H905" s="59"/>
      <c r="J905" s="59"/>
      <c r="L905" s="59"/>
      <c r="N905" s="59"/>
      <c r="Q905" s="59"/>
      <c r="R905" s="61"/>
    </row>
    <row r="906">
      <c r="B906" s="59"/>
      <c r="D906" s="59"/>
      <c r="F906" s="59"/>
      <c r="H906" s="59"/>
      <c r="J906" s="59"/>
      <c r="L906" s="59"/>
      <c r="N906" s="59"/>
      <c r="Q906" s="59"/>
      <c r="R906" s="61"/>
    </row>
    <row r="907">
      <c r="B907" s="59"/>
      <c r="D907" s="59"/>
      <c r="F907" s="59"/>
      <c r="H907" s="59"/>
      <c r="J907" s="59"/>
      <c r="L907" s="59"/>
      <c r="N907" s="59"/>
      <c r="Q907" s="59"/>
      <c r="R907" s="61"/>
    </row>
    <row r="908">
      <c r="B908" s="59"/>
      <c r="D908" s="59"/>
      <c r="F908" s="59"/>
      <c r="H908" s="59"/>
      <c r="J908" s="59"/>
      <c r="L908" s="59"/>
      <c r="N908" s="59"/>
      <c r="Q908" s="59"/>
      <c r="R908" s="61"/>
    </row>
    <row r="909">
      <c r="B909" s="59"/>
      <c r="D909" s="59"/>
      <c r="F909" s="59"/>
      <c r="H909" s="59"/>
      <c r="J909" s="59"/>
      <c r="L909" s="59"/>
      <c r="N909" s="59"/>
      <c r="Q909" s="59"/>
      <c r="R909" s="61"/>
    </row>
    <row r="910">
      <c r="B910" s="59"/>
      <c r="D910" s="59"/>
      <c r="F910" s="59"/>
      <c r="H910" s="59"/>
      <c r="J910" s="59"/>
      <c r="L910" s="59"/>
      <c r="N910" s="59"/>
      <c r="Q910" s="59"/>
      <c r="R910" s="61"/>
    </row>
    <row r="911">
      <c r="B911" s="59"/>
      <c r="D911" s="59"/>
      <c r="F911" s="59"/>
      <c r="H911" s="59"/>
      <c r="J911" s="59"/>
      <c r="L911" s="59"/>
      <c r="N911" s="59"/>
      <c r="Q911" s="59"/>
      <c r="R911" s="61"/>
    </row>
    <row r="912">
      <c r="B912" s="59"/>
      <c r="D912" s="59"/>
      <c r="F912" s="59"/>
      <c r="H912" s="59"/>
      <c r="J912" s="59"/>
      <c r="L912" s="59"/>
      <c r="N912" s="59"/>
      <c r="Q912" s="59"/>
      <c r="R912" s="61"/>
    </row>
    <row r="913">
      <c r="B913" s="59"/>
      <c r="D913" s="59"/>
      <c r="F913" s="59"/>
      <c r="H913" s="59"/>
      <c r="J913" s="59"/>
      <c r="L913" s="59"/>
      <c r="N913" s="59"/>
      <c r="Q913" s="59"/>
      <c r="R913" s="61"/>
    </row>
    <row r="914">
      <c r="B914" s="59"/>
      <c r="D914" s="59"/>
      <c r="F914" s="59"/>
      <c r="H914" s="59"/>
      <c r="J914" s="59"/>
      <c r="L914" s="59"/>
      <c r="N914" s="59"/>
      <c r="Q914" s="59"/>
      <c r="R914" s="61"/>
    </row>
    <row r="915">
      <c r="B915" s="59"/>
      <c r="D915" s="59"/>
      <c r="F915" s="59"/>
      <c r="H915" s="59"/>
      <c r="J915" s="59"/>
      <c r="L915" s="59"/>
      <c r="N915" s="59"/>
      <c r="Q915" s="59"/>
      <c r="R915" s="61"/>
    </row>
    <row r="916">
      <c r="B916" s="59"/>
      <c r="D916" s="59"/>
      <c r="F916" s="59"/>
      <c r="H916" s="59"/>
      <c r="J916" s="59"/>
      <c r="L916" s="59"/>
      <c r="N916" s="59"/>
      <c r="Q916" s="59"/>
      <c r="R916" s="61"/>
    </row>
    <row r="917">
      <c r="B917" s="59"/>
      <c r="D917" s="59"/>
      <c r="F917" s="59"/>
      <c r="H917" s="59"/>
      <c r="J917" s="59"/>
      <c r="L917" s="59"/>
      <c r="N917" s="59"/>
      <c r="Q917" s="59"/>
      <c r="R917" s="61"/>
    </row>
    <row r="918">
      <c r="B918" s="59"/>
      <c r="D918" s="59"/>
      <c r="F918" s="59"/>
      <c r="H918" s="59"/>
      <c r="J918" s="59"/>
      <c r="L918" s="59"/>
      <c r="N918" s="59"/>
      <c r="Q918" s="59"/>
      <c r="R918" s="61"/>
    </row>
    <row r="919">
      <c r="B919" s="59"/>
      <c r="D919" s="59"/>
      <c r="F919" s="59"/>
      <c r="H919" s="59"/>
      <c r="J919" s="59"/>
      <c r="L919" s="59"/>
      <c r="N919" s="59"/>
      <c r="Q919" s="59"/>
      <c r="R919" s="61"/>
    </row>
    <row r="920">
      <c r="B920" s="59"/>
      <c r="D920" s="59"/>
      <c r="F920" s="59"/>
      <c r="H920" s="59"/>
      <c r="J920" s="59"/>
      <c r="L920" s="59"/>
      <c r="N920" s="59"/>
      <c r="Q920" s="59"/>
      <c r="R920" s="61"/>
    </row>
    <row r="921">
      <c r="B921" s="59"/>
      <c r="D921" s="59"/>
      <c r="F921" s="59"/>
      <c r="H921" s="59"/>
      <c r="J921" s="59"/>
      <c r="L921" s="59"/>
      <c r="N921" s="59"/>
      <c r="Q921" s="59"/>
      <c r="R921" s="61"/>
    </row>
    <row r="922">
      <c r="B922" s="59"/>
      <c r="D922" s="59"/>
      <c r="F922" s="59"/>
      <c r="H922" s="59"/>
      <c r="J922" s="59"/>
      <c r="L922" s="59"/>
      <c r="N922" s="59"/>
      <c r="Q922" s="59"/>
      <c r="R922" s="61"/>
    </row>
    <row r="923">
      <c r="B923" s="59"/>
      <c r="D923" s="59"/>
      <c r="F923" s="59"/>
      <c r="H923" s="59"/>
      <c r="J923" s="59"/>
      <c r="L923" s="59"/>
      <c r="N923" s="59"/>
      <c r="Q923" s="59"/>
      <c r="R923" s="61"/>
    </row>
    <row r="924">
      <c r="B924" s="59"/>
      <c r="D924" s="59"/>
      <c r="F924" s="59"/>
      <c r="H924" s="59"/>
      <c r="J924" s="59"/>
      <c r="L924" s="59"/>
      <c r="N924" s="59"/>
      <c r="Q924" s="59"/>
      <c r="R924" s="61"/>
    </row>
    <row r="925">
      <c r="B925" s="59"/>
      <c r="D925" s="59"/>
      <c r="F925" s="59"/>
      <c r="H925" s="59"/>
      <c r="J925" s="59"/>
      <c r="L925" s="59"/>
      <c r="N925" s="59"/>
      <c r="Q925" s="59"/>
      <c r="R925" s="61"/>
    </row>
    <row r="926">
      <c r="B926" s="59"/>
      <c r="D926" s="59"/>
      <c r="F926" s="59"/>
      <c r="H926" s="59"/>
      <c r="J926" s="59"/>
      <c r="L926" s="59"/>
      <c r="N926" s="59"/>
      <c r="Q926" s="59"/>
      <c r="R926" s="61"/>
    </row>
    <row r="927">
      <c r="B927" s="59"/>
      <c r="D927" s="59"/>
      <c r="F927" s="59"/>
      <c r="H927" s="59"/>
      <c r="J927" s="59"/>
      <c r="L927" s="59"/>
      <c r="N927" s="59"/>
      <c r="Q927" s="59"/>
      <c r="R927" s="61"/>
    </row>
    <row r="928">
      <c r="B928" s="59"/>
      <c r="D928" s="59"/>
      <c r="F928" s="59"/>
      <c r="H928" s="59"/>
      <c r="J928" s="59"/>
      <c r="L928" s="59"/>
      <c r="N928" s="59"/>
      <c r="Q928" s="59"/>
      <c r="R928" s="61"/>
    </row>
    <row r="929">
      <c r="B929" s="59"/>
      <c r="D929" s="59"/>
      <c r="F929" s="59"/>
      <c r="H929" s="59"/>
      <c r="J929" s="59"/>
      <c r="L929" s="59"/>
      <c r="N929" s="59"/>
      <c r="Q929" s="59"/>
      <c r="R929" s="61"/>
    </row>
    <row r="930">
      <c r="B930" s="59"/>
      <c r="D930" s="59"/>
      <c r="F930" s="59"/>
      <c r="H930" s="59"/>
      <c r="J930" s="59"/>
      <c r="L930" s="59"/>
      <c r="N930" s="59"/>
      <c r="Q930" s="59"/>
      <c r="R930" s="61"/>
    </row>
    <row r="931">
      <c r="B931" s="59"/>
      <c r="D931" s="59"/>
      <c r="F931" s="59"/>
      <c r="H931" s="59"/>
      <c r="J931" s="59"/>
      <c r="L931" s="59"/>
      <c r="N931" s="59"/>
      <c r="Q931" s="59"/>
      <c r="R931" s="61"/>
    </row>
    <row r="932">
      <c r="B932" s="59"/>
      <c r="D932" s="59"/>
      <c r="F932" s="59"/>
      <c r="H932" s="59"/>
      <c r="J932" s="59"/>
      <c r="L932" s="59"/>
      <c r="N932" s="59"/>
      <c r="Q932" s="59"/>
      <c r="R932" s="61"/>
    </row>
    <row r="933">
      <c r="B933" s="59"/>
      <c r="D933" s="59"/>
      <c r="F933" s="59"/>
      <c r="H933" s="59"/>
      <c r="J933" s="59"/>
      <c r="L933" s="59"/>
      <c r="N933" s="59"/>
      <c r="Q933" s="59"/>
      <c r="R933" s="61"/>
    </row>
    <row r="934">
      <c r="B934" s="59"/>
      <c r="D934" s="59"/>
      <c r="F934" s="59"/>
      <c r="H934" s="59"/>
      <c r="J934" s="59"/>
      <c r="L934" s="59"/>
      <c r="N934" s="59"/>
      <c r="Q934" s="59"/>
      <c r="R934" s="61"/>
    </row>
    <row r="935">
      <c r="B935" s="59"/>
      <c r="D935" s="59"/>
      <c r="F935" s="59"/>
      <c r="H935" s="59"/>
      <c r="J935" s="59"/>
      <c r="L935" s="59"/>
      <c r="N935" s="59"/>
      <c r="Q935" s="59"/>
      <c r="R935" s="61"/>
    </row>
    <row r="936">
      <c r="B936" s="59"/>
      <c r="D936" s="59"/>
      <c r="F936" s="59"/>
      <c r="H936" s="59"/>
      <c r="J936" s="59"/>
      <c r="L936" s="59"/>
      <c r="N936" s="59"/>
      <c r="Q936" s="59"/>
      <c r="R936" s="61"/>
    </row>
    <row r="937">
      <c r="B937" s="59"/>
      <c r="D937" s="59"/>
      <c r="F937" s="59"/>
      <c r="H937" s="59"/>
      <c r="J937" s="59"/>
      <c r="L937" s="59"/>
      <c r="N937" s="59"/>
      <c r="Q937" s="59"/>
      <c r="R937" s="61"/>
    </row>
    <row r="938">
      <c r="B938" s="59"/>
      <c r="D938" s="59"/>
      <c r="F938" s="59"/>
      <c r="H938" s="59"/>
      <c r="J938" s="59"/>
      <c r="L938" s="59"/>
      <c r="N938" s="59"/>
      <c r="Q938" s="59"/>
      <c r="R938" s="61"/>
    </row>
    <row r="939">
      <c r="B939" s="59"/>
      <c r="D939" s="59"/>
      <c r="F939" s="59"/>
      <c r="H939" s="59"/>
      <c r="J939" s="59"/>
      <c r="L939" s="59"/>
      <c r="N939" s="59"/>
      <c r="Q939" s="59"/>
      <c r="R939" s="61"/>
    </row>
    <row r="940">
      <c r="B940" s="59"/>
      <c r="D940" s="59"/>
      <c r="F940" s="59"/>
      <c r="H940" s="59"/>
      <c r="J940" s="59"/>
      <c r="L940" s="59"/>
      <c r="N940" s="59"/>
      <c r="Q940" s="59"/>
      <c r="R940" s="61"/>
    </row>
    <row r="941">
      <c r="B941" s="59"/>
      <c r="D941" s="59"/>
      <c r="F941" s="59"/>
      <c r="H941" s="59"/>
      <c r="J941" s="59"/>
      <c r="L941" s="59"/>
      <c r="N941" s="59"/>
      <c r="Q941" s="59"/>
      <c r="R941" s="61"/>
    </row>
    <row r="942">
      <c r="B942" s="59"/>
      <c r="D942" s="59"/>
      <c r="F942" s="59"/>
      <c r="H942" s="59"/>
      <c r="J942" s="59"/>
      <c r="L942" s="59"/>
      <c r="N942" s="59"/>
      <c r="Q942" s="59"/>
      <c r="R942" s="61"/>
    </row>
    <row r="943">
      <c r="B943" s="59"/>
      <c r="D943" s="59"/>
      <c r="F943" s="59"/>
      <c r="H943" s="59"/>
      <c r="J943" s="59"/>
      <c r="L943" s="59"/>
      <c r="N943" s="59"/>
      <c r="Q943" s="59"/>
      <c r="R943" s="61"/>
    </row>
    <row r="944">
      <c r="B944" s="59"/>
      <c r="D944" s="59"/>
      <c r="F944" s="59"/>
      <c r="H944" s="59"/>
      <c r="J944" s="59"/>
      <c r="L944" s="59"/>
      <c r="N944" s="59"/>
      <c r="Q944" s="59"/>
      <c r="R944" s="61"/>
    </row>
    <row r="945">
      <c r="B945" s="59"/>
      <c r="D945" s="59"/>
      <c r="F945" s="59"/>
      <c r="H945" s="59"/>
      <c r="J945" s="59"/>
      <c r="L945" s="59"/>
      <c r="N945" s="59"/>
      <c r="Q945" s="59"/>
      <c r="R945" s="61"/>
    </row>
    <row r="946">
      <c r="B946" s="59"/>
      <c r="D946" s="59"/>
      <c r="F946" s="59"/>
      <c r="H946" s="59"/>
      <c r="J946" s="59"/>
      <c r="L946" s="59"/>
      <c r="N946" s="59"/>
      <c r="Q946" s="59"/>
      <c r="R946" s="61"/>
    </row>
    <row r="947">
      <c r="B947" s="59"/>
      <c r="D947" s="59"/>
      <c r="F947" s="59"/>
      <c r="H947" s="59"/>
      <c r="J947" s="59"/>
      <c r="L947" s="59"/>
      <c r="N947" s="59"/>
      <c r="Q947" s="59"/>
      <c r="R947" s="61"/>
    </row>
    <row r="948">
      <c r="B948" s="59"/>
      <c r="D948" s="59"/>
      <c r="F948" s="59"/>
      <c r="H948" s="59"/>
      <c r="J948" s="59"/>
      <c r="L948" s="59"/>
      <c r="N948" s="59"/>
      <c r="Q948" s="59"/>
      <c r="R948" s="61"/>
    </row>
    <row r="949">
      <c r="B949" s="59"/>
      <c r="D949" s="59"/>
      <c r="F949" s="59"/>
      <c r="H949" s="59"/>
      <c r="J949" s="59"/>
      <c r="L949" s="59"/>
      <c r="N949" s="59"/>
      <c r="Q949" s="59"/>
      <c r="R949" s="61"/>
    </row>
    <row r="950">
      <c r="B950" s="59"/>
      <c r="D950" s="59"/>
      <c r="F950" s="59"/>
      <c r="H950" s="59"/>
      <c r="J950" s="59"/>
      <c r="L950" s="59"/>
      <c r="N950" s="59"/>
      <c r="Q950" s="59"/>
      <c r="R950" s="61"/>
    </row>
    <row r="951">
      <c r="B951" s="59"/>
      <c r="D951" s="59"/>
      <c r="F951" s="59"/>
      <c r="H951" s="59"/>
      <c r="J951" s="59"/>
      <c r="L951" s="59"/>
      <c r="N951" s="59"/>
      <c r="Q951" s="59"/>
      <c r="R951" s="61"/>
    </row>
    <row r="952">
      <c r="B952" s="59"/>
      <c r="D952" s="59"/>
      <c r="F952" s="59"/>
      <c r="H952" s="59"/>
      <c r="J952" s="59"/>
      <c r="L952" s="59"/>
      <c r="N952" s="59"/>
      <c r="Q952" s="59"/>
      <c r="R952" s="61"/>
    </row>
    <row r="953">
      <c r="B953" s="59"/>
      <c r="D953" s="59"/>
      <c r="F953" s="59"/>
      <c r="H953" s="59"/>
      <c r="J953" s="59"/>
      <c r="L953" s="59"/>
      <c r="N953" s="59"/>
      <c r="Q953" s="59"/>
      <c r="R953" s="61"/>
    </row>
    <row r="954">
      <c r="B954" s="59"/>
      <c r="D954" s="59"/>
      <c r="F954" s="59"/>
      <c r="H954" s="59"/>
      <c r="J954" s="59"/>
      <c r="L954" s="59"/>
      <c r="N954" s="59"/>
      <c r="Q954" s="59"/>
      <c r="R954" s="61"/>
    </row>
    <row r="955">
      <c r="B955" s="59"/>
      <c r="D955" s="59"/>
      <c r="F955" s="59"/>
      <c r="H955" s="59"/>
      <c r="J955" s="59"/>
      <c r="L955" s="59"/>
      <c r="N955" s="59"/>
      <c r="Q955" s="59"/>
      <c r="R955" s="61"/>
    </row>
    <row r="956">
      <c r="B956" s="59"/>
      <c r="D956" s="59"/>
      <c r="F956" s="59"/>
      <c r="H956" s="59"/>
      <c r="J956" s="59"/>
      <c r="L956" s="59"/>
      <c r="N956" s="59"/>
      <c r="Q956" s="59"/>
      <c r="R956" s="61"/>
    </row>
    <row r="957">
      <c r="B957" s="59"/>
      <c r="D957" s="59"/>
      <c r="F957" s="59"/>
      <c r="H957" s="59"/>
      <c r="J957" s="59"/>
      <c r="L957" s="59"/>
      <c r="N957" s="59"/>
      <c r="Q957" s="59"/>
      <c r="R957" s="61"/>
    </row>
    <row r="958">
      <c r="B958" s="59"/>
      <c r="D958" s="59"/>
      <c r="F958" s="59"/>
      <c r="H958" s="59"/>
      <c r="J958" s="59"/>
      <c r="L958" s="59"/>
      <c r="N958" s="59"/>
      <c r="Q958" s="59"/>
      <c r="R958" s="61"/>
    </row>
    <row r="959">
      <c r="B959" s="59"/>
      <c r="D959" s="59"/>
      <c r="F959" s="59"/>
      <c r="H959" s="59"/>
      <c r="J959" s="59"/>
      <c r="L959" s="59"/>
      <c r="N959" s="59"/>
      <c r="Q959" s="59"/>
      <c r="R959" s="61"/>
    </row>
    <row r="960">
      <c r="B960" s="59"/>
      <c r="D960" s="59"/>
      <c r="F960" s="59"/>
      <c r="H960" s="59"/>
      <c r="J960" s="59"/>
      <c r="L960" s="59"/>
      <c r="N960" s="59"/>
      <c r="Q960" s="59"/>
      <c r="R960" s="61"/>
    </row>
    <row r="961">
      <c r="B961" s="59"/>
      <c r="D961" s="59"/>
      <c r="F961" s="59"/>
      <c r="H961" s="59"/>
      <c r="J961" s="59"/>
      <c r="L961" s="59"/>
      <c r="N961" s="59"/>
      <c r="Q961" s="59"/>
      <c r="R961" s="61"/>
    </row>
    <row r="962">
      <c r="B962" s="59"/>
      <c r="D962" s="59"/>
      <c r="F962" s="59"/>
      <c r="H962" s="59"/>
      <c r="J962" s="59"/>
      <c r="L962" s="59"/>
      <c r="N962" s="59"/>
      <c r="Q962" s="59"/>
      <c r="R962" s="61"/>
    </row>
    <row r="963">
      <c r="B963" s="59"/>
      <c r="D963" s="59"/>
      <c r="F963" s="59"/>
      <c r="H963" s="59"/>
      <c r="J963" s="59"/>
      <c r="L963" s="59"/>
      <c r="N963" s="59"/>
      <c r="Q963" s="59"/>
      <c r="R963" s="61"/>
    </row>
    <row r="964">
      <c r="B964" s="59"/>
      <c r="D964" s="59"/>
      <c r="F964" s="59"/>
      <c r="H964" s="59"/>
      <c r="J964" s="59"/>
      <c r="L964" s="59"/>
      <c r="N964" s="59"/>
      <c r="Q964" s="59"/>
      <c r="R964" s="61"/>
    </row>
    <row r="965">
      <c r="B965" s="59"/>
      <c r="D965" s="59"/>
      <c r="F965" s="59"/>
      <c r="H965" s="59"/>
      <c r="J965" s="59"/>
      <c r="L965" s="59"/>
      <c r="N965" s="59"/>
      <c r="Q965" s="59"/>
      <c r="R965" s="61"/>
    </row>
    <row r="966">
      <c r="B966" s="59"/>
      <c r="D966" s="59"/>
      <c r="F966" s="59"/>
      <c r="H966" s="59"/>
      <c r="J966" s="59"/>
      <c r="L966" s="59"/>
      <c r="N966" s="59"/>
      <c r="Q966" s="59"/>
      <c r="R966" s="61"/>
    </row>
    <row r="967">
      <c r="B967" s="59"/>
      <c r="D967" s="59"/>
      <c r="F967" s="59"/>
      <c r="H967" s="59"/>
      <c r="J967" s="59"/>
      <c r="L967" s="59"/>
      <c r="N967" s="59"/>
      <c r="Q967" s="59"/>
      <c r="R967" s="61"/>
    </row>
    <row r="968">
      <c r="B968" s="59"/>
      <c r="D968" s="59"/>
      <c r="F968" s="59"/>
      <c r="H968" s="59"/>
      <c r="J968" s="59"/>
      <c r="L968" s="59"/>
      <c r="N968" s="59"/>
      <c r="Q968" s="59"/>
      <c r="R968" s="61"/>
    </row>
    <row r="969">
      <c r="B969" s="59"/>
      <c r="D969" s="59"/>
      <c r="F969" s="59"/>
      <c r="H969" s="59"/>
      <c r="J969" s="59"/>
      <c r="L969" s="59"/>
      <c r="N969" s="59"/>
      <c r="Q969" s="59"/>
      <c r="R969" s="61"/>
    </row>
    <row r="970">
      <c r="B970" s="59"/>
      <c r="D970" s="59"/>
      <c r="F970" s="59"/>
      <c r="H970" s="59"/>
      <c r="J970" s="59"/>
      <c r="L970" s="59"/>
      <c r="N970" s="59"/>
      <c r="Q970" s="59"/>
      <c r="R970" s="61"/>
    </row>
    <row r="971">
      <c r="B971" s="59"/>
      <c r="D971" s="59"/>
      <c r="F971" s="59"/>
      <c r="H971" s="59"/>
      <c r="J971" s="59"/>
      <c r="L971" s="59"/>
      <c r="N971" s="59"/>
      <c r="Q971" s="59"/>
      <c r="R971" s="61"/>
    </row>
    <row r="972">
      <c r="B972" s="59"/>
      <c r="D972" s="59"/>
      <c r="F972" s="59"/>
      <c r="H972" s="59"/>
      <c r="J972" s="59"/>
      <c r="L972" s="59"/>
      <c r="N972" s="59"/>
      <c r="Q972" s="59"/>
      <c r="R972" s="61"/>
    </row>
    <row r="973">
      <c r="B973" s="59"/>
      <c r="D973" s="59"/>
      <c r="F973" s="59"/>
      <c r="H973" s="59"/>
      <c r="J973" s="59"/>
      <c r="L973" s="59"/>
      <c r="N973" s="59"/>
      <c r="Q973" s="59"/>
      <c r="R973" s="61"/>
    </row>
    <row r="974">
      <c r="B974" s="59"/>
      <c r="D974" s="59"/>
      <c r="F974" s="59"/>
      <c r="H974" s="59"/>
      <c r="J974" s="59"/>
      <c r="L974" s="59"/>
      <c r="N974" s="59"/>
      <c r="Q974" s="59"/>
      <c r="R974" s="61"/>
    </row>
    <row r="975">
      <c r="B975" s="59"/>
      <c r="D975" s="59"/>
      <c r="F975" s="59"/>
      <c r="H975" s="59"/>
      <c r="J975" s="59"/>
      <c r="L975" s="59"/>
      <c r="N975" s="59"/>
      <c r="Q975" s="59"/>
      <c r="R975" s="61"/>
    </row>
    <row r="976">
      <c r="B976" s="59"/>
      <c r="D976" s="59"/>
      <c r="F976" s="59"/>
      <c r="H976" s="59"/>
      <c r="J976" s="59"/>
      <c r="L976" s="59"/>
      <c r="N976" s="59"/>
      <c r="Q976" s="59"/>
      <c r="R976" s="61"/>
    </row>
    <row r="977">
      <c r="B977" s="59"/>
      <c r="D977" s="59"/>
      <c r="F977" s="59"/>
      <c r="H977" s="59"/>
      <c r="J977" s="59"/>
      <c r="L977" s="59"/>
      <c r="N977" s="59"/>
      <c r="Q977" s="59"/>
      <c r="R977" s="61"/>
    </row>
    <row r="978">
      <c r="B978" s="59"/>
      <c r="D978" s="59"/>
      <c r="F978" s="59"/>
      <c r="H978" s="59"/>
      <c r="J978" s="59"/>
      <c r="L978" s="59"/>
      <c r="N978" s="59"/>
      <c r="Q978" s="59"/>
      <c r="R978" s="61"/>
    </row>
    <row r="979">
      <c r="B979" s="59"/>
      <c r="D979" s="59"/>
      <c r="F979" s="59"/>
      <c r="H979" s="59"/>
      <c r="J979" s="59"/>
      <c r="L979" s="59"/>
      <c r="N979" s="59"/>
      <c r="Q979" s="59"/>
      <c r="R979" s="61"/>
    </row>
    <row r="980">
      <c r="B980" s="59"/>
      <c r="D980" s="59"/>
      <c r="F980" s="59"/>
      <c r="H980" s="59"/>
      <c r="J980" s="59"/>
      <c r="L980" s="59"/>
      <c r="N980" s="59"/>
      <c r="Q980" s="59"/>
      <c r="R980" s="61"/>
    </row>
    <row r="981">
      <c r="B981" s="59"/>
      <c r="D981" s="59"/>
      <c r="F981" s="59"/>
      <c r="H981" s="59"/>
      <c r="J981" s="59"/>
      <c r="L981" s="59"/>
      <c r="N981" s="59"/>
      <c r="Q981" s="59"/>
      <c r="R981" s="61"/>
    </row>
    <row r="982">
      <c r="B982" s="59"/>
      <c r="D982" s="59"/>
      <c r="F982" s="59"/>
      <c r="H982" s="59"/>
      <c r="J982" s="59"/>
      <c r="L982" s="59"/>
      <c r="N982" s="59"/>
      <c r="Q982" s="59"/>
      <c r="R982" s="61"/>
    </row>
    <row r="983">
      <c r="B983" s="59"/>
      <c r="D983" s="59"/>
      <c r="F983" s="59"/>
      <c r="H983" s="59"/>
      <c r="J983" s="59"/>
      <c r="L983" s="59"/>
      <c r="N983" s="59"/>
      <c r="Q983" s="59"/>
      <c r="R983" s="61"/>
    </row>
    <row r="984">
      <c r="B984" s="59"/>
      <c r="D984" s="59"/>
      <c r="F984" s="59"/>
      <c r="H984" s="59"/>
      <c r="J984" s="59"/>
      <c r="L984" s="59"/>
      <c r="N984" s="59"/>
      <c r="Q984" s="59"/>
      <c r="R984" s="61"/>
    </row>
    <row r="985">
      <c r="B985" s="59"/>
      <c r="D985" s="59"/>
      <c r="F985" s="59"/>
      <c r="H985" s="59"/>
      <c r="J985" s="59"/>
      <c r="L985" s="59"/>
      <c r="N985" s="59"/>
      <c r="Q985" s="59"/>
      <c r="R985" s="61"/>
    </row>
    <row r="986">
      <c r="B986" s="59"/>
      <c r="D986" s="59"/>
      <c r="F986" s="59"/>
      <c r="H986" s="59"/>
      <c r="J986" s="59"/>
      <c r="L986" s="59"/>
      <c r="N986" s="59"/>
      <c r="Q986" s="59"/>
      <c r="R986" s="61"/>
    </row>
    <row r="987">
      <c r="B987" s="59"/>
      <c r="D987" s="59"/>
      <c r="F987" s="59"/>
      <c r="H987" s="59"/>
      <c r="J987" s="59"/>
      <c r="L987" s="59"/>
      <c r="N987" s="59"/>
      <c r="Q987" s="59"/>
      <c r="R987" s="61"/>
    </row>
    <row r="988">
      <c r="B988" s="59"/>
      <c r="D988" s="59"/>
      <c r="F988" s="59"/>
      <c r="H988" s="59"/>
      <c r="J988" s="59"/>
      <c r="L988" s="59"/>
      <c r="N988" s="59"/>
      <c r="Q988" s="59"/>
      <c r="R988" s="61"/>
    </row>
    <row r="989">
      <c r="B989" s="59"/>
      <c r="D989" s="59"/>
      <c r="F989" s="59"/>
      <c r="H989" s="59"/>
      <c r="J989" s="59"/>
      <c r="L989" s="59"/>
      <c r="N989" s="59"/>
      <c r="Q989" s="59"/>
      <c r="R989" s="61"/>
    </row>
    <row r="990">
      <c r="B990" s="59"/>
      <c r="D990" s="59"/>
      <c r="F990" s="59"/>
      <c r="H990" s="59"/>
      <c r="J990" s="59"/>
      <c r="L990" s="59"/>
      <c r="N990" s="59"/>
      <c r="Q990" s="59"/>
      <c r="R990" s="61"/>
    </row>
    <row r="991">
      <c r="B991" s="59"/>
      <c r="D991" s="59"/>
      <c r="F991" s="59"/>
      <c r="H991" s="59"/>
      <c r="J991" s="59"/>
      <c r="L991" s="59"/>
      <c r="N991" s="59"/>
      <c r="Q991" s="59"/>
      <c r="R991" s="61"/>
    </row>
    <row r="992">
      <c r="B992" s="59"/>
      <c r="D992" s="59"/>
      <c r="F992" s="59"/>
      <c r="H992" s="59"/>
      <c r="J992" s="59"/>
      <c r="L992" s="59"/>
      <c r="N992" s="59"/>
      <c r="Q992" s="59"/>
      <c r="R992" s="61"/>
    </row>
    <row r="993">
      <c r="B993" s="59"/>
      <c r="D993" s="59"/>
      <c r="F993" s="59"/>
      <c r="H993" s="59"/>
      <c r="J993" s="59"/>
      <c r="L993" s="59"/>
      <c r="N993" s="59"/>
      <c r="Q993" s="59"/>
      <c r="R993" s="61"/>
    </row>
    <row r="994">
      <c r="B994" s="59"/>
      <c r="D994" s="59"/>
      <c r="F994" s="59"/>
      <c r="H994" s="59"/>
      <c r="J994" s="59"/>
      <c r="L994" s="59"/>
      <c r="N994" s="59"/>
      <c r="Q994" s="59"/>
      <c r="R994" s="61"/>
    </row>
    <row r="995">
      <c r="B995" s="59"/>
      <c r="D995" s="59"/>
      <c r="F995" s="59"/>
      <c r="H995" s="59"/>
      <c r="J995" s="59"/>
      <c r="L995" s="59"/>
      <c r="N995" s="59"/>
      <c r="Q995" s="59"/>
      <c r="R995" s="61"/>
    </row>
    <row r="996">
      <c r="B996" s="59"/>
      <c r="D996" s="59"/>
      <c r="F996" s="59"/>
      <c r="H996" s="59"/>
      <c r="J996" s="59"/>
      <c r="L996" s="59"/>
      <c r="N996" s="59"/>
      <c r="Q996" s="59"/>
      <c r="R996" s="61"/>
    </row>
    <row r="997">
      <c r="B997" s="59"/>
      <c r="D997" s="59"/>
      <c r="F997" s="59"/>
      <c r="H997" s="59"/>
      <c r="J997" s="59"/>
      <c r="L997" s="59"/>
      <c r="N997" s="59"/>
      <c r="Q997" s="59"/>
      <c r="R997" s="61"/>
    </row>
    <row r="998">
      <c r="B998" s="59"/>
      <c r="D998" s="59"/>
      <c r="F998" s="59"/>
      <c r="H998" s="59"/>
      <c r="J998" s="59"/>
      <c r="L998" s="59"/>
      <c r="N998" s="59"/>
      <c r="Q998" s="59"/>
      <c r="R998" s="61"/>
    </row>
    <row r="999">
      <c r="B999" s="59"/>
      <c r="D999" s="59"/>
      <c r="F999" s="59"/>
      <c r="H999" s="59"/>
      <c r="J999" s="59"/>
      <c r="L999" s="59"/>
      <c r="N999" s="59"/>
      <c r="Q999" s="59"/>
      <c r="R999" s="61"/>
    </row>
    <row r="1000">
      <c r="B1000" s="59"/>
      <c r="D1000" s="59"/>
      <c r="F1000" s="59"/>
      <c r="H1000" s="59"/>
      <c r="J1000" s="59"/>
      <c r="L1000" s="59"/>
      <c r="N1000" s="59"/>
      <c r="Q1000" s="59"/>
      <c r="R1000" s="61"/>
    </row>
    <row r="1001">
      <c r="B1001" s="59"/>
      <c r="D1001" s="59"/>
      <c r="F1001" s="59"/>
      <c r="H1001" s="59"/>
      <c r="J1001" s="59"/>
      <c r="L1001" s="59"/>
      <c r="N1001" s="59"/>
      <c r="Q1001" s="59"/>
      <c r="R1001" s="61"/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32"/>
    <hyperlink r:id="rId22" ref="P38"/>
    <hyperlink r:id="rId23" ref="P39"/>
    <hyperlink r:id="rId24" ref="P41"/>
    <hyperlink r:id="rId25" ref="P43"/>
  </hyperlinks>
  <drawing r:id="rId2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38"/>
    <col customWidth="1" min="2" max="2" width="13.63"/>
    <col customWidth="1" min="5" max="5" width="20.75"/>
    <col customWidth="1" min="8" max="8" width="15.63"/>
    <col customWidth="1" min="13" max="13" width="20.5"/>
    <col customWidth="1" min="15" max="16" width="21.75"/>
  </cols>
  <sheetData>
    <row r="1">
      <c r="A1" s="233" t="s">
        <v>29</v>
      </c>
      <c r="B1" s="30" t="s">
        <v>30</v>
      </c>
      <c r="C1" s="31" t="s">
        <v>31</v>
      </c>
      <c r="D1" s="30" t="s">
        <v>32</v>
      </c>
      <c r="E1" s="31" t="s">
        <v>33</v>
      </c>
      <c r="F1" s="30" t="s">
        <v>34</v>
      </c>
      <c r="G1" s="31" t="s">
        <v>35</v>
      </c>
      <c r="H1" s="32" t="s">
        <v>36</v>
      </c>
      <c r="I1" s="33" t="s">
        <v>37</v>
      </c>
      <c r="J1" s="30" t="s">
        <v>38</v>
      </c>
      <c r="K1" s="33" t="s">
        <v>39</v>
      </c>
      <c r="L1" s="30" t="s">
        <v>38</v>
      </c>
      <c r="M1" s="31" t="s">
        <v>40</v>
      </c>
      <c r="N1" s="30" t="s">
        <v>41</v>
      </c>
      <c r="O1" s="176" t="s">
        <v>460</v>
      </c>
      <c r="P1" s="31" t="s">
        <v>42</v>
      </c>
      <c r="Q1" s="34" t="s">
        <v>43</v>
      </c>
      <c r="R1" s="35">
        <f>SUM(H2:H30)</f>
        <v>15827.39</v>
      </c>
    </row>
    <row r="2">
      <c r="A2" s="234" t="s">
        <v>781</v>
      </c>
      <c r="B2" s="80">
        <v>5.011134873E9</v>
      </c>
      <c r="C2" s="17" t="s">
        <v>782</v>
      </c>
      <c r="D2" s="81">
        <v>4.0</v>
      </c>
      <c r="E2" s="17" t="s">
        <v>783</v>
      </c>
      <c r="F2" s="81" t="s">
        <v>727</v>
      </c>
      <c r="G2" s="19">
        <v>3.0</v>
      </c>
      <c r="H2" s="60">
        <f>3*4</f>
        <v>12</v>
      </c>
      <c r="I2" s="17" t="s">
        <v>745</v>
      </c>
      <c r="J2" s="81" t="s">
        <v>83</v>
      </c>
      <c r="K2" s="17" t="s">
        <v>784</v>
      </c>
      <c r="L2" s="81" t="s">
        <v>83</v>
      </c>
      <c r="M2" s="235">
        <v>7.30492302E8</v>
      </c>
      <c r="N2" s="59"/>
      <c r="O2" s="158">
        <v>2185102.0</v>
      </c>
      <c r="P2" s="86" t="s">
        <v>785</v>
      </c>
      <c r="Q2" s="59"/>
      <c r="R2" s="61"/>
    </row>
    <row r="3">
      <c r="A3" s="169" t="s">
        <v>786</v>
      </c>
      <c r="B3" s="179"/>
      <c r="D3" s="59"/>
      <c r="F3" s="59"/>
      <c r="G3" s="19">
        <v>3637.8</v>
      </c>
      <c r="H3" s="18">
        <v>3637.8</v>
      </c>
      <c r="J3" s="59"/>
      <c r="K3" s="17">
        <v>26.9</v>
      </c>
      <c r="L3" s="59"/>
      <c r="M3" s="105">
        <v>4709138.0</v>
      </c>
      <c r="N3" s="59"/>
      <c r="O3" s="17">
        <v>2182846.0</v>
      </c>
      <c r="Q3" s="59"/>
      <c r="R3" s="61"/>
    </row>
    <row r="4">
      <c r="A4" s="169" t="s">
        <v>787</v>
      </c>
      <c r="B4" s="179"/>
      <c r="D4" s="59"/>
      <c r="F4" s="81" t="s">
        <v>788</v>
      </c>
      <c r="G4" s="19">
        <v>3624.0</v>
      </c>
      <c r="H4" s="19">
        <v>3624.0</v>
      </c>
      <c r="J4" s="59"/>
      <c r="K4" s="17">
        <v>25.9</v>
      </c>
      <c r="L4" s="59"/>
      <c r="M4" s="235">
        <v>7.30492302E8</v>
      </c>
      <c r="N4" s="59"/>
      <c r="O4" s="158">
        <v>2183169.0</v>
      </c>
      <c r="Q4" s="59"/>
      <c r="R4" s="61"/>
    </row>
    <row r="5">
      <c r="A5" s="169" t="s">
        <v>789</v>
      </c>
      <c r="B5" s="80">
        <v>303117.0</v>
      </c>
      <c r="C5" s="17" t="s">
        <v>681</v>
      </c>
      <c r="D5" s="81">
        <v>1.0</v>
      </c>
      <c r="E5" s="17" t="s">
        <v>790</v>
      </c>
      <c r="F5" s="81" t="s">
        <v>791</v>
      </c>
      <c r="G5" s="19">
        <v>162.0</v>
      </c>
      <c r="H5" s="19">
        <v>162.0</v>
      </c>
      <c r="I5" s="17" t="s">
        <v>792</v>
      </c>
      <c r="J5" s="81" t="s">
        <v>733</v>
      </c>
      <c r="K5" s="17" t="s">
        <v>784</v>
      </c>
      <c r="L5" s="81" t="s">
        <v>83</v>
      </c>
      <c r="M5" s="105">
        <v>4721414.0</v>
      </c>
      <c r="N5" s="81"/>
      <c r="O5" s="158">
        <v>2189509.0</v>
      </c>
      <c r="P5" s="86" t="s">
        <v>793</v>
      </c>
      <c r="Q5" s="59"/>
      <c r="R5" s="61"/>
    </row>
    <row r="6">
      <c r="A6" s="169" t="s">
        <v>794</v>
      </c>
      <c r="B6" s="80">
        <v>323605.0</v>
      </c>
      <c r="C6" s="17" t="s">
        <v>681</v>
      </c>
      <c r="D6" s="81">
        <v>1.0</v>
      </c>
      <c r="E6" s="17" t="s">
        <v>790</v>
      </c>
      <c r="F6" s="81" t="s">
        <v>791</v>
      </c>
      <c r="G6" s="19">
        <v>135.0</v>
      </c>
      <c r="H6" s="19">
        <v>135.0</v>
      </c>
      <c r="I6" s="17" t="s">
        <v>792</v>
      </c>
      <c r="J6" s="81" t="s">
        <v>733</v>
      </c>
      <c r="K6" s="17" t="s">
        <v>784</v>
      </c>
      <c r="L6" s="81" t="s">
        <v>83</v>
      </c>
      <c r="M6" s="105">
        <v>4721414.0</v>
      </c>
      <c r="N6" s="81"/>
      <c r="O6" s="158">
        <v>2189509.0</v>
      </c>
      <c r="P6" s="86" t="s">
        <v>795</v>
      </c>
      <c r="Q6" s="59"/>
      <c r="R6" s="61"/>
    </row>
    <row r="7">
      <c r="A7" s="169" t="s">
        <v>796</v>
      </c>
      <c r="B7" s="179"/>
      <c r="D7" s="59"/>
      <c r="F7" s="59"/>
      <c r="G7" s="19">
        <v>62.0</v>
      </c>
      <c r="H7" s="18">
        <v>62.0</v>
      </c>
      <c r="J7" s="59"/>
      <c r="L7" s="59"/>
      <c r="M7" s="100">
        <v>7.3040001E7</v>
      </c>
      <c r="N7" s="59"/>
      <c r="O7" s="158">
        <v>2184950.0</v>
      </c>
      <c r="Q7" s="59"/>
      <c r="R7" s="61"/>
    </row>
    <row r="8">
      <c r="A8" s="169" t="s">
        <v>797</v>
      </c>
      <c r="B8" s="179"/>
      <c r="D8" s="59"/>
      <c r="F8" s="59"/>
      <c r="G8" s="19">
        <v>709.3</v>
      </c>
      <c r="H8" s="19">
        <v>709.3</v>
      </c>
      <c r="J8" s="59"/>
      <c r="K8" s="17" t="s">
        <v>784</v>
      </c>
      <c r="L8" s="59"/>
      <c r="M8" s="105">
        <v>4709138.0</v>
      </c>
      <c r="N8" s="59"/>
      <c r="O8" s="158">
        <v>2180781.0</v>
      </c>
      <c r="Q8" s="59"/>
      <c r="R8" s="61"/>
    </row>
    <row r="9">
      <c r="A9" s="169" t="s">
        <v>798</v>
      </c>
      <c r="B9" s="179"/>
      <c r="D9" s="59"/>
      <c r="E9" s="61"/>
      <c r="F9" s="59"/>
      <c r="G9" s="18">
        <v>565.07</v>
      </c>
      <c r="H9" s="18">
        <v>565.07</v>
      </c>
      <c r="J9" s="59"/>
      <c r="K9" s="17" t="s">
        <v>784</v>
      </c>
      <c r="L9" s="59"/>
      <c r="M9" s="105">
        <v>4709138.0</v>
      </c>
      <c r="N9" s="59"/>
      <c r="O9" s="158">
        <v>2180783.0</v>
      </c>
      <c r="Q9" s="59"/>
      <c r="R9" s="61"/>
    </row>
    <row r="10">
      <c r="A10" s="236" t="s">
        <v>799</v>
      </c>
      <c r="B10" s="237" t="s">
        <v>800</v>
      </c>
      <c r="C10" s="17" t="s">
        <v>801</v>
      </c>
      <c r="D10" s="81">
        <v>1.0</v>
      </c>
      <c r="E10" s="169" t="s">
        <v>802</v>
      </c>
      <c r="F10" s="169" t="s">
        <v>802</v>
      </c>
      <c r="G10" s="19">
        <v>517.0</v>
      </c>
      <c r="H10" s="19">
        <v>517.0</v>
      </c>
      <c r="I10" s="17" t="s">
        <v>784</v>
      </c>
      <c r="J10" s="81" t="s">
        <v>83</v>
      </c>
      <c r="K10" s="17" t="s">
        <v>803</v>
      </c>
      <c r="L10" s="81" t="s">
        <v>83</v>
      </c>
      <c r="M10" s="105">
        <v>4721414.0</v>
      </c>
      <c r="N10" s="59"/>
      <c r="O10" s="158">
        <v>2193692.0</v>
      </c>
      <c r="P10" s="86" t="s">
        <v>804</v>
      </c>
      <c r="Q10" s="59"/>
      <c r="R10" s="61"/>
    </row>
    <row r="11">
      <c r="A11" s="236" t="s">
        <v>805</v>
      </c>
      <c r="B11" s="237" t="s">
        <v>806</v>
      </c>
      <c r="C11" s="17" t="s">
        <v>681</v>
      </c>
      <c r="D11" s="81">
        <v>1.0</v>
      </c>
      <c r="E11" s="238" t="s">
        <v>802</v>
      </c>
      <c r="F11" s="238" t="s">
        <v>802</v>
      </c>
      <c r="G11" s="19">
        <v>255.0</v>
      </c>
      <c r="H11" s="128">
        <v>255.0</v>
      </c>
      <c r="I11" s="17" t="s">
        <v>784</v>
      </c>
      <c r="J11" s="81" t="s">
        <v>83</v>
      </c>
      <c r="K11" s="17" t="s">
        <v>807</v>
      </c>
      <c r="L11" s="81" t="s">
        <v>83</v>
      </c>
      <c r="M11" s="105">
        <v>4709138.0</v>
      </c>
      <c r="N11" s="59"/>
      <c r="O11" s="158">
        <v>2193616.0</v>
      </c>
      <c r="P11" s="86" t="s">
        <v>808</v>
      </c>
      <c r="Q11" s="59"/>
      <c r="R11" s="61"/>
    </row>
    <row r="12">
      <c r="A12" s="169" t="s">
        <v>809</v>
      </c>
      <c r="B12" s="179"/>
      <c r="D12" s="59"/>
      <c r="E12" s="61"/>
      <c r="F12" s="59"/>
      <c r="G12" s="19">
        <v>1.24</v>
      </c>
      <c r="H12" s="164">
        <v>1.24</v>
      </c>
      <c r="J12" s="59"/>
      <c r="K12" s="17" t="s">
        <v>810</v>
      </c>
      <c r="L12" s="81" t="s">
        <v>83</v>
      </c>
      <c r="M12" s="100">
        <v>4709244.0</v>
      </c>
      <c r="N12" s="59"/>
      <c r="O12" s="17">
        <v>2187605.0</v>
      </c>
      <c r="P12" s="17" t="s">
        <v>811</v>
      </c>
      <c r="Q12" s="59"/>
      <c r="R12" s="61"/>
    </row>
    <row r="13">
      <c r="A13" s="169" t="s">
        <v>812</v>
      </c>
      <c r="B13" s="179"/>
      <c r="D13" s="59"/>
      <c r="E13" s="61"/>
      <c r="F13" s="59"/>
      <c r="G13" s="19">
        <v>572.45</v>
      </c>
      <c r="H13" s="128">
        <v>572.45</v>
      </c>
      <c r="J13" s="59"/>
      <c r="K13" s="17" t="s">
        <v>810</v>
      </c>
      <c r="L13" s="81" t="s">
        <v>83</v>
      </c>
      <c r="M13" s="105">
        <v>4709138.0</v>
      </c>
      <c r="N13" s="59"/>
      <c r="O13" s="17">
        <v>2187605.0</v>
      </c>
      <c r="P13" s="17" t="s">
        <v>811</v>
      </c>
      <c r="Q13" s="59"/>
      <c r="R13" s="61"/>
    </row>
    <row r="14">
      <c r="A14" s="169" t="s">
        <v>813</v>
      </c>
      <c r="B14" s="179"/>
      <c r="D14" s="59"/>
      <c r="E14" s="61"/>
      <c r="F14" s="59"/>
      <c r="G14" s="19">
        <v>79.94</v>
      </c>
      <c r="H14" s="128">
        <v>79.94</v>
      </c>
      <c r="J14" s="59"/>
      <c r="K14" s="17" t="s">
        <v>810</v>
      </c>
      <c r="L14" s="81" t="s">
        <v>83</v>
      </c>
      <c r="M14" s="235">
        <v>7.30492302E8</v>
      </c>
      <c r="N14" s="59"/>
      <c r="O14" s="17">
        <v>2187605.0</v>
      </c>
      <c r="P14" s="17" t="s">
        <v>811</v>
      </c>
      <c r="Q14" s="59"/>
      <c r="R14" s="61"/>
    </row>
    <row r="15">
      <c r="A15" s="169" t="s">
        <v>814</v>
      </c>
      <c r="B15" s="179"/>
      <c r="D15" s="59"/>
      <c r="E15" s="61"/>
      <c r="F15" s="59"/>
      <c r="G15" s="19">
        <v>100.7</v>
      </c>
      <c r="H15" s="128">
        <v>100.7</v>
      </c>
      <c r="J15" s="81"/>
      <c r="K15" s="17" t="s">
        <v>810</v>
      </c>
      <c r="L15" s="81" t="s">
        <v>83</v>
      </c>
      <c r="M15" s="235">
        <v>7.30492302E8</v>
      </c>
      <c r="N15" s="59"/>
      <c r="O15" s="17">
        <v>2187605.0</v>
      </c>
      <c r="P15" s="17" t="s">
        <v>811</v>
      </c>
      <c r="Q15" s="59"/>
      <c r="R15" s="61"/>
    </row>
    <row r="16">
      <c r="A16" s="169" t="s">
        <v>815</v>
      </c>
      <c r="B16" s="179"/>
      <c r="D16" s="59"/>
      <c r="E16" s="61"/>
      <c r="F16" s="59"/>
      <c r="G16" s="19">
        <v>99.99</v>
      </c>
      <c r="H16" s="164">
        <v>99.99</v>
      </c>
      <c r="J16" s="59"/>
      <c r="K16" s="17" t="s">
        <v>810</v>
      </c>
      <c r="L16" s="81" t="s">
        <v>83</v>
      </c>
      <c r="M16" s="235">
        <v>7.30492302E8</v>
      </c>
      <c r="N16" s="59"/>
      <c r="O16" s="17">
        <v>2187605.0</v>
      </c>
      <c r="P16" s="17" t="s">
        <v>811</v>
      </c>
      <c r="Q16" s="59"/>
      <c r="R16" s="61"/>
    </row>
    <row r="17">
      <c r="A17" s="169" t="s">
        <v>816</v>
      </c>
      <c r="B17" s="179"/>
      <c r="D17" s="59"/>
      <c r="E17" s="61"/>
      <c r="F17" s="59"/>
      <c r="G17" s="19">
        <v>48.26</v>
      </c>
      <c r="H17" s="239">
        <v>48.26</v>
      </c>
      <c r="J17" s="59"/>
      <c r="K17" s="17" t="s">
        <v>810</v>
      </c>
      <c r="L17" s="81" t="s">
        <v>83</v>
      </c>
      <c r="M17" s="235">
        <v>7.30492302E8</v>
      </c>
      <c r="N17" s="59"/>
      <c r="O17" s="17">
        <v>2187605.0</v>
      </c>
      <c r="P17" s="17" t="s">
        <v>811</v>
      </c>
      <c r="Q17" s="59"/>
      <c r="R17" s="61"/>
    </row>
    <row r="18">
      <c r="A18" s="169" t="s">
        <v>817</v>
      </c>
      <c r="B18" s="179"/>
      <c r="D18" s="81">
        <v>4.0</v>
      </c>
      <c r="E18" s="61"/>
      <c r="F18" s="59"/>
      <c r="G18" s="19">
        <v>100.0</v>
      </c>
      <c r="H18" s="240">
        <f>100*4</f>
        <v>400</v>
      </c>
      <c r="J18" s="59"/>
      <c r="K18" s="17" t="s">
        <v>810</v>
      </c>
      <c r="L18" s="96" t="s">
        <v>83</v>
      </c>
      <c r="M18" s="241">
        <v>4709138.0</v>
      </c>
      <c r="N18" s="61"/>
      <c r="O18" s="17">
        <v>2187605.0</v>
      </c>
      <c r="P18" s="17" t="s">
        <v>811</v>
      </c>
      <c r="Q18" s="59"/>
      <c r="R18" s="61"/>
    </row>
    <row r="19">
      <c r="A19" s="169" t="s">
        <v>818</v>
      </c>
      <c r="B19" s="80" t="s">
        <v>819</v>
      </c>
      <c r="C19" s="17" t="s">
        <v>217</v>
      </c>
      <c r="D19" s="81">
        <v>1.0</v>
      </c>
      <c r="E19" s="169" t="s">
        <v>468</v>
      </c>
      <c r="F19" s="81" t="s">
        <v>468</v>
      </c>
      <c r="G19" s="19">
        <v>576.0</v>
      </c>
      <c r="H19" s="164">
        <v>576.0</v>
      </c>
      <c r="I19" s="17" t="s">
        <v>820</v>
      </c>
      <c r="J19" s="81" t="s">
        <v>511</v>
      </c>
      <c r="K19" s="17" t="s">
        <v>821</v>
      </c>
      <c r="L19" s="96" t="s">
        <v>83</v>
      </c>
      <c r="M19" s="241">
        <v>4709138.0</v>
      </c>
      <c r="N19" s="61"/>
      <c r="O19" s="158">
        <v>2192091.0</v>
      </c>
      <c r="P19" s="17"/>
      <c r="Q19" s="59"/>
      <c r="R19" s="61"/>
    </row>
    <row r="20">
      <c r="A20" s="169" t="s">
        <v>822</v>
      </c>
      <c r="B20" s="80" t="s">
        <v>823</v>
      </c>
      <c r="C20" s="17" t="s">
        <v>372</v>
      </c>
      <c r="D20" s="81">
        <v>1.0</v>
      </c>
      <c r="E20" s="169" t="s">
        <v>824</v>
      </c>
      <c r="F20" s="81" t="s">
        <v>825</v>
      </c>
      <c r="G20" s="19">
        <v>450.0</v>
      </c>
      <c r="H20" s="164">
        <v>450.0</v>
      </c>
      <c r="I20" s="17" t="s">
        <v>821</v>
      </c>
      <c r="J20" s="81" t="s">
        <v>511</v>
      </c>
      <c r="K20" s="17" t="s">
        <v>807</v>
      </c>
      <c r="L20" s="96" t="s">
        <v>83</v>
      </c>
      <c r="M20" s="241">
        <v>4709138.0</v>
      </c>
      <c r="N20" s="61"/>
      <c r="O20" s="158">
        <v>2193579.0</v>
      </c>
      <c r="P20" s="86" t="s">
        <v>826</v>
      </c>
      <c r="Q20" s="59"/>
      <c r="R20" s="61"/>
    </row>
    <row r="21">
      <c r="A21" s="169" t="s">
        <v>827</v>
      </c>
      <c r="B21" s="80" t="s">
        <v>828</v>
      </c>
      <c r="C21" s="17" t="s">
        <v>244</v>
      </c>
      <c r="D21" s="81">
        <v>1.0</v>
      </c>
      <c r="E21" s="169" t="s">
        <v>245</v>
      </c>
      <c r="F21" s="81" t="s">
        <v>825</v>
      </c>
      <c r="G21" s="19">
        <v>695.0</v>
      </c>
      <c r="H21" s="19">
        <v>695.0</v>
      </c>
      <c r="I21" s="17" t="s">
        <v>821</v>
      </c>
      <c r="J21" s="81" t="s">
        <v>758</v>
      </c>
      <c r="K21" s="17" t="s">
        <v>734</v>
      </c>
      <c r="L21" s="96" t="s">
        <v>83</v>
      </c>
      <c r="M21" s="241">
        <v>4709138.0</v>
      </c>
      <c r="O21" s="158">
        <v>2193861.0</v>
      </c>
      <c r="P21" s="86" t="s">
        <v>829</v>
      </c>
      <c r="Q21" s="59"/>
      <c r="R21" s="61"/>
    </row>
    <row r="22">
      <c r="A22" s="169" t="s">
        <v>830</v>
      </c>
      <c r="B22" s="80" t="s">
        <v>831</v>
      </c>
      <c r="C22" s="17" t="s">
        <v>244</v>
      </c>
      <c r="D22" s="81">
        <v>1.0</v>
      </c>
      <c r="E22" s="169" t="s">
        <v>245</v>
      </c>
      <c r="F22" s="81" t="s">
        <v>825</v>
      </c>
      <c r="G22" s="19">
        <v>0.0</v>
      </c>
      <c r="H22" s="19">
        <v>0.0</v>
      </c>
      <c r="I22" s="17" t="s">
        <v>821</v>
      </c>
      <c r="J22" s="81" t="s">
        <v>758</v>
      </c>
      <c r="K22" s="17" t="s">
        <v>734</v>
      </c>
      <c r="L22" s="96" t="s">
        <v>83</v>
      </c>
      <c r="M22" s="241">
        <v>4709138.0</v>
      </c>
      <c r="O22" s="158">
        <v>2193861.0</v>
      </c>
      <c r="P22" s="86" t="s">
        <v>832</v>
      </c>
      <c r="Q22" s="59"/>
      <c r="R22" s="61"/>
    </row>
    <row r="23">
      <c r="A23" s="169" t="s">
        <v>833</v>
      </c>
      <c r="B23" s="80" t="s">
        <v>519</v>
      </c>
      <c r="C23" s="17" t="s">
        <v>244</v>
      </c>
      <c r="D23" s="81">
        <v>1.0</v>
      </c>
      <c r="E23" s="169" t="s">
        <v>245</v>
      </c>
      <c r="F23" s="81" t="s">
        <v>825</v>
      </c>
      <c r="G23" s="19">
        <v>652.0</v>
      </c>
      <c r="H23" s="19">
        <v>652.0</v>
      </c>
      <c r="I23" s="17" t="s">
        <v>821</v>
      </c>
      <c r="J23" s="81" t="s">
        <v>511</v>
      </c>
      <c r="K23" s="17" t="s">
        <v>734</v>
      </c>
      <c r="L23" s="96" t="s">
        <v>83</v>
      </c>
      <c r="M23" s="241">
        <v>4709138.0</v>
      </c>
      <c r="O23" s="158">
        <v>2193861.0</v>
      </c>
      <c r="P23" s="86" t="s">
        <v>834</v>
      </c>
      <c r="Q23" s="59"/>
      <c r="R23" s="61"/>
    </row>
    <row r="24">
      <c r="A24" s="169" t="s">
        <v>835</v>
      </c>
      <c r="B24" s="80" t="s">
        <v>514</v>
      </c>
      <c r="C24" s="17" t="s">
        <v>244</v>
      </c>
      <c r="D24" s="81">
        <v>1.0</v>
      </c>
      <c r="E24" s="169" t="s">
        <v>245</v>
      </c>
      <c r="F24" s="81" t="s">
        <v>825</v>
      </c>
      <c r="G24" s="19">
        <v>652.0</v>
      </c>
      <c r="H24" s="19">
        <v>652.0</v>
      </c>
      <c r="I24" s="17" t="s">
        <v>821</v>
      </c>
      <c r="J24" s="81" t="s">
        <v>511</v>
      </c>
      <c r="K24" s="17" t="s">
        <v>734</v>
      </c>
      <c r="L24" s="96" t="s">
        <v>83</v>
      </c>
      <c r="M24" s="241">
        <v>4709138.0</v>
      </c>
      <c r="O24" s="158">
        <v>2193861.0</v>
      </c>
      <c r="P24" s="86" t="s">
        <v>836</v>
      </c>
      <c r="Q24" s="59"/>
      <c r="R24" s="61"/>
    </row>
    <row r="25">
      <c r="A25" s="169" t="s">
        <v>837</v>
      </c>
      <c r="B25" s="179"/>
      <c r="D25" s="59"/>
      <c r="E25" s="169" t="s">
        <v>161</v>
      </c>
      <c r="F25" s="81" t="s">
        <v>161</v>
      </c>
      <c r="G25" s="19">
        <v>216.0</v>
      </c>
      <c r="H25" s="18">
        <v>216.0</v>
      </c>
      <c r="J25" s="59"/>
      <c r="K25" s="17" t="s">
        <v>838</v>
      </c>
      <c r="L25" s="96" t="s">
        <v>83</v>
      </c>
      <c r="M25" s="84" t="s">
        <v>839</v>
      </c>
      <c r="N25" s="61"/>
      <c r="O25" s="158">
        <v>2188829.0</v>
      </c>
      <c r="Q25" s="59"/>
      <c r="R25" s="61"/>
    </row>
    <row r="26">
      <c r="A26" s="61" t="s">
        <v>433</v>
      </c>
      <c r="B26" s="84" t="s">
        <v>434</v>
      </c>
      <c r="C26" s="17" t="s">
        <v>435</v>
      </c>
      <c r="D26" s="81">
        <v>1.0</v>
      </c>
      <c r="E26" s="169" t="s">
        <v>239</v>
      </c>
      <c r="F26" s="81" t="s">
        <v>208</v>
      </c>
      <c r="G26" s="18">
        <v>18.66</v>
      </c>
      <c r="H26" s="18">
        <v>18.66</v>
      </c>
      <c r="I26" s="169" t="s">
        <v>838</v>
      </c>
      <c r="J26" s="169" t="s">
        <v>241</v>
      </c>
      <c r="K26" s="17" t="s">
        <v>840</v>
      </c>
      <c r="L26" s="96" t="s">
        <v>83</v>
      </c>
      <c r="M26" s="149" t="s">
        <v>210</v>
      </c>
      <c r="N26" s="61"/>
      <c r="O26" s="158">
        <v>2194595.0</v>
      </c>
      <c r="Q26" s="59"/>
      <c r="R26" s="61"/>
    </row>
    <row r="27">
      <c r="A27" s="169" t="s">
        <v>841</v>
      </c>
      <c r="B27" s="179"/>
      <c r="D27" s="59"/>
      <c r="E27" s="61"/>
      <c r="F27" s="59"/>
      <c r="G27" s="19">
        <v>500.0</v>
      </c>
      <c r="H27" s="18">
        <v>500.0</v>
      </c>
      <c r="I27" s="17" t="s">
        <v>737</v>
      </c>
      <c r="J27" s="81" t="s">
        <v>716</v>
      </c>
      <c r="K27" s="17" t="s">
        <v>842</v>
      </c>
      <c r="L27" s="96" t="s">
        <v>83</v>
      </c>
      <c r="M27" s="84">
        <v>7.30492302E8</v>
      </c>
      <c r="N27" s="61"/>
      <c r="O27" s="158">
        <v>2192056.0</v>
      </c>
      <c r="Q27" s="59"/>
      <c r="R27" s="61"/>
    </row>
    <row r="28">
      <c r="A28" s="169" t="s">
        <v>843</v>
      </c>
      <c r="B28" s="80">
        <v>552843.0</v>
      </c>
      <c r="C28" s="169" t="s">
        <v>844</v>
      </c>
      <c r="D28" s="81">
        <v>2.0</v>
      </c>
      <c r="E28" s="169" t="s">
        <v>367</v>
      </c>
      <c r="F28" s="81" t="s">
        <v>208</v>
      </c>
      <c r="G28" s="19">
        <v>177.12</v>
      </c>
      <c r="H28" s="60">
        <f>G28*2</f>
        <v>354.24</v>
      </c>
      <c r="I28" s="17" t="s">
        <v>807</v>
      </c>
      <c r="J28" s="81" t="s">
        <v>672</v>
      </c>
      <c r="K28" s="17" t="s">
        <v>845</v>
      </c>
      <c r="L28" s="96" t="s">
        <v>83</v>
      </c>
      <c r="M28" s="241">
        <v>4709138.0</v>
      </c>
      <c r="N28" s="169" t="s">
        <v>846</v>
      </c>
      <c r="O28" s="158">
        <v>2194584.0</v>
      </c>
      <c r="P28" s="86" t="s">
        <v>847</v>
      </c>
      <c r="Q28" s="59"/>
      <c r="R28" s="61"/>
    </row>
    <row r="29">
      <c r="A29" s="169" t="s">
        <v>848</v>
      </c>
      <c r="B29" s="242">
        <v>7912.0</v>
      </c>
      <c r="C29" s="17" t="s">
        <v>849</v>
      </c>
      <c r="D29" s="81">
        <v>1.0</v>
      </c>
      <c r="E29" s="169" t="s">
        <v>239</v>
      </c>
      <c r="F29" s="81" t="s">
        <v>208</v>
      </c>
      <c r="G29" s="19">
        <v>547.96</v>
      </c>
      <c r="H29" s="18">
        <v>547.96</v>
      </c>
      <c r="I29" s="17" t="s">
        <v>807</v>
      </c>
      <c r="J29" s="81" t="s">
        <v>733</v>
      </c>
      <c r="K29" s="108">
        <v>23.102023</v>
      </c>
      <c r="L29" s="96" t="s">
        <v>83</v>
      </c>
      <c r="M29" s="241">
        <v>4709138.0</v>
      </c>
      <c r="N29" s="169" t="s">
        <v>850</v>
      </c>
      <c r="O29" s="158">
        <v>2194135.0</v>
      </c>
      <c r="P29" s="86" t="s">
        <v>851</v>
      </c>
      <c r="Q29" s="59"/>
      <c r="R29" s="61"/>
    </row>
    <row r="30">
      <c r="A30" s="169" t="s">
        <v>852</v>
      </c>
      <c r="B30" s="80">
        <v>1320033.0</v>
      </c>
      <c r="C30" s="17" t="s">
        <v>853</v>
      </c>
      <c r="D30" s="81">
        <v>6.0</v>
      </c>
      <c r="E30" s="169" t="s">
        <v>239</v>
      </c>
      <c r="F30" s="81" t="s">
        <v>208</v>
      </c>
      <c r="G30" s="19">
        <v>30.63</v>
      </c>
      <c r="H30" s="60">
        <f>G30*6</f>
        <v>183.78</v>
      </c>
      <c r="I30" s="17" t="s">
        <v>807</v>
      </c>
      <c r="J30" s="81" t="s">
        <v>672</v>
      </c>
      <c r="K30" s="108" t="s">
        <v>734</v>
      </c>
      <c r="L30" s="96" t="s">
        <v>83</v>
      </c>
      <c r="M30" s="241">
        <v>4709138.0</v>
      </c>
      <c r="N30" s="169" t="s">
        <v>854</v>
      </c>
      <c r="O30" s="158">
        <v>2194135.0</v>
      </c>
      <c r="P30" s="243" t="s">
        <v>855</v>
      </c>
      <c r="Q30" s="59"/>
      <c r="R30" s="61"/>
    </row>
    <row r="31">
      <c r="A31" s="169" t="s">
        <v>173</v>
      </c>
      <c r="B31" s="80" t="s">
        <v>174</v>
      </c>
      <c r="C31" s="17" t="s">
        <v>856</v>
      </c>
      <c r="D31" s="81">
        <v>2.0</v>
      </c>
      <c r="E31" s="169" t="s">
        <v>176</v>
      </c>
      <c r="F31" s="244" t="s">
        <v>857</v>
      </c>
      <c r="G31" s="19">
        <v>113.0</v>
      </c>
      <c r="H31" s="60">
        <f>113*2</f>
        <v>226</v>
      </c>
      <c r="I31" s="17" t="s">
        <v>807</v>
      </c>
      <c r="J31" s="81" t="s">
        <v>672</v>
      </c>
      <c r="K31" s="17" t="s">
        <v>858</v>
      </c>
      <c r="L31" s="96" t="s">
        <v>83</v>
      </c>
      <c r="M31" s="241">
        <v>4709138.0</v>
      </c>
      <c r="N31" s="61"/>
      <c r="O31" s="17" t="s">
        <v>859</v>
      </c>
      <c r="P31" s="86" t="s">
        <v>860</v>
      </c>
      <c r="Q31" s="59"/>
      <c r="R31" s="61"/>
    </row>
    <row r="32">
      <c r="A32" s="169" t="s">
        <v>861</v>
      </c>
      <c r="B32" s="80">
        <v>1.1814389001E10</v>
      </c>
      <c r="C32" s="17" t="s">
        <v>862</v>
      </c>
      <c r="D32" s="81">
        <v>1.0</v>
      </c>
      <c r="E32" s="169" t="s">
        <v>394</v>
      </c>
      <c r="F32" s="81" t="s">
        <v>208</v>
      </c>
      <c r="G32" s="19">
        <v>68.8</v>
      </c>
      <c r="H32" s="18">
        <v>68.8</v>
      </c>
      <c r="I32" s="17" t="s">
        <v>807</v>
      </c>
      <c r="J32" s="81" t="s">
        <v>672</v>
      </c>
      <c r="K32" s="17" t="s">
        <v>863</v>
      </c>
      <c r="L32" s="96" t="s">
        <v>83</v>
      </c>
      <c r="M32" s="241">
        <v>4709138.0</v>
      </c>
      <c r="N32" s="61"/>
      <c r="O32" s="158">
        <v>2193733.0</v>
      </c>
      <c r="P32" s="86" t="s">
        <v>864</v>
      </c>
      <c r="Q32" s="59"/>
      <c r="R32" s="61"/>
    </row>
    <row r="33">
      <c r="A33" s="169" t="s">
        <v>120</v>
      </c>
      <c r="B33" s="80" t="s">
        <v>121</v>
      </c>
      <c r="C33" s="17" t="s">
        <v>865</v>
      </c>
      <c r="D33" s="81">
        <v>1.0</v>
      </c>
      <c r="E33" s="169" t="s">
        <v>394</v>
      </c>
      <c r="F33" s="81" t="s">
        <v>208</v>
      </c>
      <c r="G33" s="19">
        <v>216.0</v>
      </c>
      <c r="H33" s="18">
        <v>216.0</v>
      </c>
      <c r="I33" s="17" t="s">
        <v>807</v>
      </c>
      <c r="J33" s="81" t="s">
        <v>672</v>
      </c>
      <c r="K33" s="17" t="s">
        <v>845</v>
      </c>
      <c r="L33" s="58"/>
      <c r="M33" s="241" t="s">
        <v>866</v>
      </c>
      <c r="N33" s="169" t="s">
        <v>867</v>
      </c>
      <c r="O33" s="158">
        <v>2193733.0</v>
      </c>
      <c r="P33" s="86" t="s">
        <v>868</v>
      </c>
      <c r="Q33" s="59"/>
      <c r="R33" s="61"/>
      <c r="T33" s="17" t="s">
        <v>869</v>
      </c>
    </row>
    <row r="34">
      <c r="A34" s="169" t="s">
        <v>870</v>
      </c>
      <c r="B34" s="57"/>
      <c r="D34" s="59"/>
      <c r="E34" s="61"/>
      <c r="F34" s="59"/>
      <c r="G34" s="19">
        <v>297.6</v>
      </c>
      <c r="H34" s="19">
        <v>297.6</v>
      </c>
      <c r="I34" s="17" t="s">
        <v>871</v>
      </c>
      <c r="J34" s="81" t="s">
        <v>716</v>
      </c>
      <c r="L34" s="58"/>
      <c r="M34" s="241">
        <v>4709138.0</v>
      </c>
      <c r="N34" s="61"/>
      <c r="O34" s="158">
        <v>2183943.0</v>
      </c>
      <c r="Q34" s="59"/>
      <c r="R34" s="61"/>
    </row>
    <row r="35">
      <c r="A35" s="61" t="s">
        <v>872</v>
      </c>
      <c r="B35" s="57"/>
      <c r="D35" s="59"/>
      <c r="E35" s="61"/>
      <c r="F35" s="59"/>
      <c r="G35" s="22">
        <v>65.72</v>
      </c>
      <c r="H35" s="18">
        <v>65.72</v>
      </c>
      <c r="I35" s="17" t="s">
        <v>873</v>
      </c>
      <c r="J35" s="81" t="s">
        <v>874</v>
      </c>
      <c r="L35" s="58"/>
      <c r="M35" s="84">
        <v>7.30492302E8</v>
      </c>
      <c r="N35" s="61"/>
      <c r="O35" s="158">
        <v>2193514.0</v>
      </c>
      <c r="Q35" s="59"/>
      <c r="R35" s="61"/>
    </row>
    <row r="36">
      <c r="A36" s="245" t="s">
        <v>875</v>
      </c>
      <c r="B36" s="246">
        <v>613407.0</v>
      </c>
      <c r="C36" s="247" t="s">
        <v>876</v>
      </c>
      <c r="D36" s="59"/>
      <c r="E36" s="169" t="s">
        <v>790</v>
      </c>
      <c r="F36" s="81" t="s">
        <v>877</v>
      </c>
      <c r="G36" s="22">
        <v>198.0</v>
      </c>
      <c r="H36" s="18">
        <v>198.0</v>
      </c>
      <c r="I36" s="17" t="s">
        <v>858</v>
      </c>
      <c r="J36" s="81" t="s">
        <v>878</v>
      </c>
      <c r="K36" s="17" t="s">
        <v>879</v>
      </c>
      <c r="L36" s="96" t="s">
        <v>83</v>
      </c>
      <c r="M36" s="84">
        <v>4709138.0</v>
      </c>
      <c r="N36" s="61"/>
      <c r="O36" s="158">
        <v>2197561.0</v>
      </c>
      <c r="P36" s="86" t="s">
        <v>880</v>
      </c>
      <c r="Q36" s="59"/>
      <c r="R36" s="61"/>
    </row>
    <row r="37">
      <c r="A37" s="245" t="s">
        <v>881</v>
      </c>
      <c r="B37" s="246">
        <v>563829.0</v>
      </c>
      <c r="C37" s="247" t="s">
        <v>876</v>
      </c>
      <c r="D37" s="59"/>
      <c r="E37" s="169" t="s">
        <v>882</v>
      </c>
      <c r="F37" s="81" t="s">
        <v>208</v>
      </c>
      <c r="G37" s="22">
        <v>147.33</v>
      </c>
      <c r="H37" s="22">
        <v>147.33</v>
      </c>
      <c r="I37" s="17" t="s">
        <v>858</v>
      </c>
      <c r="J37" s="81" t="s">
        <v>672</v>
      </c>
      <c r="K37" s="17" t="s">
        <v>883</v>
      </c>
      <c r="L37" s="96" t="s">
        <v>83</v>
      </c>
      <c r="M37" s="84">
        <v>4709138.0</v>
      </c>
      <c r="N37" s="61"/>
      <c r="O37" s="158">
        <v>2196988.0</v>
      </c>
      <c r="P37" s="86" t="s">
        <v>884</v>
      </c>
      <c r="Q37" s="59"/>
      <c r="R37" s="61"/>
    </row>
    <row r="38">
      <c r="A38" s="169" t="s">
        <v>885</v>
      </c>
      <c r="B38" s="84" t="s">
        <v>886</v>
      </c>
      <c r="C38" s="17" t="s">
        <v>393</v>
      </c>
      <c r="D38" s="81">
        <v>1.0</v>
      </c>
      <c r="E38" s="248" t="s">
        <v>887</v>
      </c>
      <c r="F38" s="248" t="s">
        <v>887</v>
      </c>
      <c r="G38" s="22">
        <v>232.0</v>
      </c>
      <c r="H38" s="22">
        <v>232.0</v>
      </c>
      <c r="I38" s="17" t="s">
        <v>858</v>
      </c>
      <c r="J38" s="81" t="s">
        <v>733</v>
      </c>
      <c r="K38" s="17" t="s">
        <v>888</v>
      </c>
      <c r="L38" s="96" t="s">
        <v>83</v>
      </c>
      <c r="M38" s="84">
        <v>4709138.0</v>
      </c>
      <c r="N38" s="61"/>
      <c r="O38" s="158">
        <v>2197130.0</v>
      </c>
      <c r="Q38" s="59"/>
      <c r="R38" s="61"/>
    </row>
    <row r="39">
      <c r="A39" s="169" t="s">
        <v>889</v>
      </c>
      <c r="B39" s="84" t="s">
        <v>890</v>
      </c>
      <c r="C39" s="17" t="s">
        <v>891</v>
      </c>
      <c r="D39" s="81">
        <v>1.0</v>
      </c>
      <c r="E39" s="169" t="s">
        <v>892</v>
      </c>
      <c r="F39" s="81" t="s">
        <v>208</v>
      </c>
      <c r="G39" s="22">
        <v>146.13</v>
      </c>
      <c r="H39" s="22">
        <v>146.13</v>
      </c>
      <c r="I39" s="17" t="s">
        <v>893</v>
      </c>
      <c r="J39" s="81" t="s">
        <v>83</v>
      </c>
      <c r="K39" s="17" t="s">
        <v>894</v>
      </c>
      <c r="L39" s="96" t="s">
        <v>83</v>
      </c>
      <c r="M39" s="84">
        <v>4709138.0</v>
      </c>
      <c r="N39" s="61"/>
      <c r="O39" s="158">
        <v>2199826.0</v>
      </c>
      <c r="Q39" s="59"/>
      <c r="R39" s="61"/>
    </row>
    <row r="40">
      <c r="A40" s="134" t="s">
        <v>895</v>
      </c>
      <c r="B40" s="100" t="s">
        <v>896</v>
      </c>
      <c r="C40" s="17" t="s">
        <v>117</v>
      </c>
      <c r="D40" s="81">
        <v>1.0</v>
      </c>
      <c r="E40" s="169" t="s">
        <v>892</v>
      </c>
      <c r="F40" s="81" t="s">
        <v>208</v>
      </c>
      <c r="G40" s="22">
        <v>6.1</v>
      </c>
      <c r="H40" s="22">
        <v>6.1</v>
      </c>
      <c r="I40" s="17" t="s">
        <v>893</v>
      </c>
      <c r="J40" s="81" t="s">
        <v>83</v>
      </c>
      <c r="L40" s="58"/>
      <c r="M40" s="84">
        <v>4709138.0</v>
      </c>
      <c r="N40" s="61"/>
      <c r="O40" s="158">
        <v>2200395.0</v>
      </c>
      <c r="Q40" s="59"/>
      <c r="R40" s="61"/>
    </row>
    <row r="41">
      <c r="A41" s="169" t="s">
        <v>897</v>
      </c>
      <c r="B41" s="105" t="s">
        <v>560</v>
      </c>
      <c r="C41" s="17" t="s">
        <v>244</v>
      </c>
      <c r="D41" s="81">
        <v>1.0</v>
      </c>
      <c r="E41" s="169" t="s">
        <v>468</v>
      </c>
      <c r="F41" s="81" t="s">
        <v>468</v>
      </c>
      <c r="G41" s="22">
        <v>625.0</v>
      </c>
      <c r="H41" s="22">
        <v>625.0</v>
      </c>
      <c r="I41" s="17" t="s">
        <v>840</v>
      </c>
      <c r="J41" s="81" t="s">
        <v>878</v>
      </c>
      <c r="K41" s="17" t="s">
        <v>879</v>
      </c>
      <c r="L41" s="96" t="s">
        <v>83</v>
      </c>
      <c r="M41" s="84">
        <v>4709138.0</v>
      </c>
      <c r="N41" s="61"/>
      <c r="O41" s="158">
        <v>2198454.0</v>
      </c>
      <c r="P41" s="86" t="s">
        <v>898</v>
      </c>
      <c r="Q41" s="59"/>
      <c r="R41" s="61"/>
    </row>
    <row r="42">
      <c r="A42" s="17" t="s">
        <v>899</v>
      </c>
      <c r="B42" s="100" t="s">
        <v>900</v>
      </c>
      <c r="C42" s="17" t="s">
        <v>206</v>
      </c>
      <c r="D42" s="81">
        <v>1.0</v>
      </c>
      <c r="E42" s="169" t="s">
        <v>529</v>
      </c>
      <c r="F42" s="81" t="s">
        <v>901</v>
      </c>
      <c r="G42" s="22">
        <v>351.0</v>
      </c>
      <c r="H42" s="22">
        <v>351.0</v>
      </c>
      <c r="I42" s="17" t="s">
        <v>840</v>
      </c>
      <c r="J42" s="81" t="s">
        <v>511</v>
      </c>
      <c r="K42" s="17" t="s">
        <v>902</v>
      </c>
      <c r="L42" s="96" t="s">
        <v>83</v>
      </c>
      <c r="M42" s="84">
        <v>4709138.0</v>
      </c>
      <c r="N42" s="61"/>
      <c r="O42" s="158">
        <v>2204260.0</v>
      </c>
      <c r="Q42" s="59"/>
      <c r="R42" s="61"/>
    </row>
    <row r="43">
      <c r="A43" s="17" t="s">
        <v>903</v>
      </c>
      <c r="B43" s="100" t="s">
        <v>904</v>
      </c>
      <c r="C43" s="17" t="s">
        <v>206</v>
      </c>
      <c r="D43" s="81">
        <v>1.0</v>
      </c>
      <c r="E43" s="169" t="s">
        <v>529</v>
      </c>
      <c r="F43" s="81" t="s">
        <v>901</v>
      </c>
      <c r="G43" s="22">
        <v>351.0</v>
      </c>
      <c r="H43" s="22">
        <v>351.0</v>
      </c>
      <c r="I43" s="17" t="s">
        <v>840</v>
      </c>
      <c r="J43" s="81" t="s">
        <v>511</v>
      </c>
      <c r="K43" s="17" t="s">
        <v>902</v>
      </c>
      <c r="L43" s="96" t="s">
        <v>83</v>
      </c>
      <c r="M43" s="84">
        <v>4709138.0</v>
      </c>
      <c r="N43" s="61"/>
      <c r="O43" s="158">
        <v>2204260.0</v>
      </c>
      <c r="Q43" s="59"/>
      <c r="R43" s="61"/>
    </row>
    <row r="44">
      <c r="A44" s="17" t="s">
        <v>905</v>
      </c>
      <c r="B44" s="80">
        <v>999351.0</v>
      </c>
      <c r="D44" s="59"/>
      <c r="E44" s="169" t="s">
        <v>906</v>
      </c>
      <c r="F44" s="81" t="s">
        <v>906</v>
      </c>
      <c r="G44" s="22">
        <v>5000.0</v>
      </c>
      <c r="H44" s="22">
        <v>5000.0</v>
      </c>
      <c r="I44" s="17" t="s">
        <v>907</v>
      </c>
      <c r="J44" s="81" t="s">
        <v>83</v>
      </c>
      <c r="L44" s="58"/>
      <c r="M44" s="84">
        <v>4100466.0</v>
      </c>
      <c r="N44" s="61"/>
      <c r="Q44" s="59"/>
      <c r="R44" s="61"/>
    </row>
    <row r="45">
      <c r="A45" s="169" t="s">
        <v>908</v>
      </c>
      <c r="B45" s="84">
        <v>999269.0</v>
      </c>
      <c r="D45" s="59"/>
      <c r="E45" s="17" t="s">
        <v>906</v>
      </c>
      <c r="F45" s="81" t="s">
        <v>906</v>
      </c>
      <c r="G45" s="22">
        <v>29414.0</v>
      </c>
      <c r="H45" s="22">
        <v>29414.0</v>
      </c>
      <c r="I45" s="17" t="s">
        <v>907</v>
      </c>
      <c r="J45" s="81" t="s">
        <v>83</v>
      </c>
      <c r="L45" s="58"/>
      <c r="M45" s="84">
        <v>4100466.0</v>
      </c>
      <c r="N45" s="61"/>
      <c r="O45" s="158">
        <v>2197653.0</v>
      </c>
      <c r="Q45" s="59"/>
      <c r="R45" s="61"/>
    </row>
    <row r="46">
      <c r="A46" s="169"/>
      <c r="B46" s="57"/>
      <c r="D46" s="59"/>
      <c r="F46" s="59"/>
      <c r="G46" s="22"/>
      <c r="H46" s="22"/>
      <c r="J46" s="59"/>
      <c r="L46" s="58"/>
      <c r="M46" s="57"/>
      <c r="N46" s="61"/>
      <c r="Q46" s="59"/>
      <c r="R46" s="61"/>
    </row>
    <row r="47">
      <c r="A47" s="169" t="s">
        <v>909</v>
      </c>
      <c r="B47" s="57"/>
      <c r="D47" s="59"/>
      <c r="F47" s="59"/>
      <c r="G47" s="22"/>
      <c r="H47" s="22">
        <f>sum(H2,H4,H14,H15,H16,H17,H27,H35)</f>
        <v>4530.61</v>
      </c>
      <c r="J47" s="59"/>
      <c r="L47" s="58"/>
      <c r="M47" s="57"/>
      <c r="N47" s="61"/>
      <c r="Q47" s="59"/>
      <c r="R47" s="61"/>
    </row>
    <row r="48">
      <c r="A48" s="169" t="s">
        <v>910</v>
      </c>
      <c r="B48" s="57"/>
      <c r="D48" s="59"/>
      <c r="F48" s="59"/>
      <c r="G48" s="22"/>
      <c r="H48" s="22">
        <f>Sum(H3,H8,H9,H11,H13,H18,H19,H20,H21,H23,H24,H28,H29,H30,H31,H32,H34,H36:H43)</f>
        <v>12899.56</v>
      </c>
      <c r="I48" s="172">
        <f>216-157.35</f>
        <v>58.65</v>
      </c>
      <c r="J48" s="60">
        <f>H48+I48</f>
        <v>12958.21</v>
      </c>
      <c r="L48" s="58"/>
      <c r="M48" s="57"/>
      <c r="N48" s="61"/>
      <c r="Q48" s="59"/>
      <c r="R48" s="61"/>
    </row>
    <row r="49">
      <c r="A49" s="169" t="s">
        <v>778</v>
      </c>
      <c r="B49" s="57"/>
      <c r="D49" s="59"/>
      <c r="F49" s="59"/>
      <c r="G49" s="22"/>
      <c r="H49" s="22">
        <f>sum(H5,H6,H10)</f>
        <v>814</v>
      </c>
      <c r="I49" s="232">
        <f>H49+157.35</f>
        <v>971.35</v>
      </c>
      <c r="J49" s="59"/>
      <c r="L49" s="58"/>
      <c r="M49" s="59"/>
      <c r="N49" s="61"/>
      <c r="Q49" s="59"/>
      <c r="R49" s="61"/>
    </row>
    <row r="50">
      <c r="A50" s="169" t="s">
        <v>911</v>
      </c>
      <c r="B50" s="57"/>
      <c r="D50" s="59"/>
      <c r="F50" s="59"/>
      <c r="G50" s="22"/>
      <c r="H50" s="22">
        <f>sum(H44:H45)</f>
        <v>34414</v>
      </c>
      <c r="J50" s="59"/>
      <c r="L50" s="58"/>
      <c r="M50" s="59"/>
      <c r="N50" s="61"/>
      <c r="Q50" s="59"/>
      <c r="R50" s="61"/>
    </row>
    <row r="51">
      <c r="A51" s="61"/>
      <c r="B51" s="57"/>
      <c r="D51" s="59"/>
      <c r="F51" s="59"/>
      <c r="G51" s="22"/>
      <c r="H51" s="22"/>
      <c r="J51" s="59"/>
      <c r="L51" s="58"/>
      <c r="M51" s="59"/>
      <c r="N51" s="61"/>
      <c r="Q51" s="59"/>
      <c r="R51" s="61"/>
    </row>
    <row r="52">
      <c r="A52" s="61"/>
      <c r="B52" s="57"/>
      <c r="D52" s="59"/>
      <c r="F52" s="59"/>
      <c r="G52" s="22"/>
      <c r="H52" s="59"/>
      <c r="J52" s="59"/>
      <c r="L52" s="59"/>
      <c r="N52" s="59"/>
      <c r="Q52" s="59"/>
      <c r="R52" s="61"/>
    </row>
    <row r="53">
      <c r="A53" s="61"/>
      <c r="B53" s="57"/>
      <c r="D53" s="59"/>
      <c r="F53" s="59"/>
      <c r="G53" s="22"/>
      <c r="H53" s="59"/>
      <c r="J53" s="59"/>
      <c r="L53" s="59"/>
      <c r="N53" s="59"/>
      <c r="Q53" s="59"/>
      <c r="R53" s="61"/>
    </row>
    <row r="54">
      <c r="A54" s="61"/>
      <c r="B54" s="57"/>
      <c r="D54" s="59"/>
      <c r="F54" s="59"/>
      <c r="G54" s="22"/>
      <c r="H54" s="59"/>
      <c r="J54" s="59"/>
      <c r="L54" s="59"/>
      <c r="N54" s="59"/>
      <c r="Q54" s="59"/>
      <c r="R54" s="61"/>
    </row>
    <row r="55">
      <c r="A55" s="61"/>
      <c r="B55" s="57"/>
      <c r="D55" s="59"/>
      <c r="F55" s="59"/>
      <c r="G55" s="22"/>
      <c r="H55" s="59"/>
      <c r="J55" s="59"/>
      <c r="L55" s="59"/>
      <c r="N55" s="59"/>
      <c r="Q55" s="59"/>
      <c r="R55" s="61"/>
    </row>
    <row r="56">
      <c r="A56" s="61"/>
      <c r="B56" s="57"/>
      <c r="D56" s="59"/>
      <c r="F56" s="59"/>
      <c r="G56" s="22"/>
      <c r="H56" s="59"/>
      <c r="J56" s="59"/>
      <c r="L56" s="59"/>
      <c r="N56" s="59"/>
      <c r="Q56" s="59"/>
      <c r="R56" s="61"/>
    </row>
    <row r="57">
      <c r="A57" s="61"/>
      <c r="B57" s="57"/>
      <c r="D57" s="59"/>
      <c r="F57" s="59"/>
      <c r="H57" s="59"/>
      <c r="J57" s="59"/>
      <c r="L57" s="59"/>
      <c r="N57" s="59"/>
      <c r="Q57" s="59"/>
      <c r="R57" s="61"/>
    </row>
    <row r="58">
      <c r="A58" s="61"/>
      <c r="B58" s="57"/>
      <c r="D58" s="59"/>
      <c r="F58" s="59"/>
      <c r="H58" s="59"/>
      <c r="J58" s="59"/>
      <c r="L58" s="59"/>
      <c r="N58" s="59"/>
      <c r="Q58" s="59"/>
      <c r="R58" s="61"/>
    </row>
    <row r="59">
      <c r="B59" s="57"/>
      <c r="D59" s="59"/>
      <c r="F59" s="59"/>
      <c r="H59" s="59"/>
      <c r="J59" s="59"/>
      <c r="L59" s="59"/>
      <c r="N59" s="59"/>
      <c r="Q59" s="59"/>
      <c r="R59" s="61"/>
    </row>
    <row r="60">
      <c r="B60" s="57"/>
      <c r="D60" s="59"/>
      <c r="F60" s="59"/>
      <c r="H60" s="59"/>
      <c r="J60" s="59"/>
      <c r="L60" s="59"/>
      <c r="N60" s="59"/>
      <c r="Q60" s="59"/>
      <c r="R60" s="61"/>
    </row>
    <row r="61">
      <c r="B61" s="57"/>
      <c r="D61" s="59"/>
      <c r="F61" s="59"/>
      <c r="H61" s="59"/>
      <c r="J61" s="59"/>
      <c r="L61" s="59"/>
      <c r="N61" s="59"/>
      <c r="Q61" s="59"/>
      <c r="R61" s="61"/>
    </row>
    <row r="62">
      <c r="B62" s="57"/>
      <c r="D62" s="59"/>
      <c r="F62" s="59"/>
      <c r="H62" s="59"/>
      <c r="J62" s="59"/>
      <c r="L62" s="59"/>
      <c r="N62" s="59"/>
      <c r="Q62" s="59"/>
      <c r="R62" s="61"/>
    </row>
    <row r="63">
      <c r="B63" s="57"/>
      <c r="D63" s="59"/>
      <c r="F63" s="59"/>
      <c r="H63" s="59"/>
      <c r="J63" s="59"/>
      <c r="L63" s="59"/>
      <c r="N63" s="59"/>
      <c r="Q63" s="59"/>
      <c r="R63" s="61"/>
    </row>
    <row r="64">
      <c r="B64" s="57"/>
      <c r="D64" s="59"/>
      <c r="F64" s="59"/>
      <c r="H64" s="59"/>
      <c r="J64" s="59"/>
      <c r="L64" s="59"/>
      <c r="N64" s="59"/>
      <c r="Q64" s="59"/>
      <c r="R64" s="61"/>
    </row>
    <row r="65">
      <c r="B65" s="57"/>
      <c r="D65" s="59"/>
      <c r="F65" s="59"/>
      <c r="H65" s="59"/>
      <c r="J65" s="59"/>
      <c r="L65" s="59"/>
      <c r="N65" s="59"/>
      <c r="Q65" s="59"/>
      <c r="R65" s="61"/>
    </row>
    <row r="66">
      <c r="B66" s="57"/>
      <c r="D66" s="59"/>
      <c r="F66" s="59"/>
      <c r="H66" s="59"/>
      <c r="J66" s="59"/>
      <c r="L66" s="59"/>
      <c r="N66" s="59"/>
      <c r="Q66" s="59"/>
      <c r="R66" s="61"/>
    </row>
    <row r="67">
      <c r="B67" s="57"/>
      <c r="D67" s="59"/>
      <c r="F67" s="59"/>
      <c r="H67" s="59"/>
      <c r="J67" s="59"/>
      <c r="L67" s="59"/>
      <c r="N67" s="59"/>
      <c r="Q67" s="59"/>
      <c r="R67" s="61"/>
    </row>
    <row r="68">
      <c r="B68" s="57"/>
      <c r="D68" s="59"/>
      <c r="F68" s="59"/>
      <c r="H68" s="59"/>
      <c r="J68" s="59"/>
      <c r="L68" s="59"/>
      <c r="N68" s="59"/>
      <c r="Q68" s="59"/>
      <c r="R68" s="61"/>
    </row>
    <row r="69">
      <c r="B69" s="57"/>
      <c r="D69" s="59"/>
      <c r="F69" s="59"/>
      <c r="H69" s="59"/>
      <c r="J69" s="59"/>
      <c r="L69" s="59"/>
      <c r="N69" s="59"/>
      <c r="Q69" s="59"/>
      <c r="R69" s="61"/>
    </row>
    <row r="70">
      <c r="B70" s="57"/>
      <c r="D70" s="59"/>
      <c r="F70" s="59"/>
      <c r="H70" s="59"/>
      <c r="J70" s="59"/>
      <c r="L70" s="59"/>
      <c r="N70" s="59"/>
      <c r="Q70" s="59"/>
      <c r="R70" s="61"/>
    </row>
    <row r="71">
      <c r="B71" s="57"/>
      <c r="D71" s="59"/>
      <c r="F71" s="59"/>
      <c r="H71" s="59"/>
      <c r="J71" s="59"/>
      <c r="L71" s="59"/>
      <c r="N71" s="59"/>
      <c r="Q71" s="59"/>
      <c r="R71" s="61"/>
    </row>
    <row r="72">
      <c r="B72" s="59"/>
      <c r="D72" s="59"/>
      <c r="F72" s="59"/>
      <c r="H72" s="59"/>
      <c r="J72" s="59"/>
      <c r="L72" s="59"/>
      <c r="N72" s="59"/>
      <c r="Q72" s="59"/>
      <c r="R72" s="61"/>
    </row>
    <row r="73">
      <c r="B73" s="59"/>
      <c r="D73" s="59"/>
      <c r="F73" s="59"/>
      <c r="H73" s="59"/>
      <c r="J73" s="59"/>
      <c r="L73" s="59"/>
      <c r="N73" s="59"/>
      <c r="Q73" s="59"/>
      <c r="R73" s="61"/>
    </row>
    <row r="74">
      <c r="B74" s="59"/>
      <c r="D74" s="59"/>
      <c r="F74" s="59"/>
      <c r="H74" s="59"/>
      <c r="J74" s="59"/>
      <c r="L74" s="59"/>
      <c r="N74" s="59"/>
      <c r="Q74" s="59"/>
      <c r="R74" s="61"/>
    </row>
    <row r="75">
      <c r="B75" s="59"/>
      <c r="D75" s="59"/>
      <c r="F75" s="59"/>
      <c r="H75" s="59"/>
      <c r="J75" s="59"/>
      <c r="L75" s="59"/>
      <c r="N75" s="59"/>
      <c r="Q75" s="59"/>
      <c r="R75" s="61"/>
    </row>
    <row r="76">
      <c r="B76" s="59"/>
      <c r="D76" s="59"/>
      <c r="F76" s="59"/>
      <c r="H76" s="59"/>
      <c r="J76" s="59"/>
      <c r="L76" s="59"/>
      <c r="N76" s="59"/>
      <c r="Q76" s="59"/>
      <c r="R76" s="61"/>
    </row>
    <row r="77">
      <c r="B77" s="59"/>
      <c r="D77" s="59"/>
      <c r="F77" s="59"/>
      <c r="H77" s="59"/>
      <c r="J77" s="59"/>
      <c r="L77" s="59"/>
      <c r="N77" s="59"/>
      <c r="Q77" s="59"/>
      <c r="R77" s="61"/>
    </row>
    <row r="78">
      <c r="B78" s="59"/>
      <c r="D78" s="59"/>
      <c r="F78" s="59"/>
      <c r="H78" s="59"/>
      <c r="J78" s="59"/>
      <c r="L78" s="59"/>
      <c r="N78" s="59"/>
      <c r="Q78" s="59"/>
      <c r="R78" s="61"/>
    </row>
    <row r="79">
      <c r="B79" s="59"/>
      <c r="D79" s="59"/>
      <c r="F79" s="59"/>
      <c r="H79" s="59"/>
      <c r="J79" s="59"/>
      <c r="L79" s="59"/>
      <c r="N79" s="59"/>
      <c r="Q79" s="59"/>
      <c r="R79" s="61"/>
    </row>
    <row r="80">
      <c r="B80" s="59"/>
      <c r="D80" s="59"/>
      <c r="F80" s="59"/>
      <c r="H80" s="59"/>
      <c r="J80" s="59"/>
      <c r="L80" s="59"/>
      <c r="N80" s="59"/>
      <c r="Q80" s="59"/>
      <c r="R80" s="61"/>
    </row>
    <row r="81">
      <c r="B81" s="59"/>
      <c r="D81" s="59"/>
      <c r="F81" s="59"/>
      <c r="H81" s="59"/>
      <c r="J81" s="59"/>
      <c r="L81" s="59"/>
      <c r="N81" s="59"/>
      <c r="Q81" s="59"/>
      <c r="R81" s="61"/>
    </row>
    <row r="82">
      <c r="B82" s="59"/>
      <c r="D82" s="59"/>
      <c r="F82" s="59"/>
      <c r="H82" s="59"/>
      <c r="J82" s="59"/>
      <c r="L82" s="59"/>
      <c r="N82" s="59"/>
      <c r="Q82" s="59"/>
      <c r="R82" s="61"/>
    </row>
    <row r="83">
      <c r="B83" s="59"/>
      <c r="D83" s="59"/>
      <c r="F83" s="59"/>
      <c r="H83" s="59"/>
      <c r="J83" s="59"/>
      <c r="L83" s="59"/>
      <c r="N83" s="59"/>
      <c r="Q83" s="59"/>
      <c r="R83" s="61"/>
    </row>
    <row r="84">
      <c r="B84" s="59"/>
      <c r="D84" s="59"/>
      <c r="F84" s="59"/>
      <c r="H84" s="59"/>
      <c r="J84" s="59"/>
      <c r="L84" s="59"/>
      <c r="N84" s="59"/>
      <c r="Q84" s="59"/>
      <c r="R84" s="61"/>
    </row>
    <row r="85">
      <c r="B85" s="59"/>
      <c r="D85" s="59"/>
      <c r="F85" s="59"/>
      <c r="H85" s="59"/>
      <c r="J85" s="59"/>
      <c r="L85" s="59"/>
      <c r="N85" s="59"/>
      <c r="Q85" s="59"/>
      <c r="R85" s="61"/>
    </row>
    <row r="86">
      <c r="B86" s="59"/>
      <c r="D86" s="59"/>
      <c r="F86" s="59"/>
      <c r="H86" s="59"/>
      <c r="J86" s="59"/>
      <c r="L86" s="59"/>
      <c r="N86" s="59"/>
      <c r="Q86" s="59"/>
      <c r="R86" s="61"/>
    </row>
    <row r="87">
      <c r="B87" s="59"/>
      <c r="D87" s="59"/>
      <c r="F87" s="59"/>
      <c r="H87" s="59"/>
      <c r="J87" s="59"/>
      <c r="L87" s="59"/>
      <c r="N87" s="59"/>
      <c r="Q87" s="59"/>
      <c r="R87" s="61"/>
    </row>
    <row r="88">
      <c r="B88" s="59"/>
      <c r="D88" s="59"/>
      <c r="F88" s="59"/>
      <c r="H88" s="59"/>
      <c r="J88" s="59"/>
      <c r="L88" s="59"/>
      <c r="N88" s="59"/>
      <c r="Q88" s="59"/>
      <c r="R88" s="61"/>
    </row>
    <row r="89">
      <c r="B89" s="59"/>
      <c r="D89" s="59"/>
      <c r="F89" s="59"/>
      <c r="H89" s="59"/>
      <c r="J89" s="59"/>
      <c r="L89" s="59"/>
      <c r="N89" s="59"/>
      <c r="Q89" s="59"/>
      <c r="R89" s="61"/>
    </row>
    <row r="90">
      <c r="B90" s="59"/>
      <c r="D90" s="59"/>
      <c r="F90" s="59"/>
      <c r="H90" s="59"/>
      <c r="J90" s="59"/>
      <c r="L90" s="59"/>
      <c r="N90" s="59"/>
      <c r="Q90" s="59"/>
      <c r="R90" s="61"/>
    </row>
    <row r="91">
      <c r="B91" s="59"/>
      <c r="D91" s="59"/>
      <c r="F91" s="59"/>
      <c r="H91" s="59"/>
      <c r="J91" s="59"/>
      <c r="L91" s="59"/>
      <c r="N91" s="59"/>
      <c r="Q91" s="59"/>
      <c r="R91" s="61"/>
    </row>
    <row r="92">
      <c r="B92" s="59"/>
      <c r="D92" s="59"/>
      <c r="F92" s="59"/>
      <c r="H92" s="59"/>
      <c r="J92" s="59"/>
      <c r="L92" s="59"/>
      <c r="N92" s="59"/>
      <c r="Q92" s="59"/>
      <c r="R92" s="61"/>
    </row>
    <row r="93">
      <c r="B93" s="59"/>
      <c r="D93" s="59"/>
      <c r="F93" s="59"/>
      <c r="H93" s="59"/>
      <c r="J93" s="59"/>
      <c r="L93" s="59"/>
      <c r="N93" s="59"/>
      <c r="Q93" s="59"/>
      <c r="R93" s="61"/>
    </row>
    <row r="94">
      <c r="B94" s="59"/>
      <c r="D94" s="59"/>
      <c r="F94" s="59"/>
      <c r="H94" s="59"/>
      <c r="J94" s="59"/>
      <c r="L94" s="59"/>
      <c r="N94" s="59"/>
      <c r="Q94" s="59"/>
      <c r="R94" s="61"/>
    </row>
    <row r="95">
      <c r="B95" s="59"/>
      <c r="D95" s="59"/>
      <c r="F95" s="59"/>
      <c r="H95" s="59"/>
      <c r="J95" s="59"/>
      <c r="L95" s="59"/>
      <c r="N95" s="59"/>
      <c r="Q95" s="59"/>
      <c r="R95" s="61"/>
    </row>
    <row r="96">
      <c r="B96" s="59"/>
      <c r="D96" s="59"/>
      <c r="F96" s="59"/>
      <c r="H96" s="59"/>
      <c r="J96" s="59"/>
      <c r="L96" s="59"/>
      <c r="N96" s="59"/>
      <c r="Q96" s="59"/>
      <c r="R96" s="61"/>
    </row>
    <row r="97">
      <c r="B97" s="59"/>
      <c r="D97" s="59"/>
      <c r="F97" s="59"/>
      <c r="H97" s="59"/>
      <c r="J97" s="59"/>
      <c r="L97" s="59"/>
      <c r="N97" s="59"/>
      <c r="Q97" s="59"/>
      <c r="R97" s="61"/>
    </row>
    <row r="98">
      <c r="B98" s="59"/>
      <c r="D98" s="59"/>
      <c r="F98" s="59"/>
      <c r="H98" s="59"/>
      <c r="J98" s="59"/>
      <c r="L98" s="59"/>
      <c r="N98" s="59"/>
      <c r="Q98" s="59"/>
      <c r="R98" s="61"/>
    </row>
    <row r="99">
      <c r="B99" s="59"/>
      <c r="D99" s="59"/>
      <c r="F99" s="59"/>
      <c r="H99" s="59"/>
      <c r="J99" s="59"/>
      <c r="L99" s="59"/>
      <c r="N99" s="59"/>
      <c r="Q99" s="59"/>
      <c r="R99" s="61"/>
    </row>
    <row r="100">
      <c r="B100" s="59"/>
      <c r="D100" s="59"/>
      <c r="F100" s="59"/>
      <c r="H100" s="59"/>
      <c r="J100" s="59"/>
      <c r="L100" s="59"/>
      <c r="N100" s="59"/>
      <c r="Q100" s="59"/>
      <c r="R100" s="61"/>
    </row>
    <row r="101">
      <c r="B101" s="59"/>
      <c r="D101" s="59"/>
      <c r="F101" s="59"/>
      <c r="H101" s="59"/>
      <c r="J101" s="59"/>
      <c r="L101" s="59"/>
      <c r="N101" s="59"/>
      <c r="Q101" s="59"/>
      <c r="R101" s="61"/>
    </row>
    <row r="102">
      <c r="B102" s="59"/>
      <c r="D102" s="59"/>
      <c r="F102" s="59"/>
      <c r="H102" s="59"/>
      <c r="J102" s="59"/>
      <c r="L102" s="59"/>
      <c r="N102" s="59"/>
      <c r="Q102" s="59"/>
      <c r="R102" s="61"/>
    </row>
    <row r="103">
      <c r="B103" s="59"/>
      <c r="D103" s="59"/>
      <c r="F103" s="59"/>
      <c r="H103" s="59"/>
      <c r="J103" s="59"/>
      <c r="L103" s="59"/>
      <c r="N103" s="59"/>
      <c r="Q103" s="59"/>
      <c r="R103" s="61"/>
    </row>
    <row r="104">
      <c r="B104" s="59"/>
      <c r="D104" s="59"/>
      <c r="F104" s="59"/>
      <c r="H104" s="59"/>
      <c r="J104" s="59"/>
      <c r="L104" s="59"/>
      <c r="N104" s="59"/>
      <c r="Q104" s="59"/>
      <c r="R104" s="61"/>
    </row>
    <row r="105">
      <c r="B105" s="59"/>
      <c r="D105" s="59"/>
      <c r="F105" s="59"/>
      <c r="H105" s="59"/>
      <c r="J105" s="59"/>
      <c r="L105" s="59"/>
      <c r="N105" s="59"/>
      <c r="Q105" s="59"/>
      <c r="R105" s="61"/>
    </row>
    <row r="106">
      <c r="B106" s="59"/>
      <c r="D106" s="59"/>
      <c r="F106" s="59"/>
      <c r="H106" s="59"/>
      <c r="J106" s="59"/>
      <c r="L106" s="59"/>
      <c r="N106" s="59"/>
      <c r="Q106" s="59"/>
      <c r="R106" s="61"/>
    </row>
    <row r="107">
      <c r="B107" s="59"/>
      <c r="D107" s="59"/>
      <c r="F107" s="59"/>
      <c r="H107" s="59"/>
      <c r="J107" s="59"/>
      <c r="L107" s="59"/>
      <c r="N107" s="59"/>
      <c r="Q107" s="59"/>
      <c r="R107" s="61"/>
    </row>
    <row r="108">
      <c r="B108" s="59"/>
      <c r="D108" s="59"/>
      <c r="F108" s="59"/>
      <c r="H108" s="59"/>
      <c r="J108" s="59"/>
      <c r="L108" s="59"/>
      <c r="N108" s="59"/>
      <c r="Q108" s="59"/>
      <c r="R108" s="61"/>
    </row>
    <row r="109">
      <c r="B109" s="59"/>
      <c r="D109" s="59"/>
      <c r="F109" s="59"/>
      <c r="H109" s="59"/>
      <c r="J109" s="59"/>
      <c r="L109" s="59"/>
      <c r="N109" s="59"/>
      <c r="Q109" s="59"/>
      <c r="R109" s="61"/>
    </row>
    <row r="110">
      <c r="B110" s="59"/>
      <c r="D110" s="59"/>
      <c r="F110" s="59"/>
      <c r="H110" s="59"/>
      <c r="J110" s="59"/>
      <c r="L110" s="59"/>
      <c r="N110" s="59"/>
      <c r="Q110" s="59"/>
      <c r="R110" s="61"/>
    </row>
    <row r="111">
      <c r="B111" s="59"/>
      <c r="D111" s="59"/>
      <c r="F111" s="59"/>
      <c r="H111" s="59"/>
      <c r="J111" s="59"/>
      <c r="L111" s="59"/>
      <c r="N111" s="59"/>
      <c r="Q111" s="59"/>
      <c r="R111" s="61"/>
    </row>
    <row r="112">
      <c r="B112" s="59"/>
      <c r="D112" s="59"/>
      <c r="F112" s="59"/>
      <c r="H112" s="59"/>
      <c r="J112" s="59"/>
      <c r="L112" s="59"/>
      <c r="N112" s="59"/>
      <c r="Q112" s="59"/>
      <c r="R112" s="61"/>
    </row>
    <row r="113">
      <c r="B113" s="59"/>
      <c r="D113" s="59"/>
      <c r="F113" s="59"/>
      <c r="H113" s="59"/>
      <c r="J113" s="59"/>
      <c r="L113" s="59"/>
      <c r="N113" s="59"/>
      <c r="Q113" s="59"/>
      <c r="R113" s="61"/>
    </row>
    <row r="114">
      <c r="B114" s="59"/>
      <c r="D114" s="59"/>
      <c r="F114" s="59"/>
      <c r="H114" s="59"/>
      <c r="J114" s="59"/>
      <c r="L114" s="59"/>
      <c r="N114" s="59"/>
      <c r="Q114" s="59"/>
      <c r="R114" s="61"/>
    </row>
    <row r="115">
      <c r="B115" s="59"/>
      <c r="D115" s="59"/>
      <c r="F115" s="59"/>
      <c r="H115" s="59"/>
      <c r="J115" s="59"/>
      <c r="L115" s="59"/>
      <c r="N115" s="59"/>
      <c r="Q115" s="59"/>
      <c r="R115" s="61"/>
    </row>
    <row r="116">
      <c r="B116" s="59"/>
      <c r="D116" s="59"/>
      <c r="F116" s="59"/>
      <c r="H116" s="59"/>
      <c r="J116" s="59"/>
      <c r="L116" s="59"/>
      <c r="N116" s="59"/>
      <c r="Q116" s="59"/>
      <c r="R116" s="61"/>
    </row>
    <row r="117">
      <c r="B117" s="59"/>
      <c r="D117" s="59"/>
      <c r="F117" s="59"/>
      <c r="H117" s="59"/>
      <c r="J117" s="59"/>
      <c r="L117" s="59"/>
      <c r="N117" s="59"/>
      <c r="Q117" s="59"/>
      <c r="R117" s="61"/>
    </row>
    <row r="118">
      <c r="B118" s="59"/>
      <c r="D118" s="59"/>
      <c r="F118" s="59"/>
      <c r="H118" s="59"/>
      <c r="J118" s="59"/>
      <c r="L118" s="59"/>
      <c r="N118" s="59"/>
      <c r="Q118" s="59"/>
      <c r="R118" s="61"/>
    </row>
    <row r="119">
      <c r="B119" s="59"/>
      <c r="D119" s="59"/>
      <c r="F119" s="59"/>
      <c r="H119" s="59"/>
      <c r="J119" s="59"/>
      <c r="L119" s="59"/>
      <c r="N119" s="59"/>
      <c r="Q119" s="59"/>
      <c r="R119" s="61"/>
    </row>
    <row r="120">
      <c r="B120" s="59"/>
      <c r="D120" s="59"/>
      <c r="F120" s="59"/>
      <c r="H120" s="59"/>
      <c r="J120" s="59"/>
      <c r="L120" s="59"/>
      <c r="N120" s="59"/>
      <c r="Q120" s="59"/>
      <c r="R120" s="61"/>
    </row>
    <row r="121">
      <c r="B121" s="59"/>
      <c r="D121" s="59"/>
      <c r="F121" s="59"/>
      <c r="H121" s="59"/>
      <c r="J121" s="59"/>
      <c r="L121" s="59"/>
      <c r="N121" s="59"/>
      <c r="Q121" s="59"/>
      <c r="R121" s="61"/>
    </row>
    <row r="122">
      <c r="B122" s="59"/>
      <c r="D122" s="59"/>
      <c r="F122" s="59"/>
      <c r="H122" s="59"/>
      <c r="J122" s="59"/>
      <c r="L122" s="59"/>
      <c r="N122" s="59"/>
      <c r="Q122" s="59"/>
      <c r="R122" s="61"/>
    </row>
    <row r="123">
      <c r="B123" s="59"/>
      <c r="D123" s="59"/>
      <c r="F123" s="59"/>
      <c r="H123" s="59"/>
      <c r="J123" s="59"/>
      <c r="L123" s="59"/>
      <c r="N123" s="59"/>
      <c r="Q123" s="59"/>
      <c r="R123" s="61"/>
    </row>
    <row r="124">
      <c r="B124" s="59"/>
      <c r="D124" s="59"/>
      <c r="F124" s="59"/>
      <c r="H124" s="59"/>
      <c r="J124" s="59"/>
      <c r="L124" s="59"/>
      <c r="N124" s="59"/>
      <c r="Q124" s="59"/>
      <c r="R124" s="61"/>
    </row>
    <row r="125">
      <c r="B125" s="59"/>
      <c r="D125" s="59"/>
      <c r="F125" s="59"/>
      <c r="H125" s="59"/>
      <c r="J125" s="59"/>
      <c r="L125" s="59"/>
      <c r="N125" s="59"/>
      <c r="Q125" s="59"/>
      <c r="R125" s="61"/>
    </row>
    <row r="126">
      <c r="B126" s="59"/>
      <c r="D126" s="59"/>
      <c r="F126" s="59"/>
      <c r="H126" s="59"/>
      <c r="J126" s="59"/>
      <c r="L126" s="59"/>
      <c r="N126" s="59"/>
      <c r="Q126" s="59"/>
      <c r="R126" s="61"/>
    </row>
    <row r="127">
      <c r="B127" s="59"/>
      <c r="D127" s="59"/>
      <c r="F127" s="59"/>
      <c r="H127" s="59"/>
      <c r="J127" s="59"/>
      <c r="L127" s="59"/>
      <c r="N127" s="59"/>
      <c r="Q127" s="59"/>
      <c r="R127" s="61"/>
    </row>
    <row r="128">
      <c r="B128" s="59"/>
      <c r="D128" s="59"/>
      <c r="F128" s="59"/>
      <c r="H128" s="59"/>
      <c r="J128" s="59"/>
      <c r="L128" s="59"/>
      <c r="N128" s="59"/>
      <c r="Q128" s="59"/>
      <c r="R128" s="61"/>
    </row>
    <row r="129">
      <c r="B129" s="59"/>
      <c r="D129" s="59"/>
      <c r="F129" s="59"/>
      <c r="H129" s="59"/>
      <c r="J129" s="59"/>
      <c r="L129" s="59"/>
      <c r="N129" s="59"/>
      <c r="Q129" s="59"/>
      <c r="R129" s="61"/>
    </row>
    <row r="130">
      <c r="B130" s="59"/>
      <c r="D130" s="59"/>
      <c r="F130" s="59"/>
      <c r="H130" s="59"/>
      <c r="J130" s="59"/>
      <c r="L130" s="59"/>
      <c r="N130" s="59"/>
      <c r="Q130" s="59"/>
      <c r="R130" s="61"/>
    </row>
    <row r="131">
      <c r="B131" s="59"/>
      <c r="D131" s="59"/>
      <c r="F131" s="59"/>
      <c r="H131" s="59"/>
      <c r="J131" s="59"/>
      <c r="L131" s="59"/>
      <c r="N131" s="59"/>
      <c r="Q131" s="59"/>
      <c r="R131" s="61"/>
    </row>
    <row r="132">
      <c r="B132" s="59"/>
      <c r="D132" s="59"/>
      <c r="F132" s="59"/>
      <c r="H132" s="59"/>
      <c r="J132" s="59"/>
      <c r="L132" s="59"/>
      <c r="N132" s="59"/>
      <c r="Q132" s="59"/>
      <c r="R132" s="61"/>
    </row>
    <row r="133">
      <c r="B133" s="59"/>
      <c r="D133" s="59"/>
      <c r="F133" s="59"/>
      <c r="H133" s="59"/>
      <c r="J133" s="59"/>
      <c r="L133" s="59"/>
      <c r="N133" s="59"/>
      <c r="Q133" s="59"/>
      <c r="R133" s="61"/>
    </row>
    <row r="134">
      <c r="B134" s="59"/>
      <c r="D134" s="59"/>
      <c r="F134" s="59"/>
      <c r="H134" s="59"/>
      <c r="J134" s="59"/>
      <c r="L134" s="59"/>
      <c r="N134" s="59"/>
      <c r="Q134" s="59"/>
      <c r="R134" s="61"/>
    </row>
    <row r="135">
      <c r="B135" s="59"/>
      <c r="D135" s="59"/>
      <c r="F135" s="59"/>
      <c r="H135" s="59"/>
      <c r="J135" s="59"/>
      <c r="L135" s="59"/>
      <c r="N135" s="59"/>
      <c r="Q135" s="59"/>
      <c r="R135" s="61"/>
    </row>
    <row r="136">
      <c r="B136" s="59"/>
      <c r="D136" s="59"/>
      <c r="F136" s="59"/>
      <c r="H136" s="59"/>
      <c r="J136" s="59"/>
      <c r="L136" s="59"/>
      <c r="N136" s="59"/>
      <c r="Q136" s="59"/>
      <c r="R136" s="61"/>
    </row>
    <row r="137">
      <c r="B137" s="59"/>
      <c r="D137" s="59"/>
      <c r="F137" s="59"/>
      <c r="H137" s="59"/>
      <c r="J137" s="59"/>
      <c r="L137" s="59"/>
      <c r="N137" s="59"/>
      <c r="Q137" s="59"/>
      <c r="R137" s="61"/>
    </row>
    <row r="138">
      <c r="B138" s="59"/>
      <c r="D138" s="59"/>
      <c r="F138" s="59"/>
      <c r="H138" s="59"/>
      <c r="J138" s="59"/>
      <c r="L138" s="59"/>
      <c r="N138" s="59"/>
      <c r="Q138" s="59"/>
      <c r="R138" s="61"/>
    </row>
    <row r="139">
      <c r="B139" s="59"/>
      <c r="D139" s="59"/>
      <c r="F139" s="59"/>
      <c r="H139" s="59"/>
      <c r="J139" s="59"/>
      <c r="L139" s="59"/>
      <c r="N139" s="59"/>
      <c r="Q139" s="59"/>
      <c r="R139" s="61"/>
    </row>
    <row r="140">
      <c r="B140" s="59"/>
      <c r="D140" s="59"/>
      <c r="F140" s="59"/>
      <c r="H140" s="59"/>
      <c r="J140" s="59"/>
      <c r="L140" s="59"/>
      <c r="N140" s="59"/>
      <c r="Q140" s="59"/>
      <c r="R140" s="61"/>
    </row>
    <row r="141">
      <c r="B141" s="59"/>
      <c r="D141" s="59"/>
      <c r="F141" s="59"/>
      <c r="H141" s="59"/>
      <c r="J141" s="59"/>
      <c r="L141" s="59"/>
      <c r="N141" s="59"/>
      <c r="Q141" s="59"/>
      <c r="R141" s="61"/>
    </row>
    <row r="142">
      <c r="B142" s="59"/>
      <c r="D142" s="59"/>
      <c r="F142" s="59"/>
      <c r="H142" s="59"/>
      <c r="J142" s="59"/>
      <c r="L142" s="59"/>
      <c r="N142" s="59"/>
      <c r="Q142" s="59"/>
      <c r="R142" s="61"/>
    </row>
    <row r="143">
      <c r="B143" s="59"/>
      <c r="D143" s="59"/>
      <c r="F143" s="59"/>
      <c r="H143" s="59"/>
      <c r="J143" s="59"/>
      <c r="L143" s="59"/>
      <c r="N143" s="59"/>
      <c r="Q143" s="59"/>
      <c r="R143" s="61"/>
    </row>
    <row r="144">
      <c r="B144" s="59"/>
      <c r="D144" s="59"/>
      <c r="F144" s="59"/>
      <c r="H144" s="59"/>
      <c r="J144" s="59"/>
      <c r="L144" s="59"/>
      <c r="N144" s="59"/>
      <c r="Q144" s="59"/>
      <c r="R144" s="61"/>
    </row>
    <row r="145">
      <c r="B145" s="59"/>
      <c r="D145" s="59"/>
      <c r="F145" s="59"/>
      <c r="H145" s="59"/>
      <c r="J145" s="59"/>
      <c r="L145" s="59"/>
      <c r="N145" s="59"/>
      <c r="Q145" s="59"/>
      <c r="R145" s="61"/>
    </row>
    <row r="146">
      <c r="B146" s="59"/>
      <c r="D146" s="59"/>
      <c r="F146" s="59"/>
      <c r="H146" s="59"/>
      <c r="J146" s="59"/>
      <c r="L146" s="59"/>
      <c r="N146" s="59"/>
      <c r="Q146" s="59"/>
      <c r="R146" s="61"/>
    </row>
    <row r="147">
      <c r="B147" s="59"/>
      <c r="D147" s="59"/>
      <c r="F147" s="59"/>
      <c r="H147" s="59"/>
      <c r="J147" s="59"/>
      <c r="L147" s="59"/>
      <c r="N147" s="59"/>
      <c r="Q147" s="59"/>
      <c r="R147" s="61"/>
    </row>
    <row r="148">
      <c r="B148" s="59"/>
      <c r="D148" s="59"/>
      <c r="F148" s="59"/>
      <c r="H148" s="59"/>
      <c r="J148" s="59"/>
      <c r="L148" s="59"/>
      <c r="N148" s="59"/>
      <c r="Q148" s="59"/>
      <c r="R148" s="61"/>
    </row>
    <row r="149">
      <c r="B149" s="59"/>
      <c r="D149" s="59"/>
      <c r="F149" s="59"/>
      <c r="H149" s="59"/>
      <c r="J149" s="59"/>
      <c r="L149" s="59"/>
      <c r="N149" s="59"/>
      <c r="Q149" s="59"/>
      <c r="R149" s="61"/>
    </row>
    <row r="150">
      <c r="B150" s="59"/>
      <c r="D150" s="59"/>
      <c r="F150" s="59"/>
      <c r="H150" s="59"/>
      <c r="J150" s="59"/>
      <c r="L150" s="59"/>
      <c r="N150" s="59"/>
      <c r="Q150" s="59"/>
      <c r="R150" s="61"/>
    </row>
    <row r="151">
      <c r="B151" s="59"/>
      <c r="D151" s="59"/>
      <c r="F151" s="59"/>
      <c r="H151" s="59"/>
      <c r="J151" s="59"/>
      <c r="L151" s="59"/>
      <c r="N151" s="59"/>
      <c r="Q151" s="59"/>
      <c r="R151" s="61"/>
    </row>
    <row r="152">
      <c r="B152" s="59"/>
      <c r="D152" s="59"/>
      <c r="F152" s="59"/>
      <c r="H152" s="59"/>
      <c r="J152" s="59"/>
      <c r="L152" s="59"/>
      <c r="N152" s="59"/>
      <c r="Q152" s="59"/>
      <c r="R152" s="61"/>
    </row>
    <row r="153">
      <c r="B153" s="59"/>
      <c r="D153" s="59"/>
      <c r="F153" s="59"/>
      <c r="H153" s="59"/>
      <c r="J153" s="59"/>
      <c r="L153" s="59"/>
      <c r="N153" s="59"/>
      <c r="Q153" s="59"/>
      <c r="R153" s="61"/>
    </row>
    <row r="154">
      <c r="B154" s="59"/>
      <c r="D154" s="59"/>
      <c r="F154" s="59"/>
      <c r="H154" s="59"/>
      <c r="J154" s="59"/>
      <c r="L154" s="59"/>
      <c r="N154" s="59"/>
      <c r="Q154" s="59"/>
      <c r="R154" s="61"/>
    </row>
    <row r="155">
      <c r="B155" s="59"/>
      <c r="D155" s="59"/>
      <c r="F155" s="59"/>
      <c r="H155" s="59"/>
      <c r="J155" s="59"/>
      <c r="L155" s="59"/>
      <c r="N155" s="59"/>
      <c r="Q155" s="59"/>
      <c r="R155" s="61"/>
    </row>
    <row r="156">
      <c r="B156" s="59"/>
      <c r="D156" s="59"/>
      <c r="F156" s="59"/>
      <c r="H156" s="59"/>
      <c r="J156" s="59"/>
      <c r="L156" s="59"/>
      <c r="N156" s="59"/>
      <c r="Q156" s="59"/>
      <c r="R156" s="61"/>
    </row>
    <row r="157">
      <c r="B157" s="59"/>
      <c r="D157" s="59"/>
      <c r="F157" s="59"/>
      <c r="H157" s="59"/>
      <c r="J157" s="59"/>
      <c r="L157" s="59"/>
      <c r="N157" s="59"/>
      <c r="Q157" s="59"/>
      <c r="R157" s="61"/>
    </row>
    <row r="158">
      <c r="B158" s="59"/>
      <c r="D158" s="59"/>
      <c r="F158" s="59"/>
      <c r="H158" s="59"/>
      <c r="J158" s="59"/>
      <c r="L158" s="59"/>
      <c r="N158" s="59"/>
      <c r="Q158" s="59"/>
      <c r="R158" s="61"/>
    </row>
    <row r="159">
      <c r="B159" s="59"/>
      <c r="D159" s="59"/>
      <c r="F159" s="59"/>
      <c r="H159" s="59"/>
      <c r="J159" s="59"/>
      <c r="L159" s="59"/>
      <c r="N159" s="59"/>
      <c r="Q159" s="59"/>
      <c r="R159" s="61"/>
    </row>
    <row r="160">
      <c r="B160" s="59"/>
      <c r="D160" s="59"/>
      <c r="F160" s="59"/>
      <c r="H160" s="59"/>
      <c r="J160" s="59"/>
      <c r="L160" s="59"/>
      <c r="N160" s="59"/>
      <c r="Q160" s="59"/>
      <c r="R160" s="61"/>
    </row>
    <row r="161">
      <c r="B161" s="59"/>
      <c r="D161" s="59"/>
      <c r="F161" s="59"/>
      <c r="H161" s="59"/>
      <c r="J161" s="59"/>
      <c r="L161" s="59"/>
      <c r="N161" s="59"/>
      <c r="Q161" s="59"/>
      <c r="R161" s="61"/>
    </row>
    <row r="162">
      <c r="B162" s="59"/>
      <c r="D162" s="59"/>
      <c r="F162" s="59"/>
      <c r="H162" s="59"/>
      <c r="J162" s="59"/>
      <c r="L162" s="59"/>
      <c r="N162" s="59"/>
      <c r="Q162" s="59"/>
      <c r="R162" s="61"/>
    </row>
    <row r="163">
      <c r="B163" s="59"/>
      <c r="D163" s="59"/>
      <c r="F163" s="59"/>
      <c r="H163" s="59"/>
      <c r="J163" s="59"/>
      <c r="L163" s="59"/>
      <c r="N163" s="59"/>
      <c r="Q163" s="59"/>
      <c r="R163" s="61"/>
    </row>
    <row r="164">
      <c r="B164" s="59"/>
      <c r="D164" s="59"/>
      <c r="F164" s="59"/>
      <c r="H164" s="59"/>
      <c r="J164" s="59"/>
      <c r="L164" s="59"/>
      <c r="N164" s="59"/>
      <c r="Q164" s="59"/>
      <c r="R164" s="61"/>
    </row>
    <row r="165">
      <c r="B165" s="59"/>
      <c r="D165" s="59"/>
      <c r="F165" s="59"/>
      <c r="H165" s="59"/>
      <c r="J165" s="59"/>
      <c r="L165" s="59"/>
      <c r="N165" s="59"/>
      <c r="Q165" s="59"/>
      <c r="R165" s="61"/>
    </row>
    <row r="166">
      <c r="B166" s="59"/>
      <c r="D166" s="59"/>
      <c r="F166" s="59"/>
      <c r="H166" s="59"/>
      <c r="J166" s="59"/>
      <c r="L166" s="59"/>
      <c r="N166" s="59"/>
      <c r="Q166" s="59"/>
      <c r="R166" s="61"/>
    </row>
    <row r="167">
      <c r="B167" s="59"/>
      <c r="D167" s="59"/>
      <c r="F167" s="59"/>
      <c r="H167" s="59"/>
      <c r="J167" s="59"/>
      <c r="L167" s="59"/>
      <c r="N167" s="59"/>
      <c r="Q167" s="59"/>
      <c r="R167" s="61"/>
    </row>
    <row r="168">
      <c r="B168" s="59"/>
      <c r="D168" s="59"/>
      <c r="F168" s="59"/>
      <c r="H168" s="59"/>
      <c r="J168" s="59"/>
      <c r="L168" s="59"/>
      <c r="N168" s="59"/>
      <c r="Q168" s="59"/>
      <c r="R168" s="61"/>
    </row>
    <row r="169">
      <c r="B169" s="59"/>
      <c r="D169" s="59"/>
      <c r="F169" s="59"/>
      <c r="H169" s="59"/>
      <c r="J169" s="59"/>
      <c r="L169" s="59"/>
      <c r="N169" s="59"/>
      <c r="Q169" s="59"/>
      <c r="R169" s="61"/>
    </row>
    <row r="170">
      <c r="B170" s="59"/>
      <c r="D170" s="59"/>
      <c r="F170" s="59"/>
      <c r="H170" s="59"/>
      <c r="J170" s="59"/>
      <c r="L170" s="59"/>
      <c r="N170" s="59"/>
      <c r="Q170" s="59"/>
      <c r="R170" s="61"/>
    </row>
    <row r="171">
      <c r="B171" s="59"/>
      <c r="D171" s="59"/>
      <c r="F171" s="59"/>
      <c r="H171" s="59"/>
      <c r="J171" s="59"/>
      <c r="L171" s="59"/>
      <c r="N171" s="59"/>
      <c r="Q171" s="59"/>
      <c r="R171" s="61"/>
    </row>
    <row r="172">
      <c r="B172" s="59"/>
      <c r="D172" s="59"/>
      <c r="F172" s="59"/>
      <c r="H172" s="59"/>
      <c r="J172" s="59"/>
      <c r="L172" s="59"/>
      <c r="N172" s="59"/>
      <c r="Q172" s="59"/>
      <c r="R172" s="61"/>
    </row>
    <row r="173">
      <c r="B173" s="59"/>
      <c r="D173" s="59"/>
      <c r="F173" s="59"/>
      <c r="H173" s="59"/>
      <c r="J173" s="59"/>
      <c r="L173" s="59"/>
      <c r="N173" s="59"/>
      <c r="Q173" s="59"/>
      <c r="R173" s="61"/>
    </row>
    <row r="174">
      <c r="B174" s="59"/>
      <c r="D174" s="59"/>
      <c r="F174" s="59"/>
      <c r="H174" s="59"/>
      <c r="J174" s="59"/>
      <c r="L174" s="59"/>
      <c r="N174" s="59"/>
      <c r="Q174" s="59"/>
      <c r="R174" s="61"/>
    </row>
    <row r="175">
      <c r="B175" s="59"/>
      <c r="D175" s="59"/>
      <c r="F175" s="59"/>
      <c r="H175" s="59"/>
      <c r="J175" s="59"/>
      <c r="L175" s="59"/>
      <c r="N175" s="59"/>
      <c r="Q175" s="59"/>
      <c r="R175" s="61"/>
    </row>
    <row r="176">
      <c r="B176" s="59"/>
      <c r="D176" s="59"/>
      <c r="F176" s="59"/>
      <c r="H176" s="59"/>
      <c r="J176" s="59"/>
      <c r="L176" s="59"/>
      <c r="N176" s="59"/>
      <c r="Q176" s="59"/>
      <c r="R176" s="61"/>
    </row>
    <row r="177">
      <c r="B177" s="59"/>
      <c r="D177" s="59"/>
      <c r="F177" s="59"/>
      <c r="H177" s="59"/>
      <c r="J177" s="59"/>
      <c r="L177" s="59"/>
      <c r="N177" s="59"/>
      <c r="Q177" s="59"/>
      <c r="R177" s="61"/>
    </row>
    <row r="178">
      <c r="B178" s="59"/>
      <c r="D178" s="59"/>
      <c r="F178" s="59"/>
      <c r="H178" s="59"/>
      <c r="J178" s="59"/>
      <c r="L178" s="59"/>
      <c r="N178" s="59"/>
      <c r="Q178" s="59"/>
      <c r="R178" s="61"/>
    </row>
    <row r="179">
      <c r="B179" s="59"/>
      <c r="D179" s="59"/>
      <c r="F179" s="59"/>
      <c r="H179" s="59"/>
      <c r="J179" s="59"/>
      <c r="L179" s="59"/>
      <c r="N179" s="59"/>
      <c r="Q179" s="59"/>
      <c r="R179" s="61"/>
    </row>
    <row r="180">
      <c r="B180" s="59"/>
      <c r="D180" s="59"/>
      <c r="F180" s="59"/>
      <c r="H180" s="59"/>
      <c r="J180" s="59"/>
      <c r="L180" s="59"/>
      <c r="N180" s="59"/>
      <c r="Q180" s="59"/>
      <c r="R180" s="61"/>
    </row>
    <row r="181">
      <c r="B181" s="59"/>
      <c r="D181" s="59"/>
      <c r="F181" s="59"/>
      <c r="H181" s="59"/>
      <c r="J181" s="59"/>
      <c r="L181" s="59"/>
      <c r="N181" s="59"/>
      <c r="Q181" s="59"/>
      <c r="R181" s="61"/>
    </row>
    <row r="182">
      <c r="B182" s="59"/>
      <c r="D182" s="59"/>
      <c r="F182" s="59"/>
      <c r="H182" s="59"/>
      <c r="J182" s="59"/>
      <c r="L182" s="59"/>
      <c r="N182" s="59"/>
      <c r="Q182" s="59"/>
      <c r="R182" s="61"/>
    </row>
    <row r="183">
      <c r="B183" s="59"/>
      <c r="D183" s="59"/>
      <c r="F183" s="59"/>
      <c r="H183" s="59"/>
      <c r="J183" s="59"/>
      <c r="L183" s="59"/>
      <c r="N183" s="59"/>
      <c r="Q183" s="59"/>
      <c r="R183" s="61"/>
    </row>
    <row r="184">
      <c r="B184" s="59"/>
      <c r="D184" s="59"/>
      <c r="F184" s="59"/>
      <c r="H184" s="59"/>
      <c r="J184" s="59"/>
      <c r="L184" s="59"/>
      <c r="N184" s="59"/>
      <c r="Q184" s="59"/>
      <c r="R184" s="61"/>
    </row>
    <row r="185">
      <c r="B185" s="59"/>
      <c r="D185" s="59"/>
      <c r="F185" s="59"/>
      <c r="H185" s="59"/>
      <c r="J185" s="59"/>
      <c r="L185" s="59"/>
      <c r="N185" s="59"/>
      <c r="Q185" s="59"/>
      <c r="R185" s="61"/>
    </row>
    <row r="186">
      <c r="B186" s="59"/>
      <c r="D186" s="59"/>
      <c r="F186" s="59"/>
      <c r="H186" s="59"/>
      <c r="J186" s="59"/>
      <c r="L186" s="59"/>
      <c r="N186" s="59"/>
      <c r="Q186" s="59"/>
      <c r="R186" s="61"/>
    </row>
    <row r="187">
      <c r="B187" s="59"/>
      <c r="D187" s="59"/>
      <c r="F187" s="59"/>
      <c r="H187" s="59"/>
      <c r="J187" s="59"/>
      <c r="L187" s="59"/>
      <c r="N187" s="59"/>
      <c r="Q187" s="59"/>
      <c r="R187" s="61"/>
    </row>
    <row r="188">
      <c r="B188" s="59"/>
      <c r="D188" s="59"/>
      <c r="F188" s="59"/>
      <c r="H188" s="59"/>
      <c r="J188" s="59"/>
      <c r="L188" s="59"/>
      <c r="N188" s="59"/>
      <c r="Q188" s="59"/>
      <c r="R188" s="61"/>
    </row>
    <row r="189">
      <c r="B189" s="59"/>
      <c r="D189" s="59"/>
      <c r="F189" s="59"/>
      <c r="H189" s="59"/>
      <c r="J189" s="59"/>
      <c r="L189" s="59"/>
      <c r="N189" s="59"/>
      <c r="Q189" s="59"/>
      <c r="R189" s="61"/>
    </row>
    <row r="190">
      <c r="B190" s="59"/>
      <c r="D190" s="59"/>
      <c r="F190" s="59"/>
      <c r="H190" s="59"/>
      <c r="J190" s="59"/>
      <c r="L190" s="59"/>
      <c r="N190" s="59"/>
      <c r="Q190" s="59"/>
      <c r="R190" s="61"/>
    </row>
    <row r="191">
      <c r="B191" s="59"/>
      <c r="D191" s="59"/>
      <c r="F191" s="59"/>
      <c r="H191" s="59"/>
      <c r="J191" s="59"/>
      <c r="L191" s="59"/>
      <c r="N191" s="59"/>
      <c r="Q191" s="59"/>
      <c r="R191" s="61"/>
    </row>
    <row r="192">
      <c r="B192" s="59"/>
      <c r="D192" s="59"/>
      <c r="F192" s="59"/>
      <c r="H192" s="59"/>
      <c r="J192" s="59"/>
      <c r="L192" s="59"/>
      <c r="N192" s="59"/>
      <c r="Q192" s="59"/>
      <c r="R192" s="61"/>
    </row>
    <row r="193">
      <c r="B193" s="59"/>
      <c r="D193" s="59"/>
      <c r="F193" s="59"/>
      <c r="H193" s="59"/>
      <c r="J193" s="59"/>
      <c r="L193" s="59"/>
      <c r="N193" s="59"/>
      <c r="Q193" s="59"/>
      <c r="R193" s="61"/>
    </row>
    <row r="194">
      <c r="B194" s="59"/>
      <c r="D194" s="59"/>
      <c r="F194" s="59"/>
      <c r="H194" s="59"/>
      <c r="J194" s="59"/>
      <c r="L194" s="59"/>
      <c r="N194" s="59"/>
      <c r="Q194" s="59"/>
      <c r="R194" s="61"/>
    </row>
    <row r="195">
      <c r="B195" s="59"/>
      <c r="D195" s="59"/>
      <c r="F195" s="59"/>
      <c r="H195" s="59"/>
      <c r="J195" s="59"/>
      <c r="L195" s="59"/>
      <c r="N195" s="59"/>
      <c r="Q195" s="59"/>
      <c r="R195" s="61"/>
    </row>
    <row r="196">
      <c r="B196" s="59"/>
      <c r="D196" s="59"/>
      <c r="F196" s="59"/>
      <c r="H196" s="59"/>
      <c r="J196" s="59"/>
      <c r="L196" s="59"/>
      <c r="N196" s="59"/>
      <c r="Q196" s="59"/>
      <c r="R196" s="61"/>
    </row>
    <row r="197">
      <c r="B197" s="59"/>
      <c r="D197" s="59"/>
      <c r="F197" s="59"/>
      <c r="H197" s="59"/>
      <c r="J197" s="59"/>
      <c r="L197" s="59"/>
      <c r="N197" s="59"/>
      <c r="Q197" s="59"/>
      <c r="R197" s="61"/>
    </row>
    <row r="198">
      <c r="B198" s="59"/>
      <c r="D198" s="59"/>
      <c r="F198" s="59"/>
      <c r="H198" s="59"/>
      <c r="J198" s="59"/>
      <c r="L198" s="59"/>
      <c r="N198" s="59"/>
      <c r="Q198" s="59"/>
      <c r="R198" s="61"/>
    </row>
    <row r="199">
      <c r="B199" s="59"/>
      <c r="D199" s="59"/>
      <c r="F199" s="59"/>
      <c r="H199" s="59"/>
      <c r="J199" s="59"/>
      <c r="L199" s="59"/>
      <c r="N199" s="59"/>
      <c r="Q199" s="59"/>
      <c r="R199" s="61"/>
    </row>
    <row r="200">
      <c r="B200" s="59"/>
      <c r="D200" s="59"/>
      <c r="F200" s="59"/>
      <c r="H200" s="59"/>
      <c r="J200" s="59"/>
      <c r="L200" s="59"/>
      <c r="N200" s="59"/>
      <c r="Q200" s="59"/>
      <c r="R200" s="61"/>
    </row>
    <row r="201">
      <c r="B201" s="59"/>
      <c r="D201" s="59"/>
      <c r="F201" s="59"/>
      <c r="H201" s="59"/>
      <c r="J201" s="59"/>
      <c r="L201" s="59"/>
      <c r="N201" s="59"/>
      <c r="Q201" s="59"/>
      <c r="R201" s="61"/>
    </row>
    <row r="202">
      <c r="B202" s="59"/>
      <c r="D202" s="59"/>
      <c r="F202" s="59"/>
      <c r="H202" s="59"/>
      <c r="J202" s="59"/>
      <c r="L202" s="59"/>
      <c r="N202" s="59"/>
      <c r="Q202" s="59"/>
      <c r="R202" s="61"/>
    </row>
    <row r="203">
      <c r="B203" s="59"/>
      <c r="D203" s="59"/>
      <c r="F203" s="59"/>
      <c r="H203" s="59"/>
      <c r="J203" s="59"/>
      <c r="L203" s="59"/>
      <c r="N203" s="59"/>
      <c r="Q203" s="59"/>
      <c r="R203" s="61"/>
    </row>
    <row r="204">
      <c r="B204" s="59"/>
      <c r="D204" s="59"/>
      <c r="F204" s="59"/>
      <c r="H204" s="59"/>
      <c r="J204" s="59"/>
      <c r="L204" s="59"/>
      <c r="N204" s="59"/>
      <c r="Q204" s="59"/>
      <c r="R204" s="61"/>
    </row>
    <row r="205">
      <c r="B205" s="59"/>
      <c r="D205" s="59"/>
      <c r="F205" s="59"/>
      <c r="H205" s="59"/>
      <c r="J205" s="59"/>
      <c r="L205" s="59"/>
      <c r="N205" s="59"/>
      <c r="Q205" s="59"/>
      <c r="R205" s="61"/>
    </row>
    <row r="206">
      <c r="B206" s="59"/>
      <c r="D206" s="59"/>
      <c r="F206" s="59"/>
      <c r="H206" s="59"/>
      <c r="J206" s="59"/>
      <c r="L206" s="59"/>
      <c r="N206" s="59"/>
      <c r="Q206" s="59"/>
      <c r="R206" s="61"/>
    </row>
    <row r="207">
      <c r="B207" s="59"/>
      <c r="D207" s="59"/>
      <c r="F207" s="59"/>
      <c r="H207" s="59"/>
      <c r="J207" s="59"/>
      <c r="L207" s="59"/>
      <c r="N207" s="59"/>
      <c r="Q207" s="59"/>
      <c r="R207" s="61"/>
    </row>
    <row r="208">
      <c r="B208" s="59"/>
      <c r="D208" s="59"/>
      <c r="F208" s="59"/>
      <c r="H208" s="59"/>
      <c r="J208" s="59"/>
      <c r="L208" s="59"/>
      <c r="N208" s="59"/>
      <c r="Q208" s="59"/>
      <c r="R208" s="61"/>
    </row>
    <row r="209">
      <c r="B209" s="59"/>
      <c r="D209" s="59"/>
      <c r="F209" s="59"/>
      <c r="H209" s="59"/>
      <c r="J209" s="59"/>
      <c r="L209" s="59"/>
      <c r="N209" s="59"/>
      <c r="Q209" s="59"/>
      <c r="R209" s="61"/>
    </row>
    <row r="210">
      <c r="B210" s="59"/>
      <c r="D210" s="59"/>
      <c r="F210" s="59"/>
      <c r="H210" s="59"/>
      <c r="J210" s="59"/>
      <c r="L210" s="59"/>
      <c r="N210" s="59"/>
      <c r="Q210" s="59"/>
      <c r="R210" s="61"/>
    </row>
    <row r="211">
      <c r="B211" s="59"/>
      <c r="D211" s="59"/>
      <c r="F211" s="59"/>
      <c r="H211" s="59"/>
      <c r="J211" s="59"/>
      <c r="L211" s="59"/>
      <c r="N211" s="59"/>
      <c r="Q211" s="59"/>
      <c r="R211" s="61"/>
    </row>
    <row r="212">
      <c r="B212" s="59"/>
      <c r="D212" s="59"/>
      <c r="F212" s="59"/>
      <c r="H212" s="59"/>
      <c r="J212" s="59"/>
      <c r="L212" s="59"/>
      <c r="N212" s="59"/>
      <c r="Q212" s="59"/>
      <c r="R212" s="61"/>
    </row>
    <row r="213">
      <c r="B213" s="59"/>
      <c r="D213" s="59"/>
      <c r="F213" s="59"/>
      <c r="H213" s="59"/>
      <c r="J213" s="59"/>
      <c r="L213" s="59"/>
      <c r="N213" s="59"/>
      <c r="Q213" s="59"/>
      <c r="R213" s="61"/>
    </row>
    <row r="214">
      <c r="B214" s="59"/>
      <c r="D214" s="59"/>
      <c r="F214" s="59"/>
      <c r="H214" s="59"/>
      <c r="J214" s="59"/>
      <c r="L214" s="59"/>
      <c r="N214" s="59"/>
      <c r="Q214" s="59"/>
      <c r="R214" s="61"/>
    </row>
    <row r="215">
      <c r="B215" s="59"/>
      <c r="D215" s="59"/>
      <c r="F215" s="59"/>
      <c r="H215" s="59"/>
      <c r="J215" s="59"/>
      <c r="L215" s="59"/>
      <c r="N215" s="59"/>
      <c r="Q215" s="59"/>
      <c r="R215" s="61"/>
    </row>
    <row r="216">
      <c r="B216" s="59"/>
      <c r="D216" s="59"/>
      <c r="F216" s="59"/>
      <c r="H216" s="59"/>
      <c r="J216" s="59"/>
      <c r="L216" s="59"/>
      <c r="N216" s="59"/>
      <c r="Q216" s="59"/>
      <c r="R216" s="61"/>
    </row>
    <row r="217">
      <c r="B217" s="59"/>
      <c r="D217" s="59"/>
      <c r="F217" s="59"/>
      <c r="H217" s="59"/>
      <c r="J217" s="59"/>
      <c r="L217" s="59"/>
      <c r="N217" s="59"/>
      <c r="Q217" s="59"/>
      <c r="R217" s="61"/>
    </row>
    <row r="218">
      <c r="B218" s="59"/>
      <c r="D218" s="59"/>
      <c r="F218" s="59"/>
      <c r="H218" s="59"/>
      <c r="J218" s="59"/>
      <c r="L218" s="59"/>
      <c r="N218" s="59"/>
      <c r="Q218" s="59"/>
      <c r="R218" s="61"/>
    </row>
    <row r="219">
      <c r="B219" s="59"/>
      <c r="D219" s="59"/>
      <c r="F219" s="59"/>
      <c r="H219" s="59"/>
      <c r="J219" s="59"/>
      <c r="L219" s="59"/>
      <c r="N219" s="59"/>
      <c r="Q219" s="59"/>
      <c r="R219" s="61"/>
    </row>
    <row r="220">
      <c r="B220" s="59"/>
      <c r="D220" s="59"/>
      <c r="F220" s="59"/>
      <c r="H220" s="59"/>
      <c r="J220" s="59"/>
      <c r="L220" s="59"/>
      <c r="N220" s="59"/>
      <c r="Q220" s="59"/>
      <c r="R220" s="61"/>
    </row>
    <row r="221">
      <c r="B221" s="59"/>
      <c r="D221" s="59"/>
      <c r="F221" s="59"/>
      <c r="H221" s="59"/>
      <c r="J221" s="59"/>
      <c r="L221" s="59"/>
      <c r="N221" s="59"/>
      <c r="Q221" s="59"/>
      <c r="R221" s="61"/>
    </row>
    <row r="222">
      <c r="B222" s="59"/>
      <c r="D222" s="59"/>
      <c r="F222" s="59"/>
      <c r="H222" s="59"/>
      <c r="J222" s="59"/>
      <c r="L222" s="59"/>
      <c r="N222" s="59"/>
      <c r="Q222" s="59"/>
      <c r="R222" s="61"/>
    </row>
    <row r="223">
      <c r="B223" s="59"/>
      <c r="D223" s="59"/>
      <c r="F223" s="59"/>
      <c r="H223" s="59"/>
      <c r="J223" s="59"/>
      <c r="L223" s="59"/>
      <c r="N223" s="59"/>
      <c r="Q223" s="59"/>
      <c r="R223" s="61"/>
    </row>
    <row r="224">
      <c r="B224" s="59"/>
      <c r="D224" s="59"/>
      <c r="F224" s="59"/>
      <c r="H224" s="59"/>
      <c r="J224" s="59"/>
      <c r="L224" s="59"/>
      <c r="N224" s="59"/>
      <c r="Q224" s="59"/>
      <c r="R224" s="61"/>
    </row>
    <row r="225">
      <c r="B225" s="59"/>
      <c r="D225" s="59"/>
      <c r="F225" s="59"/>
      <c r="H225" s="59"/>
      <c r="J225" s="59"/>
      <c r="L225" s="59"/>
      <c r="N225" s="59"/>
      <c r="Q225" s="59"/>
      <c r="R225" s="61"/>
    </row>
    <row r="226">
      <c r="B226" s="59"/>
      <c r="D226" s="59"/>
      <c r="F226" s="59"/>
      <c r="H226" s="59"/>
      <c r="J226" s="59"/>
      <c r="L226" s="59"/>
      <c r="N226" s="59"/>
      <c r="Q226" s="59"/>
      <c r="R226" s="61"/>
    </row>
    <row r="227">
      <c r="B227" s="59"/>
      <c r="D227" s="59"/>
      <c r="F227" s="59"/>
      <c r="H227" s="59"/>
      <c r="J227" s="59"/>
      <c r="L227" s="59"/>
      <c r="N227" s="59"/>
      <c r="Q227" s="59"/>
      <c r="R227" s="61"/>
    </row>
    <row r="228">
      <c r="B228" s="59"/>
      <c r="D228" s="59"/>
      <c r="F228" s="59"/>
      <c r="H228" s="59"/>
      <c r="J228" s="59"/>
      <c r="L228" s="59"/>
      <c r="N228" s="59"/>
      <c r="Q228" s="59"/>
      <c r="R228" s="61"/>
    </row>
    <row r="229">
      <c r="B229" s="59"/>
      <c r="D229" s="59"/>
      <c r="F229" s="59"/>
      <c r="H229" s="59"/>
      <c r="J229" s="59"/>
      <c r="L229" s="59"/>
      <c r="N229" s="59"/>
      <c r="Q229" s="59"/>
      <c r="R229" s="61"/>
    </row>
    <row r="230">
      <c r="B230" s="59"/>
      <c r="D230" s="59"/>
      <c r="F230" s="59"/>
      <c r="H230" s="59"/>
      <c r="J230" s="59"/>
      <c r="L230" s="59"/>
      <c r="N230" s="59"/>
      <c r="Q230" s="59"/>
      <c r="R230" s="61"/>
    </row>
    <row r="231">
      <c r="B231" s="59"/>
      <c r="D231" s="59"/>
      <c r="F231" s="59"/>
      <c r="H231" s="59"/>
      <c r="J231" s="59"/>
      <c r="L231" s="59"/>
      <c r="N231" s="59"/>
      <c r="Q231" s="59"/>
      <c r="R231" s="61"/>
    </row>
    <row r="232">
      <c r="B232" s="59"/>
      <c r="D232" s="59"/>
      <c r="F232" s="59"/>
      <c r="H232" s="59"/>
      <c r="J232" s="59"/>
      <c r="L232" s="59"/>
      <c r="N232" s="59"/>
      <c r="Q232" s="59"/>
      <c r="R232" s="61"/>
    </row>
    <row r="233">
      <c r="B233" s="59"/>
      <c r="D233" s="59"/>
      <c r="F233" s="59"/>
      <c r="H233" s="59"/>
      <c r="J233" s="59"/>
      <c r="L233" s="59"/>
      <c r="N233" s="59"/>
      <c r="Q233" s="59"/>
      <c r="R233" s="61"/>
    </row>
    <row r="234">
      <c r="B234" s="59"/>
      <c r="D234" s="59"/>
      <c r="F234" s="59"/>
      <c r="H234" s="59"/>
      <c r="J234" s="59"/>
      <c r="L234" s="59"/>
      <c r="N234" s="59"/>
      <c r="Q234" s="59"/>
      <c r="R234" s="61"/>
    </row>
    <row r="235">
      <c r="B235" s="59"/>
      <c r="D235" s="59"/>
      <c r="F235" s="59"/>
      <c r="H235" s="59"/>
      <c r="J235" s="59"/>
      <c r="L235" s="59"/>
      <c r="N235" s="59"/>
      <c r="Q235" s="59"/>
      <c r="R235" s="61"/>
    </row>
    <row r="236">
      <c r="B236" s="59"/>
      <c r="D236" s="59"/>
      <c r="F236" s="59"/>
      <c r="H236" s="59"/>
      <c r="J236" s="59"/>
      <c r="L236" s="59"/>
      <c r="N236" s="59"/>
      <c r="Q236" s="59"/>
      <c r="R236" s="61"/>
    </row>
    <row r="237">
      <c r="B237" s="59"/>
      <c r="D237" s="59"/>
      <c r="F237" s="59"/>
      <c r="H237" s="59"/>
      <c r="J237" s="59"/>
      <c r="L237" s="59"/>
      <c r="N237" s="59"/>
      <c r="Q237" s="59"/>
      <c r="R237" s="61"/>
    </row>
    <row r="238">
      <c r="B238" s="59"/>
      <c r="D238" s="59"/>
      <c r="F238" s="59"/>
      <c r="H238" s="59"/>
      <c r="J238" s="59"/>
      <c r="L238" s="59"/>
      <c r="N238" s="59"/>
      <c r="Q238" s="59"/>
      <c r="R238" s="61"/>
    </row>
    <row r="239">
      <c r="B239" s="59"/>
      <c r="D239" s="59"/>
      <c r="F239" s="59"/>
      <c r="H239" s="59"/>
      <c r="J239" s="59"/>
      <c r="L239" s="59"/>
      <c r="N239" s="59"/>
      <c r="Q239" s="59"/>
      <c r="R239" s="61"/>
    </row>
    <row r="240">
      <c r="B240" s="59"/>
      <c r="D240" s="59"/>
      <c r="F240" s="59"/>
      <c r="H240" s="59"/>
      <c r="J240" s="59"/>
      <c r="L240" s="59"/>
      <c r="N240" s="59"/>
      <c r="Q240" s="59"/>
      <c r="R240" s="61"/>
    </row>
    <row r="241">
      <c r="B241" s="59"/>
      <c r="D241" s="59"/>
      <c r="F241" s="59"/>
      <c r="H241" s="59"/>
      <c r="J241" s="59"/>
      <c r="L241" s="59"/>
      <c r="N241" s="59"/>
      <c r="Q241" s="59"/>
      <c r="R241" s="61"/>
    </row>
    <row r="242">
      <c r="B242" s="59"/>
      <c r="D242" s="59"/>
      <c r="F242" s="59"/>
      <c r="H242" s="59"/>
      <c r="J242" s="59"/>
      <c r="L242" s="59"/>
      <c r="N242" s="59"/>
      <c r="Q242" s="59"/>
      <c r="R242" s="61"/>
    </row>
    <row r="243">
      <c r="B243" s="59"/>
      <c r="D243" s="59"/>
      <c r="F243" s="59"/>
      <c r="H243" s="59"/>
      <c r="J243" s="59"/>
      <c r="L243" s="59"/>
      <c r="N243" s="59"/>
      <c r="Q243" s="59"/>
      <c r="R243" s="61"/>
    </row>
    <row r="244">
      <c r="B244" s="59"/>
      <c r="D244" s="59"/>
      <c r="F244" s="59"/>
      <c r="H244" s="59"/>
      <c r="J244" s="59"/>
      <c r="L244" s="59"/>
      <c r="N244" s="59"/>
      <c r="Q244" s="59"/>
      <c r="R244" s="61"/>
    </row>
    <row r="245">
      <c r="B245" s="59"/>
      <c r="D245" s="59"/>
      <c r="F245" s="59"/>
      <c r="H245" s="59"/>
      <c r="J245" s="59"/>
      <c r="L245" s="59"/>
      <c r="N245" s="59"/>
      <c r="Q245" s="59"/>
      <c r="R245" s="61"/>
    </row>
    <row r="246">
      <c r="B246" s="59"/>
      <c r="D246" s="59"/>
      <c r="F246" s="59"/>
      <c r="H246" s="59"/>
      <c r="J246" s="59"/>
      <c r="L246" s="59"/>
      <c r="N246" s="59"/>
      <c r="Q246" s="59"/>
      <c r="R246" s="61"/>
    </row>
    <row r="247">
      <c r="B247" s="59"/>
      <c r="D247" s="59"/>
      <c r="F247" s="59"/>
      <c r="H247" s="59"/>
      <c r="J247" s="59"/>
      <c r="L247" s="59"/>
      <c r="N247" s="59"/>
      <c r="Q247" s="59"/>
      <c r="R247" s="61"/>
    </row>
    <row r="248">
      <c r="B248" s="59"/>
      <c r="D248" s="59"/>
      <c r="F248" s="59"/>
      <c r="H248" s="59"/>
      <c r="J248" s="59"/>
      <c r="L248" s="59"/>
      <c r="N248" s="59"/>
      <c r="Q248" s="59"/>
      <c r="R248" s="61"/>
    </row>
    <row r="249">
      <c r="B249" s="59"/>
      <c r="D249" s="59"/>
      <c r="F249" s="59"/>
      <c r="H249" s="59"/>
      <c r="J249" s="59"/>
      <c r="L249" s="59"/>
      <c r="N249" s="59"/>
      <c r="Q249" s="59"/>
      <c r="R249" s="61"/>
    </row>
    <row r="250">
      <c r="B250" s="59"/>
      <c r="D250" s="59"/>
      <c r="F250" s="59"/>
      <c r="H250" s="59"/>
      <c r="J250" s="59"/>
      <c r="L250" s="59"/>
      <c r="N250" s="59"/>
      <c r="Q250" s="59"/>
      <c r="R250" s="61"/>
    </row>
    <row r="251">
      <c r="B251" s="59"/>
      <c r="D251" s="59"/>
      <c r="F251" s="59"/>
      <c r="H251" s="59"/>
      <c r="J251" s="59"/>
      <c r="L251" s="59"/>
      <c r="N251" s="59"/>
      <c r="Q251" s="59"/>
      <c r="R251" s="61"/>
    </row>
    <row r="252">
      <c r="B252" s="59"/>
      <c r="D252" s="59"/>
      <c r="F252" s="59"/>
      <c r="H252" s="59"/>
      <c r="J252" s="59"/>
      <c r="L252" s="59"/>
      <c r="N252" s="59"/>
      <c r="Q252" s="59"/>
      <c r="R252" s="61"/>
    </row>
    <row r="253">
      <c r="B253" s="59"/>
      <c r="D253" s="59"/>
      <c r="F253" s="59"/>
      <c r="H253" s="59"/>
      <c r="J253" s="59"/>
      <c r="L253" s="59"/>
      <c r="N253" s="59"/>
      <c r="Q253" s="59"/>
      <c r="R253" s="61"/>
    </row>
    <row r="254">
      <c r="B254" s="59"/>
      <c r="D254" s="59"/>
      <c r="F254" s="59"/>
      <c r="H254" s="59"/>
      <c r="J254" s="59"/>
      <c r="L254" s="59"/>
      <c r="N254" s="59"/>
      <c r="Q254" s="59"/>
      <c r="R254" s="61"/>
    </row>
    <row r="255">
      <c r="B255" s="59"/>
      <c r="D255" s="59"/>
      <c r="F255" s="59"/>
      <c r="H255" s="59"/>
      <c r="J255" s="59"/>
      <c r="L255" s="59"/>
      <c r="N255" s="59"/>
      <c r="Q255" s="59"/>
      <c r="R255" s="61"/>
    </row>
    <row r="256">
      <c r="B256" s="59"/>
      <c r="D256" s="59"/>
      <c r="F256" s="59"/>
      <c r="H256" s="59"/>
      <c r="J256" s="59"/>
      <c r="L256" s="59"/>
      <c r="N256" s="59"/>
      <c r="Q256" s="59"/>
      <c r="R256" s="61"/>
    </row>
    <row r="257">
      <c r="B257" s="59"/>
      <c r="D257" s="59"/>
      <c r="F257" s="59"/>
      <c r="H257" s="59"/>
      <c r="J257" s="59"/>
      <c r="L257" s="59"/>
      <c r="N257" s="59"/>
      <c r="Q257" s="59"/>
      <c r="R257" s="61"/>
    </row>
    <row r="258">
      <c r="B258" s="59"/>
      <c r="D258" s="59"/>
      <c r="F258" s="59"/>
      <c r="H258" s="59"/>
      <c r="J258" s="59"/>
      <c r="L258" s="59"/>
      <c r="N258" s="59"/>
      <c r="Q258" s="59"/>
      <c r="R258" s="61"/>
    </row>
    <row r="259">
      <c r="B259" s="59"/>
      <c r="D259" s="59"/>
      <c r="F259" s="59"/>
      <c r="H259" s="59"/>
      <c r="J259" s="59"/>
      <c r="L259" s="59"/>
      <c r="N259" s="59"/>
      <c r="Q259" s="59"/>
      <c r="R259" s="61"/>
    </row>
    <row r="260">
      <c r="B260" s="59"/>
      <c r="D260" s="59"/>
      <c r="F260" s="59"/>
      <c r="H260" s="59"/>
      <c r="J260" s="59"/>
      <c r="L260" s="59"/>
      <c r="N260" s="59"/>
      <c r="Q260" s="59"/>
      <c r="R260" s="61"/>
    </row>
    <row r="261">
      <c r="B261" s="59"/>
      <c r="D261" s="59"/>
      <c r="F261" s="59"/>
      <c r="H261" s="59"/>
      <c r="J261" s="59"/>
      <c r="L261" s="59"/>
      <c r="N261" s="59"/>
      <c r="Q261" s="59"/>
      <c r="R261" s="61"/>
    </row>
    <row r="262">
      <c r="B262" s="59"/>
      <c r="D262" s="59"/>
      <c r="F262" s="59"/>
      <c r="H262" s="59"/>
      <c r="J262" s="59"/>
      <c r="L262" s="59"/>
      <c r="N262" s="59"/>
      <c r="Q262" s="59"/>
      <c r="R262" s="61"/>
    </row>
    <row r="263">
      <c r="B263" s="59"/>
      <c r="D263" s="59"/>
      <c r="F263" s="59"/>
      <c r="H263" s="59"/>
      <c r="J263" s="59"/>
      <c r="L263" s="59"/>
      <c r="N263" s="59"/>
      <c r="Q263" s="59"/>
      <c r="R263" s="61"/>
    </row>
    <row r="264">
      <c r="B264" s="59"/>
      <c r="D264" s="59"/>
      <c r="F264" s="59"/>
      <c r="H264" s="59"/>
      <c r="J264" s="59"/>
      <c r="L264" s="59"/>
      <c r="N264" s="59"/>
      <c r="Q264" s="59"/>
      <c r="R264" s="61"/>
    </row>
    <row r="265">
      <c r="B265" s="59"/>
      <c r="D265" s="59"/>
      <c r="F265" s="59"/>
      <c r="H265" s="59"/>
      <c r="J265" s="59"/>
      <c r="L265" s="59"/>
      <c r="N265" s="59"/>
      <c r="Q265" s="59"/>
      <c r="R265" s="61"/>
    </row>
    <row r="266">
      <c r="B266" s="59"/>
      <c r="D266" s="59"/>
      <c r="F266" s="59"/>
      <c r="H266" s="59"/>
      <c r="J266" s="59"/>
      <c r="L266" s="59"/>
      <c r="N266" s="59"/>
      <c r="Q266" s="59"/>
      <c r="R266" s="61"/>
    </row>
    <row r="267">
      <c r="B267" s="59"/>
      <c r="D267" s="59"/>
      <c r="F267" s="59"/>
      <c r="H267" s="59"/>
      <c r="J267" s="59"/>
      <c r="L267" s="59"/>
      <c r="N267" s="59"/>
      <c r="Q267" s="59"/>
      <c r="R267" s="61"/>
    </row>
    <row r="268">
      <c r="B268" s="59"/>
      <c r="D268" s="59"/>
      <c r="F268" s="59"/>
      <c r="H268" s="59"/>
      <c r="J268" s="59"/>
      <c r="L268" s="59"/>
      <c r="N268" s="59"/>
      <c r="Q268" s="59"/>
      <c r="R268" s="61"/>
    </row>
    <row r="269">
      <c r="B269" s="59"/>
      <c r="D269" s="59"/>
      <c r="F269" s="59"/>
      <c r="H269" s="59"/>
      <c r="J269" s="59"/>
      <c r="L269" s="59"/>
      <c r="N269" s="59"/>
      <c r="Q269" s="59"/>
      <c r="R269" s="61"/>
    </row>
    <row r="270">
      <c r="B270" s="59"/>
      <c r="D270" s="59"/>
      <c r="F270" s="59"/>
      <c r="H270" s="59"/>
      <c r="J270" s="59"/>
      <c r="L270" s="59"/>
      <c r="N270" s="59"/>
      <c r="Q270" s="59"/>
      <c r="R270" s="61"/>
    </row>
    <row r="271">
      <c r="B271" s="59"/>
      <c r="D271" s="59"/>
      <c r="F271" s="59"/>
      <c r="H271" s="59"/>
      <c r="J271" s="59"/>
      <c r="L271" s="59"/>
      <c r="N271" s="59"/>
      <c r="Q271" s="59"/>
      <c r="R271" s="61"/>
    </row>
    <row r="272">
      <c r="B272" s="59"/>
      <c r="D272" s="59"/>
      <c r="F272" s="59"/>
      <c r="H272" s="59"/>
      <c r="J272" s="59"/>
      <c r="L272" s="59"/>
      <c r="N272" s="59"/>
      <c r="Q272" s="59"/>
      <c r="R272" s="61"/>
    </row>
    <row r="273">
      <c r="B273" s="59"/>
      <c r="D273" s="59"/>
      <c r="F273" s="59"/>
      <c r="H273" s="59"/>
      <c r="J273" s="59"/>
      <c r="L273" s="59"/>
      <c r="N273" s="59"/>
      <c r="Q273" s="59"/>
      <c r="R273" s="61"/>
    </row>
    <row r="274">
      <c r="B274" s="59"/>
      <c r="D274" s="59"/>
      <c r="F274" s="59"/>
      <c r="H274" s="59"/>
      <c r="J274" s="59"/>
      <c r="L274" s="59"/>
      <c r="N274" s="59"/>
      <c r="Q274" s="59"/>
      <c r="R274" s="61"/>
    </row>
    <row r="275">
      <c r="B275" s="59"/>
      <c r="D275" s="59"/>
      <c r="F275" s="59"/>
      <c r="H275" s="59"/>
      <c r="J275" s="59"/>
      <c r="L275" s="59"/>
      <c r="N275" s="59"/>
      <c r="Q275" s="59"/>
      <c r="R275" s="61"/>
    </row>
    <row r="276">
      <c r="B276" s="59"/>
      <c r="D276" s="59"/>
      <c r="F276" s="59"/>
      <c r="H276" s="59"/>
      <c r="J276" s="59"/>
      <c r="L276" s="59"/>
      <c r="N276" s="59"/>
      <c r="Q276" s="59"/>
      <c r="R276" s="61"/>
    </row>
    <row r="277">
      <c r="B277" s="59"/>
      <c r="D277" s="59"/>
      <c r="F277" s="59"/>
      <c r="H277" s="59"/>
      <c r="J277" s="59"/>
      <c r="L277" s="59"/>
      <c r="N277" s="59"/>
      <c r="Q277" s="59"/>
      <c r="R277" s="61"/>
    </row>
    <row r="278">
      <c r="B278" s="59"/>
      <c r="D278" s="59"/>
      <c r="F278" s="59"/>
      <c r="H278" s="59"/>
      <c r="J278" s="59"/>
      <c r="L278" s="59"/>
      <c r="N278" s="59"/>
      <c r="Q278" s="59"/>
      <c r="R278" s="61"/>
    </row>
    <row r="279">
      <c r="B279" s="59"/>
      <c r="D279" s="59"/>
      <c r="F279" s="59"/>
      <c r="H279" s="59"/>
      <c r="J279" s="59"/>
      <c r="L279" s="59"/>
      <c r="N279" s="59"/>
      <c r="Q279" s="59"/>
      <c r="R279" s="61"/>
    </row>
    <row r="280">
      <c r="B280" s="59"/>
      <c r="D280" s="59"/>
      <c r="F280" s="59"/>
      <c r="H280" s="59"/>
      <c r="J280" s="59"/>
      <c r="L280" s="59"/>
      <c r="N280" s="59"/>
      <c r="Q280" s="59"/>
      <c r="R280" s="61"/>
    </row>
    <row r="281">
      <c r="B281" s="59"/>
      <c r="D281" s="59"/>
      <c r="F281" s="59"/>
      <c r="H281" s="59"/>
      <c r="J281" s="59"/>
      <c r="L281" s="59"/>
      <c r="N281" s="59"/>
      <c r="Q281" s="59"/>
      <c r="R281" s="61"/>
    </row>
    <row r="282">
      <c r="B282" s="59"/>
      <c r="D282" s="59"/>
      <c r="F282" s="59"/>
      <c r="H282" s="59"/>
      <c r="J282" s="59"/>
      <c r="L282" s="59"/>
      <c r="N282" s="59"/>
      <c r="Q282" s="59"/>
      <c r="R282" s="61"/>
    </row>
    <row r="283">
      <c r="B283" s="59"/>
      <c r="D283" s="59"/>
      <c r="F283" s="59"/>
      <c r="H283" s="59"/>
      <c r="J283" s="59"/>
      <c r="L283" s="59"/>
      <c r="N283" s="59"/>
      <c r="Q283" s="59"/>
      <c r="R283" s="61"/>
    </row>
    <row r="284">
      <c r="B284" s="59"/>
      <c r="D284" s="59"/>
      <c r="F284" s="59"/>
      <c r="H284" s="59"/>
      <c r="J284" s="59"/>
      <c r="L284" s="59"/>
      <c r="N284" s="59"/>
      <c r="Q284" s="59"/>
      <c r="R284" s="61"/>
    </row>
    <row r="285">
      <c r="B285" s="59"/>
      <c r="D285" s="59"/>
      <c r="F285" s="59"/>
      <c r="H285" s="59"/>
      <c r="J285" s="59"/>
      <c r="L285" s="59"/>
      <c r="N285" s="59"/>
      <c r="Q285" s="59"/>
      <c r="R285" s="61"/>
    </row>
    <row r="286">
      <c r="B286" s="59"/>
      <c r="D286" s="59"/>
      <c r="F286" s="59"/>
      <c r="H286" s="59"/>
      <c r="J286" s="59"/>
      <c r="L286" s="59"/>
      <c r="N286" s="59"/>
      <c r="Q286" s="59"/>
      <c r="R286" s="61"/>
    </row>
    <row r="287">
      <c r="B287" s="59"/>
      <c r="D287" s="59"/>
      <c r="F287" s="59"/>
      <c r="H287" s="59"/>
      <c r="J287" s="59"/>
      <c r="L287" s="59"/>
      <c r="N287" s="59"/>
      <c r="Q287" s="59"/>
      <c r="R287" s="61"/>
    </row>
    <row r="288">
      <c r="B288" s="59"/>
      <c r="D288" s="59"/>
      <c r="F288" s="59"/>
      <c r="H288" s="59"/>
      <c r="J288" s="59"/>
      <c r="L288" s="59"/>
      <c r="N288" s="59"/>
      <c r="Q288" s="59"/>
      <c r="R288" s="61"/>
    </row>
    <row r="289">
      <c r="B289" s="59"/>
      <c r="D289" s="59"/>
      <c r="F289" s="59"/>
      <c r="H289" s="59"/>
      <c r="J289" s="59"/>
      <c r="L289" s="59"/>
      <c r="N289" s="59"/>
      <c r="Q289" s="59"/>
      <c r="R289" s="61"/>
    </row>
    <row r="290">
      <c r="B290" s="59"/>
      <c r="D290" s="59"/>
      <c r="F290" s="59"/>
      <c r="H290" s="59"/>
      <c r="J290" s="59"/>
      <c r="L290" s="59"/>
      <c r="N290" s="59"/>
      <c r="Q290" s="59"/>
      <c r="R290" s="61"/>
    </row>
    <row r="291">
      <c r="B291" s="59"/>
      <c r="D291" s="59"/>
      <c r="F291" s="59"/>
      <c r="H291" s="59"/>
      <c r="J291" s="59"/>
      <c r="L291" s="59"/>
      <c r="N291" s="59"/>
      <c r="Q291" s="59"/>
      <c r="R291" s="61"/>
    </row>
    <row r="292">
      <c r="B292" s="59"/>
      <c r="D292" s="59"/>
      <c r="F292" s="59"/>
      <c r="H292" s="59"/>
      <c r="J292" s="59"/>
      <c r="L292" s="59"/>
      <c r="N292" s="59"/>
      <c r="Q292" s="59"/>
      <c r="R292" s="61"/>
    </row>
    <row r="293">
      <c r="B293" s="59"/>
      <c r="D293" s="59"/>
      <c r="F293" s="59"/>
      <c r="H293" s="59"/>
      <c r="J293" s="59"/>
      <c r="L293" s="59"/>
      <c r="N293" s="59"/>
      <c r="Q293" s="59"/>
      <c r="R293" s="61"/>
    </row>
    <row r="294">
      <c r="B294" s="59"/>
      <c r="D294" s="59"/>
      <c r="F294" s="59"/>
      <c r="H294" s="59"/>
      <c r="J294" s="59"/>
      <c r="L294" s="59"/>
      <c r="N294" s="59"/>
      <c r="Q294" s="59"/>
      <c r="R294" s="61"/>
    </row>
    <row r="295">
      <c r="B295" s="59"/>
      <c r="D295" s="59"/>
      <c r="F295" s="59"/>
      <c r="H295" s="59"/>
      <c r="J295" s="59"/>
      <c r="L295" s="59"/>
      <c r="N295" s="59"/>
      <c r="Q295" s="59"/>
      <c r="R295" s="61"/>
    </row>
    <row r="296">
      <c r="B296" s="59"/>
      <c r="D296" s="59"/>
      <c r="F296" s="59"/>
      <c r="H296" s="59"/>
      <c r="J296" s="59"/>
      <c r="L296" s="59"/>
      <c r="N296" s="59"/>
      <c r="Q296" s="59"/>
      <c r="R296" s="61"/>
    </row>
    <row r="297">
      <c r="B297" s="59"/>
      <c r="D297" s="59"/>
      <c r="F297" s="59"/>
      <c r="H297" s="59"/>
      <c r="J297" s="59"/>
      <c r="L297" s="59"/>
      <c r="N297" s="59"/>
      <c r="Q297" s="59"/>
      <c r="R297" s="61"/>
    </row>
    <row r="298">
      <c r="B298" s="59"/>
      <c r="D298" s="59"/>
      <c r="F298" s="59"/>
      <c r="H298" s="59"/>
      <c r="J298" s="59"/>
      <c r="L298" s="59"/>
      <c r="N298" s="59"/>
      <c r="Q298" s="59"/>
      <c r="R298" s="61"/>
    </row>
    <row r="299">
      <c r="B299" s="59"/>
      <c r="D299" s="59"/>
      <c r="F299" s="59"/>
      <c r="H299" s="59"/>
      <c r="J299" s="59"/>
      <c r="L299" s="59"/>
      <c r="N299" s="59"/>
      <c r="Q299" s="59"/>
      <c r="R299" s="61"/>
    </row>
    <row r="300">
      <c r="B300" s="59"/>
      <c r="D300" s="59"/>
      <c r="F300" s="59"/>
      <c r="H300" s="59"/>
      <c r="J300" s="59"/>
      <c r="L300" s="59"/>
      <c r="N300" s="59"/>
      <c r="Q300" s="59"/>
      <c r="R300" s="61"/>
    </row>
    <row r="301">
      <c r="B301" s="59"/>
      <c r="D301" s="59"/>
      <c r="F301" s="59"/>
      <c r="H301" s="59"/>
      <c r="J301" s="59"/>
      <c r="L301" s="59"/>
      <c r="N301" s="59"/>
      <c r="Q301" s="59"/>
      <c r="R301" s="61"/>
    </row>
    <row r="302">
      <c r="B302" s="59"/>
      <c r="D302" s="59"/>
      <c r="F302" s="59"/>
      <c r="H302" s="59"/>
      <c r="J302" s="59"/>
      <c r="L302" s="59"/>
      <c r="N302" s="59"/>
      <c r="Q302" s="59"/>
      <c r="R302" s="61"/>
    </row>
    <row r="303">
      <c r="B303" s="59"/>
      <c r="D303" s="59"/>
      <c r="F303" s="59"/>
      <c r="H303" s="59"/>
      <c r="J303" s="59"/>
      <c r="L303" s="59"/>
      <c r="N303" s="59"/>
      <c r="Q303" s="59"/>
      <c r="R303" s="61"/>
    </row>
    <row r="304">
      <c r="B304" s="59"/>
      <c r="D304" s="59"/>
      <c r="F304" s="59"/>
      <c r="H304" s="59"/>
      <c r="J304" s="59"/>
      <c r="L304" s="59"/>
      <c r="N304" s="59"/>
      <c r="Q304" s="59"/>
      <c r="R304" s="61"/>
    </row>
    <row r="305">
      <c r="B305" s="59"/>
      <c r="D305" s="59"/>
      <c r="F305" s="59"/>
      <c r="H305" s="59"/>
      <c r="J305" s="59"/>
      <c r="L305" s="59"/>
      <c r="N305" s="59"/>
      <c r="Q305" s="59"/>
      <c r="R305" s="61"/>
    </row>
    <row r="306">
      <c r="B306" s="59"/>
      <c r="D306" s="59"/>
      <c r="F306" s="59"/>
      <c r="H306" s="59"/>
      <c r="J306" s="59"/>
      <c r="L306" s="59"/>
      <c r="N306" s="59"/>
      <c r="Q306" s="59"/>
      <c r="R306" s="61"/>
    </row>
    <row r="307">
      <c r="B307" s="59"/>
      <c r="D307" s="59"/>
      <c r="F307" s="59"/>
      <c r="H307" s="59"/>
      <c r="J307" s="59"/>
      <c r="L307" s="59"/>
      <c r="N307" s="59"/>
      <c r="Q307" s="59"/>
      <c r="R307" s="61"/>
    </row>
    <row r="308">
      <c r="B308" s="59"/>
      <c r="D308" s="59"/>
      <c r="F308" s="59"/>
      <c r="H308" s="59"/>
      <c r="J308" s="59"/>
      <c r="L308" s="59"/>
      <c r="N308" s="59"/>
      <c r="Q308" s="59"/>
      <c r="R308" s="61"/>
    </row>
    <row r="309">
      <c r="B309" s="59"/>
      <c r="D309" s="59"/>
      <c r="F309" s="59"/>
      <c r="H309" s="59"/>
      <c r="J309" s="59"/>
      <c r="L309" s="59"/>
      <c r="N309" s="59"/>
      <c r="Q309" s="59"/>
      <c r="R309" s="61"/>
    </row>
    <row r="310">
      <c r="B310" s="59"/>
      <c r="D310" s="59"/>
      <c r="F310" s="59"/>
      <c r="H310" s="59"/>
      <c r="J310" s="59"/>
      <c r="L310" s="59"/>
      <c r="N310" s="59"/>
      <c r="Q310" s="59"/>
      <c r="R310" s="61"/>
    </row>
    <row r="311">
      <c r="B311" s="59"/>
      <c r="D311" s="59"/>
      <c r="F311" s="59"/>
      <c r="H311" s="59"/>
      <c r="J311" s="59"/>
      <c r="L311" s="59"/>
      <c r="N311" s="59"/>
      <c r="Q311" s="59"/>
      <c r="R311" s="61"/>
    </row>
    <row r="312">
      <c r="B312" s="59"/>
      <c r="D312" s="59"/>
      <c r="F312" s="59"/>
      <c r="H312" s="59"/>
      <c r="J312" s="59"/>
      <c r="L312" s="59"/>
      <c r="N312" s="59"/>
      <c r="Q312" s="59"/>
      <c r="R312" s="61"/>
    </row>
    <row r="313">
      <c r="B313" s="59"/>
      <c r="D313" s="59"/>
      <c r="F313" s="59"/>
      <c r="H313" s="59"/>
      <c r="J313" s="59"/>
      <c r="L313" s="59"/>
      <c r="N313" s="59"/>
      <c r="Q313" s="59"/>
      <c r="R313" s="61"/>
    </row>
    <row r="314">
      <c r="B314" s="59"/>
      <c r="D314" s="59"/>
      <c r="F314" s="59"/>
      <c r="H314" s="59"/>
      <c r="J314" s="59"/>
      <c r="L314" s="59"/>
      <c r="N314" s="59"/>
      <c r="Q314" s="59"/>
      <c r="R314" s="61"/>
    </row>
    <row r="315">
      <c r="B315" s="59"/>
      <c r="D315" s="59"/>
      <c r="F315" s="59"/>
      <c r="H315" s="59"/>
      <c r="J315" s="59"/>
      <c r="L315" s="59"/>
      <c r="N315" s="59"/>
      <c r="Q315" s="59"/>
      <c r="R315" s="61"/>
    </row>
    <row r="316">
      <c r="B316" s="59"/>
      <c r="D316" s="59"/>
      <c r="F316" s="59"/>
      <c r="H316" s="59"/>
      <c r="J316" s="59"/>
      <c r="L316" s="59"/>
      <c r="N316" s="59"/>
      <c r="Q316" s="59"/>
      <c r="R316" s="61"/>
    </row>
    <row r="317">
      <c r="B317" s="59"/>
      <c r="D317" s="59"/>
      <c r="F317" s="59"/>
      <c r="H317" s="59"/>
      <c r="J317" s="59"/>
      <c r="L317" s="59"/>
      <c r="N317" s="59"/>
      <c r="Q317" s="59"/>
      <c r="R317" s="61"/>
    </row>
    <row r="318">
      <c r="B318" s="59"/>
      <c r="D318" s="59"/>
      <c r="F318" s="59"/>
      <c r="H318" s="59"/>
      <c r="J318" s="59"/>
      <c r="L318" s="59"/>
      <c r="N318" s="59"/>
      <c r="Q318" s="59"/>
      <c r="R318" s="61"/>
    </row>
    <row r="319">
      <c r="B319" s="59"/>
      <c r="D319" s="59"/>
      <c r="F319" s="59"/>
      <c r="H319" s="59"/>
      <c r="J319" s="59"/>
      <c r="L319" s="59"/>
      <c r="N319" s="59"/>
      <c r="Q319" s="59"/>
      <c r="R319" s="61"/>
    </row>
    <row r="320">
      <c r="B320" s="59"/>
      <c r="D320" s="59"/>
      <c r="F320" s="59"/>
      <c r="H320" s="59"/>
      <c r="J320" s="59"/>
      <c r="L320" s="59"/>
      <c r="N320" s="59"/>
      <c r="Q320" s="59"/>
      <c r="R320" s="61"/>
    </row>
    <row r="321">
      <c r="B321" s="59"/>
      <c r="D321" s="59"/>
      <c r="F321" s="59"/>
      <c r="H321" s="59"/>
      <c r="J321" s="59"/>
      <c r="L321" s="59"/>
      <c r="N321" s="59"/>
      <c r="Q321" s="59"/>
      <c r="R321" s="61"/>
    </row>
    <row r="322">
      <c r="B322" s="59"/>
      <c r="D322" s="59"/>
      <c r="F322" s="59"/>
      <c r="H322" s="59"/>
      <c r="J322" s="59"/>
      <c r="L322" s="59"/>
      <c r="N322" s="59"/>
      <c r="Q322" s="59"/>
      <c r="R322" s="61"/>
    </row>
    <row r="323">
      <c r="B323" s="59"/>
      <c r="D323" s="59"/>
      <c r="F323" s="59"/>
      <c r="H323" s="59"/>
      <c r="J323" s="59"/>
      <c r="L323" s="59"/>
      <c r="N323" s="59"/>
      <c r="Q323" s="59"/>
      <c r="R323" s="61"/>
    </row>
    <row r="324">
      <c r="B324" s="59"/>
      <c r="D324" s="59"/>
      <c r="F324" s="59"/>
      <c r="H324" s="59"/>
      <c r="J324" s="59"/>
      <c r="L324" s="59"/>
      <c r="N324" s="59"/>
      <c r="Q324" s="59"/>
      <c r="R324" s="61"/>
    </row>
    <row r="325">
      <c r="B325" s="59"/>
      <c r="D325" s="59"/>
      <c r="F325" s="59"/>
      <c r="H325" s="59"/>
      <c r="J325" s="59"/>
      <c r="L325" s="59"/>
      <c r="N325" s="59"/>
      <c r="Q325" s="59"/>
      <c r="R325" s="61"/>
    </row>
    <row r="326">
      <c r="B326" s="59"/>
      <c r="D326" s="59"/>
      <c r="F326" s="59"/>
      <c r="H326" s="59"/>
      <c r="J326" s="59"/>
      <c r="L326" s="59"/>
      <c r="N326" s="59"/>
      <c r="Q326" s="59"/>
      <c r="R326" s="61"/>
    </row>
    <row r="327">
      <c r="B327" s="59"/>
      <c r="D327" s="59"/>
      <c r="F327" s="59"/>
      <c r="H327" s="59"/>
      <c r="J327" s="59"/>
      <c r="L327" s="59"/>
      <c r="N327" s="59"/>
      <c r="Q327" s="59"/>
      <c r="R327" s="61"/>
    </row>
    <row r="328">
      <c r="B328" s="59"/>
      <c r="D328" s="59"/>
      <c r="F328" s="59"/>
      <c r="H328" s="59"/>
      <c r="J328" s="59"/>
      <c r="L328" s="59"/>
      <c r="N328" s="59"/>
      <c r="Q328" s="59"/>
      <c r="R328" s="61"/>
    </row>
    <row r="329">
      <c r="B329" s="59"/>
      <c r="D329" s="59"/>
      <c r="F329" s="59"/>
      <c r="H329" s="59"/>
      <c r="J329" s="59"/>
      <c r="L329" s="59"/>
      <c r="N329" s="59"/>
      <c r="Q329" s="59"/>
      <c r="R329" s="61"/>
    </row>
    <row r="330">
      <c r="B330" s="59"/>
      <c r="D330" s="59"/>
      <c r="F330" s="59"/>
      <c r="H330" s="59"/>
      <c r="J330" s="59"/>
      <c r="L330" s="59"/>
      <c r="N330" s="59"/>
      <c r="Q330" s="59"/>
      <c r="R330" s="61"/>
    </row>
    <row r="331">
      <c r="B331" s="59"/>
      <c r="D331" s="59"/>
      <c r="F331" s="59"/>
      <c r="H331" s="59"/>
      <c r="J331" s="59"/>
      <c r="L331" s="59"/>
      <c r="N331" s="59"/>
      <c r="Q331" s="59"/>
      <c r="R331" s="61"/>
    </row>
    <row r="332">
      <c r="B332" s="59"/>
      <c r="D332" s="59"/>
      <c r="F332" s="59"/>
      <c r="H332" s="59"/>
      <c r="J332" s="59"/>
      <c r="L332" s="59"/>
      <c r="N332" s="59"/>
      <c r="Q332" s="59"/>
      <c r="R332" s="61"/>
    </row>
    <row r="333">
      <c r="B333" s="59"/>
      <c r="D333" s="59"/>
      <c r="F333" s="59"/>
      <c r="H333" s="59"/>
      <c r="J333" s="59"/>
      <c r="L333" s="59"/>
      <c r="N333" s="59"/>
      <c r="Q333" s="59"/>
      <c r="R333" s="61"/>
    </row>
    <row r="334">
      <c r="B334" s="59"/>
      <c r="D334" s="59"/>
      <c r="F334" s="59"/>
      <c r="H334" s="59"/>
      <c r="J334" s="59"/>
      <c r="L334" s="59"/>
      <c r="N334" s="59"/>
      <c r="Q334" s="59"/>
      <c r="R334" s="61"/>
    </row>
    <row r="335">
      <c r="B335" s="59"/>
      <c r="D335" s="59"/>
      <c r="F335" s="59"/>
      <c r="H335" s="59"/>
      <c r="J335" s="59"/>
      <c r="L335" s="59"/>
      <c r="N335" s="59"/>
      <c r="Q335" s="59"/>
      <c r="R335" s="61"/>
    </row>
    <row r="336">
      <c r="B336" s="59"/>
      <c r="D336" s="59"/>
      <c r="F336" s="59"/>
      <c r="H336" s="59"/>
      <c r="J336" s="59"/>
      <c r="L336" s="59"/>
      <c r="N336" s="59"/>
      <c r="Q336" s="59"/>
      <c r="R336" s="61"/>
    </row>
    <row r="337">
      <c r="B337" s="59"/>
      <c r="D337" s="59"/>
      <c r="F337" s="59"/>
      <c r="H337" s="59"/>
      <c r="J337" s="59"/>
      <c r="L337" s="59"/>
      <c r="N337" s="59"/>
      <c r="Q337" s="59"/>
      <c r="R337" s="61"/>
    </row>
    <row r="338">
      <c r="B338" s="59"/>
      <c r="D338" s="59"/>
      <c r="F338" s="59"/>
      <c r="H338" s="59"/>
      <c r="J338" s="59"/>
      <c r="L338" s="59"/>
      <c r="N338" s="59"/>
      <c r="Q338" s="59"/>
      <c r="R338" s="61"/>
    </row>
    <row r="339">
      <c r="B339" s="59"/>
      <c r="D339" s="59"/>
      <c r="F339" s="59"/>
      <c r="H339" s="59"/>
      <c r="J339" s="59"/>
      <c r="L339" s="59"/>
      <c r="N339" s="59"/>
      <c r="Q339" s="59"/>
      <c r="R339" s="61"/>
    </row>
    <row r="340">
      <c r="B340" s="59"/>
      <c r="D340" s="59"/>
      <c r="F340" s="59"/>
      <c r="H340" s="59"/>
      <c r="J340" s="59"/>
      <c r="L340" s="59"/>
      <c r="N340" s="59"/>
      <c r="Q340" s="59"/>
      <c r="R340" s="61"/>
    </row>
    <row r="341">
      <c r="B341" s="59"/>
      <c r="D341" s="59"/>
      <c r="F341" s="59"/>
      <c r="H341" s="59"/>
      <c r="J341" s="59"/>
      <c r="L341" s="59"/>
      <c r="N341" s="59"/>
      <c r="Q341" s="59"/>
      <c r="R341" s="61"/>
    </row>
    <row r="342">
      <c r="B342" s="59"/>
      <c r="D342" s="59"/>
      <c r="F342" s="59"/>
      <c r="H342" s="59"/>
      <c r="J342" s="59"/>
      <c r="L342" s="59"/>
      <c r="N342" s="59"/>
      <c r="Q342" s="59"/>
      <c r="R342" s="61"/>
    </row>
    <row r="343">
      <c r="B343" s="59"/>
      <c r="D343" s="59"/>
      <c r="F343" s="59"/>
      <c r="H343" s="59"/>
      <c r="J343" s="59"/>
      <c r="L343" s="59"/>
      <c r="N343" s="59"/>
      <c r="Q343" s="59"/>
      <c r="R343" s="61"/>
    </row>
    <row r="344">
      <c r="B344" s="59"/>
      <c r="D344" s="59"/>
      <c r="F344" s="59"/>
      <c r="H344" s="59"/>
      <c r="J344" s="59"/>
      <c r="L344" s="59"/>
      <c r="N344" s="59"/>
      <c r="Q344" s="59"/>
      <c r="R344" s="61"/>
    </row>
    <row r="345">
      <c r="B345" s="59"/>
      <c r="D345" s="59"/>
      <c r="F345" s="59"/>
      <c r="H345" s="59"/>
      <c r="J345" s="59"/>
      <c r="L345" s="59"/>
      <c r="N345" s="59"/>
      <c r="Q345" s="59"/>
      <c r="R345" s="61"/>
    </row>
    <row r="346">
      <c r="B346" s="59"/>
      <c r="D346" s="59"/>
      <c r="F346" s="59"/>
      <c r="H346" s="59"/>
      <c r="J346" s="59"/>
      <c r="L346" s="59"/>
      <c r="N346" s="59"/>
      <c r="Q346" s="59"/>
      <c r="R346" s="61"/>
    </row>
    <row r="347">
      <c r="B347" s="59"/>
      <c r="D347" s="59"/>
      <c r="F347" s="59"/>
      <c r="H347" s="59"/>
      <c r="J347" s="59"/>
      <c r="L347" s="59"/>
      <c r="N347" s="59"/>
      <c r="Q347" s="59"/>
      <c r="R347" s="61"/>
    </row>
    <row r="348">
      <c r="B348" s="59"/>
      <c r="D348" s="59"/>
      <c r="F348" s="59"/>
      <c r="H348" s="59"/>
      <c r="J348" s="59"/>
      <c r="L348" s="59"/>
      <c r="N348" s="59"/>
      <c r="Q348" s="59"/>
      <c r="R348" s="61"/>
    </row>
    <row r="349">
      <c r="B349" s="59"/>
      <c r="D349" s="59"/>
      <c r="F349" s="59"/>
      <c r="H349" s="59"/>
      <c r="J349" s="59"/>
      <c r="L349" s="59"/>
      <c r="N349" s="59"/>
      <c r="Q349" s="59"/>
      <c r="R349" s="61"/>
    </row>
    <row r="350">
      <c r="B350" s="59"/>
      <c r="D350" s="59"/>
      <c r="F350" s="59"/>
      <c r="H350" s="59"/>
      <c r="J350" s="59"/>
      <c r="L350" s="59"/>
      <c r="N350" s="59"/>
      <c r="Q350" s="59"/>
      <c r="R350" s="61"/>
    </row>
    <row r="351">
      <c r="B351" s="59"/>
      <c r="D351" s="59"/>
      <c r="F351" s="59"/>
      <c r="H351" s="59"/>
      <c r="J351" s="59"/>
      <c r="L351" s="59"/>
      <c r="N351" s="59"/>
      <c r="Q351" s="59"/>
      <c r="R351" s="61"/>
    </row>
    <row r="352">
      <c r="B352" s="59"/>
      <c r="D352" s="59"/>
      <c r="F352" s="59"/>
      <c r="H352" s="59"/>
      <c r="J352" s="59"/>
      <c r="L352" s="59"/>
      <c r="N352" s="59"/>
      <c r="Q352" s="59"/>
      <c r="R352" s="61"/>
    </row>
    <row r="353">
      <c r="B353" s="59"/>
      <c r="D353" s="59"/>
      <c r="F353" s="59"/>
      <c r="H353" s="59"/>
      <c r="J353" s="59"/>
      <c r="L353" s="59"/>
      <c r="N353" s="59"/>
      <c r="Q353" s="59"/>
      <c r="R353" s="61"/>
    </row>
    <row r="354">
      <c r="B354" s="59"/>
      <c r="D354" s="59"/>
      <c r="F354" s="59"/>
      <c r="H354" s="59"/>
      <c r="J354" s="59"/>
      <c r="L354" s="59"/>
      <c r="N354" s="59"/>
      <c r="Q354" s="59"/>
      <c r="R354" s="61"/>
    </row>
    <row r="355">
      <c r="B355" s="59"/>
      <c r="D355" s="59"/>
      <c r="F355" s="59"/>
      <c r="H355" s="59"/>
      <c r="J355" s="59"/>
      <c r="L355" s="59"/>
      <c r="N355" s="59"/>
      <c r="Q355" s="59"/>
      <c r="R355" s="61"/>
    </row>
    <row r="356">
      <c r="B356" s="59"/>
      <c r="D356" s="59"/>
      <c r="F356" s="59"/>
      <c r="H356" s="59"/>
      <c r="J356" s="59"/>
      <c r="L356" s="59"/>
      <c r="N356" s="59"/>
      <c r="Q356" s="59"/>
      <c r="R356" s="61"/>
    </row>
    <row r="357">
      <c r="B357" s="59"/>
      <c r="D357" s="59"/>
      <c r="F357" s="59"/>
      <c r="H357" s="59"/>
      <c r="J357" s="59"/>
      <c r="L357" s="59"/>
      <c r="N357" s="59"/>
      <c r="Q357" s="59"/>
      <c r="R357" s="61"/>
    </row>
    <row r="358">
      <c r="B358" s="59"/>
      <c r="D358" s="59"/>
      <c r="F358" s="59"/>
      <c r="H358" s="59"/>
      <c r="J358" s="59"/>
      <c r="L358" s="59"/>
      <c r="N358" s="59"/>
      <c r="Q358" s="59"/>
      <c r="R358" s="61"/>
    </row>
    <row r="359">
      <c r="B359" s="59"/>
      <c r="D359" s="59"/>
      <c r="F359" s="59"/>
      <c r="H359" s="59"/>
      <c r="J359" s="59"/>
      <c r="L359" s="59"/>
      <c r="N359" s="59"/>
      <c r="Q359" s="59"/>
      <c r="R359" s="61"/>
    </row>
    <row r="360">
      <c r="B360" s="59"/>
      <c r="D360" s="59"/>
      <c r="F360" s="59"/>
      <c r="H360" s="59"/>
      <c r="J360" s="59"/>
      <c r="L360" s="59"/>
      <c r="N360" s="59"/>
      <c r="Q360" s="59"/>
      <c r="R360" s="61"/>
    </row>
    <row r="361">
      <c r="B361" s="59"/>
      <c r="D361" s="59"/>
      <c r="F361" s="59"/>
      <c r="H361" s="59"/>
      <c r="J361" s="59"/>
      <c r="L361" s="59"/>
      <c r="N361" s="59"/>
      <c r="Q361" s="59"/>
      <c r="R361" s="61"/>
    </row>
    <row r="362">
      <c r="B362" s="59"/>
      <c r="D362" s="59"/>
      <c r="F362" s="59"/>
      <c r="H362" s="59"/>
      <c r="J362" s="59"/>
      <c r="L362" s="59"/>
      <c r="N362" s="59"/>
      <c r="Q362" s="59"/>
      <c r="R362" s="61"/>
    </row>
    <row r="363">
      <c r="B363" s="59"/>
      <c r="D363" s="59"/>
      <c r="F363" s="59"/>
      <c r="H363" s="59"/>
      <c r="J363" s="59"/>
      <c r="L363" s="59"/>
      <c r="N363" s="59"/>
      <c r="Q363" s="59"/>
      <c r="R363" s="61"/>
    </row>
    <row r="364">
      <c r="B364" s="59"/>
      <c r="D364" s="59"/>
      <c r="F364" s="59"/>
      <c r="H364" s="59"/>
      <c r="J364" s="59"/>
      <c r="L364" s="59"/>
      <c r="N364" s="59"/>
      <c r="Q364" s="59"/>
      <c r="R364" s="61"/>
    </row>
    <row r="365">
      <c r="B365" s="59"/>
      <c r="D365" s="59"/>
      <c r="F365" s="59"/>
      <c r="H365" s="59"/>
      <c r="J365" s="59"/>
      <c r="L365" s="59"/>
      <c r="N365" s="59"/>
      <c r="Q365" s="59"/>
      <c r="R365" s="61"/>
    </row>
    <row r="366">
      <c r="B366" s="59"/>
      <c r="D366" s="59"/>
      <c r="F366" s="59"/>
      <c r="H366" s="59"/>
      <c r="J366" s="59"/>
      <c r="L366" s="59"/>
      <c r="N366" s="59"/>
      <c r="Q366" s="59"/>
      <c r="R366" s="61"/>
    </row>
    <row r="367">
      <c r="B367" s="59"/>
      <c r="D367" s="59"/>
      <c r="F367" s="59"/>
      <c r="H367" s="59"/>
      <c r="J367" s="59"/>
      <c r="L367" s="59"/>
      <c r="N367" s="59"/>
      <c r="Q367" s="59"/>
      <c r="R367" s="61"/>
    </row>
    <row r="368">
      <c r="B368" s="59"/>
      <c r="D368" s="59"/>
      <c r="F368" s="59"/>
      <c r="H368" s="59"/>
      <c r="J368" s="59"/>
      <c r="L368" s="59"/>
      <c r="N368" s="59"/>
      <c r="Q368" s="59"/>
      <c r="R368" s="61"/>
    </row>
    <row r="369">
      <c r="B369" s="59"/>
      <c r="D369" s="59"/>
      <c r="F369" s="59"/>
      <c r="H369" s="59"/>
      <c r="J369" s="59"/>
      <c r="L369" s="59"/>
      <c r="N369" s="59"/>
      <c r="Q369" s="59"/>
      <c r="R369" s="61"/>
    </row>
    <row r="370">
      <c r="B370" s="59"/>
      <c r="D370" s="59"/>
      <c r="F370" s="59"/>
      <c r="H370" s="59"/>
      <c r="J370" s="59"/>
      <c r="L370" s="59"/>
      <c r="N370" s="59"/>
      <c r="Q370" s="59"/>
      <c r="R370" s="61"/>
    </row>
    <row r="371">
      <c r="B371" s="59"/>
      <c r="D371" s="59"/>
      <c r="F371" s="59"/>
      <c r="H371" s="59"/>
      <c r="J371" s="59"/>
      <c r="L371" s="59"/>
      <c r="N371" s="59"/>
      <c r="Q371" s="59"/>
      <c r="R371" s="61"/>
    </row>
    <row r="372">
      <c r="B372" s="59"/>
      <c r="D372" s="59"/>
      <c r="F372" s="59"/>
      <c r="H372" s="59"/>
      <c r="J372" s="59"/>
      <c r="L372" s="59"/>
      <c r="N372" s="59"/>
      <c r="Q372" s="59"/>
      <c r="R372" s="61"/>
    </row>
    <row r="373">
      <c r="B373" s="59"/>
      <c r="D373" s="59"/>
      <c r="F373" s="59"/>
      <c r="H373" s="59"/>
      <c r="J373" s="59"/>
      <c r="L373" s="59"/>
      <c r="N373" s="59"/>
      <c r="Q373" s="59"/>
      <c r="R373" s="61"/>
    </row>
    <row r="374">
      <c r="B374" s="59"/>
      <c r="D374" s="59"/>
      <c r="F374" s="59"/>
      <c r="H374" s="59"/>
      <c r="J374" s="59"/>
      <c r="L374" s="59"/>
      <c r="N374" s="59"/>
      <c r="Q374" s="59"/>
      <c r="R374" s="61"/>
    </row>
    <row r="375">
      <c r="B375" s="59"/>
      <c r="D375" s="59"/>
      <c r="F375" s="59"/>
      <c r="H375" s="59"/>
      <c r="J375" s="59"/>
      <c r="L375" s="59"/>
      <c r="N375" s="59"/>
      <c r="Q375" s="59"/>
      <c r="R375" s="61"/>
    </row>
    <row r="376">
      <c r="B376" s="59"/>
      <c r="D376" s="59"/>
      <c r="F376" s="59"/>
      <c r="H376" s="59"/>
      <c r="J376" s="59"/>
      <c r="L376" s="59"/>
      <c r="N376" s="59"/>
      <c r="Q376" s="59"/>
      <c r="R376" s="61"/>
    </row>
    <row r="377">
      <c r="B377" s="59"/>
      <c r="D377" s="59"/>
      <c r="F377" s="59"/>
      <c r="H377" s="59"/>
      <c r="J377" s="59"/>
      <c r="L377" s="59"/>
      <c r="N377" s="59"/>
      <c r="Q377" s="59"/>
      <c r="R377" s="61"/>
    </row>
    <row r="378">
      <c r="B378" s="59"/>
      <c r="D378" s="59"/>
      <c r="F378" s="59"/>
      <c r="H378" s="59"/>
      <c r="J378" s="59"/>
      <c r="L378" s="59"/>
      <c r="N378" s="59"/>
      <c r="Q378" s="59"/>
      <c r="R378" s="61"/>
    </row>
    <row r="379">
      <c r="B379" s="59"/>
      <c r="D379" s="59"/>
      <c r="F379" s="59"/>
      <c r="H379" s="59"/>
      <c r="J379" s="59"/>
      <c r="L379" s="59"/>
      <c r="N379" s="59"/>
      <c r="Q379" s="59"/>
      <c r="R379" s="61"/>
    </row>
    <row r="380">
      <c r="B380" s="59"/>
      <c r="D380" s="59"/>
      <c r="F380" s="59"/>
      <c r="H380" s="59"/>
      <c r="J380" s="59"/>
      <c r="L380" s="59"/>
      <c r="N380" s="59"/>
      <c r="Q380" s="59"/>
      <c r="R380" s="61"/>
    </row>
    <row r="381">
      <c r="B381" s="59"/>
      <c r="D381" s="59"/>
      <c r="F381" s="59"/>
      <c r="H381" s="59"/>
      <c r="J381" s="59"/>
      <c r="L381" s="59"/>
      <c r="N381" s="59"/>
      <c r="Q381" s="59"/>
      <c r="R381" s="61"/>
    </row>
    <row r="382">
      <c r="B382" s="59"/>
      <c r="D382" s="59"/>
      <c r="F382" s="59"/>
      <c r="H382" s="59"/>
      <c r="J382" s="59"/>
      <c r="L382" s="59"/>
      <c r="N382" s="59"/>
      <c r="Q382" s="59"/>
      <c r="R382" s="61"/>
    </row>
    <row r="383">
      <c r="B383" s="59"/>
      <c r="D383" s="59"/>
      <c r="F383" s="59"/>
      <c r="H383" s="59"/>
      <c r="J383" s="59"/>
      <c r="L383" s="59"/>
      <c r="N383" s="59"/>
      <c r="Q383" s="59"/>
      <c r="R383" s="61"/>
    </row>
    <row r="384">
      <c r="B384" s="59"/>
      <c r="D384" s="59"/>
      <c r="F384" s="59"/>
      <c r="H384" s="59"/>
      <c r="J384" s="59"/>
      <c r="L384" s="59"/>
      <c r="N384" s="59"/>
      <c r="Q384" s="59"/>
      <c r="R384" s="61"/>
    </row>
    <row r="385">
      <c r="B385" s="59"/>
      <c r="D385" s="59"/>
      <c r="F385" s="59"/>
      <c r="H385" s="59"/>
      <c r="J385" s="59"/>
      <c r="L385" s="59"/>
      <c r="N385" s="59"/>
      <c r="Q385" s="59"/>
      <c r="R385" s="61"/>
    </row>
    <row r="386">
      <c r="B386" s="59"/>
      <c r="D386" s="59"/>
      <c r="F386" s="59"/>
      <c r="H386" s="59"/>
      <c r="J386" s="59"/>
      <c r="L386" s="59"/>
      <c r="N386" s="59"/>
      <c r="Q386" s="59"/>
      <c r="R386" s="61"/>
    </row>
    <row r="387">
      <c r="B387" s="59"/>
      <c r="D387" s="59"/>
      <c r="F387" s="59"/>
      <c r="H387" s="59"/>
      <c r="J387" s="59"/>
      <c r="L387" s="59"/>
      <c r="N387" s="59"/>
      <c r="Q387" s="59"/>
      <c r="R387" s="61"/>
    </row>
    <row r="388">
      <c r="B388" s="59"/>
      <c r="D388" s="59"/>
      <c r="F388" s="59"/>
      <c r="H388" s="59"/>
      <c r="J388" s="59"/>
      <c r="L388" s="59"/>
      <c r="N388" s="59"/>
      <c r="Q388" s="59"/>
      <c r="R388" s="61"/>
    </row>
    <row r="389">
      <c r="B389" s="59"/>
      <c r="D389" s="59"/>
      <c r="F389" s="59"/>
      <c r="H389" s="59"/>
      <c r="J389" s="59"/>
      <c r="L389" s="59"/>
      <c r="N389" s="59"/>
      <c r="Q389" s="59"/>
      <c r="R389" s="61"/>
    </row>
    <row r="390">
      <c r="B390" s="59"/>
      <c r="D390" s="59"/>
      <c r="F390" s="59"/>
      <c r="H390" s="59"/>
      <c r="J390" s="59"/>
      <c r="L390" s="59"/>
      <c r="N390" s="59"/>
      <c r="Q390" s="59"/>
      <c r="R390" s="61"/>
    </row>
    <row r="391">
      <c r="B391" s="59"/>
      <c r="D391" s="59"/>
      <c r="F391" s="59"/>
      <c r="H391" s="59"/>
      <c r="J391" s="59"/>
      <c r="L391" s="59"/>
      <c r="N391" s="59"/>
      <c r="Q391" s="59"/>
      <c r="R391" s="61"/>
    </row>
    <row r="392">
      <c r="B392" s="59"/>
      <c r="D392" s="59"/>
      <c r="F392" s="59"/>
      <c r="H392" s="59"/>
      <c r="J392" s="59"/>
      <c r="L392" s="59"/>
      <c r="N392" s="59"/>
      <c r="Q392" s="59"/>
      <c r="R392" s="61"/>
    </row>
    <row r="393">
      <c r="B393" s="59"/>
      <c r="D393" s="59"/>
      <c r="F393" s="59"/>
      <c r="H393" s="59"/>
      <c r="J393" s="59"/>
      <c r="L393" s="59"/>
      <c r="N393" s="59"/>
      <c r="Q393" s="59"/>
      <c r="R393" s="61"/>
    </row>
    <row r="394">
      <c r="B394" s="59"/>
      <c r="D394" s="59"/>
      <c r="F394" s="59"/>
      <c r="H394" s="59"/>
      <c r="J394" s="59"/>
      <c r="L394" s="59"/>
      <c r="N394" s="59"/>
      <c r="Q394" s="59"/>
      <c r="R394" s="61"/>
    </row>
    <row r="395">
      <c r="B395" s="59"/>
      <c r="D395" s="59"/>
      <c r="F395" s="59"/>
      <c r="H395" s="59"/>
      <c r="J395" s="59"/>
      <c r="L395" s="59"/>
      <c r="N395" s="59"/>
      <c r="Q395" s="59"/>
      <c r="R395" s="61"/>
    </row>
    <row r="396">
      <c r="B396" s="59"/>
      <c r="D396" s="59"/>
      <c r="F396" s="59"/>
      <c r="H396" s="59"/>
      <c r="J396" s="59"/>
      <c r="L396" s="59"/>
      <c r="N396" s="59"/>
      <c r="Q396" s="59"/>
      <c r="R396" s="61"/>
    </row>
    <row r="397">
      <c r="B397" s="59"/>
      <c r="D397" s="59"/>
      <c r="F397" s="59"/>
      <c r="H397" s="59"/>
      <c r="J397" s="59"/>
      <c r="L397" s="59"/>
      <c r="N397" s="59"/>
      <c r="Q397" s="59"/>
      <c r="R397" s="61"/>
    </row>
    <row r="398">
      <c r="B398" s="59"/>
      <c r="D398" s="59"/>
      <c r="F398" s="59"/>
      <c r="H398" s="59"/>
      <c r="J398" s="59"/>
      <c r="L398" s="59"/>
      <c r="N398" s="59"/>
      <c r="Q398" s="59"/>
      <c r="R398" s="61"/>
    </row>
    <row r="399">
      <c r="B399" s="59"/>
      <c r="D399" s="59"/>
      <c r="F399" s="59"/>
      <c r="H399" s="59"/>
      <c r="J399" s="59"/>
      <c r="L399" s="59"/>
      <c r="N399" s="59"/>
      <c r="Q399" s="59"/>
      <c r="R399" s="61"/>
    </row>
    <row r="400">
      <c r="B400" s="59"/>
      <c r="D400" s="59"/>
      <c r="F400" s="59"/>
      <c r="H400" s="59"/>
      <c r="J400" s="59"/>
      <c r="L400" s="59"/>
      <c r="N400" s="59"/>
      <c r="Q400" s="59"/>
      <c r="R400" s="61"/>
    </row>
    <row r="401">
      <c r="B401" s="59"/>
      <c r="D401" s="59"/>
      <c r="F401" s="59"/>
      <c r="H401" s="59"/>
      <c r="J401" s="59"/>
      <c r="L401" s="59"/>
      <c r="N401" s="59"/>
      <c r="Q401" s="59"/>
      <c r="R401" s="61"/>
    </row>
    <row r="402">
      <c r="B402" s="59"/>
      <c r="D402" s="59"/>
      <c r="F402" s="59"/>
      <c r="H402" s="59"/>
      <c r="J402" s="59"/>
      <c r="L402" s="59"/>
      <c r="N402" s="59"/>
      <c r="Q402" s="59"/>
      <c r="R402" s="61"/>
    </row>
    <row r="403">
      <c r="B403" s="59"/>
      <c r="D403" s="59"/>
      <c r="F403" s="59"/>
      <c r="H403" s="59"/>
      <c r="J403" s="59"/>
      <c r="L403" s="59"/>
      <c r="N403" s="59"/>
      <c r="Q403" s="59"/>
      <c r="R403" s="61"/>
    </row>
    <row r="404">
      <c r="B404" s="59"/>
      <c r="D404" s="59"/>
      <c r="F404" s="59"/>
      <c r="H404" s="59"/>
      <c r="J404" s="59"/>
      <c r="L404" s="59"/>
      <c r="N404" s="59"/>
      <c r="Q404" s="59"/>
      <c r="R404" s="61"/>
    </row>
    <row r="405">
      <c r="B405" s="59"/>
      <c r="D405" s="59"/>
      <c r="F405" s="59"/>
      <c r="H405" s="59"/>
      <c r="J405" s="59"/>
      <c r="L405" s="59"/>
      <c r="N405" s="59"/>
      <c r="Q405" s="59"/>
      <c r="R405" s="61"/>
    </row>
    <row r="406">
      <c r="B406" s="59"/>
      <c r="D406" s="59"/>
      <c r="F406" s="59"/>
      <c r="H406" s="59"/>
      <c r="J406" s="59"/>
      <c r="L406" s="59"/>
      <c r="N406" s="59"/>
      <c r="Q406" s="59"/>
      <c r="R406" s="61"/>
    </row>
    <row r="407">
      <c r="B407" s="59"/>
      <c r="D407" s="59"/>
      <c r="F407" s="59"/>
      <c r="H407" s="59"/>
      <c r="J407" s="59"/>
      <c r="L407" s="59"/>
      <c r="N407" s="59"/>
      <c r="Q407" s="59"/>
      <c r="R407" s="61"/>
    </row>
    <row r="408">
      <c r="B408" s="59"/>
      <c r="D408" s="59"/>
      <c r="F408" s="59"/>
      <c r="H408" s="59"/>
      <c r="J408" s="59"/>
      <c r="L408" s="59"/>
      <c r="N408" s="59"/>
      <c r="Q408" s="59"/>
      <c r="R408" s="61"/>
    </row>
    <row r="409">
      <c r="B409" s="59"/>
      <c r="D409" s="59"/>
      <c r="F409" s="59"/>
      <c r="H409" s="59"/>
      <c r="J409" s="59"/>
      <c r="L409" s="59"/>
      <c r="N409" s="59"/>
      <c r="Q409" s="59"/>
      <c r="R409" s="61"/>
    </row>
    <row r="410">
      <c r="B410" s="59"/>
      <c r="D410" s="59"/>
      <c r="F410" s="59"/>
      <c r="H410" s="59"/>
      <c r="J410" s="59"/>
      <c r="L410" s="59"/>
      <c r="N410" s="59"/>
      <c r="Q410" s="59"/>
      <c r="R410" s="61"/>
    </row>
    <row r="411">
      <c r="B411" s="59"/>
      <c r="D411" s="59"/>
      <c r="F411" s="59"/>
      <c r="H411" s="59"/>
      <c r="J411" s="59"/>
      <c r="L411" s="59"/>
      <c r="N411" s="59"/>
      <c r="Q411" s="59"/>
      <c r="R411" s="61"/>
    </row>
    <row r="412">
      <c r="B412" s="59"/>
      <c r="D412" s="59"/>
      <c r="F412" s="59"/>
      <c r="H412" s="59"/>
      <c r="J412" s="59"/>
      <c r="L412" s="59"/>
      <c r="N412" s="59"/>
      <c r="Q412" s="59"/>
      <c r="R412" s="61"/>
    </row>
    <row r="413">
      <c r="B413" s="59"/>
      <c r="D413" s="59"/>
      <c r="F413" s="59"/>
      <c r="H413" s="59"/>
      <c r="J413" s="59"/>
      <c r="L413" s="59"/>
      <c r="N413" s="59"/>
      <c r="Q413" s="59"/>
      <c r="R413" s="61"/>
    </row>
    <row r="414">
      <c r="B414" s="59"/>
      <c r="D414" s="59"/>
      <c r="F414" s="59"/>
      <c r="H414" s="59"/>
      <c r="J414" s="59"/>
      <c r="L414" s="59"/>
      <c r="N414" s="59"/>
      <c r="Q414" s="59"/>
      <c r="R414" s="61"/>
    </row>
    <row r="415">
      <c r="B415" s="59"/>
      <c r="D415" s="59"/>
      <c r="F415" s="59"/>
      <c r="H415" s="59"/>
      <c r="J415" s="59"/>
      <c r="L415" s="59"/>
      <c r="N415" s="59"/>
      <c r="Q415" s="59"/>
      <c r="R415" s="61"/>
    </row>
    <row r="416">
      <c r="B416" s="59"/>
      <c r="D416" s="59"/>
      <c r="F416" s="59"/>
      <c r="H416" s="59"/>
      <c r="J416" s="59"/>
      <c r="L416" s="59"/>
      <c r="N416" s="59"/>
      <c r="Q416" s="59"/>
      <c r="R416" s="61"/>
    </row>
    <row r="417">
      <c r="B417" s="59"/>
      <c r="D417" s="59"/>
      <c r="F417" s="59"/>
      <c r="H417" s="59"/>
      <c r="J417" s="59"/>
      <c r="L417" s="59"/>
      <c r="N417" s="59"/>
      <c r="Q417" s="59"/>
      <c r="R417" s="61"/>
    </row>
    <row r="418">
      <c r="B418" s="59"/>
      <c r="D418" s="59"/>
      <c r="F418" s="59"/>
      <c r="H418" s="59"/>
      <c r="J418" s="59"/>
      <c r="L418" s="59"/>
      <c r="N418" s="59"/>
      <c r="Q418" s="59"/>
      <c r="R418" s="61"/>
    </row>
    <row r="419">
      <c r="B419" s="59"/>
      <c r="D419" s="59"/>
      <c r="F419" s="59"/>
      <c r="H419" s="59"/>
      <c r="J419" s="59"/>
      <c r="L419" s="59"/>
      <c r="N419" s="59"/>
      <c r="Q419" s="59"/>
      <c r="R419" s="61"/>
    </row>
    <row r="420">
      <c r="B420" s="59"/>
      <c r="D420" s="59"/>
      <c r="F420" s="59"/>
      <c r="H420" s="59"/>
      <c r="J420" s="59"/>
      <c r="L420" s="59"/>
      <c r="N420" s="59"/>
      <c r="Q420" s="59"/>
      <c r="R420" s="61"/>
    </row>
    <row r="421">
      <c r="B421" s="59"/>
      <c r="D421" s="59"/>
      <c r="F421" s="59"/>
      <c r="H421" s="59"/>
      <c r="J421" s="59"/>
      <c r="L421" s="59"/>
      <c r="N421" s="59"/>
      <c r="Q421" s="59"/>
      <c r="R421" s="61"/>
    </row>
    <row r="422">
      <c r="B422" s="59"/>
      <c r="D422" s="59"/>
      <c r="F422" s="59"/>
      <c r="H422" s="59"/>
      <c r="J422" s="59"/>
      <c r="L422" s="59"/>
      <c r="N422" s="59"/>
      <c r="Q422" s="59"/>
      <c r="R422" s="61"/>
    </row>
    <row r="423">
      <c r="B423" s="59"/>
      <c r="D423" s="59"/>
      <c r="F423" s="59"/>
      <c r="H423" s="59"/>
      <c r="J423" s="59"/>
      <c r="L423" s="59"/>
      <c r="N423" s="59"/>
      <c r="Q423" s="59"/>
      <c r="R423" s="61"/>
    </row>
    <row r="424">
      <c r="B424" s="59"/>
      <c r="D424" s="59"/>
      <c r="F424" s="59"/>
      <c r="H424" s="59"/>
      <c r="J424" s="59"/>
      <c r="L424" s="59"/>
      <c r="N424" s="59"/>
      <c r="Q424" s="59"/>
      <c r="R424" s="61"/>
    </row>
    <row r="425">
      <c r="B425" s="59"/>
      <c r="D425" s="59"/>
      <c r="F425" s="59"/>
      <c r="H425" s="59"/>
      <c r="J425" s="59"/>
      <c r="L425" s="59"/>
      <c r="N425" s="59"/>
      <c r="Q425" s="59"/>
      <c r="R425" s="61"/>
    </row>
    <row r="426">
      <c r="B426" s="59"/>
      <c r="D426" s="59"/>
      <c r="F426" s="59"/>
      <c r="H426" s="59"/>
      <c r="J426" s="59"/>
      <c r="L426" s="59"/>
      <c r="N426" s="59"/>
      <c r="Q426" s="59"/>
      <c r="R426" s="61"/>
    </row>
    <row r="427">
      <c r="B427" s="59"/>
      <c r="D427" s="59"/>
      <c r="F427" s="59"/>
      <c r="H427" s="59"/>
      <c r="J427" s="59"/>
      <c r="L427" s="59"/>
      <c r="N427" s="59"/>
      <c r="Q427" s="59"/>
      <c r="R427" s="61"/>
    </row>
    <row r="428">
      <c r="B428" s="59"/>
      <c r="D428" s="59"/>
      <c r="F428" s="59"/>
      <c r="H428" s="59"/>
      <c r="J428" s="59"/>
      <c r="L428" s="59"/>
      <c r="N428" s="59"/>
      <c r="Q428" s="59"/>
      <c r="R428" s="61"/>
    </row>
    <row r="429">
      <c r="B429" s="59"/>
      <c r="D429" s="59"/>
      <c r="F429" s="59"/>
      <c r="H429" s="59"/>
      <c r="J429" s="59"/>
      <c r="L429" s="59"/>
      <c r="N429" s="59"/>
      <c r="Q429" s="59"/>
      <c r="R429" s="61"/>
    </row>
    <row r="430">
      <c r="B430" s="59"/>
      <c r="D430" s="59"/>
      <c r="F430" s="59"/>
      <c r="H430" s="59"/>
      <c r="J430" s="59"/>
      <c r="L430" s="59"/>
      <c r="N430" s="59"/>
      <c r="Q430" s="59"/>
      <c r="R430" s="61"/>
    </row>
    <row r="431">
      <c r="B431" s="59"/>
      <c r="D431" s="59"/>
      <c r="F431" s="59"/>
      <c r="H431" s="59"/>
      <c r="J431" s="59"/>
      <c r="L431" s="59"/>
      <c r="N431" s="59"/>
      <c r="Q431" s="59"/>
      <c r="R431" s="61"/>
    </row>
    <row r="432">
      <c r="B432" s="59"/>
      <c r="D432" s="59"/>
      <c r="F432" s="59"/>
      <c r="H432" s="59"/>
      <c r="J432" s="59"/>
      <c r="L432" s="59"/>
      <c r="N432" s="59"/>
      <c r="Q432" s="59"/>
      <c r="R432" s="61"/>
    </row>
    <row r="433">
      <c r="B433" s="59"/>
      <c r="D433" s="59"/>
      <c r="F433" s="59"/>
      <c r="H433" s="59"/>
      <c r="J433" s="59"/>
      <c r="L433" s="59"/>
      <c r="N433" s="59"/>
      <c r="Q433" s="59"/>
      <c r="R433" s="61"/>
    </row>
    <row r="434">
      <c r="B434" s="59"/>
      <c r="D434" s="59"/>
      <c r="F434" s="59"/>
      <c r="H434" s="59"/>
      <c r="J434" s="59"/>
      <c r="L434" s="59"/>
      <c r="N434" s="59"/>
      <c r="Q434" s="59"/>
      <c r="R434" s="61"/>
    </row>
    <row r="435">
      <c r="B435" s="59"/>
      <c r="D435" s="59"/>
      <c r="F435" s="59"/>
      <c r="H435" s="59"/>
      <c r="J435" s="59"/>
      <c r="L435" s="59"/>
      <c r="N435" s="59"/>
      <c r="Q435" s="59"/>
      <c r="R435" s="61"/>
    </row>
    <row r="436">
      <c r="B436" s="59"/>
      <c r="D436" s="59"/>
      <c r="F436" s="59"/>
      <c r="H436" s="59"/>
      <c r="J436" s="59"/>
      <c r="L436" s="59"/>
      <c r="N436" s="59"/>
      <c r="Q436" s="59"/>
      <c r="R436" s="61"/>
    </row>
    <row r="437">
      <c r="B437" s="59"/>
      <c r="D437" s="59"/>
      <c r="F437" s="59"/>
      <c r="H437" s="59"/>
      <c r="J437" s="59"/>
      <c r="L437" s="59"/>
      <c r="N437" s="59"/>
      <c r="Q437" s="59"/>
      <c r="R437" s="61"/>
    </row>
    <row r="438">
      <c r="B438" s="59"/>
      <c r="D438" s="59"/>
      <c r="F438" s="59"/>
      <c r="H438" s="59"/>
      <c r="J438" s="59"/>
      <c r="L438" s="59"/>
      <c r="N438" s="59"/>
      <c r="Q438" s="59"/>
      <c r="R438" s="61"/>
    </row>
    <row r="439">
      <c r="B439" s="59"/>
      <c r="D439" s="59"/>
      <c r="F439" s="59"/>
      <c r="H439" s="59"/>
      <c r="J439" s="59"/>
      <c r="L439" s="59"/>
      <c r="N439" s="59"/>
      <c r="Q439" s="59"/>
      <c r="R439" s="61"/>
    </row>
    <row r="440">
      <c r="B440" s="59"/>
      <c r="D440" s="59"/>
      <c r="F440" s="59"/>
      <c r="H440" s="59"/>
      <c r="J440" s="59"/>
      <c r="L440" s="59"/>
      <c r="N440" s="59"/>
      <c r="Q440" s="59"/>
      <c r="R440" s="61"/>
    </row>
    <row r="441">
      <c r="B441" s="59"/>
      <c r="D441" s="59"/>
      <c r="F441" s="59"/>
      <c r="H441" s="59"/>
      <c r="J441" s="59"/>
      <c r="L441" s="59"/>
      <c r="N441" s="59"/>
      <c r="Q441" s="59"/>
      <c r="R441" s="61"/>
    </row>
    <row r="442">
      <c r="B442" s="59"/>
      <c r="D442" s="59"/>
      <c r="F442" s="59"/>
      <c r="H442" s="59"/>
      <c r="J442" s="59"/>
      <c r="L442" s="59"/>
      <c r="N442" s="59"/>
      <c r="Q442" s="59"/>
      <c r="R442" s="61"/>
    </row>
    <row r="443">
      <c r="B443" s="59"/>
      <c r="D443" s="59"/>
      <c r="F443" s="59"/>
      <c r="H443" s="59"/>
      <c r="J443" s="59"/>
      <c r="L443" s="59"/>
      <c r="N443" s="59"/>
      <c r="Q443" s="59"/>
      <c r="R443" s="61"/>
    </row>
    <row r="444">
      <c r="B444" s="59"/>
      <c r="D444" s="59"/>
      <c r="F444" s="59"/>
      <c r="H444" s="59"/>
      <c r="J444" s="59"/>
      <c r="L444" s="59"/>
      <c r="N444" s="59"/>
      <c r="Q444" s="59"/>
      <c r="R444" s="61"/>
    </row>
    <row r="445">
      <c r="B445" s="59"/>
      <c r="D445" s="59"/>
      <c r="F445" s="59"/>
      <c r="H445" s="59"/>
      <c r="J445" s="59"/>
      <c r="L445" s="59"/>
      <c r="N445" s="59"/>
      <c r="Q445" s="59"/>
      <c r="R445" s="61"/>
    </row>
    <row r="446">
      <c r="B446" s="59"/>
      <c r="D446" s="59"/>
      <c r="F446" s="59"/>
      <c r="H446" s="59"/>
      <c r="J446" s="59"/>
      <c r="L446" s="59"/>
      <c r="N446" s="59"/>
      <c r="Q446" s="59"/>
      <c r="R446" s="61"/>
    </row>
    <row r="447">
      <c r="B447" s="59"/>
      <c r="D447" s="59"/>
      <c r="F447" s="59"/>
      <c r="H447" s="59"/>
      <c r="J447" s="59"/>
      <c r="L447" s="59"/>
      <c r="N447" s="59"/>
      <c r="Q447" s="59"/>
      <c r="R447" s="61"/>
    </row>
    <row r="448">
      <c r="B448" s="59"/>
      <c r="D448" s="59"/>
      <c r="F448" s="59"/>
      <c r="H448" s="59"/>
      <c r="J448" s="59"/>
      <c r="L448" s="59"/>
      <c r="N448" s="59"/>
      <c r="Q448" s="59"/>
      <c r="R448" s="61"/>
    </row>
    <row r="449">
      <c r="B449" s="59"/>
      <c r="D449" s="59"/>
      <c r="F449" s="59"/>
      <c r="H449" s="59"/>
      <c r="J449" s="59"/>
      <c r="L449" s="59"/>
      <c r="N449" s="59"/>
      <c r="Q449" s="59"/>
      <c r="R449" s="61"/>
    </row>
    <row r="450">
      <c r="B450" s="59"/>
      <c r="D450" s="59"/>
      <c r="F450" s="59"/>
      <c r="H450" s="59"/>
      <c r="J450" s="59"/>
      <c r="L450" s="59"/>
      <c r="N450" s="59"/>
      <c r="Q450" s="59"/>
      <c r="R450" s="61"/>
    </row>
    <row r="451">
      <c r="B451" s="59"/>
      <c r="D451" s="59"/>
      <c r="F451" s="59"/>
      <c r="H451" s="59"/>
      <c r="J451" s="59"/>
      <c r="L451" s="59"/>
      <c r="N451" s="59"/>
      <c r="Q451" s="59"/>
      <c r="R451" s="61"/>
    </row>
    <row r="452">
      <c r="B452" s="59"/>
      <c r="D452" s="59"/>
      <c r="F452" s="59"/>
      <c r="H452" s="59"/>
      <c r="J452" s="59"/>
      <c r="L452" s="59"/>
      <c r="N452" s="59"/>
      <c r="Q452" s="59"/>
      <c r="R452" s="61"/>
    </row>
    <row r="453">
      <c r="B453" s="59"/>
      <c r="D453" s="59"/>
      <c r="F453" s="59"/>
      <c r="H453" s="59"/>
      <c r="J453" s="59"/>
      <c r="L453" s="59"/>
      <c r="N453" s="59"/>
      <c r="Q453" s="59"/>
      <c r="R453" s="61"/>
    </row>
    <row r="454">
      <c r="B454" s="59"/>
      <c r="D454" s="59"/>
      <c r="F454" s="59"/>
      <c r="H454" s="59"/>
      <c r="J454" s="59"/>
      <c r="L454" s="59"/>
      <c r="N454" s="59"/>
      <c r="Q454" s="59"/>
      <c r="R454" s="61"/>
    </row>
    <row r="455">
      <c r="B455" s="59"/>
      <c r="D455" s="59"/>
      <c r="F455" s="59"/>
      <c r="H455" s="59"/>
      <c r="J455" s="59"/>
      <c r="L455" s="59"/>
      <c r="N455" s="59"/>
      <c r="Q455" s="59"/>
      <c r="R455" s="61"/>
    </row>
    <row r="456">
      <c r="B456" s="59"/>
      <c r="D456" s="59"/>
      <c r="F456" s="59"/>
      <c r="H456" s="59"/>
      <c r="J456" s="59"/>
      <c r="L456" s="59"/>
      <c r="N456" s="59"/>
      <c r="Q456" s="59"/>
      <c r="R456" s="61"/>
    </row>
    <row r="457">
      <c r="B457" s="59"/>
      <c r="D457" s="59"/>
      <c r="F457" s="59"/>
      <c r="H457" s="59"/>
      <c r="J457" s="59"/>
      <c r="L457" s="59"/>
      <c r="N457" s="59"/>
      <c r="Q457" s="59"/>
      <c r="R457" s="61"/>
    </row>
    <row r="458">
      <c r="B458" s="59"/>
      <c r="D458" s="59"/>
      <c r="F458" s="59"/>
      <c r="H458" s="59"/>
      <c r="J458" s="59"/>
      <c r="L458" s="59"/>
      <c r="N458" s="59"/>
      <c r="Q458" s="59"/>
      <c r="R458" s="61"/>
    </row>
    <row r="459">
      <c r="B459" s="59"/>
      <c r="D459" s="59"/>
      <c r="F459" s="59"/>
      <c r="H459" s="59"/>
      <c r="J459" s="59"/>
      <c r="L459" s="59"/>
      <c r="N459" s="59"/>
      <c r="Q459" s="59"/>
      <c r="R459" s="61"/>
    </row>
    <row r="460">
      <c r="B460" s="59"/>
      <c r="D460" s="59"/>
      <c r="F460" s="59"/>
      <c r="H460" s="59"/>
      <c r="J460" s="59"/>
      <c r="L460" s="59"/>
      <c r="N460" s="59"/>
      <c r="Q460" s="59"/>
      <c r="R460" s="61"/>
    </row>
    <row r="461">
      <c r="B461" s="59"/>
      <c r="D461" s="59"/>
      <c r="F461" s="59"/>
      <c r="H461" s="59"/>
      <c r="J461" s="59"/>
      <c r="L461" s="59"/>
      <c r="N461" s="59"/>
      <c r="Q461" s="59"/>
      <c r="R461" s="61"/>
    </row>
    <row r="462">
      <c r="B462" s="59"/>
      <c r="D462" s="59"/>
      <c r="F462" s="59"/>
      <c r="H462" s="59"/>
      <c r="J462" s="59"/>
      <c r="L462" s="59"/>
      <c r="N462" s="59"/>
      <c r="Q462" s="59"/>
      <c r="R462" s="61"/>
    </row>
    <row r="463">
      <c r="B463" s="59"/>
      <c r="D463" s="59"/>
      <c r="F463" s="59"/>
      <c r="H463" s="59"/>
      <c r="J463" s="59"/>
      <c r="L463" s="59"/>
      <c r="N463" s="59"/>
      <c r="Q463" s="59"/>
      <c r="R463" s="61"/>
    </row>
    <row r="464">
      <c r="B464" s="59"/>
      <c r="D464" s="59"/>
      <c r="F464" s="59"/>
      <c r="H464" s="59"/>
      <c r="J464" s="59"/>
      <c r="L464" s="59"/>
      <c r="N464" s="59"/>
      <c r="Q464" s="59"/>
      <c r="R464" s="61"/>
    </row>
    <row r="465">
      <c r="B465" s="59"/>
      <c r="D465" s="59"/>
      <c r="F465" s="59"/>
      <c r="H465" s="59"/>
      <c r="J465" s="59"/>
      <c r="L465" s="59"/>
      <c r="N465" s="59"/>
      <c r="Q465" s="59"/>
      <c r="R465" s="61"/>
    </row>
    <row r="466">
      <c r="B466" s="59"/>
      <c r="D466" s="59"/>
      <c r="F466" s="59"/>
      <c r="H466" s="59"/>
      <c r="J466" s="59"/>
      <c r="L466" s="59"/>
      <c r="N466" s="59"/>
      <c r="Q466" s="59"/>
      <c r="R466" s="61"/>
    </row>
    <row r="467">
      <c r="B467" s="59"/>
      <c r="D467" s="59"/>
      <c r="F467" s="59"/>
      <c r="H467" s="59"/>
      <c r="J467" s="59"/>
      <c r="L467" s="59"/>
      <c r="N467" s="59"/>
      <c r="Q467" s="59"/>
      <c r="R467" s="61"/>
    </row>
    <row r="468">
      <c r="B468" s="59"/>
      <c r="D468" s="59"/>
      <c r="F468" s="59"/>
      <c r="H468" s="59"/>
      <c r="J468" s="59"/>
      <c r="L468" s="59"/>
      <c r="N468" s="59"/>
      <c r="Q468" s="59"/>
      <c r="R468" s="61"/>
    </row>
    <row r="469">
      <c r="B469" s="59"/>
      <c r="D469" s="59"/>
      <c r="F469" s="59"/>
      <c r="H469" s="59"/>
      <c r="J469" s="59"/>
      <c r="L469" s="59"/>
      <c r="N469" s="59"/>
      <c r="Q469" s="59"/>
      <c r="R469" s="61"/>
    </row>
    <row r="470">
      <c r="B470" s="59"/>
      <c r="D470" s="59"/>
      <c r="F470" s="59"/>
      <c r="H470" s="59"/>
      <c r="J470" s="59"/>
      <c r="L470" s="59"/>
      <c r="N470" s="59"/>
      <c r="Q470" s="59"/>
      <c r="R470" s="61"/>
    </row>
    <row r="471">
      <c r="B471" s="59"/>
      <c r="D471" s="59"/>
      <c r="F471" s="59"/>
      <c r="H471" s="59"/>
      <c r="J471" s="59"/>
      <c r="L471" s="59"/>
      <c r="N471" s="59"/>
      <c r="Q471" s="59"/>
      <c r="R471" s="61"/>
    </row>
    <row r="472">
      <c r="B472" s="59"/>
      <c r="D472" s="59"/>
      <c r="F472" s="59"/>
      <c r="H472" s="59"/>
      <c r="J472" s="59"/>
      <c r="L472" s="59"/>
      <c r="N472" s="59"/>
      <c r="Q472" s="59"/>
      <c r="R472" s="61"/>
    </row>
    <row r="473">
      <c r="B473" s="59"/>
      <c r="D473" s="59"/>
      <c r="F473" s="59"/>
      <c r="H473" s="59"/>
      <c r="J473" s="59"/>
      <c r="L473" s="59"/>
      <c r="N473" s="59"/>
      <c r="Q473" s="59"/>
      <c r="R473" s="61"/>
    </row>
    <row r="474">
      <c r="B474" s="59"/>
      <c r="D474" s="59"/>
      <c r="F474" s="59"/>
      <c r="H474" s="59"/>
      <c r="J474" s="59"/>
      <c r="L474" s="59"/>
      <c r="N474" s="59"/>
      <c r="Q474" s="59"/>
      <c r="R474" s="61"/>
    </row>
    <row r="475">
      <c r="B475" s="59"/>
      <c r="D475" s="59"/>
      <c r="F475" s="59"/>
      <c r="H475" s="59"/>
      <c r="J475" s="59"/>
      <c r="L475" s="59"/>
      <c r="N475" s="59"/>
      <c r="Q475" s="59"/>
      <c r="R475" s="61"/>
    </row>
    <row r="476">
      <c r="B476" s="59"/>
      <c r="D476" s="59"/>
      <c r="F476" s="59"/>
      <c r="H476" s="59"/>
      <c r="J476" s="59"/>
      <c r="L476" s="59"/>
      <c r="N476" s="59"/>
      <c r="Q476" s="59"/>
      <c r="R476" s="61"/>
    </row>
    <row r="477">
      <c r="B477" s="59"/>
      <c r="D477" s="59"/>
      <c r="F477" s="59"/>
      <c r="H477" s="59"/>
      <c r="J477" s="59"/>
      <c r="L477" s="59"/>
      <c r="N477" s="59"/>
      <c r="Q477" s="59"/>
      <c r="R477" s="61"/>
    </row>
    <row r="478">
      <c r="B478" s="59"/>
      <c r="D478" s="59"/>
      <c r="F478" s="59"/>
      <c r="H478" s="59"/>
      <c r="J478" s="59"/>
      <c r="L478" s="59"/>
      <c r="N478" s="59"/>
      <c r="Q478" s="59"/>
      <c r="R478" s="61"/>
    </row>
    <row r="479">
      <c r="B479" s="59"/>
      <c r="D479" s="59"/>
      <c r="F479" s="59"/>
      <c r="H479" s="59"/>
      <c r="J479" s="59"/>
      <c r="L479" s="59"/>
      <c r="N479" s="59"/>
      <c r="Q479" s="59"/>
      <c r="R479" s="61"/>
    </row>
    <row r="480">
      <c r="B480" s="59"/>
      <c r="D480" s="59"/>
      <c r="F480" s="59"/>
      <c r="H480" s="59"/>
      <c r="J480" s="59"/>
      <c r="L480" s="59"/>
      <c r="N480" s="59"/>
      <c r="Q480" s="59"/>
      <c r="R480" s="61"/>
    </row>
    <row r="481">
      <c r="B481" s="59"/>
      <c r="D481" s="59"/>
      <c r="F481" s="59"/>
      <c r="H481" s="59"/>
      <c r="J481" s="59"/>
      <c r="L481" s="59"/>
      <c r="N481" s="59"/>
      <c r="Q481" s="59"/>
      <c r="R481" s="61"/>
    </row>
    <row r="482">
      <c r="B482" s="59"/>
      <c r="D482" s="59"/>
      <c r="F482" s="59"/>
      <c r="H482" s="59"/>
      <c r="J482" s="59"/>
      <c r="L482" s="59"/>
      <c r="N482" s="59"/>
      <c r="Q482" s="59"/>
      <c r="R482" s="61"/>
    </row>
    <row r="483">
      <c r="B483" s="59"/>
      <c r="D483" s="59"/>
      <c r="F483" s="59"/>
      <c r="H483" s="59"/>
      <c r="J483" s="59"/>
      <c r="L483" s="59"/>
      <c r="N483" s="59"/>
      <c r="Q483" s="59"/>
      <c r="R483" s="61"/>
    </row>
    <row r="484">
      <c r="B484" s="59"/>
      <c r="D484" s="59"/>
      <c r="F484" s="59"/>
      <c r="H484" s="59"/>
      <c r="J484" s="59"/>
      <c r="L484" s="59"/>
      <c r="N484" s="59"/>
      <c r="Q484" s="59"/>
      <c r="R484" s="61"/>
    </row>
    <row r="485">
      <c r="B485" s="59"/>
      <c r="D485" s="59"/>
      <c r="F485" s="59"/>
      <c r="H485" s="59"/>
      <c r="J485" s="59"/>
      <c r="L485" s="59"/>
      <c r="N485" s="59"/>
      <c r="Q485" s="59"/>
      <c r="R485" s="61"/>
    </row>
    <row r="486">
      <c r="B486" s="59"/>
      <c r="D486" s="59"/>
      <c r="F486" s="59"/>
      <c r="H486" s="59"/>
      <c r="J486" s="59"/>
      <c r="L486" s="59"/>
      <c r="N486" s="59"/>
      <c r="Q486" s="59"/>
      <c r="R486" s="61"/>
    </row>
    <row r="487">
      <c r="B487" s="59"/>
      <c r="D487" s="59"/>
      <c r="F487" s="59"/>
      <c r="H487" s="59"/>
      <c r="J487" s="59"/>
      <c r="L487" s="59"/>
      <c r="N487" s="59"/>
      <c r="Q487" s="59"/>
      <c r="R487" s="61"/>
    </row>
    <row r="488">
      <c r="B488" s="59"/>
      <c r="D488" s="59"/>
      <c r="F488" s="59"/>
      <c r="H488" s="59"/>
      <c r="J488" s="59"/>
      <c r="L488" s="59"/>
      <c r="N488" s="59"/>
      <c r="Q488" s="59"/>
      <c r="R488" s="61"/>
    </row>
    <row r="489">
      <c r="B489" s="59"/>
      <c r="D489" s="59"/>
      <c r="F489" s="59"/>
      <c r="H489" s="59"/>
      <c r="J489" s="59"/>
      <c r="L489" s="59"/>
      <c r="N489" s="59"/>
      <c r="Q489" s="59"/>
      <c r="R489" s="61"/>
    </row>
    <row r="490">
      <c r="B490" s="59"/>
      <c r="D490" s="59"/>
      <c r="F490" s="59"/>
      <c r="H490" s="59"/>
      <c r="J490" s="59"/>
      <c r="L490" s="59"/>
      <c r="N490" s="59"/>
      <c r="Q490" s="59"/>
      <c r="R490" s="61"/>
    </row>
    <row r="491">
      <c r="B491" s="59"/>
      <c r="D491" s="59"/>
      <c r="F491" s="59"/>
      <c r="H491" s="59"/>
      <c r="J491" s="59"/>
      <c r="L491" s="59"/>
      <c r="N491" s="59"/>
      <c r="Q491" s="59"/>
      <c r="R491" s="61"/>
    </row>
    <row r="492">
      <c r="B492" s="59"/>
      <c r="D492" s="59"/>
      <c r="F492" s="59"/>
      <c r="H492" s="59"/>
      <c r="J492" s="59"/>
      <c r="L492" s="59"/>
      <c r="N492" s="59"/>
      <c r="Q492" s="59"/>
      <c r="R492" s="61"/>
    </row>
    <row r="493">
      <c r="B493" s="59"/>
      <c r="D493" s="59"/>
      <c r="F493" s="59"/>
      <c r="H493" s="59"/>
      <c r="J493" s="59"/>
      <c r="L493" s="59"/>
      <c r="N493" s="59"/>
      <c r="Q493" s="59"/>
      <c r="R493" s="61"/>
    </row>
    <row r="494">
      <c r="B494" s="59"/>
      <c r="D494" s="59"/>
      <c r="F494" s="59"/>
      <c r="H494" s="59"/>
      <c r="J494" s="59"/>
      <c r="L494" s="59"/>
      <c r="N494" s="59"/>
      <c r="Q494" s="59"/>
      <c r="R494" s="61"/>
    </row>
    <row r="495">
      <c r="B495" s="59"/>
      <c r="D495" s="59"/>
      <c r="F495" s="59"/>
      <c r="H495" s="59"/>
      <c r="J495" s="59"/>
      <c r="L495" s="59"/>
      <c r="N495" s="59"/>
      <c r="Q495" s="59"/>
      <c r="R495" s="61"/>
    </row>
    <row r="496">
      <c r="B496" s="59"/>
      <c r="D496" s="59"/>
      <c r="F496" s="59"/>
      <c r="H496" s="59"/>
      <c r="J496" s="59"/>
      <c r="L496" s="59"/>
      <c r="N496" s="59"/>
      <c r="Q496" s="59"/>
      <c r="R496" s="61"/>
    </row>
    <row r="497">
      <c r="B497" s="59"/>
      <c r="D497" s="59"/>
      <c r="F497" s="59"/>
      <c r="H497" s="59"/>
      <c r="J497" s="59"/>
      <c r="L497" s="59"/>
      <c r="N497" s="59"/>
      <c r="Q497" s="59"/>
      <c r="R497" s="61"/>
    </row>
    <row r="498">
      <c r="B498" s="59"/>
      <c r="D498" s="59"/>
      <c r="F498" s="59"/>
      <c r="H498" s="59"/>
      <c r="J498" s="59"/>
      <c r="L498" s="59"/>
      <c r="N498" s="59"/>
      <c r="Q498" s="59"/>
      <c r="R498" s="61"/>
    </row>
    <row r="499">
      <c r="B499" s="59"/>
      <c r="D499" s="59"/>
      <c r="F499" s="59"/>
      <c r="H499" s="59"/>
      <c r="J499" s="59"/>
      <c r="L499" s="59"/>
      <c r="N499" s="59"/>
      <c r="Q499" s="59"/>
      <c r="R499" s="61"/>
    </row>
    <row r="500">
      <c r="B500" s="59"/>
      <c r="D500" s="59"/>
      <c r="F500" s="59"/>
      <c r="H500" s="59"/>
      <c r="J500" s="59"/>
      <c r="L500" s="59"/>
      <c r="N500" s="59"/>
      <c r="Q500" s="59"/>
      <c r="R500" s="61"/>
    </row>
    <row r="501">
      <c r="B501" s="59"/>
      <c r="D501" s="59"/>
      <c r="F501" s="59"/>
      <c r="H501" s="59"/>
      <c r="J501" s="59"/>
      <c r="L501" s="59"/>
      <c r="N501" s="59"/>
      <c r="Q501" s="59"/>
      <c r="R501" s="61"/>
    </row>
    <row r="502">
      <c r="B502" s="59"/>
      <c r="D502" s="59"/>
      <c r="F502" s="59"/>
      <c r="H502" s="59"/>
      <c r="J502" s="59"/>
      <c r="L502" s="59"/>
      <c r="N502" s="59"/>
      <c r="Q502" s="59"/>
      <c r="R502" s="61"/>
    </row>
    <row r="503">
      <c r="B503" s="59"/>
      <c r="D503" s="59"/>
      <c r="F503" s="59"/>
      <c r="H503" s="59"/>
      <c r="J503" s="59"/>
      <c r="L503" s="59"/>
      <c r="N503" s="59"/>
      <c r="Q503" s="59"/>
      <c r="R503" s="61"/>
    </row>
    <row r="504">
      <c r="B504" s="59"/>
      <c r="D504" s="59"/>
      <c r="F504" s="59"/>
      <c r="H504" s="59"/>
      <c r="J504" s="59"/>
      <c r="L504" s="59"/>
      <c r="N504" s="59"/>
      <c r="Q504" s="59"/>
      <c r="R504" s="61"/>
    </row>
    <row r="505">
      <c r="B505" s="59"/>
      <c r="D505" s="59"/>
      <c r="F505" s="59"/>
      <c r="H505" s="59"/>
      <c r="J505" s="59"/>
      <c r="L505" s="59"/>
      <c r="N505" s="59"/>
      <c r="Q505" s="59"/>
      <c r="R505" s="61"/>
    </row>
    <row r="506">
      <c r="B506" s="59"/>
      <c r="D506" s="59"/>
      <c r="F506" s="59"/>
      <c r="H506" s="59"/>
      <c r="J506" s="59"/>
      <c r="L506" s="59"/>
      <c r="N506" s="59"/>
      <c r="Q506" s="59"/>
      <c r="R506" s="61"/>
    </row>
    <row r="507">
      <c r="B507" s="59"/>
      <c r="D507" s="59"/>
      <c r="F507" s="59"/>
      <c r="H507" s="59"/>
      <c r="J507" s="59"/>
      <c r="L507" s="59"/>
      <c r="N507" s="59"/>
      <c r="Q507" s="59"/>
      <c r="R507" s="61"/>
    </row>
    <row r="508">
      <c r="B508" s="59"/>
      <c r="D508" s="59"/>
      <c r="F508" s="59"/>
      <c r="H508" s="59"/>
      <c r="J508" s="59"/>
      <c r="L508" s="59"/>
      <c r="N508" s="59"/>
      <c r="Q508" s="59"/>
      <c r="R508" s="61"/>
    </row>
    <row r="509">
      <c r="B509" s="59"/>
      <c r="D509" s="59"/>
      <c r="F509" s="59"/>
      <c r="H509" s="59"/>
      <c r="J509" s="59"/>
      <c r="L509" s="59"/>
      <c r="N509" s="59"/>
      <c r="Q509" s="59"/>
      <c r="R509" s="61"/>
    </row>
    <row r="510">
      <c r="B510" s="59"/>
      <c r="D510" s="59"/>
      <c r="F510" s="59"/>
      <c r="H510" s="59"/>
      <c r="J510" s="59"/>
      <c r="L510" s="59"/>
      <c r="N510" s="59"/>
      <c r="Q510" s="59"/>
      <c r="R510" s="61"/>
    </row>
    <row r="511">
      <c r="B511" s="59"/>
      <c r="D511" s="59"/>
      <c r="F511" s="59"/>
      <c r="H511" s="59"/>
      <c r="J511" s="59"/>
      <c r="L511" s="59"/>
      <c r="N511" s="59"/>
      <c r="Q511" s="59"/>
      <c r="R511" s="61"/>
    </row>
    <row r="512">
      <c r="B512" s="59"/>
      <c r="D512" s="59"/>
      <c r="F512" s="59"/>
      <c r="H512" s="59"/>
      <c r="J512" s="59"/>
      <c r="L512" s="59"/>
      <c r="N512" s="59"/>
      <c r="Q512" s="59"/>
      <c r="R512" s="61"/>
    </row>
    <row r="513">
      <c r="B513" s="59"/>
      <c r="D513" s="59"/>
      <c r="F513" s="59"/>
      <c r="H513" s="59"/>
      <c r="J513" s="59"/>
      <c r="L513" s="59"/>
      <c r="N513" s="59"/>
      <c r="Q513" s="59"/>
      <c r="R513" s="61"/>
    </row>
    <row r="514">
      <c r="B514" s="59"/>
      <c r="D514" s="59"/>
      <c r="F514" s="59"/>
      <c r="H514" s="59"/>
      <c r="J514" s="59"/>
      <c r="L514" s="59"/>
      <c r="N514" s="59"/>
      <c r="Q514" s="59"/>
      <c r="R514" s="61"/>
    </row>
    <row r="515">
      <c r="B515" s="59"/>
      <c r="D515" s="59"/>
      <c r="F515" s="59"/>
      <c r="H515" s="59"/>
      <c r="J515" s="59"/>
      <c r="L515" s="59"/>
      <c r="N515" s="59"/>
      <c r="Q515" s="59"/>
      <c r="R515" s="61"/>
    </row>
    <row r="516">
      <c r="B516" s="59"/>
      <c r="D516" s="59"/>
      <c r="F516" s="59"/>
      <c r="H516" s="59"/>
      <c r="J516" s="59"/>
      <c r="L516" s="59"/>
      <c r="N516" s="59"/>
      <c r="Q516" s="59"/>
      <c r="R516" s="61"/>
    </row>
    <row r="517">
      <c r="B517" s="59"/>
      <c r="D517" s="59"/>
      <c r="F517" s="59"/>
      <c r="H517" s="59"/>
      <c r="J517" s="59"/>
      <c r="L517" s="59"/>
      <c r="N517" s="59"/>
      <c r="Q517" s="59"/>
      <c r="R517" s="61"/>
    </row>
    <row r="518">
      <c r="B518" s="59"/>
      <c r="D518" s="59"/>
      <c r="F518" s="59"/>
      <c r="H518" s="59"/>
      <c r="J518" s="59"/>
      <c r="L518" s="59"/>
      <c r="N518" s="59"/>
      <c r="Q518" s="59"/>
      <c r="R518" s="61"/>
    </row>
    <row r="519">
      <c r="B519" s="59"/>
      <c r="D519" s="59"/>
      <c r="F519" s="59"/>
      <c r="H519" s="59"/>
      <c r="J519" s="59"/>
      <c r="L519" s="59"/>
      <c r="N519" s="59"/>
      <c r="Q519" s="59"/>
      <c r="R519" s="61"/>
    </row>
    <row r="520">
      <c r="B520" s="59"/>
      <c r="D520" s="59"/>
      <c r="F520" s="59"/>
      <c r="H520" s="59"/>
      <c r="J520" s="59"/>
      <c r="L520" s="59"/>
      <c r="N520" s="59"/>
      <c r="Q520" s="59"/>
      <c r="R520" s="61"/>
    </row>
    <row r="521">
      <c r="B521" s="59"/>
      <c r="D521" s="59"/>
      <c r="F521" s="59"/>
      <c r="H521" s="59"/>
      <c r="J521" s="59"/>
      <c r="L521" s="59"/>
      <c r="N521" s="59"/>
      <c r="Q521" s="59"/>
      <c r="R521" s="61"/>
    </row>
    <row r="522">
      <c r="B522" s="59"/>
      <c r="D522" s="59"/>
      <c r="F522" s="59"/>
      <c r="H522" s="59"/>
      <c r="J522" s="59"/>
      <c r="L522" s="59"/>
      <c r="N522" s="59"/>
      <c r="Q522" s="59"/>
      <c r="R522" s="61"/>
    </row>
    <row r="523">
      <c r="B523" s="59"/>
      <c r="D523" s="59"/>
      <c r="F523" s="59"/>
      <c r="H523" s="59"/>
      <c r="J523" s="59"/>
      <c r="L523" s="59"/>
      <c r="N523" s="59"/>
      <c r="Q523" s="59"/>
      <c r="R523" s="61"/>
    </row>
    <row r="524">
      <c r="B524" s="59"/>
      <c r="D524" s="59"/>
      <c r="F524" s="59"/>
      <c r="H524" s="59"/>
      <c r="J524" s="59"/>
      <c r="L524" s="59"/>
      <c r="N524" s="59"/>
      <c r="Q524" s="59"/>
      <c r="R524" s="61"/>
    </row>
    <row r="525">
      <c r="B525" s="59"/>
      <c r="D525" s="59"/>
      <c r="F525" s="59"/>
      <c r="H525" s="59"/>
      <c r="J525" s="59"/>
      <c r="L525" s="59"/>
      <c r="N525" s="59"/>
      <c r="Q525" s="59"/>
      <c r="R525" s="61"/>
    </row>
    <row r="526">
      <c r="B526" s="59"/>
      <c r="D526" s="59"/>
      <c r="F526" s="59"/>
      <c r="H526" s="59"/>
      <c r="J526" s="59"/>
      <c r="L526" s="59"/>
      <c r="N526" s="59"/>
      <c r="Q526" s="59"/>
      <c r="R526" s="61"/>
    </row>
    <row r="527">
      <c r="B527" s="59"/>
      <c r="D527" s="59"/>
      <c r="F527" s="59"/>
      <c r="H527" s="59"/>
      <c r="J527" s="59"/>
      <c r="L527" s="59"/>
      <c r="N527" s="59"/>
      <c r="Q527" s="59"/>
      <c r="R527" s="61"/>
    </row>
    <row r="528">
      <c r="B528" s="59"/>
      <c r="D528" s="59"/>
      <c r="F528" s="59"/>
      <c r="H528" s="59"/>
      <c r="J528" s="59"/>
      <c r="L528" s="59"/>
      <c r="N528" s="59"/>
      <c r="Q528" s="59"/>
      <c r="R528" s="61"/>
    </row>
    <row r="529">
      <c r="B529" s="59"/>
      <c r="D529" s="59"/>
      <c r="F529" s="59"/>
      <c r="H529" s="59"/>
      <c r="J529" s="59"/>
      <c r="L529" s="59"/>
      <c r="N529" s="59"/>
      <c r="Q529" s="59"/>
      <c r="R529" s="61"/>
    </row>
    <row r="530">
      <c r="B530" s="59"/>
      <c r="D530" s="59"/>
      <c r="F530" s="59"/>
      <c r="H530" s="59"/>
      <c r="J530" s="59"/>
      <c r="L530" s="59"/>
      <c r="N530" s="59"/>
      <c r="Q530" s="59"/>
      <c r="R530" s="61"/>
    </row>
    <row r="531">
      <c r="B531" s="59"/>
      <c r="D531" s="59"/>
      <c r="F531" s="59"/>
      <c r="H531" s="59"/>
      <c r="J531" s="59"/>
      <c r="L531" s="59"/>
      <c r="N531" s="59"/>
      <c r="Q531" s="59"/>
      <c r="R531" s="61"/>
    </row>
    <row r="532">
      <c r="B532" s="59"/>
      <c r="D532" s="59"/>
      <c r="F532" s="59"/>
      <c r="H532" s="59"/>
      <c r="J532" s="59"/>
      <c r="L532" s="59"/>
      <c r="N532" s="59"/>
      <c r="Q532" s="59"/>
      <c r="R532" s="61"/>
    </row>
    <row r="533">
      <c r="B533" s="59"/>
      <c r="D533" s="59"/>
      <c r="F533" s="59"/>
      <c r="H533" s="59"/>
      <c r="J533" s="59"/>
      <c r="L533" s="59"/>
      <c r="N533" s="59"/>
      <c r="Q533" s="59"/>
      <c r="R533" s="61"/>
    </row>
    <row r="534">
      <c r="B534" s="59"/>
      <c r="D534" s="59"/>
      <c r="F534" s="59"/>
      <c r="H534" s="59"/>
      <c r="J534" s="59"/>
      <c r="L534" s="59"/>
      <c r="N534" s="59"/>
      <c r="Q534" s="59"/>
      <c r="R534" s="61"/>
    </row>
    <row r="535">
      <c r="B535" s="59"/>
      <c r="D535" s="59"/>
      <c r="F535" s="59"/>
      <c r="H535" s="59"/>
      <c r="J535" s="59"/>
      <c r="L535" s="59"/>
      <c r="N535" s="59"/>
      <c r="Q535" s="59"/>
      <c r="R535" s="61"/>
    </row>
    <row r="536">
      <c r="B536" s="59"/>
      <c r="D536" s="59"/>
      <c r="F536" s="59"/>
      <c r="H536" s="59"/>
      <c r="J536" s="59"/>
      <c r="L536" s="59"/>
      <c r="N536" s="59"/>
      <c r="Q536" s="59"/>
      <c r="R536" s="61"/>
    </row>
    <row r="537">
      <c r="B537" s="59"/>
      <c r="D537" s="59"/>
      <c r="F537" s="59"/>
      <c r="H537" s="59"/>
      <c r="J537" s="59"/>
      <c r="L537" s="59"/>
      <c r="N537" s="59"/>
      <c r="Q537" s="59"/>
      <c r="R537" s="61"/>
    </row>
    <row r="538">
      <c r="B538" s="59"/>
      <c r="D538" s="59"/>
      <c r="F538" s="59"/>
      <c r="H538" s="59"/>
      <c r="J538" s="59"/>
      <c r="L538" s="59"/>
      <c r="N538" s="59"/>
      <c r="Q538" s="59"/>
      <c r="R538" s="61"/>
    </row>
    <row r="539">
      <c r="B539" s="59"/>
      <c r="D539" s="59"/>
      <c r="F539" s="59"/>
      <c r="H539" s="59"/>
      <c r="J539" s="59"/>
      <c r="L539" s="59"/>
      <c r="N539" s="59"/>
      <c r="Q539" s="59"/>
      <c r="R539" s="61"/>
    </row>
    <row r="540">
      <c r="B540" s="59"/>
      <c r="D540" s="59"/>
      <c r="F540" s="59"/>
      <c r="H540" s="59"/>
      <c r="J540" s="59"/>
      <c r="L540" s="59"/>
      <c r="N540" s="59"/>
      <c r="Q540" s="59"/>
      <c r="R540" s="61"/>
    </row>
    <row r="541">
      <c r="B541" s="59"/>
      <c r="D541" s="59"/>
      <c r="F541" s="59"/>
      <c r="H541" s="59"/>
      <c r="J541" s="59"/>
      <c r="L541" s="59"/>
      <c r="N541" s="59"/>
      <c r="Q541" s="59"/>
      <c r="R541" s="61"/>
    </row>
    <row r="542">
      <c r="B542" s="59"/>
      <c r="D542" s="59"/>
      <c r="F542" s="59"/>
      <c r="H542" s="59"/>
      <c r="J542" s="59"/>
      <c r="L542" s="59"/>
      <c r="N542" s="59"/>
      <c r="Q542" s="59"/>
      <c r="R542" s="61"/>
    </row>
    <row r="543">
      <c r="B543" s="59"/>
      <c r="D543" s="59"/>
      <c r="F543" s="59"/>
      <c r="H543" s="59"/>
      <c r="J543" s="59"/>
      <c r="L543" s="59"/>
      <c r="N543" s="59"/>
      <c r="Q543" s="59"/>
      <c r="R543" s="61"/>
    </row>
    <row r="544">
      <c r="B544" s="59"/>
      <c r="D544" s="59"/>
      <c r="F544" s="59"/>
      <c r="H544" s="59"/>
      <c r="J544" s="59"/>
      <c r="L544" s="59"/>
      <c r="N544" s="59"/>
      <c r="Q544" s="59"/>
      <c r="R544" s="61"/>
    </row>
    <row r="545">
      <c r="B545" s="59"/>
      <c r="D545" s="59"/>
      <c r="F545" s="59"/>
      <c r="H545" s="59"/>
      <c r="J545" s="59"/>
      <c r="L545" s="59"/>
      <c r="N545" s="59"/>
      <c r="Q545" s="59"/>
      <c r="R545" s="61"/>
    </row>
    <row r="546">
      <c r="B546" s="59"/>
      <c r="D546" s="59"/>
      <c r="F546" s="59"/>
      <c r="H546" s="59"/>
      <c r="J546" s="59"/>
      <c r="L546" s="59"/>
      <c r="N546" s="59"/>
      <c r="Q546" s="59"/>
      <c r="R546" s="61"/>
    </row>
    <row r="547">
      <c r="B547" s="59"/>
      <c r="D547" s="59"/>
      <c r="F547" s="59"/>
      <c r="H547" s="59"/>
      <c r="J547" s="59"/>
      <c r="L547" s="59"/>
      <c r="N547" s="59"/>
      <c r="Q547" s="59"/>
      <c r="R547" s="61"/>
    </row>
    <row r="548">
      <c r="B548" s="59"/>
      <c r="D548" s="59"/>
      <c r="F548" s="59"/>
      <c r="H548" s="59"/>
      <c r="J548" s="59"/>
      <c r="L548" s="59"/>
      <c r="N548" s="59"/>
      <c r="Q548" s="59"/>
      <c r="R548" s="61"/>
    </row>
    <row r="549">
      <c r="B549" s="59"/>
      <c r="D549" s="59"/>
      <c r="F549" s="59"/>
      <c r="H549" s="59"/>
      <c r="J549" s="59"/>
      <c r="L549" s="59"/>
      <c r="N549" s="59"/>
      <c r="Q549" s="59"/>
      <c r="R549" s="61"/>
    </row>
    <row r="550">
      <c r="B550" s="59"/>
      <c r="D550" s="59"/>
      <c r="F550" s="59"/>
      <c r="H550" s="59"/>
      <c r="J550" s="59"/>
      <c r="L550" s="59"/>
      <c r="N550" s="59"/>
      <c r="Q550" s="59"/>
      <c r="R550" s="61"/>
    </row>
    <row r="551">
      <c r="B551" s="59"/>
      <c r="D551" s="59"/>
      <c r="F551" s="59"/>
      <c r="H551" s="59"/>
      <c r="J551" s="59"/>
      <c r="L551" s="59"/>
      <c r="N551" s="59"/>
      <c r="Q551" s="59"/>
      <c r="R551" s="61"/>
    </row>
    <row r="552">
      <c r="B552" s="59"/>
      <c r="D552" s="59"/>
      <c r="F552" s="59"/>
      <c r="H552" s="59"/>
      <c r="J552" s="59"/>
      <c r="L552" s="59"/>
      <c r="N552" s="59"/>
      <c r="Q552" s="59"/>
      <c r="R552" s="61"/>
    </row>
    <row r="553">
      <c r="B553" s="59"/>
      <c r="D553" s="59"/>
      <c r="F553" s="59"/>
      <c r="H553" s="59"/>
      <c r="J553" s="59"/>
      <c r="L553" s="59"/>
      <c r="N553" s="59"/>
      <c r="Q553" s="59"/>
      <c r="R553" s="61"/>
    </row>
    <row r="554">
      <c r="B554" s="59"/>
      <c r="D554" s="59"/>
      <c r="F554" s="59"/>
      <c r="H554" s="59"/>
      <c r="J554" s="59"/>
      <c r="L554" s="59"/>
      <c r="N554" s="59"/>
      <c r="Q554" s="59"/>
      <c r="R554" s="61"/>
    </row>
    <row r="555">
      <c r="B555" s="59"/>
      <c r="D555" s="59"/>
      <c r="F555" s="59"/>
      <c r="H555" s="59"/>
      <c r="J555" s="59"/>
      <c r="L555" s="59"/>
      <c r="N555" s="59"/>
      <c r="Q555" s="59"/>
      <c r="R555" s="61"/>
    </row>
    <row r="556">
      <c r="B556" s="59"/>
      <c r="D556" s="59"/>
      <c r="F556" s="59"/>
      <c r="H556" s="59"/>
      <c r="J556" s="59"/>
      <c r="L556" s="59"/>
      <c r="N556" s="59"/>
      <c r="Q556" s="59"/>
      <c r="R556" s="61"/>
    </row>
    <row r="557">
      <c r="B557" s="59"/>
      <c r="D557" s="59"/>
      <c r="F557" s="59"/>
      <c r="H557" s="59"/>
      <c r="J557" s="59"/>
      <c r="L557" s="59"/>
      <c r="N557" s="59"/>
      <c r="Q557" s="59"/>
      <c r="R557" s="61"/>
    </row>
    <row r="558">
      <c r="B558" s="59"/>
      <c r="D558" s="59"/>
      <c r="F558" s="59"/>
      <c r="H558" s="59"/>
      <c r="J558" s="59"/>
      <c r="L558" s="59"/>
      <c r="N558" s="59"/>
      <c r="Q558" s="59"/>
      <c r="R558" s="61"/>
    </row>
    <row r="559">
      <c r="B559" s="59"/>
      <c r="D559" s="59"/>
      <c r="F559" s="59"/>
      <c r="H559" s="59"/>
      <c r="J559" s="59"/>
      <c r="L559" s="59"/>
      <c r="N559" s="59"/>
      <c r="Q559" s="59"/>
      <c r="R559" s="61"/>
    </row>
    <row r="560">
      <c r="B560" s="59"/>
      <c r="D560" s="59"/>
      <c r="F560" s="59"/>
      <c r="H560" s="59"/>
      <c r="J560" s="59"/>
      <c r="L560" s="59"/>
      <c r="N560" s="59"/>
      <c r="Q560" s="59"/>
      <c r="R560" s="61"/>
    </row>
    <row r="561">
      <c r="B561" s="59"/>
      <c r="D561" s="59"/>
      <c r="F561" s="59"/>
      <c r="H561" s="59"/>
      <c r="J561" s="59"/>
      <c r="L561" s="59"/>
      <c r="N561" s="59"/>
      <c r="Q561" s="59"/>
      <c r="R561" s="61"/>
    </row>
    <row r="562">
      <c r="B562" s="59"/>
      <c r="D562" s="59"/>
      <c r="F562" s="59"/>
      <c r="H562" s="59"/>
      <c r="J562" s="59"/>
      <c r="L562" s="59"/>
      <c r="N562" s="59"/>
      <c r="Q562" s="59"/>
      <c r="R562" s="61"/>
    </row>
    <row r="563">
      <c r="B563" s="59"/>
      <c r="D563" s="59"/>
      <c r="F563" s="59"/>
      <c r="H563" s="59"/>
      <c r="J563" s="59"/>
      <c r="L563" s="59"/>
      <c r="N563" s="59"/>
      <c r="Q563" s="59"/>
      <c r="R563" s="61"/>
    </row>
    <row r="564">
      <c r="B564" s="59"/>
      <c r="D564" s="59"/>
      <c r="F564" s="59"/>
      <c r="H564" s="59"/>
      <c r="J564" s="59"/>
      <c r="L564" s="59"/>
      <c r="N564" s="59"/>
      <c r="Q564" s="59"/>
      <c r="R564" s="61"/>
    </row>
    <row r="565">
      <c r="B565" s="59"/>
      <c r="D565" s="59"/>
      <c r="F565" s="59"/>
      <c r="H565" s="59"/>
      <c r="J565" s="59"/>
      <c r="L565" s="59"/>
      <c r="N565" s="59"/>
      <c r="Q565" s="59"/>
      <c r="R565" s="61"/>
    </row>
    <row r="566">
      <c r="B566" s="59"/>
      <c r="D566" s="59"/>
      <c r="F566" s="59"/>
      <c r="H566" s="59"/>
      <c r="J566" s="59"/>
      <c r="L566" s="59"/>
      <c r="N566" s="59"/>
      <c r="Q566" s="59"/>
      <c r="R566" s="61"/>
    </row>
    <row r="567">
      <c r="B567" s="59"/>
      <c r="D567" s="59"/>
      <c r="F567" s="59"/>
      <c r="H567" s="59"/>
      <c r="J567" s="59"/>
      <c r="L567" s="59"/>
      <c r="N567" s="59"/>
      <c r="Q567" s="59"/>
      <c r="R567" s="61"/>
    </row>
    <row r="568">
      <c r="B568" s="59"/>
      <c r="D568" s="59"/>
      <c r="F568" s="59"/>
      <c r="H568" s="59"/>
      <c r="J568" s="59"/>
      <c r="L568" s="59"/>
      <c r="N568" s="59"/>
      <c r="Q568" s="59"/>
      <c r="R568" s="61"/>
    </row>
    <row r="569">
      <c r="B569" s="59"/>
      <c r="D569" s="59"/>
      <c r="F569" s="59"/>
      <c r="H569" s="59"/>
      <c r="J569" s="59"/>
      <c r="L569" s="59"/>
      <c r="N569" s="59"/>
      <c r="Q569" s="59"/>
      <c r="R569" s="61"/>
    </row>
    <row r="570">
      <c r="B570" s="59"/>
      <c r="D570" s="59"/>
      <c r="F570" s="59"/>
      <c r="H570" s="59"/>
      <c r="J570" s="59"/>
      <c r="L570" s="59"/>
      <c r="N570" s="59"/>
      <c r="Q570" s="59"/>
      <c r="R570" s="61"/>
    </row>
    <row r="571">
      <c r="B571" s="59"/>
      <c r="D571" s="59"/>
      <c r="F571" s="59"/>
      <c r="H571" s="59"/>
      <c r="J571" s="59"/>
      <c r="L571" s="59"/>
      <c r="N571" s="59"/>
      <c r="Q571" s="59"/>
      <c r="R571" s="61"/>
    </row>
    <row r="572">
      <c r="B572" s="59"/>
      <c r="D572" s="59"/>
      <c r="F572" s="59"/>
      <c r="H572" s="59"/>
      <c r="J572" s="59"/>
      <c r="L572" s="59"/>
      <c r="N572" s="59"/>
      <c r="Q572" s="59"/>
      <c r="R572" s="61"/>
    </row>
    <row r="573">
      <c r="B573" s="59"/>
      <c r="D573" s="59"/>
      <c r="F573" s="59"/>
      <c r="H573" s="59"/>
      <c r="J573" s="59"/>
      <c r="L573" s="59"/>
      <c r="N573" s="59"/>
      <c r="Q573" s="59"/>
      <c r="R573" s="61"/>
    </row>
    <row r="574">
      <c r="B574" s="59"/>
      <c r="D574" s="59"/>
      <c r="F574" s="59"/>
      <c r="H574" s="59"/>
      <c r="J574" s="59"/>
      <c r="L574" s="59"/>
      <c r="N574" s="59"/>
      <c r="Q574" s="59"/>
      <c r="R574" s="61"/>
    </row>
    <row r="575">
      <c r="B575" s="59"/>
      <c r="D575" s="59"/>
      <c r="F575" s="59"/>
      <c r="H575" s="59"/>
      <c r="J575" s="59"/>
      <c r="L575" s="59"/>
      <c r="N575" s="59"/>
      <c r="Q575" s="59"/>
      <c r="R575" s="61"/>
    </row>
    <row r="576">
      <c r="B576" s="59"/>
      <c r="D576" s="59"/>
      <c r="F576" s="59"/>
      <c r="H576" s="59"/>
      <c r="J576" s="59"/>
      <c r="L576" s="59"/>
      <c r="N576" s="59"/>
      <c r="Q576" s="59"/>
      <c r="R576" s="61"/>
    </row>
    <row r="577">
      <c r="B577" s="59"/>
      <c r="D577" s="59"/>
      <c r="F577" s="59"/>
      <c r="H577" s="59"/>
      <c r="J577" s="59"/>
      <c r="L577" s="59"/>
      <c r="N577" s="59"/>
      <c r="Q577" s="59"/>
      <c r="R577" s="61"/>
    </row>
    <row r="578">
      <c r="B578" s="59"/>
      <c r="D578" s="59"/>
      <c r="F578" s="59"/>
      <c r="H578" s="59"/>
      <c r="J578" s="59"/>
      <c r="L578" s="59"/>
      <c r="N578" s="59"/>
      <c r="Q578" s="59"/>
      <c r="R578" s="61"/>
    </row>
    <row r="579">
      <c r="B579" s="59"/>
      <c r="D579" s="59"/>
      <c r="F579" s="59"/>
      <c r="H579" s="59"/>
      <c r="J579" s="59"/>
      <c r="L579" s="59"/>
      <c r="N579" s="59"/>
      <c r="Q579" s="59"/>
      <c r="R579" s="61"/>
    </row>
    <row r="580">
      <c r="B580" s="59"/>
      <c r="D580" s="59"/>
      <c r="F580" s="59"/>
      <c r="H580" s="59"/>
      <c r="J580" s="59"/>
      <c r="L580" s="59"/>
      <c r="N580" s="59"/>
      <c r="Q580" s="59"/>
      <c r="R580" s="61"/>
    </row>
    <row r="581">
      <c r="B581" s="59"/>
      <c r="D581" s="59"/>
      <c r="F581" s="59"/>
      <c r="H581" s="59"/>
      <c r="J581" s="59"/>
      <c r="L581" s="59"/>
      <c r="N581" s="59"/>
      <c r="Q581" s="59"/>
      <c r="R581" s="61"/>
    </row>
    <row r="582">
      <c r="B582" s="59"/>
      <c r="D582" s="59"/>
      <c r="F582" s="59"/>
      <c r="H582" s="59"/>
      <c r="J582" s="59"/>
      <c r="L582" s="59"/>
      <c r="N582" s="59"/>
      <c r="Q582" s="59"/>
      <c r="R582" s="61"/>
    </row>
    <row r="583">
      <c r="B583" s="59"/>
      <c r="D583" s="59"/>
      <c r="F583" s="59"/>
      <c r="H583" s="59"/>
      <c r="J583" s="59"/>
      <c r="L583" s="59"/>
      <c r="N583" s="59"/>
      <c r="Q583" s="59"/>
      <c r="R583" s="61"/>
    </row>
    <row r="584">
      <c r="B584" s="59"/>
      <c r="D584" s="59"/>
      <c r="F584" s="59"/>
      <c r="H584" s="59"/>
      <c r="J584" s="59"/>
      <c r="L584" s="59"/>
      <c r="N584" s="59"/>
      <c r="Q584" s="59"/>
      <c r="R584" s="61"/>
    </row>
    <row r="585">
      <c r="B585" s="59"/>
      <c r="D585" s="59"/>
      <c r="F585" s="59"/>
      <c r="H585" s="59"/>
      <c r="J585" s="59"/>
      <c r="L585" s="59"/>
      <c r="N585" s="59"/>
      <c r="Q585" s="59"/>
      <c r="R585" s="61"/>
    </row>
    <row r="586">
      <c r="B586" s="59"/>
      <c r="D586" s="59"/>
      <c r="F586" s="59"/>
      <c r="H586" s="59"/>
      <c r="J586" s="59"/>
      <c r="L586" s="59"/>
      <c r="N586" s="59"/>
      <c r="Q586" s="59"/>
      <c r="R586" s="61"/>
    </row>
    <row r="587">
      <c r="B587" s="59"/>
      <c r="D587" s="59"/>
      <c r="F587" s="59"/>
      <c r="H587" s="59"/>
      <c r="J587" s="59"/>
      <c r="L587" s="59"/>
      <c r="N587" s="59"/>
      <c r="Q587" s="59"/>
      <c r="R587" s="61"/>
    </row>
    <row r="588">
      <c r="B588" s="59"/>
      <c r="D588" s="59"/>
      <c r="F588" s="59"/>
      <c r="H588" s="59"/>
      <c r="J588" s="59"/>
      <c r="L588" s="59"/>
      <c r="N588" s="59"/>
      <c r="Q588" s="59"/>
      <c r="R588" s="61"/>
    </row>
    <row r="589">
      <c r="B589" s="59"/>
      <c r="D589" s="59"/>
      <c r="F589" s="59"/>
      <c r="H589" s="59"/>
      <c r="J589" s="59"/>
      <c r="L589" s="59"/>
      <c r="N589" s="59"/>
      <c r="Q589" s="59"/>
      <c r="R589" s="61"/>
    </row>
    <row r="590">
      <c r="B590" s="59"/>
      <c r="D590" s="59"/>
      <c r="F590" s="59"/>
      <c r="H590" s="59"/>
      <c r="J590" s="59"/>
      <c r="L590" s="59"/>
      <c r="N590" s="59"/>
      <c r="Q590" s="59"/>
      <c r="R590" s="61"/>
    </row>
    <row r="591">
      <c r="B591" s="59"/>
      <c r="D591" s="59"/>
      <c r="F591" s="59"/>
      <c r="H591" s="59"/>
      <c r="J591" s="59"/>
      <c r="L591" s="59"/>
      <c r="N591" s="59"/>
      <c r="Q591" s="59"/>
      <c r="R591" s="61"/>
    </row>
    <row r="592">
      <c r="B592" s="59"/>
      <c r="D592" s="59"/>
      <c r="F592" s="59"/>
      <c r="H592" s="59"/>
      <c r="J592" s="59"/>
      <c r="L592" s="59"/>
      <c r="N592" s="59"/>
      <c r="Q592" s="59"/>
      <c r="R592" s="61"/>
    </row>
    <row r="593">
      <c r="B593" s="59"/>
      <c r="D593" s="59"/>
      <c r="F593" s="59"/>
      <c r="H593" s="59"/>
      <c r="J593" s="59"/>
      <c r="L593" s="59"/>
      <c r="N593" s="59"/>
      <c r="Q593" s="59"/>
      <c r="R593" s="61"/>
    </row>
    <row r="594">
      <c r="B594" s="59"/>
      <c r="D594" s="59"/>
      <c r="F594" s="59"/>
      <c r="H594" s="59"/>
      <c r="J594" s="59"/>
      <c r="L594" s="59"/>
      <c r="N594" s="59"/>
      <c r="Q594" s="59"/>
      <c r="R594" s="61"/>
    </row>
    <row r="595">
      <c r="B595" s="59"/>
      <c r="D595" s="59"/>
      <c r="F595" s="59"/>
      <c r="H595" s="59"/>
      <c r="J595" s="59"/>
      <c r="L595" s="59"/>
      <c r="N595" s="59"/>
      <c r="Q595" s="59"/>
      <c r="R595" s="61"/>
    </row>
    <row r="596">
      <c r="B596" s="59"/>
      <c r="D596" s="59"/>
      <c r="F596" s="59"/>
      <c r="H596" s="59"/>
      <c r="J596" s="59"/>
      <c r="L596" s="59"/>
      <c r="N596" s="59"/>
      <c r="Q596" s="59"/>
      <c r="R596" s="61"/>
    </row>
    <row r="597">
      <c r="B597" s="59"/>
      <c r="D597" s="59"/>
      <c r="F597" s="59"/>
      <c r="H597" s="59"/>
      <c r="J597" s="59"/>
      <c r="L597" s="59"/>
      <c r="N597" s="59"/>
      <c r="Q597" s="59"/>
      <c r="R597" s="61"/>
    </row>
    <row r="598">
      <c r="B598" s="59"/>
      <c r="D598" s="59"/>
      <c r="F598" s="59"/>
      <c r="H598" s="59"/>
      <c r="J598" s="59"/>
      <c r="L598" s="59"/>
      <c r="N598" s="59"/>
      <c r="Q598" s="59"/>
      <c r="R598" s="61"/>
    </row>
    <row r="599">
      <c r="B599" s="59"/>
      <c r="D599" s="59"/>
      <c r="F599" s="59"/>
      <c r="H599" s="59"/>
      <c r="J599" s="59"/>
      <c r="L599" s="59"/>
      <c r="N599" s="59"/>
      <c r="Q599" s="59"/>
      <c r="R599" s="61"/>
    </row>
    <row r="600">
      <c r="B600" s="59"/>
      <c r="D600" s="59"/>
      <c r="F600" s="59"/>
      <c r="H600" s="59"/>
      <c r="J600" s="59"/>
      <c r="L600" s="59"/>
      <c r="N600" s="59"/>
      <c r="Q600" s="59"/>
      <c r="R600" s="61"/>
    </row>
    <row r="601">
      <c r="B601" s="59"/>
      <c r="D601" s="59"/>
      <c r="F601" s="59"/>
      <c r="H601" s="59"/>
      <c r="J601" s="59"/>
      <c r="L601" s="59"/>
      <c r="N601" s="59"/>
      <c r="Q601" s="59"/>
      <c r="R601" s="61"/>
    </row>
    <row r="602">
      <c r="B602" s="59"/>
      <c r="D602" s="59"/>
      <c r="F602" s="59"/>
      <c r="H602" s="59"/>
      <c r="J602" s="59"/>
      <c r="L602" s="59"/>
      <c r="N602" s="59"/>
      <c r="Q602" s="59"/>
      <c r="R602" s="61"/>
    </row>
    <row r="603">
      <c r="B603" s="59"/>
      <c r="D603" s="59"/>
      <c r="F603" s="59"/>
      <c r="H603" s="59"/>
      <c r="J603" s="59"/>
      <c r="L603" s="59"/>
      <c r="N603" s="59"/>
      <c r="Q603" s="59"/>
      <c r="R603" s="61"/>
    </row>
    <row r="604">
      <c r="B604" s="59"/>
      <c r="D604" s="59"/>
      <c r="F604" s="59"/>
      <c r="H604" s="59"/>
      <c r="J604" s="59"/>
      <c r="L604" s="59"/>
      <c r="N604" s="59"/>
      <c r="Q604" s="59"/>
      <c r="R604" s="61"/>
    </row>
    <row r="605">
      <c r="B605" s="59"/>
      <c r="D605" s="59"/>
      <c r="F605" s="59"/>
      <c r="H605" s="59"/>
      <c r="J605" s="59"/>
      <c r="L605" s="59"/>
      <c r="N605" s="59"/>
      <c r="Q605" s="59"/>
      <c r="R605" s="61"/>
    </row>
    <row r="606">
      <c r="B606" s="59"/>
      <c r="D606" s="59"/>
      <c r="F606" s="59"/>
      <c r="H606" s="59"/>
      <c r="J606" s="59"/>
      <c r="L606" s="59"/>
      <c r="N606" s="59"/>
      <c r="Q606" s="59"/>
      <c r="R606" s="61"/>
    </row>
    <row r="607">
      <c r="B607" s="59"/>
      <c r="D607" s="59"/>
      <c r="F607" s="59"/>
      <c r="H607" s="59"/>
      <c r="J607" s="59"/>
      <c r="L607" s="59"/>
      <c r="N607" s="59"/>
      <c r="Q607" s="59"/>
      <c r="R607" s="61"/>
    </row>
    <row r="608">
      <c r="B608" s="59"/>
      <c r="D608" s="59"/>
      <c r="F608" s="59"/>
      <c r="H608" s="59"/>
      <c r="J608" s="59"/>
      <c r="L608" s="59"/>
      <c r="N608" s="59"/>
      <c r="Q608" s="59"/>
      <c r="R608" s="61"/>
    </row>
    <row r="609">
      <c r="B609" s="59"/>
      <c r="D609" s="59"/>
      <c r="F609" s="59"/>
      <c r="H609" s="59"/>
      <c r="J609" s="59"/>
      <c r="L609" s="59"/>
      <c r="N609" s="59"/>
      <c r="Q609" s="59"/>
      <c r="R609" s="61"/>
    </row>
    <row r="610">
      <c r="B610" s="59"/>
      <c r="D610" s="59"/>
      <c r="F610" s="59"/>
      <c r="H610" s="59"/>
      <c r="J610" s="59"/>
      <c r="L610" s="59"/>
      <c r="N610" s="59"/>
      <c r="Q610" s="59"/>
      <c r="R610" s="61"/>
    </row>
    <row r="611">
      <c r="B611" s="59"/>
      <c r="D611" s="59"/>
      <c r="F611" s="59"/>
      <c r="H611" s="59"/>
      <c r="J611" s="59"/>
      <c r="L611" s="59"/>
      <c r="N611" s="59"/>
      <c r="Q611" s="59"/>
      <c r="R611" s="61"/>
    </row>
    <row r="612">
      <c r="B612" s="59"/>
      <c r="D612" s="59"/>
      <c r="F612" s="59"/>
      <c r="H612" s="59"/>
      <c r="J612" s="59"/>
      <c r="L612" s="59"/>
      <c r="N612" s="59"/>
      <c r="Q612" s="59"/>
      <c r="R612" s="61"/>
    </row>
    <row r="613">
      <c r="B613" s="59"/>
      <c r="D613" s="59"/>
      <c r="F613" s="59"/>
      <c r="H613" s="59"/>
      <c r="J613" s="59"/>
      <c r="L613" s="59"/>
      <c r="N613" s="59"/>
      <c r="Q613" s="59"/>
      <c r="R613" s="61"/>
    </row>
    <row r="614">
      <c r="B614" s="59"/>
      <c r="D614" s="59"/>
      <c r="F614" s="59"/>
      <c r="H614" s="59"/>
      <c r="J614" s="59"/>
      <c r="L614" s="59"/>
      <c r="N614" s="59"/>
      <c r="Q614" s="59"/>
      <c r="R614" s="61"/>
    </row>
    <row r="615">
      <c r="B615" s="59"/>
      <c r="D615" s="59"/>
      <c r="F615" s="59"/>
      <c r="H615" s="59"/>
      <c r="J615" s="59"/>
      <c r="L615" s="59"/>
      <c r="N615" s="59"/>
      <c r="Q615" s="59"/>
      <c r="R615" s="61"/>
    </row>
    <row r="616">
      <c r="B616" s="59"/>
      <c r="D616" s="59"/>
      <c r="F616" s="59"/>
      <c r="H616" s="59"/>
      <c r="J616" s="59"/>
      <c r="L616" s="59"/>
      <c r="N616" s="59"/>
      <c r="Q616" s="59"/>
      <c r="R616" s="61"/>
    </row>
    <row r="617">
      <c r="B617" s="59"/>
      <c r="D617" s="59"/>
      <c r="F617" s="59"/>
      <c r="H617" s="59"/>
      <c r="J617" s="59"/>
      <c r="L617" s="59"/>
      <c r="N617" s="59"/>
      <c r="Q617" s="59"/>
      <c r="R617" s="61"/>
    </row>
    <row r="618">
      <c r="B618" s="59"/>
      <c r="D618" s="59"/>
      <c r="F618" s="59"/>
      <c r="H618" s="59"/>
      <c r="J618" s="59"/>
      <c r="L618" s="59"/>
      <c r="N618" s="59"/>
      <c r="Q618" s="59"/>
      <c r="R618" s="61"/>
    </row>
    <row r="619">
      <c r="B619" s="59"/>
      <c r="D619" s="59"/>
      <c r="F619" s="59"/>
      <c r="H619" s="59"/>
      <c r="J619" s="59"/>
      <c r="L619" s="59"/>
      <c r="N619" s="59"/>
      <c r="Q619" s="59"/>
      <c r="R619" s="61"/>
    </row>
    <row r="620">
      <c r="B620" s="59"/>
      <c r="D620" s="59"/>
      <c r="F620" s="59"/>
      <c r="H620" s="59"/>
      <c r="J620" s="59"/>
      <c r="L620" s="59"/>
      <c r="N620" s="59"/>
      <c r="Q620" s="59"/>
      <c r="R620" s="61"/>
    </row>
    <row r="621">
      <c r="B621" s="59"/>
      <c r="D621" s="59"/>
      <c r="F621" s="59"/>
      <c r="H621" s="59"/>
      <c r="J621" s="59"/>
      <c r="L621" s="59"/>
      <c r="N621" s="59"/>
      <c r="Q621" s="59"/>
      <c r="R621" s="61"/>
    </row>
    <row r="622">
      <c r="B622" s="59"/>
      <c r="D622" s="59"/>
      <c r="F622" s="59"/>
      <c r="H622" s="59"/>
      <c r="J622" s="59"/>
      <c r="L622" s="59"/>
      <c r="N622" s="59"/>
      <c r="Q622" s="59"/>
      <c r="R622" s="61"/>
    </row>
    <row r="623">
      <c r="B623" s="59"/>
      <c r="D623" s="59"/>
      <c r="F623" s="59"/>
      <c r="H623" s="59"/>
      <c r="J623" s="59"/>
      <c r="L623" s="59"/>
      <c r="N623" s="59"/>
      <c r="Q623" s="59"/>
      <c r="R623" s="61"/>
    </row>
    <row r="624">
      <c r="B624" s="59"/>
      <c r="D624" s="59"/>
      <c r="F624" s="59"/>
      <c r="H624" s="59"/>
      <c r="J624" s="59"/>
      <c r="L624" s="59"/>
      <c r="N624" s="59"/>
      <c r="Q624" s="59"/>
      <c r="R624" s="61"/>
    </row>
    <row r="625">
      <c r="B625" s="59"/>
      <c r="D625" s="59"/>
      <c r="F625" s="59"/>
      <c r="H625" s="59"/>
      <c r="J625" s="59"/>
      <c r="L625" s="59"/>
      <c r="N625" s="59"/>
      <c r="Q625" s="59"/>
      <c r="R625" s="61"/>
    </row>
    <row r="626">
      <c r="B626" s="59"/>
      <c r="D626" s="59"/>
      <c r="F626" s="59"/>
      <c r="H626" s="59"/>
      <c r="J626" s="59"/>
      <c r="L626" s="59"/>
      <c r="N626" s="59"/>
      <c r="Q626" s="59"/>
      <c r="R626" s="61"/>
    </row>
    <row r="627">
      <c r="B627" s="59"/>
      <c r="D627" s="59"/>
      <c r="F627" s="59"/>
      <c r="H627" s="59"/>
      <c r="J627" s="59"/>
      <c r="L627" s="59"/>
      <c r="N627" s="59"/>
      <c r="Q627" s="59"/>
      <c r="R627" s="61"/>
    </row>
    <row r="628">
      <c r="B628" s="59"/>
      <c r="D628" s="59"/>
      <c r="F628" s="59"/>
      <c r="H628" s="59"/>
      <c r="J628" s="59"/>
      <c r="L628" s="59"/>
      <c r="N628" s="59"/>
      <c r="Q628" s="59"/>
      <c r="R628" s="61"/>
    </row>
    <row r="629">
      <c r="B629" s="59"/>
      <c r="D629" s="59"/>
      <c r="F629" s="59"/>
      <c r="H629" s="59"/>
      <c r="J629" s="59"/>
      <c r="L629" s="59"/>
      <c r="N629" s="59"/>
      <c r="Q629" s="59"/>
      <c r="R629" s="61"/>
    </row>
    <row r="630">
      <c r="B630" s="59"/>
      <c r="D630" s="59"/>
      <c r="F630" s="59"/>
      <c r="H630" s="59"/>
      <c r="J630" s="59"/>
      <c r="L630" s="59"/>
      <c r="N630" s="59"/>
      <c r="Q630" s="59"/>
      <c r="R630" s="61"/>
    </row>
    <row r="631">
      <c r="B631" s="59"/>
      <c r="D631" s="59"/>
      <c r="F631" s="59"/>
      <c r="H631" s="59"/>
      <c r="J631" s="59"/>
      <c r="L631" s="59"/>
      <c r="N631" s="59"/>
      <c r="Q631" s="59"/>
      <c r="R631" s="61"/>
    </row>
    <row r="632">
      <c r="B632" s="59"/>
      <c r="D632" s="59"/>
      <c r="F632" s="59"/>
      <c r="H632" s="59"/>
      <c r="J632" s="59"/>
      <c r="L632" s="59"/>
      <c r="N632" s="59"/>
      <c r="Q632" s="59"/>
      <c r="R632" s="61"/>
    </row>
    <row r="633">
      <c r="B633" s="59"/>
      <c r="D633" s="59"/>
      <c r="F633" s="59"/>
      <c r="H633" s="59"/>
      <c r="J633" s="59"/>
      <c r="L633" s="59"/>
      <c r="N633" s="59"/>
      <c r="Q633" s="59"/>
      <c r="R633" s="61"/>
    </row>
    <row r="634">
      <c r="B634" s="59"/>
      <c r="D634" s="59"/>
      <c r="F634" s="59"/>
      <c r="H634" s="59"/>
      <c r="J634" s="59"/>
      <c r="L634" s="59"/>
      <c r="N634" s="59"/>
      <c r="Q634" s="59"/>
      <c r="R634" s="61"/>
    </row>
    <row r="635">
      <c r="B635" s="59"/>
      <c r="D635" s="59"/>
      <c r="F635" s="59"/>
      <c r="H635" s="59"/>
      <c r="J635" s="59"/>
      <c r="L635" s="59"/>
      <c r="N635" s="59"/>
      <c r="Q635" s="59"/>
      <c r="R635" s="61"/>
    </row>
    <row r="636">
      <c r="B636" s="59"/>
      <c r="D636" s="59"/>
      <c r="F636" s="59"/>
      <c r="H636" s="59"/>
      <c r="J636" s="59"/>
      <c r="L636" s="59"/>
      <c r="N636" s="59"/>
      <c r="Q636" s="59"/>
      <c r="R636" s="61"/>
    </row>
    <row r="637">
      <c r="B637" s="59"/>
      <c r="D637" s="59"/>
      <c r="F637" s="59"/>
      <c r="H637" s="59"/>
      <c r="J637" s="59"/>
      <c r="L637" s="59"/>
      <c r="N637" s="59"/>
      <c r="Q637" s="59"/>
      <c r="R637" s="61"/>
    </row>
    <row r="638">
      <c r="B638" s="59"/>
      <c r="D638" s="59"/>
      <c r="F638" s="59"/>
      <c r="H638" s="59"/>
      <c r="J638" s="59"/>
      <c r="L638" s="59"/>
      <c r="N638" s="59"/>
      <c r="Q638" s="59"/>
      <c r="R638" s="61"/>
    </row>
    <row r="639">
      <c r="B639" s="59"/>
      <c r="D639" s="59"/>
      <c r="F639" s="59"/>
      <c r="H639" s="59"/>
      <c r="J639" s="59"/>
      <c r="L639" s="59"/>
      <c r="N639" s="59"/>
      <c r="Q639" s="59"/>
      <c r="R639" s="61"/>
    </row>
    <row r="640">
      <c r="B640" s="59"/>
      <c r="D640" s="59"/>
      <c r="F640" s="59"/>
      <c r="H640" s="59"/>
      <c r="J640" s="59"/>
      <c r="L640" s="59"/>
      <c r="N640" s="59"/>
      <c r="Q640" s="59"/>
      <c r="R640" s="61"/>
    </row>
    <row r="641">
      <c r="B641" s="59"/>
      <c r="D641" s="59"/>
      <c r="F641" s="59"/>
      <c r="H641" s="59"/>
      <c r="J641" s="59"/>
      <c r="L641" s="59"/>
      <c r="N641" s="59"/>
      <c r="Q641" s="59"/>
      <c r="R641" s="61"/>
    </row>
    <row r="642">
      <c r="B642" s="59"/>
      <c r="D642" s="59"/>
      <c r="F642" s="59"/>
      <c r="H642" s="59"/>
      <c r="J642" s="59"/>
      <c r="L642" s="59"/>
      <c r="N642" s="59"/>
      <c r="Q642" s="59"/>
      <c r="R642" s="61"/>
    </row>
    <row r="643">
      <c r="B643" s="59"/>
      <c r="D643" s="59"/>
      <c r="F643" s="59"/>
      <c r="H643" s="59"/>
      <c r="J643" s="59"/>
      <c r="L643" s="59"/>
      <c r="N643" s="59"/>
      <c r="Q643" s="59"/>
      <c r="R643" s="61"/>
    </row>
    <row r="644">
      <c r="B644" s="59"/>
      <c r="D644" s="59"/>
      <c r="F644" s="59"/>
      <c r="H644" s="59"/>
      <c r="J644" s="59"/>
      <c r="L644" s="59"/>
      <c r="N644" s="59"/>
      <c r="Q644" s="59"/>
      <c r="R644" s="61"/>
    </row>
    <row r="645">
      <c r="B645" s="59"/>
      <c r="D645" s="59"/>
      <c r="F645" s="59"/>
      <c r="H645" s="59"/>
      <c r="J645" s="59"/>
      <c r="L645" s="59"/>
      <c r="N645" s="59"/>
      <c r="Q645" s="59"/>
      <c r="R645" s="61"/>
    </row>
    <row r="646">
      <c r="B646" s="59"/>
      <c r="D646" s="59"/>
      <c r="F646" s="59"/>
      <c r="H646" s="59"/>
      <c r="J646" s="59"/>
      <c r="L646" s="59"/>
      <c r="N646" s="59"/>
      <c r="Q646" s="59"/>
      <c r="R646" s="61"/>
    </row>
    <row r="647">
      <c r="B647" s="59"/>
      <c r="D647" s="59"/>
      <c r="F647" s="59"/>
      <c r="H647" s="59"/>
      <c r="J647" s="59"/>
      <c r="L647" s="59"/>
      <c r="N647" s="59"/>
      <c r="Q647" s="59"/>
      <c r="R647" s="61"/>
    </row>
    <row r="648">
      <c r="B648" s="59"/>
      <c r="D648" s="59"/>
      <c r="F648" s="59"/>
      <c r="H648" s="59"/>
      <c r="J648" s="59"/>
      <c r="L648" s="59"/>
      <c r="N648" s="59"/>
      <c r="Q648" s="59"/>
      <c r="R648" s="61"/>
    </row>
    <row r="649">
      <c r="B649" s="59"/>
      <c r="D649" s="59"/>
      <c r="F649" s="59"/>
      <c r="H649" s="59"/>
      <c r="J649" s="59"/>
      <c r="L649" s="59"/>
      <c r="N649" s="59"/>
      <c r="Q649" s="59"/>
      <c r="R649" s="61"/>
    </row>
    <row r="650">
      <c r="B650" s="59"/>
      <c r="D650" s="59"/>
      <c r="F650" s="59"/>
      <c r="H650" s="59"/>
      <c r="J650" s="59"/>
      <c r="L650" s="59"/>
      <c r="N650" s="59"/>
      <c r="Q650" s="59"/>
      <c r="R650" s="61"/>
    </row>
    <row r="651">
      <c r="B651" s="59"/>
      <c r="D651" s="59"/>
      <c r="F651" s="59"/>
      <c r="H651" s="59"/>
      <c r="J651" s="59"/>
      <c r="L651" s="59"/>
      <c r="N651" s="59"/>
      <c r="Q651" s="59"/>
      <c r="R651" s="61"/>
    </row>
    <row r="652">
      <c r="B652" s="59"/>
      <c r="D652" s="59"/>
      <c r="F652" s="59"/>
      <c r="H652" s="59"/>
      <c r="J652" s="59"/>
      <c r="L652" s="59"/>
      <c r="N652" s="59"/>
      <c r="Q652" s="59"/>
      <c r="R652" s="61"/>
    </row>
    <row r="653">
      <c r="B653" s="59"/>
      <c r="D653" s="59"/>
      <c r="F653" s="59"/>
      <c r="H653" s="59"/>
      <c r="J653" s="59"/>
      <c r="L653" s="59"/>
      <c r="N653" s="59"/>
      <c r="Q653" s="59"/>
      <c r="R653" s="61"/>
    </row>
    <row r="654">
      <c r="B654" s="59"/>
      <c r="D654" s="59"/>
      <c r="F654" s="59"/>
      <c r="H654" s="59"/>
      <c r="J654" s="59"/>
      <c r="L654" s="59"/>
      <c r="N654" s="59"/>
      <c r="Q654" s="59"/>
      <c r="R654" s="61"/>
    </row>
    <row r="655">
      <c r="B655" s="59"/>
      <c r="D655" s="59"/>
      <c r="F655" s="59"/>
      <c r="H655" s="59"/>
      <c r="J655" s="59"/>
      <c r="L655" s="59"/>
      <c r="N655" s="59"/>
      <c r="Q655" s="59"/>
      <c r="R655" s="61"/>
    </row>
    <row r="656">
      <c r="B656" s="59"/>
      <c r="D656" s="59"/>
      <c r="F656" s="59"/>
      <c r="H656" s="59"/>
      <c r="J656" s="59"/>
      <c r="L656" s="59"/>
      <c r="N656" s="59"/>
      <c r="Q656" s="59"/>
      <c r="R656" s="61"/>
    </row>
    <row r="657">
      <c r="B657" s="59"/>
      <c r="D657" s="59"/>
      <c r="F657" s="59"/>
      <c r="H657" s="59"/>
      <c r="J657" s="59"/>
      <c r="L657" s="59"/>
      <c r="N657" s="59"/>
      <c r="Q657" s="59"/>
      <c r="R657" s="61"/>
    </row>
    <row r="658">
      <c r="B658" s="59"/>
      <c r="D658" s="59"/>
      <c r="F658" s="59"/>
      <c r="H658" s="59"/>
      <c r="J658" s="59"/>
      <c r="L658" s="59"/>
      <c r="N658" s="59"/>
      <c r="Q658" s="59"/>
      <c r="R658" s="61"/>
    </row>
    <row r="659">
      <c r="B659" s="59"/>
      <c r="D659" s="59"/>
      <c r="F659" s="59"/>
      <c r="H659" s="59"/>
      <c r="J659" s="59"/>
      <c r="L659" s="59"/>
      <c r="N659" s="59"/>
      <c r="Q659" s="59"/>
      <c r="R659" s="61"/>
    </row>
    <row r="660">
      <c r="B660" s="59"/>
      <c r="D660" s="59"/>
      <c r="F660" s="59"/>
      <c r="H660" s="59"/>
      <c r="J660" s="59"/>
      <c r="L660" s="59"/>
      <c r="N660" s="59"/>
      <c r="Q660" s="59"/>
      <c r="R660" s="61"/>
    </row>
    <row r="661">
      <c r="B661" s="59"/>
      <c r="D661" s="59"/>
      <c r="F661" s="59"/>
      <c r="H661" s="59"/>
      <c r="J661" s="59"/>
      <c r="L661" s="59"/>
      <c r="N661" s="59"/>
      <c r="Q661" s="59"/>
      <c r="R661" s="61"/>
    </row>
    <row r="662">
      <c r="B662" s="59"/>
      <c r="D662" s="59"/>
      <c r="F662" s="59"/>
      <c r="H662" s="59"/>
      <c r="J662" s="59"/>
      <c r="L662" s="59"/>
      <c r="N662" s="59"/>
      <c r="Q662" s="59"/>
      <c r="R662" s="61"/>
    </row>
    <row r="663">
      <c r="B663" s="59"/>
      <c r="D663" s="59"/>
      <c r="F663" s="59"/>
      <c r="H663" s="59"/>
      <c r="J663" s="59"/>
      <c r="L663" s="59"/>
      <c r="N663" s="59"/>
      <c r="Q663" s="59"/>
      <c r="R663" s="61"/>
    </row>
    <row r="664">
      <c r="B664" s="59"/>
      <c r="D664" s="59"/>
      <c r="F664" s="59"/>
      <c r="H664" s="59"/>
      <c r="J664" s="59"/>
      <c r="L664" s="59"/>
      <c r="N664" s="59"/>
      <c r="Q664" s="59"/>
      <c r="R664" s="61"/>
    </row>
    <row r="665">
      <c r="B665" s="59"/>
      <c r="D665" s="59"/>
      <c r="F665" s="59"/>
      <c r="H665" s="59"/>
      <c r="J665" s="59"/>
      <c r="L665" s="59"/>
      <c r="N665" s="59"/>
      <c r="Q665" s="59"/>
      <c r="R665" s="61"/>
    </row>
    <row r="666">
      <c r="B666" s="59"/>
      <c r="D666" s="59"/>
      <c r="F666" s="59"/>
      <c r="H666" s="59"/>
      <c r="J666" s="59"/>
      <c r="L666" s="59"/>
      <c r="N666" s="59"/>
      <c r="Q666" s="59"/>
      <c r="R666" s="61"/>
    </row>
    <row r="667">
      <c r="B667" s="59"/>
      <c r="D667" s="59"/>
      <c r="F667" s="59"/>
      <c r="H667" s="59"/>
      <c r="J667" s="59"/>
      <c r="L667" s="59"/>
      <c r="N667" s="59"/>
      <c r="Q667" s="59"/>
      <c r="R667" s="61"/>
    </row>
    <row r="668">
      <c r="B668" s="59"/>
      <c r="D668" s="59"/>
      <c r="F668" s="59"/>
      <c r="H668" s="59"/>
      <c r="J668" s="59"/>
      <c r="L668" s="59"/>
      <c r="N668" s="59"/>
      <c r="Q668" s="59"/>
      <c r="R668" s="61"/>
    </row>
    <row r="669">
      <c r="B669" s="59"/>
      <c r="D669" s="59"/>
      <c r="F669" s="59"/>
      <c r="H669" s="59"/>
      <c r="J669" s="59"/>
      <c r="L669" s="59"/>
      <c r="N669" s="59"/>
      <c r="Q669" s="59"/>
      <c r="R669" s="61"/>
    </row>
    <row r="670">
      <c r="B670" s="59"/>
      <c r="D670" s="59"/>
      <c r="F670" s="59"/>
      <c r="H670" s="59"/>
      <c r="J670" s="59"/>
      <c r="L670" s="59"/>
      <c r="N670" s="59"/>
      <c r="Q670" s="59"/>
      <c r="R670" s="61"/>
    </row>
    <row r="671">
      <c r="B671" s="59"/>
      <c r="D671" s="59"/>
      <c r="F671" s="59"/>
      <c r="H671" s="59"/>
      <c r="J671" s="59"/>
      <c r="L671" s="59"/>
      <c r="N671" s="59"/>
      <c r="Q671" s="59"/>
      <c r="R671" s="61"/>
    </row>
    <row r="672">
      <c r="B672" s="59"/>
      <c r="D672" s="59"/>
      <c r="F672" s="59"/>
      <c r="H672" s="59"/>
      <c r="J672" s="59"/>
      <c r="L672" s="59"/>
      <c r="N672" s="59"/>
      <c r="Q672" s="59"/>
      <c r="R672" s="61"/>
    </row>
    <row r="673">
      <c r="B673" s="59"/>
      <c r="D673" s="59"/>
      <c r="F673" s="59"/>
      <c r="H673" s="59"/>
      <c r="J673" s="59"/>
      <c r="L673" s="59"/>
      <c r="N673" s="59"/>
      <c r="Q673" s="59"/>
      <c r="R673" s="61"/>
    </row>
    <row r="674">
      <c r="B674" s="59"/>
      <c r="D674" s="59"/>
      <c r="F674" s="59"/>
      <c r="H674" s="59"/>
      <c r="J674" s="59"/>
      <c r="L674" s="59"/>
      <c r="N674" s="59"/>
      <c r="Q674" s="59"/>
      <c r="R674" s="61"/>
    </row>
    <row r="675">
      <c r="B675" s="59"/>
      <c r="D675" s="59"/>
      <c r="F675" s="59"/>
      <c r="H675" s="59"/>
      <c r="J675" s="59"/>
      <c r="L675" s="59"/>
      <c r="N675" s="59"/>
      <c r="Q675" s="59"/>
      <c r="R675" s="61"/>
    </row>
    <row r="676">
      <c r="B676" s="59"/>
      <c r="D676" s="59"/>
      <c r="F676" s="59"/>
      <c r="H676" s="59"/>
      <c r="J676" s="59"/>
      <c r="L676" s="59"/>
      <c r="N676" s="59"/>
      <c r="Q676" s="59"/>
      <c r="R676" s="61"/>
    </row>
    <row r="677">
      <c r="B677" s="59"/>
      <c r="D677" s="59"/>
      <c r="F677" s="59"/>
      <c r="H677" s="59"/>
      <c r="J677" s="59"/>
      <c r="L677" s="59"/>
      <c r="N677" s="59"/>
      <c r="Q677" s="59"/>
      <c r="R677" s="61"/>
    </row>
    <row r="678">
      <c r="B678" s="59"/>
      <c r="D678" s="59"/>
      <c r="F678" s="59"/>
      <c r="H678" s="59"/>
      <c r="J678" s="59"/>
      <c r="L678" s="59"/>
      <c r="N678" s="59"/>
      <c r="Q678" s="59"/>
      <c r="R678" s="61"/>
    </row>
    <row r="679">
      <c r="B679" s="59"/>
      <c r="D679" s="59"/>
      <c r="F679" s="59"/>
      <c r="H679" s="59"/>
      <c r="J679" s="59"/>
      <c r="L679" s="59"/>
      <c r="N679" s="59"/>
      <c r="Q679" s="59"/>
      <c r="R679" s="61"/>
    </row>
    <row r="680">
      <c r="B680" s="59"/>
      <c r="D680" s="59"/>
      <c r="F680" s="59"/>
      <c r="H680" s="59"/>
      <c r="J680" s="59"/>
      <c r="L680" s="59"/>
      <c r="N680" s="59"/>
      <c r="Q680" s="59"/>
      <c r="R680" s="61"/>
    </row>
    <row r="681">
      <c r="B681" s="59"/>
      <c r="D681" s="59"/>
      <c r="F681" s="59"/>
      <c r="H681" s="59"/>
      <c r="J681" s="59"/>
      <c r="L681" s="59"/>
      <c r="N681" s="59"/>
      <c r="Q681" s="59"/>
      <c r="R681" s="61"/>
    </row>
    <row r="682">
      <c r="B682" s="59"/>
      <c r="D682" s="59"/>
      <c r="F682" s="59"/>
      <c r="H682" s="59"/>
      <c r="J682" s="59"/>
      <c r="L682" s="59"/>
      <c r="N682" s="59"/>
      <c r="Q682" s="59"/>
      <c r="R682" s="61"/>
    </row>
    <row r="683">
      <c r="B683" s="59"/>
      <c r="D683" s="59"/>
      <c r="F683" s="59"/>
      <c r="H683" s="59"/>
      <c r="J683" s="59"/>
      <c r="L683" s="59"/>
      <c r="N683" s="59"/>
      <c r="Q683" s="59"/>
      <c r="R683" s="61"/>
    </row>
    <row r="684">
      <c r="B684" s="59"/>
      <c r="D684" s="59"/>
      <c r="F684" s="59"/>
      <c r="H684" s="59"/>
      <c r="J684" s="59"/>
      <c r="L684" s="59"/>
      <c r="N684" s="59"/>
      <c r="Q684" s="59"/>
      <c r="R684" s="61"/>
    </row>
    <row r="685">
      <c r="B685" s="59"/>
      <c r="D685" s="59"/>
      <c r="F685" s="59"/>
      <c r="H685" s="59"/>
      <c r="J685" s="59"/>
      <c r="L685" s="59"/>
      <c r="N685" s="59"/>
      <c r="Q685" s="59"/>
      <c r="R685" s="61"/>
    </row>
    <row r="686">
      <c r="B686" s="59"/>
      <c r="D686" s="59"/>
      <c r="F686" s="59"/>
      <c r="H686" s="59"/>
      <c r="J686" s="59"/>
      <c r="L686" s="59"/>
      <c r="N686" s="59"/>
      <c r="Q686" s="59"/>
      <c r="R686" s="61"/>
    </row>
    <row r="687">
      <c r="B687" s="59"/>
      <c r="D687" s="59"/>
      <c r="F687" s="59"/>
      <c r="H687" s="59"/>
      <c r="J687" s="59"/>
      <c r="L687" s="59"/>
      <c r="N687" s="59"/>
      <c r="Q687" s="59"/>
      <c r="R687" s="61"/>
    </row>
    <row r="688">
      <c r="B688" s="59"/>
      <c r="D688" s="59"/>
      <c r="F688" s="59"/>
      <c r="H688" s="59"/>
      <c r="J688" s="59"/>
      <c r="L688" s="59"/>
      <c r="N688" s="59"/>
      <c r="Q688" s="59"/>
      <c r="R688" s="61"/>
    </row>
    <row r="689">
      <c r="B689" s="59"/>
      <c r="D689" s="59"/>
      <c r="F689" s="59"/>
      <c r="H689" s="59"/>
      <c r="J689" s="59"/>
      <c r="L689" s="59"/>
      <c r="N689" s="59"/>
      <c r="Q689" s="59"/>
      <c r="R689" s="61"/>
    </row>
    <row r="690">
      <c r="B690" s="59"/>
      <c r="D690" s="59"/>
      <c r="F690" s="59"/>
      <c r="H690" s="59"/>
      <c r="J690" s="59"/>
      <c r="L690" s="59"/>
      <c r="N690" s="59"/>
      <c r="Q690" s="59"/>
      <c r="R690" s="61"/>
    </row>
    <row r="691">
      <c r="B691" s="59"/>
      <c r="D691" s="59"/>
      <c r="F691" s="59"/>
      <c r="H691" s="59"/>
      <c r="J691" s="59"/>
      <c r="L691" s="59"/>
      <c r="N691" s="59"/>
      <c r="Q691" s="59"/>
      <c r="R691" s="61"/>
    </row>
    <row r="692">
      <c r="B692" s="59"/>
      <c r="D692" s="59"/>
      <c r="F692" s="59"/>
      <c r="H692" s="59"/>
      <c r="J692" s="59"/>
      <c r="L692" s="59"/>
      <c r="N692" s="59"/>
      <c r="Q692" s="59"/>
      <c r="R692" s="61"/>
    </row>
    <row r="693">
      <c r="B693" s="59"/>
      <c r="D693" s="59"/>
      <c r="F693" s="59"/>
      <c r="H693" s="59"/>
      <c r="J693" s="59"/>
      <c r="L693" s="59"/>
      <c r="N693" s="59"/>
      <c r="Q693" s="59"/>
      <c r="R693" s="61"/>
    </row>
    <row r="694">
      <c r="B694" s="59"/>
      <c r="D694" s="59"/>
      <c r="F694" s="59"/>
      <c r="H694" s="59"/>
      <c r="J694" s="59"/>
      <c r="L694" s="59"/>
      <c r="N694" s="59"/>
      <c r="Q694" s="59"/>
      <c r="R694" s="61"/>
    </row>
    <row r="695">
      <c r="B695" s="59"/>
      <c r="D695" s="59"/>
      <c r="F695" s="59"/>
      <c r="H695" s="59"/>
      <c r="J695" s="59"/>
      <c r="L695" s="59"/>
      <c r="N695" s="59"/>
      <c r="Q695" s="59"/>
      <c r="R695" s="61"/>
    </row>
    <row r="696">
      <c r="B696" s="59"/>
      <c r="D696" s="59"/>
      <c r="F696" s="59"/>
      <c r="H696" s="59"/>
      <c r="J696" s="59"/>
      <c r="L696" s="59"/>
      <c r="N696" s="59"/>
      <c r="Q696" s="59"/>
      <c r="R696" s="61"/>
    </row>
    <row r="697">
      <c r="B697" s="59"/>
      <c r="D697" s="59"/>
      <c r="F697" s="59"/>
      <c r="H697" s="59"/>
      <c r="J697" s="59"/>
      <c r="L697" s="59"/>
      <c r="N697" s="59"/>
      <c r="Q697" s="59"/>
      <c r="R697" s="61"/>
    </row>
    <row r="698">
      <c r="B698" s="59"/>
      <c r="D698" s="59"/>
      <c r="F698" s="59"/>
      <c r="H698" s="59"/>
      <c r="J698" s="59"/>
      <c r="L698" s="59"/>
      <c r="N698" s="59"/>
      <c r="Q698" s="59"/>
      <c r="R698" s="61"/>
    </row>
    <row r="699">
      <c r="B699" s="59"/>
      <c r="D699" s="59"/>
      <c r="F699" s="59"/>
      <c r="H699" s="59"/>
      <c r="J699" s="59"/>
      <c r="L699" s="59"/>
      <c r="N699" s="59"/>
      <c r="Q699" s="59"/>
      <c r="R699" s="61"/>
    </row>
    <row r="700">
      <c r="B700" s="59"/>
      <c r="D700" s="59"/>
      <c r="F700" s="59"/>
      <c r="H700" s="59"/>
      <c r="J700" s="59"/>
      <c r="L700" s="59"/>
      <c r="N700" s="59"/>
      <c r="Q700" s="59"/>
      <c r="R700" s="61"/>
    </row>
    <row r="701">
      <c r="B701" s="59"/>
      <c r="D701" s="59"/>
      <c r="F701" s="59"/>
      <c r="H701" s="59"/>
      <c r="J701" s="59"/>
      <c r="L701" s="59"/>
      <c r="N701" s="59"/>
      <c r="Q701" s="59"/>
      <c r="R701" s="61"/>
    </row>
    <row r="702">
      <c r="B702" s="59"/>
      <c r="D702" s="59"/>
      <c r="F702" s="59"/>
      <c r="H702" s="59"/>
      <c r="J702" s="59"/>
      <c r="L702" s="59"/>
      <c r="N702" s="59"/>
      <c r="Q702" s="59"/>
      <c r="R702" s="61"/>
    </row>
    <row r="703">
      <c r="B703" s="59"/>
      <c r="D703" s="59"/>
      <c r="F703" s="59"/>
      <c r="H703" s="59"/>
      <c r="J703" s="59"/>
      <c r="L703" s="59"/>
      <c r="N703" s="59"/>
      <c r="Q703" s="59"/>
      <c r="R703" s="61"/>
    </row>
    <row r="704">
      <c r="B704" s="59"/>
      <c r="D704" s="59"/>
      <c r="F704" s="59"/>
      <c r="H704" s="59"/>
      <c r="J704" s="59"/>
      <c r="L704" s="59"/>
      <c r="N704" s="59"/>
      <c r="Q704" s="59"/>
      <c r="R704" s="61"/>
    </row>
    <row r="705">
      <c r="B705" s="59"/>
      <c r="D705" s="59"/>
      <c r="F705" s="59"/>
      <c r="H705" s="59"/>
      <c r="J705" s="59"/>
      <c r="L705" s="59"/>
      <c r="N705" s="59"/>
      <c r="Q705" s="59"/>
      <c r="R705" s="61"/>
    </row>
    <row r="706">
      <c r="B706" s="59"/>
      <c r="D706" s="59"/>
      <c r="F706" s="59"/>
      <c r="H706" s="59"/>
      <c r="J706" s="59"/>
      <c r="L706" s="59"/>
      <c r="N706" s="59"/>
      <c r="Q706" s="59"/>
      <c r="R706" s="61"/>
    </row>
    <row r="707">
      <c r="B707" s="59"/>
      <c r="D707" s="59"/>
      <c r="F707" s="59"/>
      <c r="H707" s="59"/>
      <c r="J707" s="59"/>
      <c r="L707" s="59"/>
      <c r="N707" s="59"/>
      <c r="Q707" s="59"/>
      <c r="R707" s="61"/>
    </row>
    <row r="708">
      <c r="B708" s="59"/>
      <c r="D708" s="59"/>
      <c r="F708" s="59"/>
      <c r="H708" s="59"/>
      <c r="J708" s="59"/>
      <c r="L708" s="59"/>
      <c r="N708" s="59"/>
      <c r="Q708" s="59"/>
      <c r="R708" s="61"/>
    </row>
    <row r="709">
      <c r="B709" s="59"/>
      <c r="D709" s="59"/>
      <c r="F709" s="59"/>
      <c r="H709" s="59"/>
      <c r="J709" s="59"/>
      <c r="L709" s="59"/>
      <c r="N709" s="59"/>
      <c r="Q709" s="59"/>
      <c r="R709" s="61"/>
    </row>
    <row r="710">
      <c r="B710" s="59"/>
      <c r="D710" s="59"/>
      <c r="F710" s="59"/>
      <c r="H710" s="59"/>
      <c r="J710" s="59"/>
      <c r="L710" s="59"/>
      <c r="N710" s="59"/>
      <c r="Q710" s="59"/>
      <c r="R710" s="61"/>
    </row>
    <row r="711">
      <c r="B711" s="59"/>
      <c r="D711" s="59"/>
      <c r="F711" s="59"/>
      <c r="H711" s="59"/>
      <c r="J711" s="59"/>
      <c r="L711" s="59"/>
      <c r="N711" s="59"/>
      <c r="Q711" s="59"/>
      <c r="R711" s="61"/>
    </row>
    <row r="712">
      <c r="B712" s="59"/>
      <c r="D712" s="59"/>
      <c r="F712" s="59"/>
      <c r="H712" s="59"/>
      <c r="J712" s="59"/>
      <c r="L712" s="59"/>
      <c r="N712" s="59"/>
      <c r="Q712" s="59"/>
      <c r="R712" s="61"/>
    </row>
    <row r="713">
      <c r="B713" s="59"/>
      <c r="D713" s="59"/>
      <c r="F713" s="59"/>
      <c r="H713" s="59"/>
      <c r="J713" s="59"/>
      <c r="L713" s="59"/>
      <c r="N713" s="59"/>
      <c r="Q713" s="59"/>
      <c r="R713" s="61"/>
    </row>
    <row r="714">
      <c r="B714" s="59"/>
      <c r="D714" s="59"/>
      <c r="F714" s="59"/>
      <c r="H714" s="59"/>
      <c r="J714" s="59"/>
      <c r="L714" s="59"/>
      <c r="N714" s="59"/>
      <c r="Q714" s="59"/>
      <c r="R714" s="61"/>
    </row>
    <row r="715">
      <c r="B715" s="59"/>
      <c r="D715" s="59"/>
      <c r="F715" s="59"/>
      <c r="H715" s="59"/>
      <c r="J715" s="59"/>
      <c r="L715" s="59"/>
      <c r="N715" s="59"/>
      <c r="Q715" s="59"/>
      <c r="R715" s="61"/>
    </row>
    <row r="716">
      <c r="B716" s="59"/>
      <c r="D716" s="59"/>
      <c r="F716" s="59"/>
      <c r="H716" s="59"/>
      <c r="J716" s="59"/>
      <c r="L716" s="59"/>
      <c r="N716" s="59"/>
      <c r="Q716" s="59"/>
      <c r="R716" s="61"/>
    </row>
    <row r="717">
      <c r="B717" s="59"/>
      <c r="D717" s="59"/>
      <c r="F717" s="59"/>
      <c r="H717" s="59"/>
      <c r="J717" s="59"/>
      <c r="L717" s="59"/>
      <c r="N717" s="59"/>
      <c r="Q717" s="59"/>
      <c r="R717" s="61"/>
    </row>
    <row r="718">
      <c r="B718" s="59"/>
      <c r="D718" s="59"/>
      <c r="F718" s="59"/>
      <c r="H718" s="59"/>
      <c r="J718" s="59"/>
      <c r="L718" s="59"/>
      <c r="N718" s="59"/>
      <c r="Q718" s="59"/>
      <c r="R718" s="61"/>
    </row>
    <row r="719">
      <c r="B719" s="59"/>
      <c r="D719" s="59"/>
      <c r="F719" s="59"/>
      <c r="H719" s="59"/>
      <c r="J719" s="59"/>
      <c r="L719" s="59"/>
      <c r="N719" s="59"/>
      <c r="Q719" s="59"/>
      <c r="R719" s="61"/>
    </row>
    <row r="720">
      <c r="B720" s="59"/>
      <c r="D720" s="59"/>
      <c r="F720" s="59"/>
      <c r="H720" s="59"/>
      <c r="J720" s="59"/>
      <c r="L720" s="59"/>
      <c r="N720" s="59"/>
      <c r="Q720" s="59"/>
      <c r="R720" s="61"/>
    </row>
    <row r="721">
      <c r="B721" s="59"/>
      <c r="D721" s="59"/>
      <c r="F721" s="59"/>
      <c r="H721" s="59"/>
      <c r="J721" s="59"/>
      <c r="L721" s="59"/>
      <c r="N721" s="59"/>
      <c r="Q721" s="59"/>
      <c r="R721" s="61"/>
    </row>
    <row r="722">
      <c r="B722" s="59"/>
      <c r="D722" s="59"/>
      <c r="F722" s="59"/>
      <c r="H722" s="59"/>
      <c r="J722" s="59"/>
      <c r="L722" s="59"/>
      <c r="N722" s="59"/>
      <c r="Q722" s="59"/>
      <c r="R722" s="61"/>
    </row>
    <row r="723">
      <c r="B723" s="59"/>
      <c r="D723" s="59"/>
      <c r="F723" s="59"/>
      <c r="H723" s="59"/>
      <c r="J723" s="59"/>
      <c r="L723" s="59"/>
      <c r="N723" s="59"/>
      <c r="Q723" s="59"/>
      <c r="R723" s="61"/>
    </row>
    <row r="724">
      <c r="B724" s="59"/>
      <c r="D724" s="59"/>
      <c r="F724" s="59"/>
      <c r="H724" s="59"/>
      <c r="J724" s="59"/>
      <c r="L724" s="59"/>
      <c r="N724" s="59"/>
      <c r="Q724" s="59"/>
      <c r="R724" s="61"/>
    </row>
    <row r="725">
      <c r="B725" s="59"/>
      <c r="D725" s="59"/>
      <c r="F725" s="59"/>
      <c r="H725" s="59"/>
      <c r="J725" s="59"/>
      <c r="L725" s="59"/>
      <c r="N725" s="59"/>
      <c r="Q725" s="59"/>
      <c r="R725" s="61"/>
    </row>
    <row r="726">
      <c r="B726" s="59"/>
      <c r="D726" s="59"/>
      <c r="F726" s="59"/>
      <c r="H726" s="59"/>
      <c r="J726" s="59"/>
      <c r="L726" s="59"/>
      <c r="N726" s="59"/>
      <c r="Q726" s="59"/>
      <c r="R726" s="61"/>
    </row>
    <row r="727">
      <c r="B727" s="59"/>
      <c r="D727" s="59"/>
      <c r="F727" s="59"/>
      <c r="H727" s="59"/>
      <c r="J727" s="59"/>
      <c r="L727" s="59"/>
      <c r="N727" s="59"/>
      <c r="Q727" s="59"/>
      <c r="R727" s="61"/>
    </row>
    <row r="728">
      <c r="B728" s="59"/>
      <c r="D728" s="59"/>
      <c r="F728" s="59"/>
      <c r="H728" s="59"/>
      <c r="J728" s="59"/>
      <c r="L728" s="59"/>
      <c r="N728" s="59"/>
      <c r="Q728" s="59"/>
      <c r="R728" s="61"/>
    </row>
    <row r="729">
      <c r="B729" s="59"/>
      <c r="D729" s="59"/>
      <c r="F729" s="59"/>
      <c r="H729" s="59"/>
      <c r="J729" s="59"/>
      <c r="L729" s="59"/>
      <c r="N729" s="59"/>
      <c r="Q729" s="59"/>
      <c r="R729" s="61"/>
    </row>
    <row r="730">
      <c r="B730" s="59"/>
      <c r="D730" s="59"/>
      <c r="F730" s="59"/>
      <c r="H730" s="59"/>
      <c r="J730" s="59"/>
      <c r="L730" s="59"/>
      <c r="N730" s="59"/>
      <c r="Q730" s="59"/>
      <c r="R730" s="61"/>
    </row>
    <row r="731">
      <c r="B731" s="59"/>
      <c r="D731" s="59"/>
      <c r="F731" s="59"/>
      <c r="H731" s="59"/>
      <c r="J731" s="59"/>
      <c r="L731" s="59"/>
      <c r="N731" s="59"/>
      <c r="Q731" s="59"/>
      <c r="R731" s="61"/>
    </row>
    <row r="732">
      <c r="B732" s="59"/>
      <c r="D732" s="59"/>
      <c r="F732" s="59"/>
      <c r="H732" s="59"/>
      <c r="J732" s="59"/>
      <c r="L732" s="59"/>
      <c r="N732" s="59"/>
      <c r="Q732" s="59"/>
      <c r="R732" s="61"/>
    </row>
    <row r="733">
      <c r="B733" s="59"/>
      <c r="D733" s="59"/>
      <c r="F733" s="59"/>
      <c r="H733" s="59"/>
      <c r="J733" s="59"/>
      <c r="L733" s="59"/>
      <c r="N733" s="59"/>
      <c r="Q733" s="59"/>
      <c r="R733" s="61"/>
    </row>
    <row r="734">
      <c r="B734" s="59"/>
      <c r="D734" s="59"/>
      <c r="F734" s="59"/>
      <c r="H734" s="59"/>
      <c r="J734" s="59"/>
      <c r="L734" s="59"/>
      <c r="N734" s="59"/>
      <c r="Q734" s="59"/>
      <c r="R734" s="61"/>
    </row>
    <row r="735">
      <c r="B735" s="59"/>
      <c r="D735" s="59"/>
      <c r="F735" s="59"/>
      <c r="H735" s="59"/>
      <c r="J735" s="59"/>
      <c r="L735" s="59"/>
      <c r="N735" s="59"/>
      <c r="Q735" s="59"/>
      <c r="R735" s="61"/>
    </row>
    <row r="736">
      <c r="B736" s="59"/>
      <c r="D736" s="59"/>
      <c r="F736" s="59"/>
      <c r="H736" s="59"/>
      <c r="J736" s="59"/>
      <c r="L736" s="59"/>
      <c r="N736" s="59"/>
      <c r="Q736" s="59"/>
      <c r="R736" s="61"/>
    </row>
    <row r="737">
      <c r="B737" s="59"/>
      <c r="D737" s="59"/>
      <c r="F737" s="59"/>
      <c r="H737" s="59"/>
      <c r="J737" s="59"/>
      <c r="L737" s="59"/>
      <c r="N737" s="59"/>
      <c r="Q737" s="59"/>
      <c r="R737" s="61"/>
    </row>
    <row r="738">
      <c r="B738" s="59"/>
      <c r="D738" s="59"/>
      <c r="F738" s="59"/>
      <c r="H738" s="59"/>
      <c r="J738" s="59"/>
      <c r="L738" s="59"/>
      <c r="N738" s="59"/>
      <c r="Q738" s="59"/>
      <c r="R738" s="61"/>
    </row>
    <row r="739">
      <c r="B739" s="59"/>
      <c r="D739" s="59"/>
      <c r="F739" s="59"/>
      <c r="H739" s="59"/>
      <c r="J739" s="59"/>
      <c r="L739" s="59"/>
      <c r="N739" s="59"/>
      <c r="Q739" s="59"/>
      <c r="R739" s="61"/>
    </row>
    <row r="740">
      <c r="B740" s="59"/>
      <c r="D740" s="59"/>
      <c r="F740" s="59"/>
      <c r="H740" s="59"/>
      <c r="J740" s="59"/>
      <c r="L740" s="59"/>
      <c r="N740" s="59"/>
      <c r="Q740" s="59"/>
      <c r="R740" s="61"/>
    </row>
    <row r="741">
      <c r="B741" s="59"/>
      <c r="D741" s="59"/>
      <c r="F741" s="59"/>
      <c r="H741" s="59"/>
      <c r="J741" s="59"/>
      <c r="L741" s="59"/>
      <c r="N741" s="59"/>
      <c r="Q741" s="59"/>
      <c r="R741" s="61"/>
    </row>
    <row r="742">
      <c r="B742" s="59"/>
      <c r="D742" s="59"/>
      <c r="F742" s="59"/>
      <c r="H742" s="59"/>
      <c r="J742" s="59"/>
      <c r="L742" s="59"/>
      <c r="N742" s="59"/>
      <c r="Q742" s="59"/>
      <c r="R742" s="61"/>
    </row>
    <row r="743">
      <c r="B743" s="59"/>
      <c r="D743" s="59"/>
      <c r="F743" s="59"/>
      <c r="H743" s="59"/>
      <c r="J743" s="59"/>
      <c r="L743" s="59"/>
      <c r="N743" s="59"/>
      <c r="Q743" s="59"/>
      <c r="R743" s="61"/>
    </row>
    <row r="744">
      <c r="B744" s="59"/>
      <c r="D744" s="59"/>
      <c r="F744" s="59"/>
      <c r="H744" s="59"/>
      <c r="J744" s="59"/>
      <c r="L744" s="59"/>
      <c r="N744" s="59"/>
      <c r="Q744" s="59"/>
      <c r="R744" s="61"/>
    </row>
    <row r="745">
      <c r="B745" s="59"/>
      <c r="D745" s="59"/>
      <c r="F745" s="59"/>
      <c r="H745" s="59"/>
      <c r="J745" s="59"/>
      <c r="L745" s="59"/>
      <c r="N745" s="59"/>
      <c r="Q745" s="59"/>
      <c r="R745" s="61"/>
    </row>
    <row r="746">
      <c r="B746" s="59"/>
      <c r="D746" s="59"/>
      <c r="F746" s="59"/>
      <c r="H746" s="59"/>
      <c r="J746" s="59"/>
      <c r="L746" s="59"/>
      <c r="N746" s="59"/>
      <c r="Q746" s="59"/>
      <c r="R746" s="61"/>
    </row>
    <row r="747">
      <c r="B747" s="59"/>
      <c r="D747" s="59"/>
      <c r="F747" s="59"/>
      <c r="H747" s="59"/>
      <c r="J747" s="59"/>
      <c r="L747" s="59"/>
      <c r="N747" s="59"/>
      <c r="Q747" s="59"/>
      <c r="R747" s="61"/>
    </row>
    <row r="748">
      <c r="B748" s="59"/>
      <c r="D748" s="59"/>
      <c r="F748" s="59"/>
      <c r="H748" s="59"/>
      <c r="J748" s="59"/>
      <c r="L748" s="59"/>
      <c r="N748" s="59"/>
      <c r="Q748" s="59"/>
      <c r="R748" s="61"/>
    </row>
    <row r="749">
      <c r="B749" s="59"/>
      <c r="D749" s="59"/>
      <c r="F749" s="59"/>
      <c r="H749" s="59"/>
      <c r="J749" s="59"/>
      <c r="L749" s="59"/>
      <c r="N749" s="59"/>
      <c r="Q749" s="59"/>
      <c r="R749" s="61"/>
    </row>
    <row r="750">
      <c r="B750" s="59"/>
      <c r="D750" s="59"/>
      <c r="F750" s="59"/>
      <c r="H750" s="59"/>
      <c r="J750" s="59"/>
      <c r="L750" s="59"/>
      <c r="N750" s="59"/>
      <c r="Q750" s="59"/>
      <c r="R750" s="61"/>
    </row>
    <row r="751">
      <c r="B751" s="59"/>
      <c r="D751" s="59"/>
      <c r="F751" s="59"/>
      <c r="H751" s="59"/>
      <c r="J751" s="59"/>
      <c r="L751" s="59"/>
      <c r="N751" s="59"/>
      <c r="Q751" s="59"/>
      <c r="R751" s="61"/>
    </row>
    <row r="752">
      <c r="B752" s="59"/>
      <c r="D752" s="59"/>
      <c r="F752" s="59"/>
      <c r="H752" s="59"/>
      <c r="J752" s="59"/>
      <c r="L752" s="59"/>
      <c r="N752" s="59"/>
      <c r="Q752" s="59"/>
      <c r="R752" s="61"/>
    </row>
    <row r="753">
      <c r="B753" s="59"/>
      <c r="D753" s="59"/>
      <c r="F753" s="59"/>
      <c r="H753" s="59"/>
      <c r="J753" s="59"/>
      <c r="L753" s="59"/>
      <c r="N753" s="59"/>
      <c r="Q753" s="59"/>
      <c r="R753" s="61"/>
    </row>
    <row r="754">
      <c r="B754" s="59"/>
      <c r="D754" s="59"/>
      <c r="F754" s="59"/>
      <c r="H754" s="59"/>
      <c r="J754" s="59"/>
      <c r="L754" s="59"/>
      <c r="N754" s="59"/>
      <c r="Q754" s="59"/>
      <c r="R754" s="61"/>
    </row>
    <row r="755">
      <c r="B755" s="59"/>
      <c r="D755" s="59"/>
      <c r="F755" s="59"/>
      <c r="H755" s="59"/>
      <c r="J755" s="59"/>
      <c r="L755" s="59"/>
      <c r="N755" s="59"/>
      <c r="Q755" s="59"/>
      <c r="R755" s="61"/>
    </row>
    <row r="756">
      <c r="B756" s="59"/>
      <c r="D756" s="59"/>
      <c r="F756" s="59"/>
      <c r="H756" s="59"/>
      <c r="J756" s="59"/>
      <c r="L756" s="59"/>
      <c r="N756" s="59"/>
      <c r="Q756" s="59"/>
      <c r="R756" s="61"/>
    </row>
    <row r="757">
      <c r="B757" s="59"/>
      <c r="D757" s="59"/>
      <c r="F757" s="59"/>
      <c r="H757" s="59"/>
      <c r="J757" s="59"/>
      <c r="L757" s="59"/>
      <c r="N757" s="59"/>
      <c r="Q757" s="59"/>
      <c r="R757" s="61"/>
    </row>
    <row r="758">
      <c r="B758" s="59"/>
      <c r="D758" s="59"/>
      <c r="F758" s="59"/>
      <c r="H758" s="59"/>
      <c r="J758" s="59"/>
      <c r="L758" s="59"/>
      <c r="N758" s="59"/>
      <c r="Q758" s="59"/>
      <c r="R758" s="61"/>
    </row>
    <row r="759">
      <c r="B759" s="59"/>
      <c r="D759" s="59"/>
      <c r="F759" s="59"/>
      <c r="H759" s="59"/>
      <c r="J759" s="59"/>
      <c r="L759" s="59"/>
      <c r="N759" s="59"/>
      <c r="Q759" s="59"/>
      <c r="R759" s="61"/>
    </row>
    <row r="760">
      <c r="B760" s="59"/>
      <c r="D760" s="59"/>
      <c r="F760" s="59"/>
      <c r="H760" s="59"/>
      <c r="J760" s="59"/>
      <c r="L760" s="59"/>
      <c r="N760" s="59"/>
      <c r="Q760" s="59"/>
      <c r="R760" s="61"/>
    </row>
    <row r="761">
      <c r="B761" s="59"/>
      <c r="D761" s="59"/>
      <c r="F761" s="59"/>
      <c r="H761" s="59"/>
      <c r="J761" s="59"/>
      <c r="L761" s="59"/>
      <c r="N761" s="59"/>
      <c r="Q761" s="59"/>
      <c r="R761" s="61"/>
    </row>
    <row r="762">
      <c r="B762" s="59"/>
      <c r="D762" s="59"/>
      <c r="F762" s="59"/>
      <c r="H762" s="59"/>
      <c r="J762" s="59"/>
      <c r="L762" s="59"/>
      <c r="N762" s="59"/>
      <c r="Q762" s="59"/>
      <c r="R762" s="61"/>
    </row>
    <row r="763">
      <c r="B763" s="59"/>
      <c r="D763" s="59"/>
      <c r="F763" s="59"/>
      <c r="H763" s="59"/>
      <c r="J763" s="59"/>
      <c r="L763" s="59"/>
      <c r="N763" s="59"/>
      <c r="Q763" s="59"/>
      <c r="R763" s="61"/>
    </row>
    <row r="764">
      <c r="B764" s="59"/>
      <c r="D764" s="59"/>
      <c r="F764" s="59"/>
      <c r="H764" s="59"/>
      <c r="J764" s="59"/>
      <c r="L764" s="59"/>
      <c r="N764" s="59"/>
      <c r="Q764" s="59"/>
      <c r="R764" s="61"/>
    </row>
    <row r="765">
      <c r="B765" s="59"/>
      <c r="D765" s="59"/>
      <c r="F765" s="59"/>
      <c r="H765" s="59"/>
      <c r="J765" s="59"/>
      <c r="L765" s="59"/>
      <c r="N765" s="59"/>
      <c r="Q765" s="59"/>
      <c r="R765" s="61"/>
    </row>
    <row r="766">
      <c r="B766" s="59"/>
      <c r="D766" s="59"/>
      <c r="F766" s="59"/>
      <c r="H766" s="59"/>
      <c r="J766" s="59"/>
      <c r="L766" s="59"/>
      <c r="N766" s="59"/>
      <c r="Q766" s="59"/>
      <c r="R766" s="61"/>
    </row>
    <row r="767">
      <c r="B767" s="59"/>
      <c r="D767" s="59"/>
      <c r="F767" s="59"/>
      <c r="H767" s="59"/>
      <c r="J767" s="59"/>
      <c r="L767" s="59"/>
      <c r="N767" s="59"/>
      <c r="Q767" s="59"/>
      <c r="R767" s="61"/>
    </row>
    <row r="768">
      <c r="B768" s="59"/>
      <c r="D768" s="59"/>
      <c r="F768" s="59"/>
      <c r="H768" s="59"/>
      <c r="J768" s="59"/>
      <c r="L768" s="59"/>
      <c r="N768" s="59"/>
      <c r="Q768" s="59"/>
      <c r="R768" s="61"/>
    </row>
    <row r="769">
      <c r="B769" s="59"/>
      <c r="D769" s="59"/>
      <c r="F769" s="59"/>
      <c r="H769" s="59"/>
      <c r="J769" s="59"/>
      <c r="L769" s="59"/>
      <c r="N769" s="59"/>
      <c r="Q769" s="59"/>
      <c r="R769" s="61"/>
    </row>
    <row r="770">
      <c r="B770" s="59"/>
      <c r="D770" s="59"/>
      <c r="F770" s="59"/>
      <c r="H770" s="59"/>
      <c r="J770" s="59"/>
      <c r="L770" s="59"/>
      <c r="N770" s="59"/>
      <c r="Q770" s="59"/>
      <c r="R770" s="61"/>
    </row>
    <row r="771">
      <c r="B771" s="59"/>
      <c r="D771" s="59"/>
      <c r="F771" s="59"/>
      <c r="H771" s="59"/>
      <c r="J771" s="59"/>
      <c r="L771" s="59"/>
      <c r="N771" s="59"/>
      <c r="Q771" s="59"/>
      <c r="R771" s="61"/>
    </row>
    <row r="772">
      <c r="B772" s="59"/>
      <c r="D772" s="59"/>
      <c r="F772" s="59"/>
      <c r="H772" s="59"/>
      <c r="J772" s="59"/>
      <c r="L772" s="59"/>
      <c r="N772" s="59"/>
      <c r="Q772" s="59"/>
      <c r="R772" s="61"/>
    </row>
    <row r="773">
      <c r="B773" s="59"/>
      <c r="D773" s="59"/>
      <c r="F773" s="59"/>
      <c r="H773" s="59"/>
      <c r="J773" s="59"/>
      <c r="L773" s="59"/>
      <c r="N773" s="59"/>
      <c r="Q773" s="59"/>
      <c r="R773" s="61"/>
    </row>
    <row r="774">
      <c r="B774" s="59"/>
      <c r="D774" s="59"/>
      <c r="F774" s="59"/>
      <c r="H774" s="59"/>
      <c r="J774" s="59"/>
      <c r="L774" s="59"/>
      <c r="N774" s="59"/>
      <c r="Q774" s="59"/>
      <c r="R774" s="61"/>
    </row>
    <row r="775">
      <c r="B775" s="59"/>
      <c r="D775" s="59"/>
      <c r="F775" s="59"/>
      <c r="H775" s="59"/>
      <c r="J775" s="59"/>
      <c r="L775" s="59"/>
      <c r="N775" s="59"/>
      <c r="Q775" s="59"/>
      <c r="R775" s="61"/>
    </row>
    <row r="776">
      <c r="B776" s="59"/>
      <c r="D776" s="59"/>
      <c r="F776" s="59"/>
      <c r="H776" s="59"/>
      <c r="J776" s="59"/>
      <c r="L776" s="59"/>
      <c r="N776" s="59"/>
      <c r="Q776" s="59"/>
      <c r="R776" s="61"/>
    </row>
    <row r="777">
      <c r="B777" s="59"/>
      <c r="D777" s="59"/>
      <c r="F777" s="59"/>
      <c r="H777" s="59"/>
      <c r="J777" s="59"/>
      <c r="L777" s="59"/>
      <c r="N777" s="59"/>
      <c r="Q777" s="59"/>
      <c r="R777" s="61"/>
    </row>
    <row r="778">
      <c r="B778" s="59"/>
      <c r="D778" s="59"/>
      <c r="F778" s="59"/>
      <c r="H778" s="59"/>
      <c r="J778" s="59"/>
      <c r="L778" s="59"/>
      <c r="N778" s="59"/>
      <c r="Q778" s="59"/>
      <c r="R778" s="61"/>
    </row>
    <row r="779">
      <c r="B779" s="59"/>
      <c r="D779" s="59"/>
      <c r="F779" s="59"/>
      <c r="H779" s="59"/>
      <c r="J779" s="59"/>
      <c r="L779" s="59"/>
      <c r="N779" s="59"/>
      <c r="Q779" s="59"/>
      <c r="R779" s="61"/>
    </row>
    <row r="780">
      <c r="B780" s="59"/>
      <c r="D780" s="59"/>
      <c r="F780" s="59"/>
      <c r="H780" s="59"/>
      <c r="J780" s="59"/>
      <c r="L780" s="59"/>
      <c r="N780" s="59"/>
      <c r="Q780" s="59"/>
      <c r="R780" s="61"/>
    </row>
    <row r="781">
      <c r="B781" s="59"/>
      <c r="D781" s="59"/>
      <c r="F781" s="59"/>
      <c r="H781" s="59"/>
      <c r="J781" s="59"/>
      <c r="L781" s="59"/>
      <c r="N781" s="59"/>
      <c r="Q781" s="59"/>
      <c r="R781" s="61"/>
    </row>
    <row r="782">
      <c r="B782" s="59"/>
      <c r="D782" s="59"/>
      <c r="F782" s="59"/>
      <c r="H782" s="59"/>
      <c r="J782" s="59"/>
      <c r="L782" s="59"/>
      <c r="N782" s="59"/>
      <c r="Q782" s="59"/>
      <c r="R782" s="61"/>
    </row>
    <row r="783">
      <c r="B783" s="59"/>
      <c r="D783" s="59"/>
      <c r="F783" s="59"/>
      <c r="H783" s="59"/>
      <c r="J783" s="59"/>
      <c r="L783" s="59"/>
      <c r="N783" s="59"/>
      <c r="Q783" s="59"/>
      <c r="R783" s="61"/>
    </row>
    <row r="784">
      <c r="B784" s="59"/>
      <c r="D784" s="59"/>
      <c r="F784" s="59"/>
      <c r="H784" s="59"/>
      <c r="J784" s="59"/>
      <c r="L784" s="59"/>
      <c r="N784" s="59"/>
      <c r="Q784" s="59"/>
      <c r="R784" s="61"/>
    </row>
    <row r="785">
      <c r="B785" s="59"/>
      <c r="D785" s="59"/>
      <c r="F785" s="59"/>
      <c r="H785" s="59"/>
      <c r="J785" s="59"/>
      <c r="L785" s="59"/>
      <c r="N785" s="59"/>
      <c r="Q785" s="59"/>
      <c r="R785" s="61"/>
    </row>
    <row r="786">
      <c r="B786" s="59"/>
      <c r="D786" s="59"/>
      <c r="F786" s="59"/>
      <c r="H786" s="59"/>
      <c r="J786" s="59"/>
      <c r="L786" s="59"/>
      <c r="N786" s="59"/>
      <c r="Q786" s="59"/>
      <c r="R786" s="61"/>
    </row>
    <row r="787">
      <c r="B787" s="59"/>
      <c r="D787" s="59"/>
      <c r="F787" s="59"/>
      <c r="H787" s="59"/>
      <c r="J787" s="59"/>
      <c r="L787" s="59"/>
      <c r="N787" s="59"/>
      <c r="Q787" s="59"/>
      <c r="R787" s="61"/>
    </row>
    <row r="788">
      <c r="B788" s="59"/>
      <c r="D788" s="59"/>
      <c r="F788" s="59"/>
      <c r="H788" s="59"/>
      <c r="J788" s="59"/>
      <c r="L788" s="59"/>
      <c r="N788" s="59"/>
      <c r="Q788" s="59"/>
      <c r="R788" s="61"/>
    </row>
    <row r="789">
      <c r="B789" s="59"/>
      <c r="D789" s="59"/>
      <c r="F789" s="59"/>
      <c r="H789" s="59"/>
      <c r="J789" s="59"/>
      <c r="L789" s="59"/>
      <c r="N789" s="59"/>
      <c r="Q789" s="59"/>
      <c r="R789" s="61"/>
    </row>
    <row r="790">
      <c r="B790" s="59"/>
      <c r="D790" s="59"/>
      <c r="F790" s="59"/>
      <c r="H790" s="59"/>
      <c r="J790" s="59"/>
      <c r="L790" s="59"/>
      <c r="N790" s="59"/>
      <c r="Q790" s="59"/>
      <c r="R790" s="61"/>
    </row>
    <row r="791">
      <c r="B791" s="59"/>
      <c r="D791" s="59"/>
      <c r="F791" s="59"/>
      <c r="H791" s="59"/>
      <c r="J791" s="59"/>
      <c r="L791" s="59"/>
      <c r="N791" s="59"/>
      <c r="Q791" s="59"/>
      <c r="R791" s="61"/>
    </row>
    <row r="792">
      <c r="B792" s="59"/>
      <c r="D792" s="59"/>
      <c r="F792" s="59"/>
      <c r="H792" s="59"/>
      <c r="J792" s="59"/>
      <c r="L792" s="59"/>
      <c r="N792" s="59"/>
      <c r="Q792" s="59"/>
      <c r="R792" s="61"/>
    </row>
    <row r="793">
      <c r="B793" s="59"/>
      <c r="D793" s="59"/>
      <c r="F793" s="59"/>
      <c r="H793" s="59"/>
      <c r="J793" s="59"/>
      <c r="L793" s="59"/>
      <c r="N793" s="59"/>
      <c r="Q793" s="59"/>
      <c r="R793" s="61"/>
    </row>
    <row r="794">
      <c r="B794" s="59"/>
      <c r="D794" s="59"/>
      <c r="F794" s="59"/>
      <c r="H794" s="59"/>
      <c r="J794" s="59"/>
      <c r="L794" s="59"/>
      <c r="N794" s="59"/>
      <c r="Q794" s="59"/>
      <c r="R794" s="61"/>
    </row>
    <row r="795">
      <c r="B795" s="59"/>
      <c r="D795" s="59"/>
      <c r="F795" s="59"/>
      <c r="H795" s="59"/>
      <c r="J795" s="59"/>
      <c r="L795" s="59"/>
      <c r="N795" s="59"/>
      <c r="Q795" s="59"/>
      <c r="R795" s="61"/>
    </row>
    <row r="796">
      <c r="B796" s="59"/>
      <c r="D796" s="59"/>
      <c r="F796" s="59"/>
      <c r="H796" s="59"/>
      <c r="J796" s="59"/>
      <c r="L796" s="59"/>
      <c r="N796" s="59"/>
      <c r="Q796" s="59"/>
      <c r="R796" s="61"/>
    </row>
    <row r="797">
      <c r="B797" s="59"/>
      <c r="D797" s="59"/>
      <c r="F797" s="59"/>
      <c r="H797" s="59"/>
      <c r="J797" s="59"/>
      <c r="L797" s="59"/>
      <c r="N797" s="59"/>
      <c r="Q797" s="59"/>
      <c r="R797" s="61"/>
    </row>
    <row r="798">
      <c r="B798" s="59"/>
      <c r="D798" s="59"/>
      <c r="F798" s="59"/>
      <c r="H798" s="59"/>
      <c r="J798" s="59"/>
      <c r="L798" s="59"/>
      <c r="N798" s="59"/>
      <c r="Q798" s="59"/>
      <c r="R798" s="61"/>
    </row>
    <row r="799">
      <c r="B799" s="59"/>
      <c r="D799" s="59"/>
      <c r="F799" s="59"/>
      <c r="H799" s="59"/>
      <c r="J799" s="59"/>
      <c r="L799" s="59"/>
      <c r="N799" s="59"/>
      <c r="Q799" s="59"/>
      <c r="R799" s="61"/>
    </row>
    <row r="800">
      <c r="B800" s="59"/>
      <c r="D800" s="59"/>
      <c r="F800" s="59"/>
      <c r="H800" s="59"/>
      <c r="J800" s="59"/>
      <c r="L800" s="59"/>
      <c r="N800" s="59"/>
      <c r="Q800" s="59"/>
      <c r="R800" s="61"/>
    </row>
    <row r="801">
      <c r="B801" s="59"/>
      <c r="D801" s="59"/>
      <c r="F801" s="59"/>
      <c r="H801" s="59"/>
      <c r="J801" s="59"/>
      <c r="L801" s="59"/>
      <c r="N801" s="59"/>
      <c r="Q801" s="59"/>
      <c r="R801" s="61"/>
    </row>
    <row r="802">
      <c r="B802" s="59"/>
      <c r="D802" s="59"/>
      <c r="F802" s="59"/>
      <c r="H802" s="59"/>
      <c r="J802" s="59"/>
      <c r="L802" s="59"/>
      <c r="N802" s="59"/>
      <c r="Q802" s="59"/>
      <c r="R802" s="61"/>
    </row>
    <row r="803">
      <c r="B803" s="59"/>
      <c r="D803" s="59"/>
      <c r="F803" s="59"/>
      <c r="H803" s="59"/>
      <c r="J803" s="59"/>
      <c r="L803" s="59"/>
      <c r="N803" s="59"/>
      <c r="Q803" s="59"/>
      <c r="R803" s="61"/>
    </row>
    <row r="804">
      <c r="B804" s="59"/>
      <c r="D804" s="59"/>
      <c r="F804" s="59"/>
      <c r="H804" s="59"/>
      <c r="J804" s="59"/>
      <c r="L804" s="59"/>
      <c r="N804" s="59"/>
      <c r="Q804" s="59"/>
      <c r="R804" s="61"/>
    </row>
    <row r="805">
      <c r="B805" s="59"/>
      <c r="D805" s="59"/>
      <c r="F805" s="59"/>
      <c r="H805" s="59"/>
      <c r="J805" s="59"/>
      <c r="L805" s="59"/>
      <c r="N805" s="59"/>
      <c r="Q805" s="59"/>
      <c r="R805" s="61"/>
    </row>
    <row r="806">
      <c r="B806" s="59"/>
      <c r="D806" s="59"/>
      <c r="F806" s="59"/>
      <c r="H806" s="59"/>
      <c r="J806" s="59"/>
      <c r="L806" s="59"/>
      <c r="N806" s="59"/>
      <c r="Q806" s="59"/>
      <c r="R806" s="61"/>
    </row>
    <row r="807">
      <c r="B807" s="59"/>
      <c r="D807" s="59"/>
      <c r="F807" s="59"/>
      <c r="H807" s="59"/>
      <c r="J807" s="59"/>
      <c r="L807" s="59"/>
      <c r="N807" s="59"/>
      <c r="Q807" s="59"/>
      <c r="R807" s="61"/>
    </row>
    <row r="808">
      <c r="B808" s="59"/>
      <c r="D808" s="59"/>
      <c r="F808" s="59"/>
      <c r="H808" s="59"/>
      <c r="J808" s="59"/>
      <c r="L808" s="59"/>
      <c r="N808" s="59"/>
      <c r="Q808" s="59"/>
      <c r="R808" s="61"/>
    </row>
    <row r="809">
      <c r="B809" s="59"/>
      <c r="D809" s="59"/>
      <c r="F809" s="59"/>
      <c r="H809" s="59"/>
      <c r="J809" s="59"/>
      <c r="L809" s="59"/>
      <c r="N809" s="59"/>
      <c r="Q809" s="59"/>
      <c r="R809" s="61"/>
    </row>
    <row r="810">
      <c r="B810" s="59"/>
      <c r="D810" s="59"/>
      <c r="F810" s="59"/>
      <c r="H810" s="59"/>
      <c r="J810" s="59"/>
      <c r="L810" s="59"/>
      <c r="N810" s="59"/>
      <c r="Q810" s="59"/>
      <c r="R810" s="61"/>
    </row>
    <row r="811">
      <c r="B811" s="59"/>
      <c r="D811" s="59"/>
      <c r="F811" s="59"/>
      <c r="H811" s="59"/>
      <c r="J811" s="59"/>
      <c r="L811" s="59"/>
      <c r="N811" s="59"/>
      <c r="Q811" s="59"/>
      <c r="R811" s="61"/>
    </row>
    <row r="812">
      <c r="B812" s="59"/>
      <c r="D812" s="59"/>
      <c r="F812" s="59"/>
      <c r="H812" s="59"/>
      <c r="J812" s="59"/>
      <c r="L812" s="59"/>
      <c r="N812" s="59"/>
      <c r="Q812" s="59"/>
      <c r="R812" s="61"/>
    </row>
    <row r="813">
      <c r="B813" s="59"/>
      <c r="D813" s="59"/>
      <c r="F813" s="59"/>
      <c r="H813" s="59"/>
      <c r="J813" s="59"/>
      <c r="L813" s="59"/>
      <c r="N813" s="59"/>
      <c r="Q813" s="59"/>
      <c r="R813" s="61"/>
    </row>
    <row r="814">
      <c r="B814" s="59"/>
      <c r="D814" s="59"/>
      <c r="F814" s="59"/>
      <c r="H814" s="59"/>
      <c r="J814" s="59"/>
      <c r="L814" s="59"/>
      <c r="N814" s="59"/>
      <c r="Q814" s="59"/>
      <c r="R814" s="61"/>
    </row>
    <row r="815">
      <c r="B815" s="59"/>
      <c r="D815" s="59"/>
      <c r="F815" s="59"/>
      <c r="H815" s="59"/>
      <c r="J815" s="59"/>
      <c r="L815" s="59"/>
      <c r="N815" s="59"/>
      <c r="Q815" s="59"/>
      <c r="R815" s="61"/>
    </row>
    <row r="816">
      <c r="B816" s="59"/>
      <c r="D816" s="59"/>
      <c r="F816" s="59"/>
      <c r="H816" s="59"/>
      <c r="J816" s="59"/>
      <c r="L816" s="59"/>
      <c r="N816" s="59"/>
      <c r="Q816" s="59"/>
      <c r="R816" s="61"/>
    </row>
    <row r="817">
      <c r="B817" s="59"/>
      <c r="D817" s="59"/>
      <c r="F817" s="59"/>
      <c r="H817" s="59"/>
      <c r="J817" s="59"/>
      <c r="L817" s="59"/>
      <c r="N817" s="59"/>
      <c r="Q817" s="59"/>
      <c r="R817" s="61"/>
    </row>
    <row r="818">
      <c r="B818" s="59"/>
      <c r="D818" s="59"/>
      <c r="F818" s="59"/>
      <c r="H818" s="59"/>
      <c r="J818" s="59"/>
      <c r="L818" s="59"/>
      <c r="N818" s="59"/>
      <c r="Q818" s="59"/>
      <c r="R818" s="61"/>
    </row>
    <row r="819">
      <c r="B819" s="59"/>
      <c r="D819" s="59"/>
      <c r="F819" s="59"/>
      <c r="H819" s="59"/>
      <c r="J819" s="59"/>
      <c r="L819" s="59"/>
      <c r="N819" s="59"/>
      <c r="Q819" s="59"/>
      <c r="R819" s="61"/>
    </row>
    <row r="820">
      <c r="B820" s="59"/>
      <c r="D820" s="59"/>
      <c r="F820" s="59"/>
      <c r="H820" s="59"/>
      <c r="J820" s="59"/>
      <c r="L820" s="59"/>
      <c r="N820" s="59"/>
      <c r="Q820" s="59"/>
      <c r="R820" s="61"/>
    </row>
    <row r="821">
      <c r="B821" s="59"/>
      <c r="D821" s="59"/>
      <c r="F821" s="59"/>
      <c r="H821" s="59"/>
      <c r="J821" s="59"/>
      <c r="L821" s="59"/>
      <c r="N821" s="59"/>
      <c r="Q821" s="59"/>
      <c r="R821" s="61"/>
    </row>
    <row r="822">
      <c r="B822" s="59"/>
      <c r="D822" s="59"/>
      <c r="F822" s="59"/>
      <c r="H822" s="59"/>
      <c r="J822" s="59"/>
      <c r="L822" s="59"/>
      <c r="N822" s="59"/>
      <c r="Q822" s="59"/>
      <c r="R822" s="61"/>
    </row>
    <row r="823">
      <c r="B823" s="59"/>
      <c r="D823" s="59"/>
      <c r="F823" s="59"/>
      <c r="H823" s="59"/>
      <c r="J823" s="59"/>
      <c r="L823" s="59"/>
      <c r="N823" s="59"/>
      <c r="Q823" s="59"/>
      <c r="R823" s="61"/>
    </row>
    <row r="824">
      <c r="B824" s="59"/>
      <c r="D824" s="59"/>
      <c r="F824" s="59"/>
      <c r="H824" s="59"/>
      <c r="J824" s="59"/>
      <c r="L824" s="59"/>
      <c r="N824" s="59"/>
      <c r="Q824" s="59"/>
      <c r="R824" s="61"/>
    </row>
    <row r="825">
      <c r="B825" s="59"/>
      <c r="D825" s="59"/>
      <c r="F825" s="59"/>
      <c r="H825" s="59"/>
      <c r="J825" s="59"/>
      <c r="L825" s="59"/>
      <c r="N825" s="59"/>
      <c r="Q825" s="59"/>
      <c r="R825" s="61"/>
    </row>
    <row r="826">
      <c r="B826" s="59"/>
      <c r="D826" s="59"/>
      <c r="F826" s="59"/>
      <c r="H826" s="59"/>
      <c r="J826" s="59"/>
      <c r="L826" s="59"/>
      <c r="N826" s="59"/>
      <c r="Q826" s="59"/>
      <c r="R826" s="61"/>
    </row>
    <row r="827">
      <c r="B827" s="59"/>
      <c r="D827" s="59"/>
      <c r="F827" s="59"/>
      <c r="H827" s="59"/>
      <c r="J827" s="59"/>
      <c r="L827" s="59"/>
      <c r="N827" s="59"/>
      <c r="Q827" s="59"/>
      <c r="R827" s="61"/>
    </row>
    <row r="828">
      <c r="B828" s="59"/>
      <c r="D828" s="59"/>
      <c r="F828" s="59"/>
      <c r="H828" s="59"/>
      <c r="J828" s="59"/>
      <c r="L828" s="59"/>
      <c r="N828" s="59"/>
      <c r="Q828" s="59"/>
      <c r="R828" s="61"/>
    </row>
    <row r="829">
      <c r="B829" s="59"/>
      <c r="D829" s="59"/>
      <c r="F829" s="59"/>
      <c r="H829" s="59"/>
      <c r="J829" s="59"/>
      <c r="L829" s="59"/>
      <c r="N829" s="59"/>
      <c r="Q829" s="59"/>
      <c r="R829" s="61"/>
    </row>
    <row r="830">
      <c r="B830" s="59"/>
      <c r="D830" s="59"/>
      <c r="F830" s="59"/>
      <c r="H830" s="59"/>
      <c r="J830" s="59"/>
      <c r="L830" s="59"/>
      <c r="N830" s="59"/>
      <c r="Q830" s="59"/>
      <c r="R830" s="61"/>
    </row>
    <row r="831">
      <c r="B831" s="59"/>
      <c r="D831" s="59"/>
      <c r="F831" s="59"/>
      <c r="H831" s="59"/>
      <c r="J831" s="59"/>
      <c r="L831" s="59"/>
      <c r="N831" s="59"/>
      <c r="Q831" s="59"/>
      <c r="R831" s="61"/>
    </row>
    <row r="832">
      <c r="B832" s="59"/>
      <c r="D832" s="59"/>
      <c r="F832" s="59"/>
      <c r="H832" s="59"/>
      <c r="J832" s="59"/>
      <c r="L832" s="59"/>
      <c r="N832" s="59"/>
      <c r="Q832" s="59"/>
      <c r="R832" s="61"/>
    </row>
    <row r="833">
      <c r="B833" s="59"/>
      <c r="D833" s="59"/>
      <c r="F833" s="59"/>
      <c r="H833" s="59"/>
      <c r="J833" s="59"/>
      <c r="L833" s="59"/>
      <c r="N833" s="59"/>
      <c r="Q833" s="59"/>
      <c r="R833" s="61"/>
    </row>
    <row r="834">
      <c r="B834" s="59"/>
      <c r="D834" s="59"/>
      <c r="F834" s="59"/>
      <c r="H834" s="59"/>
      <c r="J834" s="59"/>
      <c r="L834" s="59"/>
      <c r="N834" s="59"/>
      <c r="Q834" s="59"/>
      <c r="R834" s="61"/>
    </row>
    <row r="835">
      <c r="B835" s="59"/>
      <c r="D835" s="59"/>
      <c r="F835" s="59"/>
      <c r="H835" s="59"/>
      <c r="J835" s="59"/>
      <c r="L835" s="59"/>
      <c r="N835" s="59"/>
      <c r="Q835" s="59"/>
      <c r="R835" s="61"/>
    </row>
    <row r="836">
      <c r="B836" s="59"/>
      <c r="D836" s="59"/>
      <c r="F836" s="59"/>
      <c r="H836" s="59"/>
      <c r="J836" s="59"/>
      <c r="L836" s="59"/>
      <c r="N836" s="59"/>
      <c r="Q836" s="59"/>
      <c r="R836" s="61"/>
    </row>
    <row r="837">
      <c r="B837" s="59"/>
      <c r="D837" s="59"/>
      <c r="F837" s="59"/>
      <c r="H837" s="59"/>
      <c r="J837" s="59"/>
      <c r="L837" s="59"/>
      <c r="N837" s="59"/>
      <c r="Q837" s="59"/>
      <c r="R837" s="61"/>
    </row>
    <row r="838">
      <c r="B838" s="59"/>
      <c r="D838" s="59"/>
      <c r="F838" s="59"/>
      <c r="H838" s="59"/>
      <c r="J838" s="59"/>
      <c r="L838" s="59"/>
      <c r="N838" s="59"/>
      <c r="Q838" s="59"/>
      <c r="R838" s="61"/>
    </row>
    <row r="839">
      <c r="B839" s="59"/>
      <c r="D839" s="59"/>
      <c r="F839" s="59"/>
      <c r="H839" s="59"/>
      <c r="J839" s="59"/>
      <c r="L839" s="59"/>
      <c r="N839" s="59"/>
      <c r="Q839" s="59"/>
      <c r="R839" s="61"/>
    </row>
    <row r="840">
      <c r="B840" s="59"/>
      <c r="D840" s="59"/>
      <c r="F840" s="59"/>
      <c r="H840" s="59"/>
      <c r="J840" s="59"/>
      <c r="L840" s="59"/>
      <c r="N840" s="59"/>
      <c r="Q840" s="59"/>
      <c r="R840" s="61"/>
    </row>
    <row r="841">
      <c r="B841" s="59"/>
      <c r="D841" s="59"/>
      <c r="F841" s="59"/>
      <c r="H841" s="59"/>
      <c r="J841" s="59"/>
      <c r="L841" s="59"/>
      <c r="N841" s="59"/>
      <c r="Q841" s="59"/>
      <c r="R841" s="61"/>
    </row>
    <row r="842">
      <c r="B842" s="59"/>
      <c r="D842" s="59"/>
      <c r="F842" s="59"/>
      <c r="H842" s="59"/>
      <c r="J842" s="59"/>
      <c r="L842" s="59"/>
      <c r="N842" s="59"/>
      <c r="Q842" s="59"/>
      <c r="R842" s="61"/>
    </row>
    <row r="843">
      <c r="B843" s="59"/>
      <c r="D843" s="59"/>
      <c r="F843" s="59"/>
      <c r="H843" s="59"/>
      <c r="J843" s="59"/>
      <c r="L843" s="59"/>
      <c r="N843" s="59"/>
      <c r="Q843" s="59"/>
      <c r="R843" s="61"/>
    </row>
    <row r="844">
      <c r="B844" s="59"/>
      <c r="D844" s="59"/>
      <c r="F844" s="59"/>
      <c r="H844" s="59"/>
      <c r="J844" s="59"/>
      <c r="L844" s="59"/>
      <c r="N844" s="59"/>
      <c r="Q844" s="59"/>
      <c r="R844" s="61"/>
    </row>
    <row r="845">
      <c r="B845" s="59"/>
      <c r="D845" s="59"/>
      <c r="F845" s="59"/>
      <c r="H845" s="59"/>
      <c r="J845" s="59"/>
      <c r="L845" s="59"/>
      <c r="N845" s="59"/>
      <c r="Q845" s="59"/>
      <c r="R845" s="61"/>
    </row>
    <row r="846">
      <c r="B846" s="59"/>
      <c r="D846" s="59"/>
      <c r="F846" s="59"/>
      <c r="H846" s="59"/>
      <c r="J846" s="59"/>
      <c r="L846" s="59"/>
      <c r="N846" s="59"/>
      <c r="Q846" s="59"/>
      <c r="R846" s="61"/>
    </row>
    <row r="847">
      <c r="B847" s="59"/>
      <c r="D847" s="59"/>
      <c r="F847" s="59"/>
      <c r="H847" s="59"/>
      <c r="J847" s="59"/>
      <c r="L847" s="59"/>
      <c r="N847" s="59"/>
      <c r="Q847" s="59"/>
      <c r="R847" s="61"/>
    </row>
    <row r="848">
      <c r="B848" s="59"/>
      <c r="D848" s="59"/>
      <c r="F848" s="59"/>
      <c r="H848" s="59"/>
      <c r="J848" s="59"/>
      <c r="L848" s="59"/>
      <c r="N848" s="59"/>
      <c r="Q848" s="59"/>
      <c r="R848" s="61"/>
    </row>
    <row r="849">
      <c r="B849" s="59"/>
      <c r="D849" s="59"/>
      <c r="F849" s="59"/>
      <c r="H849" s="59"/>
      <c r="J849" s="59"/>
      <c r="L849" s="59"/>
      <c r="N849" s="59"/>
      <c r="Q849" s="59"/>
      <c r="R849" s="61"/>
    </row>
    <row r="850">
      <c r="B850" s="59"/>
      <c r="D850" s="59"/>
      <c r="F850" s="59"/>
      <c r="H850" s="59"/>
      <c r="J850" s="59"/>
      <c r="L850" s="59"/>
      <c r="N850" s="59"/>
      <c r="Q850" s="59"/>
      <c r="R850" s="61"/>
    </row>
    <row r="851">
      <c r="B851" s="59"/>
      <c r="D851" s="59"/>
      <c r="F851" s="59"/>
      <c r="H851" s="59"/>
      <c r="J851" s="59"/>
      <c r="L851" s="59"/>
      <c r="N851" s="59"/>
      <c r="Q851" s="59"/>
      <c r="R851" s="61"/>
    </row>
    <row r="852">
      <c r="B852" s="59"/>
      <c r="D852" s="59"/>
      <c r="F852" s="59"/>
      <c r="H852" s="59"/>
      <c r="J852" s="59"/>
      <c r="L852" s="59"/>
      <c r="N852" s="59"/>
      <c r="Q852" s="59"/>
      <c r="R852" s="61"/>
    </row>
    <row r="853">
      <c r="B853" s="59"/>
      <c r="D853" s="59"/>
      <c r="F853" s="59"/>
      <c r="H853" s="59"/>
      <c r="J853" s="59"/>
      <c r="L853" s="59"/>
      <c r="N853" s="59"/>
      <c r="Q853" s="59"/>
      <c r="R853" s="61"/>
    </row>
    <row r="854">
      <c r="B854" s="59"/>
      <c r="D854" s="59"/>
      <c r="F854" s="59"/>
      <c r="H854" s="59"/>
      <c r="J854" s="59"/>
      <c r="L854" s="59"/>
      <c r="N854" s="59"/>
      <c r="Q854" s="59"/>
      <c r="R854" s="61"/>
    </row>
    <row r="855">
      <c r="B855" s="59"/>
      <c r="D855" s="59"/>
      <c r="F855" s="59"/>
      <c r="H855" s="59"/>
      <c r="J855" s="59"/>
      <c r="L855" s="59"/>
      <c r="N855" s="59"/>
      <c r="Q855" s="59"/>
      <c r="R855" s="61"/>
    </row>
    <row r="856">
      <c r="B856" s="59"/>
      <c r="D856" s="59"/>
      <c r="F856" s="59"/>
      <c r="H856" s="59"/>
      <c r="J856" s="59"/>
      <c r="L856" s="59"/>
      <c r="N856" s="59"/>
      <c r="Q856" s="59"/>
      <c r="R856" s="61"/>
    </row>
    <row r="857">
      <c r="B857" s="59"/>
      <c r="D857" s="59"/>
      <c r="F857" s="59"/>
      <c r="H857" s="59"/>
      <c r="J857" s="59"/>
      <c r="L857" s="59"/>
      <c r="N857" s="59"/>
      <c r="Q857" s="59"/>
      <c r="R857" s="61"/>
    </row>
    <row r="858">
      <c r="B858" s="59"/>
      <c r="D858" s="59"/>
      <c r="F858" s="59"/>
      <c r="H858" s="59"/>
      <c r="J858" s="59"/>
      <c r="L858" s="59"/>
      <c r="N858" s="59"/>
      <c r="Q858" s="59"/>
      <c r="R858" s="61"/>
    </row>
    <row r="859">
      <c r="B859" s="59"/>
      <c r="D859" s="59"/>
      <c r="F859" s="59"/>
      <c r="H859" s="59"/>
      <c r="J859" s="59"/>
      <c r="L859" s="59"/>
      <c r="N859" s="59"/>
      <c r="Q859" s="59"/>
      <c r="R859" s="61"/>
    </row>
    <row r="860">
      <c r="B860" s="59"/>
      <c r="D860" s="59"/>
      <c r="F860" s="59"/>
      <c r="H860" s="59"/>
      <c r="J860" s="59"/>
      <c r="L860" s="59"/>
      <c r="N860" s="59"/>
      <c r="Q860" s="59"/>
      <c r="R860" s="61"/>
    </row>
    <row r="861">
      <c r="B861" s="59"/>
      <c r="D861" s="59"/>
      <c r="F861" s="59"/>
      <c r="H861" s="59"/>
      <c r="J861" s="59"/>
      <c r="L861" s="59"/>
      <c r="N861" s="59"/>
      <c r="Q861" s="59"/>
      <c r="R861" s="61"/>
    </row>
    <row r="862">
      <c r="B862" s="59"/>
      <c r="D862" s="59"/>
      <c r="F862" s="59"/>
      <c r="H862" s="59"/>
      <c r="J862" s="59"/>
      <c r="L862" s="59"/>
      <c r="N862" s="59"/>
      <c r="Q862" s="59"/>
      <c r="R862" s="61"/>
    </row>
    <row r="863">
      <c r="B863" s="59"/>
      <c r="D863" s="59"/>
      <c r="F863" s="59"/>
      <c r="H863" s="59"/>
      <c r="J863" s="59"/>
      <c r="L863" s="59"/>
      <c r="N863" s="59"/>
      <c r="Q863" s="59"/>
      <c r="R863" s="61"/>
    </row>
    <row r="864">
      <c r="B864" s="59"/>
      <c r="D864" s="59"/>
      <c r="F864" s="59"/>
      <c r="H864" s="59"/>
      <c r="J864" s="59"/>
      <c r="L864" s="59"/>
      <c r="N864" s="59"/>
      <c r="Q864" s="59"/>
      <c r="R864" s="61"/>
    </row>
    <row r="865">
      <c r="B865" s="59"/>
      <c r="D865" s="59"/>
      <c r="F865" s="59"/>
      <c r="H865" s="59"/>
      <c r="J865" s="59"/>
      <c r="L865" s="59"/>
      <c r="N865" s="59"/>
      <c r="Q865" s="59"/>
      <c r="R865" s="61"/>
    </row>
    <row r="866">
      <c r="B866" s="59"/>
      <c r="D866" s="59"/>
      <c r="F866" s="59"/>
      <c r="H866" s="59"/>
      <c r="J866" s="59"/>
      <c r="L866" s="59"/>
      <c r="N866" s="59"/>
      <c r="Q866" s="59"/>
      <c r="R866" s="61"/>
    </row>
    <row r="867">
      <c r="B867" s="59"/>
      <c r="D867" s="59"/>
      <c r="F867" s="59"/>
      <c r="H867" s="59"/>
      <c r="J867" s="59"/>
      <c r="L867" s="59"/>
      <c r="N867" s="59"/>
      <c r="Q867" s="59"/>
      <c r="R867" s="61"/>
    </row>
    <row r="868">
      <c r="B868" s="59"/>
      <c r="D868" s="59"/>
      <c r="F868" s="59"/>
      <c r="H868" s="59"/>
      <c r="J868" s="59"/>
      <c r="L868" s="59"/>
      <c r="N868" s="59"/>
      <c r="Q868" s="59"/>
      <c r="R868" s="61"/>
    </row>
    <row r="869">
      <c r="B869" s="59"/>
      <c r="D869" s="59"/>
      <c r="F869" s="59"/>
      <c r="H869" s="59"/>
      <c r="J869" s="59"/>
      <c r="L869" s="59"/>
      <c r="N869" s="59"/>
      <c r="Q869" s="59"/>
      <c r="R869" s="61"/>
    </row>
    <row r="870">
      <c r="B870" s="59"/>
      <c r="D870" s="59"/>
      <c r="F870" s="59"/>
      <c r="H870" s="59"/>
      <c r="J870" s="59"/>
      <c r="L870" s="59"/>
      <c r="N870" s="59"/>
      <c r="Q870" s="59"/>
      <c r="R870" s="61"/>
    </row>
    <row r="871">
      <c r="B871" s="59"/>
      <c r="D871" s="59"/>
      <c r="F871" s="59"/>
      <c r="H871" s="59"/>
      <c r="J871" s="59"/>
      <c r="L871" s="59"/>
      <c r="N871" s="59"/>
      <c r="Q871" s="59"/>
      <c r="R871" s="61"/>
    </row>
    <row r="872">
      <c r="B872" s="59"/>
      <c r="D872" s="59"/>
      <c r="F872" s="59"/>
      <c r="H872" s="59"/>
      <c r="J872" s="59"/>
      <c r="L872" s="59"/>
      <c r="N872" s="59"/>
      <c r="Q872" s="59"/>
      <c r="R872" s="61"/>
    </row>
    <row r="873">
      <c r="B873" s="59"/>
      <c r="D873" s="59"/>
      <c r="F873" s="59"/>
      <c r="H873" s="59"/>
      <c r="J873" s="59"/>
      <c r="L873" s="59"/>
      <c r="N873" s="59"/>
      <c r="Q873" s="59"/>
      <c r="R873" s="61"/>
    </row>
    <row r="874">
      <c r="B874" s="59"/>
      <c r="D874" s="59"/>
      <c r="F874" s="59"/>
      <c r="H874" s="59"/>
      <c r="J874" s="59"/>
      <c r="L874" s="59"/>
      <c r="N874" s="59"/>
      <c r="Q874" s="59"/>
      <c r="R874" s="61"/>
    </row>
    <row r="875">
      <c r="B875" s="59"/>
      <c r="D875" s="59"/>
      <c r="F875" s="59"/>
      <c r="H875" s="59"/>
      <c r="J875" s="59"/>
      <c r="L875" s="59"/>
      <c r="N875" s="59"/>
      <c r="Q875" s="59"/>
      <c r="R875" s="61"/>
    </row>
    <row r="876">
      <c r="B876" s="59"/>
      <c r="D876" s="59"/>
      <c r="F876" s="59"/>
      <c r="H876" s="59"/>
      <c r="J876" s="59"/>
      <c r="L876" s="59"/>
      <c r="N876" s="59"/>
      <c r="Q876" s="59"/>
      <c r="R876" s="61"/>
    </row>
    <row r="877">
      <c r="B877" s="59"/>
      <c r="D877" s="59"/>
      <c r="F877" s="59"/>
      <c r="H877" s="59"/>
      <c r="J877" s="59"/>
      <c r="L877" s="59"/>
      <c r="N877" s="59"/>
      <c r="Q877" s="59"/>
      <c r="R877" s="61"/>
    </row>
    <row r="878">
      <c r="B878" s="59"/>
      <c r="D878" s="59"/>
      <c r="F878" s="59"/>
      <c r="H878" s="59"/>
      <c r="J878" s="59"/>
      <c r="L878" s="59"/>
      <c r="N878" s="59"/>
      <c r="Q878" s="59"/>
      <c r="R878" s="61"/>
    </row>
    <row r="879">
      <c r="B879" s="59"/>
      <c r="D879" s="59"/>
      <c r="F879" s="59"/>
      <c r="H879" s="59"/>
      <c r="J879" s="59"/>
      <c r="L879" s="59"/>
      <c r="N879" s="59"/>
      <c r="Q879" s="59"/>
      <c r="R879" s="61"/>
    </row>
    <row r="880">
      <c r="B880" s="59"/>
      <c r="D880" s="59"/>
      <c r="F880" s="59"/>
      <c r="H880" s="59"/>
      <c r="J880" s="59"/>
      <c r="L880" s="59"/>
      <c r="N880" s="59"/>
      <c r="Q880" s="59"/>
      <c r="R880" s="61"/>
    </row>
    <row r="881">
      <c r="B881" s="59"/>
      <c r="D881" s="59"/>
      <c r="F881" s="59"/>
      <c r="H881" s="59"/>
      <c r="J881" s="59"/>
      <c r="L881" s="59"/>
      <c r="N881" s="59"/>
      <c r="Q881" s="59"/>
      <c r="R881" s="61"/>
    </row>
    <row r="882">
      <c r="B882" s="59"/>
      <c r="D882" s="59"/>
      <c r="F882" s="59"/>
      <c r="H882" s="59"/>
      <c r="J882" s="59"/>
      <c r="L882" s="59"/>
      <c r="N882" s="59"/>
      <c r="Q882" s="59"/>
      <c r="R882" s="61"/>
    </row>
    <row r="883">
      <c r="B883" s="59"/>
      <c r="D883" s="59"/>
      <c r="F883" s="59"/>
      <c r="H883" s="59"/>
      <c r="J883" s="59"/>
      <c r="L883" s="59"/>
      <c r="N883" s="59"/>
      <c r="Q883" s="59"/>
      <c r="R883" s="61"/>
    </row>
    <row r="884">
      <c r="B884" s="59"/>
      <c r="D884" s="59"/>
      <c r="F884" s="59"/>
      <c r="H884" s="59"/>
      <c r="J884" s="59"/>
      <c r="L884" s="59"/>
      <c r="N884" s="59"/>
      <c r="Q884" s="59"/>
      <c r="R884" s="61"/>
    </row>
    <row r="885">
      <c r="B885" s="59"/>
      <c r="D885" s="59"/>
      <c r="F885" s="59"/>
      <c r="H885" s="59"/>
      <c r="J885" s="59"/>
      <c r="L885" s="59"/>
      <c r="N885" s="59"/>
      <c r="Q885" s="59"/>
      <c r="R885" s="61"/>
    </row>
    <row r="886">
      <c r="B886" s="59"/>
      <c r="D886" s="59"/>
      <c r="F886" s="59"/>
      <c r="H886" s="59"/>
      <c r="J886" s="59"/>
      <c r="L886" s="59"/>
      <c r="N886" s="59"/>
      <c r="Q886" s="59"/>
      <c r="R886" s="61"/>
    </row>
    <row r="887">
      <c r="B887" s="59"/>
      <c r="D887" s="59"/>
      <c r="F887" s="59"/>
      <c r="H887" s="59"/>
      <c r="J887" s="59"/>
      <c r="L887" s="59"/>
      <c r="N887" s="59"/>
      <c r="Q887" s="59"/>
      <c r="R887" s="61"/>
    </row>
    <row r="888">
      <c r="B888" s="59"/>
      <c r="D888" s="59"/>
      <c r="F888" s="59"/>
      <c r="H888" s="59"/>
      <c r="J888" s="59"/>
      <c r="L888" s="59"/>
      <c r="N888" s="59"/>
      <c r="Q888" s="59"/>
      <c r="R888" s="61"/>
    </row>
    <row r="889">
      <c r="B889" s="59"/>
      <c r="D889" s="59"/>
      <c r="F889" s="59"/>
      <c r="H889" s="59"/>
      <c r="J889" s="59"/>
      <c r="L889" s="59"/>
      <c r="N889" s="59"/>
      <c r="Q889" s="59"/>
      <c r="R889" s="61"/>
    </row>
    <row r="890">
      <c r="B890" s="59"/>
      <c r="D890" s="59"/>
      <c r="F890" s="59"/>
      <c r="H890" s="59"/>
      <c r="J890" s="59"/>
      <c r="L890" s="59"/>
      <c r="N890" s="59"/>
      <c r="Q890" s="59"/>
      <c r="R890" s="61"/>
    </row>
    <row r="891">
      <c r="B891" s="59"/>
      <c r="D891" s="59"/>
      <c r="F891" s="59"/>
      <c r="H891" s="59"/>
      <c r="J891" s="59"/>
      <c r="L891" s="59"/>
      <c r="N891" s="59"/>
      <c r="Q891" s="59"/>
      <c r="R891" s="61"/>
    </row>
    <row r="892">
      <c r="B892" s="59"/>
      <c r="D892" s="59"/>
      <c r="F892" s="59"/>
      <c r="H892" s="59"/>
      <c r="J892" s="59"/>
      <c r="L892" s="59"/>
      <c r="N892" s="59"/>
      <c r="Q892" s="59"/>
      <c r="R892" s="61"/>
    </row>
    <row r="893">
      <c r="B893" s="59"/>
      <c r="D893" s="59"/>
      <c r="F893" s="59"/>
      <c r="H893" s="59"/>
      <c r="J893" s="59"/>
      <c r="L893" s="59"/>
      <c r="N893" s="59"/>
      <c r="Q893" s="59"/>
      <c r="R893" s="61"/>
    </row>
    <row r="894">
      <c r="B894" s="59"/>
      <c r="D894" s="59"/>
      <c r="F894" s="59"/>
      <c r="H894" s="59"/>
      <c r="J894" s="59"/>
      <c r="L894" s="59"/>
      <c r="N894" s="59"/>
      <c r="Q894" s="59"/>
      <c r="R894" s="61"/>
    </row>
    <row r="895">
      <c r="B895" s="59"/>
      <c r="D895" s="59"/>
      <c r="F895" s="59"/>
      <c r="H895" s="59"/>
      <c r="J895" s="59"/>
      <c r="L895" s="59"/>
      <c r="N895" s="59"/>
      <c r="Q895" s="59"/>
      <c r="R895" s="61"/>
    </row>
    <row r="896">
      <c r="B896" s="59"/>
      <c r="D896" s="59"/>
      <c r="F896" s="59"/>
      <c r="H896" s="59"/>
      <c r="J896" s="59"/>
      <c r="L896" s="59"/>
      <c r="N896" s="59"/>
      <c r="Q896" s="59"/>
      <c r="R896" s="61"/>
    </row>
    <row r="897">
      <c r="B897" s="59"/>
      <c r="D897" s="59"/>
      <c r="F897" s="59"/>
      <c r="H897" s="59"/>
      <c r="J897" s="59"/>
      <c r="L897" s="59"/>
      <c r="N897" s="59"/>
      <c r="Q897" s="59"/>
      <c r="R897" s="61"/>
    </row>
    <row r="898">
      <c r="B898" s="59"/>
      <c r="D898" s="59"/>
      <c r="F898" s="59"/>
      <c r="H898" s="59"/>
      <c r="J898" s="59"/>
      <c r="L898" s="59"/>
      <c r="N898" s="59"/>
      <c r="Q898" s="59"/>
      <c r="R898" s="61"/>
    </row>
    <row r="899">
      <c r="B899" s="59"/>
      <c r="D899" s="59"/>
      <c r="F899" s="59"/>
      <c r="H899" s="59"/>
      <c r="J899" s="59"/>
      <c r="L899" s="59"/>
      <c r="N899" s="59"/>
      <c r="Q899" s="59"/>
      <c r="R899" s="61"/>
    </row>
    <row r="900">
      <c r="B900" s="59"/>
      <c r="D900" s="59"/>
      <c r="F900" s="59"/>
      <c r="H900" s="59"/>
      <c r="J900" s="59"/>
      <c r="L900" s="59"/>
      <c r="N900" s="59"/>
      <c r="Q900" s="59"/>
      <c r="R900" s="61"/>
    </row>
    <row r="901">
      <c r="B901" s="59"/>
      <c r="D901" s="59"/>
      <c r="F901" s="59"/>
      <c r="H901" s="59"/>
      <c r="J901" s="59"/>
      <c r="L901" s="59"/>
      <c r="N901" s="59"/>
      <c r="Q901" s="59"/>
      <c r="R901" s="61"/>
    </row>
    <row r="902">
      <c r="B902" s="59"/>
      <c r="D902" s="59"/>
      <c r="F902" s="59"/>
      <c r="H902" s="59"/>
      <c r="J902" s="59"/>
      <c r="L902" s="59"/>
      <c r="N902" s="59"/>
      <c r="Q902" s="59"/>
      <c r="R902" s="61"/>
    </row>
    <row r="903">
      <c r="B903" s="59"/>
      <c r="D903" s="59"/>
      <c r="F903" s="59"/>
      <c r="H903" s="59"/>
      <c r="J903" s="59"/>
      <c r="L903" s="59"/>
      <c r="N903" s="59"/>
      <c r="Q903" s="59"/>
      <c r="R903" s="61"/>
    </row>
    <row r="904">
      <c r="B904" s="59"/>
      <c r="D904" s="59"/>
      <c r="F904" s="59"/>
      <c r="H904" s="59"/>
      <c r="J904" s="59"/>
      <c r="L904" s="59"/>
      <c r="N904" s="59"/>
      <c r="Q904" s="59"/>
      <c r="R904" s="61"/>
    </row>
    <row r="905">
      <c r="B905" s="59"/>
      <c r="D905" s="59"/>
      <c r="F905" s="59"/>
      <c r="H905" s="59"/>
      <c r="J905" s="59"/>
      <c r="L905" s="59"/>
      <c r="N905" s="59"/>
      <c r="Q905" s="59"/>
      <c r="R905" s="61"/>
    </row>
    <row r="906">
      <c r="B906" s="59"/>
      <c r="D906" s="59"/>
      <c r="F906" s="59"/>
      <c r="H906" s="59"/>
      <c r="J906" s="59"/>
      <c r="L906" s="59"/>
      <c r="N906" s="59"/>
      <c r="Q906" s="59"/>
      <c r="R906" s="61"/>
    </row>
    <row r="907">
      <c r="B907" s="59"/>
      <c r="D907" s="59"/>
      <c r="F907" s="59"/>
      <c r="H907" s="59"/>
      <c r="J907" s="59"/>
      <c r="L907" s="59"/>
      <c r="N907" s="59"/>
      <c r="Q907" s="59"/>
      <c r="R907" s="61"/>
    </row>
    <row r="908">
      <c r="B908" s="59"/>
      <c r="D908" s="59"/>
      <c r="F908" s="59"/>
      <c r="H908" s="59"/>
      <c r="J908" s="59"/>
      <c r="L908" s="59"/>
      <c r="N908" s="59"/>
      <c r="Q908" s="59"/>
      <c r="R908" s="61"/>
    </row>
    <row r="909">
      <c r="B909" s="59"/>
      <c r="D909" s="59"/>
      <c r="F909" s="59"/>
      <c r="H909" s="59"/>
      <c r="J909" s="59"/>
      <c r="L909" s="59"/>
      <c r="N909" s="59"/>
      <c r="Q909" s="59"/>
      <c r="R909" s="61"/>
    </row>
    <row r="910">
      <c r="B910" s="59"/>
      <c r="D910" s="59"/>
      <c r="F910" s="59"/>
      <c r="H910" s="59"/>
      <c r="J910" s="59"/>
      <c r="L910" s="59"/>
      <c r="N910" s="59"/>
      <c r="Q910" s="59"/>
      <c r="R910" s="61"/>
    </row>
    <row r="911">
      <c r="B911" s="59"/>
      <c r="D911" s="59"/>
      <c r="F911" s="59"/>
      <c r="H911" s="59"/>
      <c r="J911" s="59"/>
      <c r="L911" s="59"/>
      <c r="N911" s="59"/>
      <c r="Q911" s="59"/>
      <c r="R911" s="61"/>
    </row>
    <row r="912">
      <c r="B912" s="59"/>
      <c r="D912" s="59"/>
      <c r="F912" s="59"/>
      <c r="H912" s="59"/>
      <c r="J912" s="59"/>
      <c r="L912" s="59"/>
      <c r="N912" s="59"/>
      <c r="Q912" s="59"/>
      <c r="R912" s="61"/>
    </row>
    <row r="913">
      <c r="B913" s="59"/>
      <c r="D913" s="59"/>
      <c r="F913" s="59"/>
      <c r="H913" s="59"/>
      <c r="J913" s="59"/>
      <c r="L913" s="59"/>
      <c r="N913" s="59"/>
      <c r="Q913" s="59"/>
      <c r="R913" s="61"/>
    </row>
    <row r="914">
      <c r="B914" s="59"/>
      <c r="D914" s="59"/>
      <c r="F914" s="59"/>
      <c r="H914" s="59"/>
      <c r="J914" s="59"/>
      <c r="L914" s="59"/>
      <c r="N914" s="59"/>
      <c r="Q914" s="59"/>
      <c r="R914" s="61"/>
    </row>
    <row r="915">
      <c r="B915" s="59"/>
      <c r="D915" s="59"/>
      <c r="F915" s="59"/>
      <c r="H915" s="59"/>
      <c r="J915" s="59"/>
      <c r="L915" s="59"/>
      <c r="N915" s="59"/>
      <c r="Q915" s="59"/>
      <c r="R915" s="61"/>
    </row>
    <row r="916">
      <c r="B916" s="59"/>
      <c r="D916" s="59"/>
      <c r="F916" s="59"/>
      <c r="H916" s="59"/>
      <c r="J916" s="59"/>
      <c r="L916" s="59"/>
      <c r="N916" s="59"/>
      <c r="Q916" s="59"/>
      <c r="R916" s="61"/>
    </row>
    <row r="917">
      <c r="B917" s="59"/>
      <c r="D917" s="59"/>
      <c r="F917" s="59"/>
      <c r="H917" s="59"/>
      <c r="J917" s="59"/>
      <c r="L917" s="59"/>
      <c r="N917" s="59"/>
      <c r="Q917" s="59"/>
      <c r="R917" s="61"/>
    </row>
    <row r="918">
      <c r="B918" s="59"/>
      <c r="D918" s="59"/>
      <c r="F918" s="59"/>
      <c r="H918" s="59"/>
      <c r="J918" s="59"/>
      <c r="L918" s="59"/>
      <c r="N918" s="59"/>
      <c r="Q918" s="59"/>
      <c r="R918" s="61"/>
    </row>
    <row r="919">
      <c r="B919" s="59"/>
      <c r="D919" s="59"/>
      <c r="F919" s="59"/>
      <c r="H919" s="59"/>
      <c r="J919" s="59"/>
      <c r="L919" s="59"/>
      <c r="N919" s="59"/>
      <c r="Q919" s="59"/>
      <c r="R919" s="61"/>
    </row>
    <row r="920">
      <c r="B920" s="59"/>
      <c r="D920" s="59"/>
      <c r="F920" s="59"/>
      <c r="H920" s="59"/>
      <c r="J920" s="59"/>
      <c r="L920" s="59"/>
      <c r="N920" s="59"/>
      <c r="Q920" s="59"/>
      <c r="R920" s="61"/>
    </row>
    <row r="921">
      <c r="B921" s="59"/>
      <c r="D921" s="59"/>
      <c r="F921" s="59"/>
      <c r="H921" s="59"/>
      <c r="J921" s="59"/>
      <c r="L921" s="59"/>
      <c r="N921" s="59"/>
      <c r="Q921" s="59"/>
      <c r="R921" s="61"/>
    </row>
    <row r="922">
      <c r="B922" s="59"/>
      <c r="D922" s="59"/>
      <c r="F922" s="59"/>
      <c r="H922" s="59"/>
      <c r="J922" s="59"/>
      <c r="L922" s="59"/>
      <c r="N922" s="59"/>
      <c r="Q922" s="59"/>
      <c r="R922" s="61"/>
    </row>
    <row r="923">
      <c r="B923" s="59"/>
      <c r="D923" s="59"/>
      <c r="F923" s="59"/>
      <c r="H923" s="59"/>
      <c r="J923" s="59"/>
      <c r="L923" s="59"/>
      <c r="N923" s="59"/>
      <c r="Q923" s="59"/>
      <c r="R923" s="61"/>
    </row>
    <row r="924">
      <c r="B924" s="59"/>
      <c r="D924" s="59"/>
      <c r="F924" s="59"/>
      <c r="H924" s="59"/>
      <c r="J924" s="59"/>
      <c r="L924" s="59"/>
      <c r="N924" s="59"/>
      <c r="Q924" s="59"/>
      <c r="R924" s="61"/>
    </row>
    <row r="925">
      <c r="B925" s="59"/>
      <c r="D925" s="59"/>
      <c r="F925" s="59"/>
      <c r="H925" s="59"/>
      <c r="J925" s="59"/>
      <c r="L925" s="59"/>
      <c r="N925" s="59"/>
      <c r="Q925" s="59"/>
      <c r="R925" s="61"/>
    </row>
    <row r="926">
      <c r="B926" s="59"/>
      <c r="D926" s="59"/>
      <c r="F926" s="59"/>
      <c r="H926" s="59"/>
      <c r="J926" s="59"/>
      <c r="L926" s="59"/>
      <c r="N926" s="59"/>
      <c r="Q926" s="59"/>
      <c r="R926" s="61"/>
    </row>
    <row r="927">
      <c r="B927" s="59"/>
      <c r="D927" s="59"/>
      <c r="F927" s="59"/>
      <c r="H927" s="59"/>
      <c r="J927" s="59"/>
      <c r="L927" s="59"/>
      <c r="N927" s="59"/>
      <c r="Q927" s="59"/>
      <c r="R927" s="61"/>
    </row>
    <row r="928">
      <c r="B928" s="59"/>
      <c r="D928" s="59"/>
      <c r="F928" s="59"/>
      <c r="H928" s="59"/>
      <c r="J928" s="59"/>
      <c r="L928" s="59"/>
      <c r="N928" s="59"/>
      <c r="Q928" s="59"/>
      <c r="R928" s="61"/>
    </row>
    <row r="929">
      <c r="B929" s="59"/>
      <c r="D929" s="59"/>
      <c r="F929" s="59"/>
      <c r="H929" s="59"/>
      <c r="J929" s="59"/>
      <c r="L929" s="59"/>
      <c r="N929" s="59"/>
      <c r="Q929" s="59"/>
      <c r="R929" s="61"/>
    </row>
    <row r="930">
      <c r="B930" s="59"/>
      <c r="D930" s="59"/>
      <c r="F930" s="59"/>
      <c r="H930" s="59"/>
      <c r="J930" s="59"/>
      <c r="L930" s="59"/>
      <c r="N930" s="59"/>
      <c r="Q930" s="59"/>
      <c r="R930" s="61"/>
    </row>
    <row r="931">
      <c r="B931" s="59"/>
      <c r="D931" s="59"/>
      <c r="F931" s="59"/>
      <c r="H931" s="59"/>
      <c r="J931" s="59"/>
      <c r="L931" s="59"/>
      <c r="N931" s="59"/>
      <c r="Q931" s="59"/>
      <c r="R931" s="61"/>
    </row>
    <row r="932">
      <c r="B932" s="59"/>
      <c r="D932" s="59"/>
      <c r="F932" s="59"/>
      <c r="H932" s="59"/>
      <c r="J932" s="59"/>
      <c r="L932" s="59"/>
      <c r="N932" s="59"/>
      <c r="Q932" s="59"/>
      <c r="R932" s="61"/>
    </row>
    <row r="933">
      <c r="B933" s="59"/>
      <c r="D933" s="59"/>
      <c r="F933" s="59"/>
      <c r="H933" s="59"/>
      <c r="J933" s="59"/>
      <c r="L933" s="59"/>
      <c r="N933" s="59"/>
      <c r="Q933" s="59"/>
      <c r="R933" s="61"/>
    </row>
    <row r="934">
      <c r="B934" s="59"/>
      <c r="D934" s="59"/>
      <c r="F934" s="59"/>
      <c r="H934" s="59"/>
      <c r="J934" s="59"/>
      <c r="L934" s="59"/>
      <c r="N934" s="59"/>
      <c r="Q934" s="59"/>
      <c r="R934" s="61"/>
    </row>
    <row r="935">
      <c r="B935" s="59"/>
      <c r="D935" s="59"/>
      <c r="F935" s="59"/>
      <c r="H935" s="59"/>
      <c r="J935" s="59"/>
      <c r="L935" s="59"/>
      <c r="N935" s="59"/>
      <c r="Q935" s="59"/>
      <c r="R935" s="61"/>
    </row>
    <row r="936">
      <c r="B936" s="59"/>
      <c r="D936" s="59"/>
      <c r="F936" s="59"/>
      <c r="H936" s="59"/>
      <c r="J936" s="59"/>
      <c r="L936" s="59"/>
      <c r="N936" s="59"/>
      <c r="Q936" s="59"/>
      <c r="R936" s="61"/>
    </row>
    <row r="937">
      <c r="B937" s="59"/>
      <c r="D937" s="59"/>
      <c r="F937" s="59"/>
      <c r="H937" s="59"/>
      <c r="J937" s="59"/>
      <c r="L937" s="59"/>
      <c r="N937" s="59"/>
      <c r="Q937" s="59"/>
      <c r="R937" s="61"/>
    </row>
    <row r="938">
      <c r="B938" s="59"/>
      <c r="D938" s="59"/>
      <c r="F938" s="59"/>
      <c r="H938" s="59"/>
      <c r="J938" s="59"/>
      <c r="L938" s="59"/>
      <c r="N938" s="59"/>
      <c r="Q938" s="59"/>
      <c r="R938" s="61"/>
    </row>
    <row r="939">
      <c r="B939" s="59"/>
      <c r="D939" s="59"/>
      <c r="F939" s="59"/>
      <c r="H939" s="59"/>
      <c r="J939" s="59"/>
      <c r="L939" s="59"/>
      <c r="N939" s="59"/>
      <c r="Q939" s="59"/>
      <c r="R939" s="61"/>
    </row>
    <row r="940">
      <c r="B940" s="59"/>
      <c r="D940" s="59"/>
      <c r="F940" s="59"/>
      <c r="H940" s="59"/>
      <c r="J940" s="59"/>
      <c r="L940" s="59"/>
      <c r="N940" s="59"/>
      <c r="Q940" s="59"/>
      <c r="R940" s="61"/>
    </row>
    <row r="941">
      <c r="B941" s="59"/>
      <c r="D941" s="59"/>
      <c r="F941" s="59"/>
      <c r="H941" s="59"/>
      <c r="J941" s="59"/>
      <c r="L941" s="59"/>
      <c r="N941" s="59"/>
      <c r="Q941" s="59"/>
      <c r="R941" s="61"/>
    </row>
    <row r="942">
      <c r="B942" s="59"/>
      <c r="D942" s="59"/>
      <c r="F942" s="59"/>
      <c r="H942" s="59"/>
      <c r="J942" s="59"/>
      <c r="L942" s="59"/>
      <c r="N942" s="59"/>
      <c r="Q942" s="59"/>
      <c r="R942" s="61"/>
    </row>
    <row r="943">
      <c r="B943" s="59"/>
      <c r="D943" s="59"/>
      <c r="F943" s="59"/>
      <c r="H943" s="59"/>
      <c r="J943" s="59"/>
      <c r="L943" s="59"/>
      <c r="N943" s="59"/>
      <c r="Q943" s="59"/>
      <c r="R943" s="61"/>
    </row>
    <row r="944">
      <c r="B944" s="59"/>
      <c r="D944" s="59"/>
      <c r="F944" s="59"/>
      <c r="H944" s="59"/>
      <c r="J944" s="59"/>
      <c r="L944" s="59"/>
      <c r="N944" s="59"/>
      <c r="Q944" s="59"/>
      <c r="R944" s="61"/>
    </row>
    <row r="945">
      <c r="B945" s="59"/>
      <c r="D945" s="59"/>
      <c r="F945" s="59"/>
      <c r="H945" s="59"/>
      <c r="J945" s="59"/>
      <c r="L945" s="59"/>
      <c r="N945" s="59"/>
      <c r="Q945" s="59"/>
      <c r="R945" s="61"/>
    </row>
    <row r="946">
      <c r="B946" s="59"/>
      <c r="D946" s="59"/>
      <c r="F946" s="59"/>
      <c r="H946" s="59"/>
      <c r="J946" s="59"/>
      <c r="L946" s="59"/>
      <c r="N946" s="59"/>
      <c r="Q946" s="59"/>
      <c r="R946" s="61"/>
    </row>
    <row r="947">
      <c r="B947" s="59"/>
      <c r="D947" s="59"/>
      <c r="F947" s="59"/>
      <c r="H947" s="59"/>
      <c r="J947" s="59"/>
      <c r="L947" s="59"/>
      <c r="N947" s="59"/>
      <c r="Q947" s="59"/>
      <c r="R947" s="61"/>
    </row>
    <row r="948">
      <c r="B948" s="59"/>
      <c r="D948" s="59"/>
      <c r="F948" s="59"/>
      <c r="H948" s="59"/>
      <c r="J948" s="59"/>
      <c r="L948" s="59"/>
      <c r="N948" s="59"/>
      <c r="Q948" s="59"/>
      <c r="R948" s="61"/>
    </row>
    <row r="949">
      <c r="B949" s="59"/>
      <c r="D949" s="59"/>
      <c r="F949" s="59"/>
      <c r="H949" s="59"/>
      <c r="J949" s="59"/>
      <c r="L949" s="59"/>
      <c r="N949" s="59"/>
      <c r="Q949" s="59"/>
      <c r="R949" s="61"/>
    </row>
    <row r="950">
      <c r="B950" s="59"/>
      <c r="D950" s="59"/>
      <c r="F950" s="59"/>
      <c r="H950" s="59"/>
      <c r="J950" s="59"/>
      <c r="L950" s="59"/>
      <c r="N950" s="59"/>
      <c r="Q950" s="59"/>
      <c r="R950" s="61"/>
    </row>
    <row r="951">
      <c r="B951" s="59"/>
      <c r="D951" s="59"/>
      <c r="F951" s="59"/>
      <c r="H951" s="59"/>
      <c r="J951" s="59"/>
      <c r="L951" s="59"/>
      <c r="N951" s="59"/>
      <c r="Q951" s="59"/>
      <c r="R951" s="61"/>
    </row>
    <row r="952">
      <c r="B952" s="59"/>
      <c r="D952" s="59"/>
      <c r="F952" s="59"/>
      <c r="H952" s="59"/>
      <c r="J952" s="59"/>
      <c r="L952" s="59"/>
      <c r="N952" s="59"/>
      <c r="Q952" s="59"/>
      <c r="R952" s="61"/>
    </row>
    <row r="953">
      <c r="B953" s="59"/>
      <c r="D953" s="59"/>
      <c r="F953" s="59"/>
      <c r="H953" s="59"/>
      <c r="J953" s="59"/>
      <c r="L953" s="59"/>
      <c r="N953" s="59"/>
      <c r="Q953" s="59"/>
      <c r="R953" s="61"/>
    </row>
    <row r="954">
      <c r="B954" s="59"/>
      <c r="D954" s="59"/>
      <c r="F954" s="59"/>
      <c r="H954" s="59"/>
      <c r="J954" s="59"/>
      <c r="L954" s="59"/>
      <c r="N954" s="59"/>
      <c r="Q954" s="59"/>
      <c r="R954" s="61"/>
    </row>
    <row r="955">
      <c r="B955" s="59"/>
      <c r="D955" s="59"/>
      <c r="F955" s="59"/>
      <c r="H955" s="59"/>
      <c r="J955" s="59"/>
      <c r="L955" s="59"/>
      <c r="N955" s="59"/>
      <c r="Q955" s="59"/>
      <c r="R955" s="61"/>
    </row>
    <row r="956">
      <c r="B956" s="59"/>
      <c r="D956" s="59"/>
      <c r="F956" s="59"/>
      <c r="H956" s="59"/>
      <c r="J956" s="59"/>
      <c r="L956" s="59"/>
      <c r="N956" s="59"/>
      <c r="Q956" s="59"/>
      <c r="R956" s="61"/>
    </row>
    <row r="957">
      <c r="B957" s="59"/>
      <c r="D957" s="59"/>
      <c r="F957" s="59"/>
      <c r="H957" s="59"/>
      <c r="J957" s="59"/>
      <c r="L957" s="59"/>
      <c r="N957" s="59"/>
      <c r="Q957" s="59"/>
      <c r="R957" s="61"/>
    </row>
    <row r="958">
      <c r="B958" s="59"/>
      <c r="D958" s="59"/>
      <c r="F958" s="59"/>
      <c r="H958" s="59"/>
      <c r="J958" s="59"/>
      <c r="L958" s="59"/>
      <c r="N958" s="59"/>
      <c r="Q958" s="59"/>
      <c r="R958" s="61"/>
    </row>
    <row r="959">
      <c r="B959" s="59"/>
      <c r="D959" s="59"/>
      <c r="F959" s="59"/>
      <c r="H959" s="59"/>
      <c r="J959" s="59"/>
      <c r="L959" s="59"/>
      <c r="N959" s="59"/>
      <c r="Q959" s="59"/>
      <c r="R959" s="61"/>
    </row>
    <row r="960">
      <c r="B960" s="59"/>
      <c r="D960" s="59"/>
      <c r="F960" s="59"/>
      <c r="H960" s="59"/>
      <c r="J960" s="59"/>
      <c r="L960" s="59"/>
      <c r="N960" s="59"/>
      <c r="Q960" s="59"/>
      <c r="R960" s="61"/>
    </row>
    <row r="961">
      <c r="B961" s="59"/>
      <c r="D961" s="59"/>
      <c r="F961" s="59"/>
      <c r="H961" s="59"/>
      <c r="J961" s="59"/>
      <c r="L961" s="59"/>
      <c r="N961" s="59"/>
      <c r="Q961" s="59"/>
      <c r="R961" s="61"/>
    </row>
    <row r="962">
      <c r="B962" s="59"/>
      <c r="D962" s="59"/>
      <c r="F962" s="59"/>
      <c r="H962" s="59"/>
      <c r="J962" s="59"/>
      <c r="L962" s="59"/>
      <c r="N962" s="59"/>
      <c r="Q962" s="59"/>
      <c r="R962" s="61"/>
    </row>
    <row r="963">
      <c r="B963" s="59"/>
      <c r="D963" s="59"/>
      <c r="F963" s="59"/>
      <c r="H963" s="59"/>
      <c r="J963" s="59"/>
      <c r="L963" s="59"/>
      <c r="N963" s="59"/>
      <c r="Q963" s="59"/>
      <c r="R963" s="61"/>
    </row>
    <row r="964">
      <c r="B964" s="59"/>
      <c r="D964" s="59"/>
      <c r="F964" s="59"/>
      <c r="H964" s="59"/>
      <c r="J964" s="59"/>
      <c r="L964" s="59"/>
      <c r="N964" s="59"/>
      <c r="Q964" s="59"/>
      <c r="R964" s="61"/>
    </row>
    <row r="965">
      <c r="B965" s="59"/>
      <c r="D965" s="59"/>
      <c r="F965" s="59"/>
      <c r="H965" s="59"/>
      <c r="J965" s="59"/>
      <c r="L965" s="59"/>
      <c r="N965" s="59"/>
      <c r="Q965" s="59"/>
      <c r="R965" s="61"/>
    </row>
    <row r="966">
      <c r="B966" s="59"/>
      <c r="D966" s="59"/>
      <c r="F966" s="59"/>
      <c r="H966" s="59"/>
      <c r="J966" s="59"/>
      <c r="L966" s="59"/>
      <c r="N966" s="59"/>
      <c r="Q966" s="59"/>
      <c r="R966" s="61"/>
    </row>
    <row r="967">
      <c r="B967" s="59"/>
      <c r="D967" s="59"/>
      <c r="F967" s="59"/>
      <c r="H967" s="59"/>
      <c r="J967" s="59"/>
      <c r="L967" s="59"/>
      <c r="N967" s="59"/>
      <c r="Q967" s="59"/>
      <c r="R967" s="61"/>
    </row>
    <row r="968">
      <c r="B968" s="59"/>
      <c r="D968" s="59"/>
      <c r="F968" s="59"/>
      <c r="H968" s="59"/>
      <c r="J968" s="59"/>
      <c r="L968" s="59"/>
      <c r="N968" s="59"/>
      <c r="Q968" s="59"/>
      <c r="R968" s="61"/>
    </row>
    <row r="969">
      <c r="B969" s="59"/>
      <c r="D969" s="59"/>
      <c r="F969" s="59"/>
      <c r="H969" s="59"/>
      <c r="J969" s="59"/>
      <c r="L969" s="59"/>
      <c r="N969" s="59"/>
      <c r="Q969" s="59"/>
      <c r="R969" s="61"/>
    </row>
    <row r="970">
      <c r="B970" s="59"/>
      <c r="D970" s="59"/>
      <c r="F970" s="59"/>
      <c r="H970" s="59"/>
      <c r="J970" s="59"/>
      <c r="L970" s="59"/>
      <c r="N970" s="59"/>
      <c r="Q970" s="59"/>
      <c r="R970" s="61"/>
    </row>
    <row r="971">
      <c r="B971" s="59"/>
      <c r="D971" s="59"/>
      <c r="F971" s="59"/>
      <c r="H971" s="59"/>
      <c r="J971" s="59"/>
      <c r="L971" s="59"/>
      <c r="N971" s="59"/>
      <c r="Q971" s="59"/>
      <c r="R971" s="61"/>
    </row>
    <row r="972">
      <c r="B972" s="59"/>
      <c r="D972" s="59"/>
      <c r="F972" s="59"/>
      <c r="H972" s="59"/>
      <c r="J972" s="59"/>
      <c r="L972" s="59"/>
      <c r="N972" s="59"/>
      <c r="Q972" s="59"/>
      <c r="R972" s="61"/>
    </row>
    <row r="973">
      <c r="B973" s="59"/>
      <c r="D973" s="59"/>
      <c r="F973" s="59"/>
      <c r="H973" s="59"/>
      <c r="J973" s="59"/>
      <c r="L973" s="59"/>
      <c r="N973" s="59"/>
      <c r="Q973" s="59"/>
      <c r="R973" s="61"/>
    </row>
    <row r="974">
      <c r="B974" s="59"/>
      <c r="D974" s="59"/>
      <c r="F974" s="59"/>
      <c r="H974" s="59"/>
      <c r="J974" s="59"/>
      <c r="L974" s="59"/>
      <c r="N974" s="59"/>
      <c r="Q974" s="59"/>
      <c r="R974" s="61"/>
    </row>
    <row r="975">
      <c r="B975" s="59"/>
      <c r="D975" s="59"/>
      <c r="F975" s="59"/>
      <c r="H975" s="59"/>
      <c r="J975" s="59"/>
      <c r="L975" s="59"/>
      <c r="N975" s="59"/>
      <c r="Q975" s="59"/>
      <c r="R975" s="61"/>
    </row>
    <row r="976">
      <c r="B976" s="59"/>
      <c r="D976" s="59"/>
      <c r="F976" s="59"/>
      <c r="H976" s="59"/>
      <c r="J976" s="59"/>
      <c r="L976" s="59"/>
      <c r="N976" s="59"/>
      <c r="Q976" s="59"/>
      <c r="R976" s="61"/>
    </row>
    <row r="977">
      <c r="B977" s="59"/>
      <c r="D977" s="59"/>
      <c r="F977" s="59"/>
      <c r="H977" s="59"/>
      <c r="J977" s="59"/>
      <c r="L977" s="59"/>
      <c r="N977" s="59"/>
      <c r="Q977" s="59"/>
      <c r="R977" s="61"/>
    </row>
    <row r="978">
      <c r="B978" s="59"/>
      <c r="D978" s="59"/>
      <c r="F978" s="59"/>
      <c r="H978" s="59"/>
      <c r="J978" s="59"/>
      <c r="L978" s="59"/>
      <c r="N978" s="59"/>
      <c r="Q978" s="59"/>
      <c r="R978" s="61"/>
    </row>
    <row r="979">
      <c r="B979" s="59"/>
      <c r="D979" s="59"/>
      <c r="F979" s="59"/>
      <c r="H979" s="59"/>
      <c r="J979" s="59"/>
      <c r="L979" s="59"/>
      <c r="N979" s="59"/>
      <c r="Q979" s="59"/>
      <c r="R979" s="61"/>
    </row>
    <row r="980">
      <c r="B980" s="59"/>
      <c r="D980" s="59"/>
      <c r="F980" s="59"/>
      <c r="H980" s="59"/>
      <c r="J980" s="59"/>
      <c r="L980" s="59"/>
      <c r="N980" s="59"/>
      <c r="Q980" s="59"/>
      <c r="R980" s="61"/>
    </row>
    <row r="981">
      <c r="B981" s="59"/>
      <c r="D981" s="59"/>
      <c r="F981" s="59"/>
      <c r="H981" s="59"/>
      <c r="J981" s="59"/>
      <c r="L981" s="59"/>
      <c r="N981" s="59"/>
      <c r="Q981" s="59"/>
      <c r="R981" s="61"/>
    </row>
    <row r="982">
      <c r="B982" s="59"/>
      <c r="D982" s="59"/>
      <c r="F982" s="59"/>
      <c r="H982" s="59"/>
      <c r="J982" s="59"/>
      <c r="L982" s="59"/>
      <c r="N982" s="59"/>
      <c r="Q982" s="59"/>
      <c r="R982" s="61"/>
    </row>
    <row r="983">
      <c r="B983" s="59"/>
      <c r="D983" s="59"/>
      <c r="F983" s="59"/>
      <c r="H983" s="59"/>
      <c r="J983" s="59"/>
      <c r="L983" s="59"/>
      <c r="N983" s="59"/>
      <c r="Q983" s="59"/>
      <c r="R983" s="61"/>
    </row>
    <row r="984">
      <c r="B984" s="59"/>
      <c r="D984" s="59"/>
      <c r="F984" s="59"/>
      <c r="H984" s="59"/>
      <c r="J984" s="59"/>
      <c r="L984" s="59"/>
      <c r="N984" s="59"/>
      <c r="Q984" s="59"/>
      <c r="R984" s="61"/>
    </row>
    <row r="985">
      <c r="B985" s="59"/>
      <c r="D985" s="59"/>
      <c r="F985" s="59"/>
      <c r="H985" s="59"/>
      <c r="J985" s="59"/>
      <c r="L985" s="59"/>
      <c r="N985" s="59"/>
      <c r="Q985" s="59"/>
      <c r="R985" s="61"/>
    </row>
    <row r="986">
      <c r="B986" s="59"/>
      <c r="D986" s="59"/>
      <c r="F986" s="59"/>
      <c r="H986" s="59"/>
      <c r="J986" s="59"/>
      <c r="L986" s="59"/>
      <c r="N986" s="59"/>
      <c r="Q986" s="59"/>
      <c r="R986" s="61"/>
    </row>
    <row r="987">
      <c r="B987" s="59"/>
      <c r="D987" s="59"/>
      <c r="F987" s="59"/>
      <c r="H987" s="59"/>
      <c r="J987" s="59"/>
      <c r="L987" s="59"/>
      <c r="N987" s="59"/>
      <c r="Q987" s="59"/>
      <c r="R987" s="61"/>
    </row>
    <row r="988">
      <c r="B988" s="59"/>
      <c r="D988" s="59"/>
      <c r="F988" s="59"/>
      <c r="H988" s="59"/>
      <c r="J988" s="59"/>
      <c r="L988" s="59"/>
      <c r="N988" s="59"/>
      <c r="Q988" s="59"/>
      <c r="R988" s="61"/>
    </row>
    <row r="989">
      <c r="B989" s="59"/>
      <c r="D989" s="59"/>
      <c r="F989" s="59"/>
      <c r="H989" s="59"/>
      <c r="J989" s="59"/>
      <c r="L989" s="59"/>
      <c r="N989" s="59"/>
      <c r="Q989" s="59"/>
      <c r="R989" s="61"/>
    </row>
    <row r="990">
      <c r="B990" s="59"/>
      <c r="D990" s="59"/>
      <c r="F990" s="59"/>
      <c r="H990" s="59"/>
      <c r="J990" s="59"/>
      <c r="L990" s="59"/>
      <c r="N990" s="59"/>
      <c r="Q990" s="59"/>
      <c r="R990" s="61"/>
    </row>
    <row r="991">
      <c r="B991" s="59"/>
      <c r="D991" s="59"/>
      <c r="F991" s="59"/>
      <c r="H991" s="59"/>
      <c r="J991" s="59"/>
      <c r="L991" s="59"/>
      <c r="N991" s="59"/>
      <c r="Q991" s="59"/>
      <c r="R991" s="61"/>
    </row>
    <row r="992">
      <c r="B992" s="59"/>
      <c r="D992" s="59"/>
      <c r="F992" s="59"/>
      <c r="H992" s="59"/>
      <c r="J992" s="59"/>
      <c r="L992" s="59"/>
      <c r="N992" s="59"/>
      <c r="Q992" s="59"/>
      <c r="R992" s="61"/>
    </row>
    <row r="993">
      <c r="B993" s="59"/>
      <c r="D993" s="59"/>
      <c r="F993" s="59"/>
      <c r="H993" s="59"/>
      <c r="J993" s="59"/>
      <c r="L993" s="59"/>
      <c r="N993" s="59"/>
      <c r="Q993" s="59"/>
      <c r="R993" s="61"/>
    </row>
    <row r="994">
      <c r="B994" s="59"/>
      <c r="D994" s="59"/>
      <c r="F994" s="59"/>
      <c r="H994" s="59"/>
      <c r="J994" s="59"/>
      <c r="L994" s="59"/>
      <c r="N994" s="59"/>
      <c r="Q994" s="59"/>
      <c r="R994" s="61"/>
    </row>
    <row r="995">
      <c r="B995" s="59"/>
      <c r="D995" s="59"/>
      <c r="F995" s="59"/>
      <c r="H995" s="59"/>
      <c r="J995" s="59"/>
      <c r="L995" s="59"/>
      <c r="N995" s="59"/>
      <c r="Q995" s="59"/>
      <c r="R995" s="61"/>
    </row>
    <row r="996">
      <c r="B996" s="59"/>
      <c r="D996" s="59"/>
      <c r="F996" s="59"/>
      <c r="H996" s="59"/>
      <c r="J996" s="59"/>
      <c r="L996" s="59"/>
      <c r="N996" s="59"/>
      <c r="Q996" s="59"/>
      <c r="R996" s="61"/>
    </row>
    <row r="997">
      <c r="B997" s="59"/>
      <c r="D997" s="59"/>
      <c r="F997" s="59"/>
      <c r="H997" s="59"/>
      <c r="J997" s="59"/>
      <c r="L997" s="59"/>
      <c r="N997" s="59"/>
      <c r="Q997" s="59"/>
      <c r="R997" s="61"/>
    </row>
    <row r="998">
      <c r="B998" s="59"/>
      <c r="D998" s="59"/>
      <c r="F998" s="59"/>
      <c r="H998" s="59"/>
      <c r="J998" s="59"/>
      <c r="L998" s="59"/>
      <c r="N998" s="59"/>
      <c r="Q998" s="59"/>
      <c r="R998" s="61"/>
    </row>
    <row r="999">
      <c r="B999" s="59"/>
      <c r="D999" s="59"/>
      <c r="F999" s="59"/>
      <c r="H999" s="59"/>
      <c r="J999" s="59"/>
      <c r="L999" s="59"/>
      <c r="N999" s="59"/>
      <c r="Q999" s="59"/>
      <c r="R999" s="61"/>
    </row>
    <row r="1000">
      <c r="B1000" s="59"/>
      <c r="D1000" s="59"/>
      <c r="F1000" s="59"/>
      <c r="H1000" s="59"/>
      <c r="J1000" s="59"/>
      <c r="L1000" s="59"/>
      <c r="N1000" s="59"/>
      <c r="Q1000" s="59"/>
      <c r="R1000" s="61"/>
    </row>
    <row r="1001">
      <c r="B1001" s="59"/>
      <c r="D1001" s="59"/>
      <c r="F1001" s="59"/>
      <c r="H1001" s="59"/>
      <c r="J1001" s="59"/>
      <c r="L1001" s="59"/>
      <c r="N1001" s="59"/>
      <c r="Q1001" s="59"/>
      <c r="R1001" s="61"/>
    </row>
    <row r="1002">
      <c r="B1002" s="59"/>
      <c r="D1002" s="59"/>
      <c r="F1002" s="59"/>
      <c r="H1002" s="59"/>
      <c r="J1002" s="59"/>
      <c r="L1002" s="59"/>
      <c r="N1002" s="59"/>
      <c r="Q1002" s="59"/>
      <c r="R1002" s="61"/>
    </row>
    <row r="1003">
      <c r="B1003" s="59"/>
      <c r="D1003" s="59"/>
      <c r="F1003" s="59"/>
      <c r="H1003" s="59"/>
      <c r="J1003" s="59"/>
      <c r="L1003" s="59"/>
      <c r="N1003" s="59"/>
      <c r="Q1003" s="59"/>
      <c r="R1003" s="61"/>
    </row>
    <row r="1004">
      <c r="B1004" s="59"/>
      <c r="D1004" s="59"/>
      <c r="F1004" s="59"/>
      <c r="H1004" s="59"/>
      <c r="J1004" s="59"/>
      <c r="L1004" s="59"/>
      <c r="N1004" s="59"/>
      <c r="Q1004" s="59"/>
      <c r="R1004" s="61"/>
    </row>
    <row r="1005">
      <c r="B1005" s="59"/>
      <c r="D1005" s="59"/>
      <c r="F1005" s="59"/>
      <c r="H1005" s="59"/>
      <c r="J1005" s="59"/>
      <c r="L1005" s="59"/>
      <c r="N1005" s="59"/>
      <c r="Q1005" s="59"/>
      <c r="R1005" s="61"/>
    </row>
  </sheetData>
  <hyperlinks>
    <hyperlink r:id="rId4" ref="P2"/>
    <hyperlink r:id="rId5" ref="P5"/>
    <hyperlink r:id="rId6" ref="P6"/>
    <hyperlink r:id="rId7" ref="P10"/>
    <hyperlink r:id="rId8" ref="P11"/>
    <hyperlink r:id="rId9" ref="P20"/>
    <hyperlink r:id="rId10" ref="P21"/>
    <hyperlink r:id="rId11" ref="P22"/>
    <hyperlink r:id="rId12" ref="P23"/>
    <hyperlink r:id="rId13" ref="P24"/>
    <hyperlink r:id="rId14" ref="P28"/>
    <hyperlink r:id="rId15" ref="P29"/>
    <hyperlink r:id="rId16" ref="P30"/>
    <hyperlink r:id="rId17" ref="P31"/>
    <hyperlink r:id="rId18" ref="P32"/>
    <hyperlink r:id="rId19" ref="P33"/>
    <hyperlink r:id="rId20" ref="P36"/>
    <hyperlink r:id="rId21" ref="P37"/>
    <hyperlink r:id="rId22" ref="P41"/>
  </hyperlinks>
  <drawing r:id="rId23"/>
  <legacyDrawing r:id="rId2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75"/>
    <col customWidth="1" min="2" max="2" width="16.75"/>
    <col customWidth="1" min="5" max="5" width="20.75"/>
    <col customWidth="1" min="8" max="8" width="15.63"/>
    <col customWidth="1" min="13" max="13" width="23.5"/>
    <col customWidth="1" min="16" max="16" width="21.75"/>
  </cols>
  <sheetData>
    <row r="1">
      <c r="A1" s="29" t="s">
        <v>29</v>
      </c>
      <c r="B1" s="30" t="s">
        <v>30</v>
      </c>
      <c r="C1" s="31" t="s">
        <v>31</v>
      </c>
      <c r="D1" s="30" t="s">
        <v>32</v>
      </c>
      <c r="E1" s="31" t="s">
        <v>33</v>
      </c>
      <c r="F1" s="30" t="s">
        <v>34</v>
      </c>
      <c r="G1" s="31" t="s">
        <v>35</v>
      </c>
      <c r="H1" s="32" t="s">
        <v>36</v>
      </c>
      <c r="I1" s="33" t="s">
        <v>37</v>
      </c>
      <c r="J1" s="30" t="s">
        <v>38</v>
      </c>
      <c r="K1" s="33" t="s">
        <v>39</v>
      </c>
      <c r="L1" s="30" t="s">
        <v>38</v>
      </c>
      <c r="M1" s="31" t="s">
        <v>40</v>
      </c>
      <c r="N1" s="176" t="s">
        <v>460</v>
      </c>
      <c r="O1" s="30" t="s">
        <v>41</v>
      </c>
      <c r="P1" s="31" t="s">
        <v>42</v>
      </c>
      <c r="Q1" s="34" t="s">
        <v>43</v>
      </c>
      <c r="R1" s="35">
        <f>SUM(H2:H27)</f>
        <v>9985.1</v>
      </c>
    </row>
    <row r="2">
      <c r="A2" s="17" t="s">
        <v>912</v>
      </c>
      <c r="B2" s="81" t="s">
        <v>913</v>
      </c>
      <c r="C2" s="17" t="s">
        <v>393</v>
      </c>
      <c r="D2" s="81">
        <v>1.0</v>
      </c>
      <c r="E2" s="17" t="s">
        <v>914</v>
      </c>
      <c r="F2" s="81" t="s">
        <v>394</v>
      </c>
      <c r="G2" s="22">
        <v>129.0</v>
      </c>
      <c r="H2" s="18">
        <v>129.0</v>
      </c>
      <c r="I2" s="17" t="s">
        <v>883</v>
      </c>
      <c r="J2" s="81" t="s">
        <v>915</v>
      </c>
      <c r="K2" s="17" t="s">
        <v>916</v>
      </c>
      <c r="L2" s="81" t="s">
        <v>83</v>
      </c>
      <c r="M2" s="17">
        <v>4709138.0</v>
      </c>
      <c r="N2" s="158">
        <v>2200557.0</v>
      </c>
      <c r="O2" s="59"/>
      <c r="Q2" s="59"/>
      <c r="R2" s="61"/>
    </row>
    <row r="3">
      <c r="A3" s="17" t="s">
        <v>917</v>
      </c>
      <c r="B3" s="81" t="s">
        <v>918</v>
      </c>
      <c r="C3" s="17" t="s">
        <v>919</v>
      </c>
      <c r="D3" s="81">
        <v>1.0</v>
      </c>
      <c r="E3" s="17" t="s">
        <v>920</v>
      </c>
      <c r="F3" s="17" t="s">
        <v>920</v>
      </c>
      <c r="G3" s="18">
        <v>68.0</v>
      </c>
      <c r="H3" s="18">
        <v>68.0</v>
      </c>
      <c r="I3" s="17" t="s">
        <v>921</v>
      </c>
      <c r="J3" s="81" t="s">
        <v>733</v>
      </c>
      <c r="K3" s="17" t="s">
        <v>922</v>
      </c>
      <c r="L3" s="81" t="s">
        <v>83</v>
      </c>
      <c r="M3" s="17">
        <v>4709138.0</v>
      </c>
      <c r="N3" s="158">
        <v>2204001.0</v>
      </c>
      <c r="O3" s="59"/>
      <c r="Q3" s="59"/>
      <c r="R3" s="61"/>
    </row>
    <row r="4">
      <c r="A4" s="81" t="s">
        <v>923</v>
      </c>
      <c r="B4" s="17" t="s">
        <v>924</v>
      </c>
      <c r="C4" s="17" t="s">
        <v>925</v>
      </c>
      <c r="D4" s="81">
        <v>1.0</v>
      </c>
      <c r="E4" s="17" t="s">
        <v>926</v>
      </c>
      <c r="F4" s="81" t="s">
        <v>91</v>
      </c>
      <c r="G4" s="18">
        <v>39.0</v>
      </c>
      <c r="H4" s="18">
        <v>39.0</v>
      </c>
      <c r="I4" s="17" t="s">
        <v>921</v>
      </c>
      <c r="J4" s="81" t="s">
        <v>548</v>
      </c>
      <c r="K4" s="17" t="s">
        <v>921</v>
      </c>
      <c r="L4" s="81" t="s">
        <v>83</v>
      </c>
      <c r="M4" s="17">
        <v>1339805.0</v>
      </c>
      <c r="N4" s="158">
        <v>2202148.0</v>
      </c>
      <c r="O4" s="59"/>
      <c r="Q4" s="59"/>
      <c r="R4" s="61"/>
    </row>
    <row r="5">
      <c r="A5" s="17" t="s">
        <v>927</v>
      </c>
      <c r="B5" s="81" t="s">
        <v>928</v>
      </c>
      <c r="C5" s="17" t="s">
        <v>244</v>
      </c>
      <c r="D5" s="81">
        <v>1.0</v>
      </c>
      <c r="E5" s="17" t="s">
        <v>929</v>
      </c>
      <c r="F5" s="81" t="s">
        <v>929</v>
      </c>
      <c r="G5" s="18">
        <v>463.2</v>
      </c>
      <c r="H5" s="18">
        <v>463.2</v>
      </c>
      <c r="I5" s="17" t="s">
        <v>921</v>
      </c>
      <c r="J5" s="81" t="s">
        <v>83</v>
      </c>
      <c r="K5" s="17" t="s">
        <v>930</v>
      </c>
      <c r="L5" s="81" t="s">
        <v>83</v>
      </c>
      <c r="M5" s="17">
        <v>4709138.0</v>
      </c>
      <c r="N5" s="158">
        <v>2208796.0</v>
      </c>
      <c r="O5" s="59"/>
      <c r="Q5" s="59"/>
      <c r="R5" s="61"/>
    </row>
    <row r="6">
      <c r="A6" s="17" t="s">
        <v>931</v>
      </c>
      <c r="B6" s="81" t="s">
        <v>484</v>
      </c>
      <c r="C6" s="17" t="s">
        <v>244</v>
      </c>
      <c r="D6" s="81">
        <v>1.0</v>
      </c>
      <c r="E6" s="17" t="s">
        <v>245</v>
      </c>
      <c r="F6" s="81" t="s">
        <v>91</v>
      </c>
      <c r="G6" s="18">
        <v>0.0</v>
      </c>
      <c r="H6" s="18">
        <v>0.0</v>
      </c>
      <c r="I6" s="17" t="s">
        <v>932</v>
      </c>
      <c r="J6" s="81" t="s">
        <v>83</v>
      </c>
      <c r="K6" s="17" t="s">
        <v>902</v>
      </c>
      <c r="L6" s="81" t="s">
        <v>83</v>
      </c>
      <c r="M6" s="17" t="s">
        <v>933</v>
      </c>
      <c r="N6" s="158">
        <v>2202482.0</v>
      </c>
      <c r="O6" s="59"/>
      <c r="Q6" s="59"/>
      <c r="R6" s="61"/>
    </row>
    <row r="7">
      <c r="A7" s="17" t="s">
        <v>934</v>
      </c>
      <c r="B7" s="81" t="s">
        <v>280</v>
      </c>
      <c r="C7" s="17" t="s">
        <v>244</v>
      </c>
      <c r="D7" s="81">
        <v>1.0</v>
      </c>
      <c r="E7" s="17" t="s">
        <v>245</v>
      </c>
      <c r="F7" s="81" t="s">
        <v>91</v>
      </c>
      <c r="G7" s="18">
        <v>652.0</v>
      </c>
      <c r="H7" s="18">
        <v>652.0</v>
      </c>
      <c r="I7" s="103" t="s">
        <v>932</v>
      </c>
      <c r="J7" s="81" t="s">
        <v>83</v>
      </c>
      <c r="K7" s="17" t="s">
        <v>902</v>
      </c>
      <c r="L7" s="81" t="s">
        <v>83</v>
      </c>
      <c r="M7" s="17" t="s">
        <v>933</v>
      </c>
      <c r="O7" s="59"/>
      <c r="Q7" s="59"/>
      <c r="R7" s="61"/>
    </row>
    <row r="8">
      <c r="A8" s="17" t="s">
        <v>935</v>
      </c>
      <c r="B8" s="81" t="s">
        <v>936</v>
      </c>
      <c r="C8" s="17" t="s">
        <v>244</v>
      </c>
      <c r="D8" s="81">
        <v>1.0</v>
      </c>
      <c r="E8" s="17" t="s">
        <v>245</v>
      </c>
      <c r="F8" s="81" t="s">
        <v>91</v>
      </c>
      <c r="G8" s="18">
        <v>686.0</v>
      </c>
      <c r="H8" s="18">
        <v>686.0</v>
      </c>
      <c r="I8" s="103" t="s">
        <v>932</v>
      </c>
      <c r="J8" s="81" t="s">
        <v>83</v>
      </c>
      <c r="K8" s="17" t="s">
        <v>902</v>
      </c>
      <c r="L8" s="81" t="s">
        <v>83</v>
      </c>
      <c r="M8" s="17" t="s">
        <v>933</v>
      </c>
      <c r="O8" s="59"/>
      <c r="Q8" s="59"/>
      <c r="R8" s="61"/>
    </row>
    <row r="9">
      <c r="A9" s="17" t="s">
        <v>937</v>
      </c>
      <c r="B9" s="81" t="s">
        <v>938</v>
      </c>
      <c r="C9" s="17" t="s">
        <v>244</v>
      </c>
      <c r="D9" s="81">
        <v>1.0</v>
      </c>
      <c r="E9" s="17" t="s">
        <v>245</v>
      </c>
      <c r="F9" s="81" t="s">
        <v>91</v>
      </c>
      <c r="G9" s="18">
        <v>652.0</v>
      </c>
      <c r="H9" s="18">
        <v>652.0</v>
      </c>
      <c r="I9" s="103" t="s">
        <v>932</v>
      </c>
      <c r="J9" s="81" t="s">
        <v>83</v>
      </c>
      <c r="K9" s="17" t="s">
        <v>902</v>
      </c>
      <c r="L9" s="81" t="s">
        <v>83</v>
      </c>
      <c r="M9" s="17" t="s">
        <v>933</v>
      </c>
      <c r="O9" s="59"/>
      <c r="Q9" s="59"/>
      <c r="R9" s="61"/>
    </row>
    <row r="10">
      <c r="A10" s="17" t="s">
        <v>939</v>
      </c>
      <c r="B10" s="59"/>
      <c r="D10" s="59"/>
      <c r="F10" s="59"/>
      <c r="G10" s="18"/>
      <c r="H10" s="18"/>
      <c r="J10" s="59"/>
      <c r="L10" s="59"/>
      <c r="N10" s="158">
        <v>2198673.0</v>
      </c>
      <c r="O10" s="59"/>
      <c r="Q10" s="59"/>
      <c r="R10" s="61"/>
    </row>
    <row r="11">
      <c r="A11" s="17" t="s">
        <v>940</v>
      </c>
      <c r="B11" s="59"/>
      <c r="D11" s="59"/>
      <c r="F11" s="59"/>
      <c r="G11" s="18">
        <v>28.0</v>
      </c>
      <c r="H11" s="18">
        <v>28.0</v>
      </c>
      <c r="J11" s="59"/>
      <c r="L11" s="59"/>
      <c r="M11" s="17">
        <v>7.3049232E8</v>
      </c>
      <c r="N11" s="158">
        <v>2202040.0</v>
      </c>
      <c r="O11" s="59"/>
      <c r="Q11" s="59"/>
      <c r="R11" s="61"/>
    </row>
    <row r="12">
      <c r="A12" s="17" t="s">
        <v>941</v>
      </c>
      <c r="B12" s="81" t="s">
        <v>942</v>
      </c>
      <c r="C12" s="17" t="s">
        <v>943</v>
      </c>
      <c r="D12" s="81">
        <v>1.0</v>
      </c>
      <c r="E12" s="17" t="s">
        <v>944</v>
      </c>
      <c r="F12" s="81" t="s">
        <v>91</v>
      </c>
      <c r="G12" s="18">
        <v>400.0</v>
      </c>
      <c r="H12" s="18">
        <v>400.0</v>
      </c>
      <c r="I12" s="17" t="s">
        <v>945</v>
      </c>
      <c r="J12" s="81" t="s">
        <v>511</v>
      </c>
      <c r="K12" s="17" t="s">
        <v>930</v>
      </c>
      <c r="L12" s="81" t="s">
        <v>83</v>
      </c>
      <c r="M12" s="17">
        <v>4709138.0</v>
      </c>
      <c r="N12" s="187">
        <v>2245282.0</v>
      </c>
      <c r="O12" s="59"/>
      <c r="Q12" s="59"/>
      <c r="R12" s="61"/>
    </row>
    <row r="13">
      <c r="A13" s="17" t="s">
        <v>946</v>
      </c>
      <c r="B13" s="59"/>
      <c r="D13" s="59"/>
      <c r="F13" s="59"/>
      <c r="G13" s="18">
        <v>434.0</v>
      </c>
      <c r="H13" s="18">
        <v>434.0</v>
      </c>
      <c r="I13" s="17" t="s">
        <v>947</v>
      </c>
      <c r="J13" s="81" t="s">
        <v>83</v>
      </c>
      <c r="L13" s="59"/>
      <c r="M13" s="17">
        <v>7.30492302E8</v>
      </c>
      <c r="N13" s="158">
        <v>2206923.0</v>
      </c>
      <c r="O13" s="59"/>
      <c r="Q13" s="59"/>
      <c r="R13" s="61"/>
    </row>
    <row r="14">
      <c r="A14" s="132" t="s">
        <v>948</v>
      </c>
      <c r="B14" s="249" t="s">
        <v>949</v>
      </c>
      <c r="C14" s="17" t="s">
        <v>372</v>
      </c>
      <c r="D14" s="81">
        <v>1.0</v>
      </c>
      <c r="E14" s="17" t="s">
        <v>950</v>
      </c>
      <c r="F14" s="81" t="s">
        <v>951</v>
      </c>
      <c r="G14" s="18">
        <v>288.0</v>
      </c>
      <c r="H14" s="18">
        <v>288.0</v>
      </c>
      <c r="I14" s="17" t="s">
        <v>952</v>
      </c>
      <c r="J14" s="81" t="s">
        <v>733</v>
      </c>
      <c r="K14" s="17" t="s">
        <v>953</v>
      </c>
      <c r="L14" s="81" t="s">
        <v>83</v>
      </c>
      <c r="M14" s="17">
        <v>4709138.0</v>
      </c>
      <c r="O14" s="59"/>
      <c r="Q14" s="59"/>
      <c r="R14" s="61"/>
    </row>
    <row r="15">
      <c r="A15" s="247" t="s">
        <v>954</v>
      </c>
      <c r="B15" s="250" t="s">
        <v>524</v>
      </c>
      <c r="C15" s="247" t="s">
        <v>244</v>
      </c>
      <c r="D15" s="251">
        <v>1.0</v>
      </c>
      <c r="E15" s="247" t="s">
        <v>245</v>
      </c>
      <c r="F15" s="81" t="s">
        <v>91</v>
      </c>
      <c r="G15" s="18">
        <v>0.0</v>
      </c>
      <c r="H15" s="18">
        <v>0.0</v>
      </c>
      <c r="I15" s="17" t="s">
        <v>955</v>
      </c>
      <c r="J15" s="81" t="s">
        <v>511</v>
      </c>
      <c r="K15" s="17" t="s">
        <v>953</v>
      </c>
      <c r="L15" s="81" t="s">
        <v>83</v>
      </c>
      <c r="M15" s="17" t="s">
        <v>956</v>
      </c>
      <c r="N15" s="158"/>
      <c r="O15" s="59"/>
      <c r="Q15" s="59"/>
      <c r="R15" s="61"/>
    </row>
    <row r="16">
      <c r="A16" s="247" t="s">
        <v>957</v>
      </c>
      <c r="B16" s="250" t="s">
        <v>958</v>
      </c>
      <c r="C16" s="247" t="s">
        <v>244</v>
      </c>
      <c r="D16" s="251">
        <v>1.0</v>
      </c>
      <c r="E16" s="247" t="s">
        <v>245</v>
      </c>
      <c r="F16" s="81" t="s">
        <v>91</v>
      </c>
      <c r="G16" s="18">
        <v>0.0</v>
      </c>
      <c r="H16" s="18">
        <v>0.0</v>
      </c>
      <c r="I16" s="17" t="s">
        <v>955</v>
      </c>
      <c r="J16" s="81" t="s">
        <v>511</v>
      </c>
      <c r="K16" s="17" t="s">
        <v>953</v>
      </c>
      <c r="L16" s="81" t="s">
        <v>83</v>
      </c>
      <c r="M16" s="17">
        <v>4709138.0</v>
      </c>
      <c r="N16" s="158">
        <v>2211322.0</v>
      </c>
      <c r="O16" s="59"/>
      <c r="Q16" s="59"/>
      <c r="R16" s="61"/>
    </row>
    <row r="17">
      <c r="A17" s="247" t="s">
        <v>959</v>
      </c>
      <c r="B17" s="250" t="s">
        <v>519</v>
      </c>
      <c r="C17" s="247" t="s">
        <v>244</v>
      </c>
      <c r="D17" s="251">
        <v>1.0</v>
      </c>
      <c r="E17" s="247" t="s">
        <v>245</v>
      </c>
      <c r="F17" s="81" t="s">
        <v>91</v>
      </c>
      <c r="G17" s="18">
        <v>652.0</v>
      </c>
      <c r="H17" s="18">
        <v>652.0</v>
      </c>
      <c r="I17" s="17" t="s">
        <v>955</v>
      </c>
      <c r="J17" s="81" t="s">
        <v>511</v>
      </c>
      <c r="K17" s="17" t="s">
        <v>953</v>
      </c>
      <c r="L17" s="81" t="s">
        <v>83</v>
      </c>
      <c r="M17" s="17">
        <v>4709138.0</v>
      </c>
      <c r="N17" s="158">
        <v>2211322.0</v>
      </c>
      <c r="O17" s="59"/>
      <c r="Q17" s="59"/>
      <c r="R17" s="61"/>
    </row>
    <row r="18">
      <c r="A18" s="247" t="s">
        <v>960</v>
      </c>
      <c r="B18" s="250" t="s">
        <v>831</v>
      </c>
      <c r="C18" s="247" t="s">
        <v>244</v>
      </c>
      <c r="D18" s="251">
        <v>1.0</v>
      </c>
      <c r="E18" s="247" t="s">
        <v>245</v>
      </c>
      <c r="F18" s="81" t="s">
        <v>91</v>
      </c>
      <c r="G18" s="18">
        <v>643.0</v>
      </c>
      <c r="H18" s="18">
        <v>643.0</v>
      </c>
      <c r="I18" s="17" t="s">
        <v>955</v>
      </c>
      <c r="J18" s="81" t="s">
        <v>511</v>
      </c>
      <c r="K18" s="17" t="s">
        <v>953</v>
      </c>
      <c r="L18" s="81" t="s">
        <v>83</v>
      </c>
      <c r="M18" s="17">
        <v>4709138.0</v>
      </c>
      <c r="N18" s="158">
        <v>2211322.0</v>
      </c>
      <c r="O18" s="59"/>
      <c r="Q18" s="59"/>
      <c r="R18" s="61"/>
    </row>
    <row r="19">
      <c r="A19" s="247" t="s">
        <v>935</v>
      </c>
      <c r="B19" s="250" t="s">
        <v>936</v>
      </c>
      <c r="C19" s="247" t="s">
        <v>244</v>
      </c>
      <c r="D19" s="251">
        <v>1.0</v>
      </c>
      <c r="E19" s="247" t="s">
        <v>245</v>
      </c>
      <c r="F19" s="81" t="s">
        <v>91</v>
      </c>
      <c r="G19" s="18">
        <v>688.0</v>
      </c>
      <c r="H19" s="18">
        <v>688.0</v>
      </c>
      <c r="I19" s="17" t="s">
        <v>955</v>
      </c>
      <c r="J19" s="81" t="s">
        <v>511</v>
      </c>
      <c r="K19" s="17" t="s">
        <v>953</v>
      </c>
      <c r="L19" s="81" t="s">
        <v>83</v>
      </c>
      <c r="M19" s="17" t="s">
        <v>956</v>
      </c>
      <c r="N19" s="158"/>
      <c r="O19" s="59"/>
      <c r="Q19" s="59"/>
      <c r="R19" s="61"/>
    </row>
    <row r="20">
      <c r="A20" s="247" t="s">
        <v>961</v>
      </c>
      <c r="B20" s="250" t="s">
        <v>962</v>
      </c>
      <c r="C20" s="247" t="s">
        <v>244</v>
      </c>
      <c r="D20" s="251">
        <v>1.0</v>
      </c>
      <c r="E20" s="247" t="s">
        <v>245</v>
      </c>
      <c r="F20" s="81" t="s">
        <v>91</v>
      </c>
      <c r="G20" s="18">
        <v>652.0</v>
      </c>
      <c r="H20" s="18">
        <v>652.0</v>
      </c>
      <c r="I20" s="17" t="s">
        <v>955</v>
      </c>
      <c r="J20" s="81" t="s">
        <v>511</v>
      </c>
      <c r="K20" s="17" t="s">
        <v>953</v>
      </c>
      <c r="L20" s="81" t="s">
        <v>83</v>
      </c>
      <c r="M20" s="17">
        <v>4709138.0</v>
      </c>
      <c r="N20" s="158">
        <v>2211322.0</v>
      </c>
      <c r="O20" s="59"/>
      <c r="Q20" s="59"/>
      <c r="R20" s="61"/>
    </row>
    <row r="21">
      <c r="A21" s="247" t="s">
        <v>963</v>
      </c>
      <c r="B21" s="250" t="s">
        <v>964</v>
      </c>
      <c r="C21" s="247" t="s">
        <v>244</v>
      </c>
      <c r="D21" s="251">
        <v>1.0</v>
      </c>
      <c r="E21" s="247" t="s">
        <v>245</v>
      </c>
      <c r="F21" s="81" t="s">
        <v>91</v>
      </c>
      <c r="G21" s="18">
        <v>652.0</v>
      </c>
      <c r="H21" s="18">
        <v>652.0</v>
      </c>
      <c r="I21" s="17" t="s">
        <v>955</v>
      </c>
      <c r="J21" s="81" t="s">
        <v>511</v>
      </c>
      <c r="K21" s="17" t="s">
        <v>953</v>
      </c>
      <c r="L21" s="81" t="s">
        <v>83</v>
      </c>
      <c r="M21" s="17" t="s">
        <v>956</v>
      </c>
      <c r="N21" s="158"/>
      <c r="O21" s="59"/>
      <c r="Q21" s="59"/>
      <c r="R21" s="61"/>
    </row>
    <row r="22">
      <c r="A22" s="247" t="s">
        <v>965</v>
      </c>
      <c r="B22" s="250" t="s">
        <v>966</v>
      </c>
      <c r="C22" s="247" t="s">
        <v>244</v>
      </c>
      <c r="D22" s="251">
        <v>1.0</v>
      </c>
      <c r="E22" s="247" t="s">
        <v>245</v>
      </c>
      <c r="F22" s="81" t="s">
        <v>91</v>
      </c>
      <c r="G22" s="18">
        <v>766.0</v>
      </c>
      <c r="H22" s="18">
        <v>766.0</v>
      </c>
      <c r="I22" s="17" t="s">
        <v>955</v>
      </c>
      <c r="J22" s="81" t="s">
        <v>511</v>
      </c>
      <c r="K22" s="17" t="s">
        <v>953</v>
      </c>
      <c r="L22" s="81" t="s">
        <v>83</v>
      </c>
      <c r="M22" s="17" t="s">
        <v>956</v>
      </c>
      <c r="N22" s="158"/>
      <c r="O22" s="59"/>
      <c r="Q22" s="59"/>
      <c r="R22" s="61"/>
    </row>
    <row r="23">
      <c r="A23" s="17" t="s">
        <v>967</v>
      </c>
      <c r="B23" s="250" t="s">
        <v>968</v>
      </c>
      <c r="C23" s="17" t="s">
        <v>217</v>
      </c>
      <c r="D23" s="81">
        <v>1.0</v>
      </c>
      <c r="E23" s="17" t="s">
        <v>468</v>
      </c>
      <c r="F23" s="81" t="s">
        <v>468</v>
      </c>
      <c r="G23" s="18">
        <v>416.25</v>
      </c>
      <c r="H23" s="18">
        <v>416.25</v>
      </c>
      <c r="I23" s="17" t="s">
        <v>955</v>
      </c>
      <c r="J23" s="81" t="s">
        <v>511</v>
      </c>
      <c r="K23" s="17" t="s">
        <v>969</v>
      </c>
      <c r="L23" s="81" t="s">
        <v>83</v>
      </c>
      <c r="M23" s="17">
        <v>4709138.0</v>
      </c>
      <c r="N23" s="158">
        <v>2227121.0</v>
      </c>
      <c r="O23" s="59"/>
      <c r="Q23" s="59"/>
      <c r="R23" s="61"/>
    </row>
    <row r="24">
      <c r="A24" s="250" t="s">
        <v>970</v>
      </c>
      <c r="B24" s="81" t="s">
        <v>971</v>
      </c>
      <c r="C24" s="17" t="s">
        <v>217</v>
      </c>
      <c r="D24" s="81">
        <v>1.0</v>
      </c>
      <c r="E24" s="17" t="s">
        <v>468</v>
      </c>
      <c r="F24" s="81" t="s">
        <v>468</v>
      </c>
      <c r="G24" s="18">
        <v>453.75</v>
      </c>
      <c r="H24" s="18">
        <v>453.75</v>
      </c>
      <c r="I24" s="17" t="s">
        <v>955</v>
      </c>
      <c r="J24" s="81" t="s">
        <v>733</v>
      </c>
      <c r="K24" s="17" t="s">
        <v>953</v>
      </c>
      <c r="L24" s="81" t="s">
        <v>83</v>
      </c>
      <c r="M24" s="17">
        <v>4709138.0</v>
      </c>
      <c r="N24" s="158">
        <v>2214158.0</v>
      </c>
      <c r="O24" s="59"/>
      <c r="Q24" s="59"/>
      <c r="R24" s="61"/>
    </row>
    <row r="25">
      <c r="A25" s="17" t="s">
        <v>972</v>
      </c>
      <c r="B25" s="81" t="s">
        <v>555</v>
      </c>
      <c r="C25" s="17" t="s">
        <v>217</v>
      </c>
      <c r="D25" s="81">
        <v>1.0</v>
      </c>
      <c r="E25" s="17" t="s">
        <v>468</v>
      </c>
      <c r="F25" s="81" t="s">
        <v>468</v>
      </c>
      <c r="G25" s="18">
        <v>457.0</v>
      </c>
      <c r="H25" s="18">
        <v>457.0</v>
      </c>
      <c r="I25" s="17" t="s">
        <v>955</v>
      </c>
      <c r="J25" s="81" t="s">
        <v>511</v>
      </c>
      <c r="K25" s="17" t="s">
        <v>953</v>
      </c>
      <c r="L25" s="81" t="s">
        <v>83</v>
      </c>
      <c r="M25" s="17">
        <v>4709138.0</v>
      </c>
      <c r="N25" s="158">
        <v>2214158.0</v>
      </c>
      <c r="O25" s="59"/>
      <c r="Q25" s="59"/>
      <c r="R25" s="61"/>
    </row>
    <row r="26">
      <c r="A26" s="17" t="s">
        <v>973</v>
      </c>
      <c r="B26" s="81" t="s">
        <v>974</v>
      </c>
      <c r="C26" s="17" t="s">
        <v>975</v>
      </c>
      <c r="D26" s="81">
        <v>1.0</v>
      </c>
      <c r="E26" s="17" t="s">
        <v>976</v>
      </c>
      <c r="F26" s="81" t="s">
        <v>208</v>
      </c>
      <c r="G26" s="18">
        <v>444.0</v>
      </c>
      <c r="H26" s="18">
        <v>444.0</v>
      </c>
      <c r="I26" s="17" t="s">
        <v>955</v>
      </c>
      <c r="J26" s="81" t="s">
        <v>511</v>
      </c>
      <c r="K26" s="17" t="s">
        <v>977</v>
      </c>
      <c r="L26" s="81" t="s">
        <v>83</v>
      </c>
      <c r="M26" s="17">
        <v>4709138.0</v>
      </c>
      <c r="N26" s="158">
        <v>2220709.0</v>
      </c>
      <c r="O26" s="59"/>
      <c r="Q26" s="59"/>
      <c r="R26" s="61"/>
    </row>
    <row r="27">
      <c r="A27" s="17" t="s">
        <v>978</v>
      </c>
      <c r="B27" s="81">
        <v>492025.0</v>
      </c>
      <c r="D27" s="81">
        <v>1.0</v>
      </c>
      <c r="E27" s="17" t="s">
        <v>976</v>
      </c>
      <c r="F27" s="81" t="s">
        <v>208</v>
      </c>
      <c r="G27" s="18">
        <v>321.9</v>
      </c>
      <c r="H27" s="18">
        <v>321.9</v>
      </c>
      <c r="J27" s="59"/>
      <c r="L27" s="59"/>
      <c r="M27" s="17">
        <v>4709138.0</v>
      </c>
      <c r="N27" s="158">
        <v>2210571.0</v>
      </c>
      <c r="O27" s="59"/>
      <c r="Q27" s="59"/>
      <c r="R27" s="61"/>
    </row>
    <row r="28">
      <c r="B28" s="59"/>
      <c r="D28" s="59"/>
      <c r="F28" s="59"/>
      <c r="G28" s="18"/>
      <c r="H28" s="18"/>
      <c r="J28" s="59"/>
      <c r="L28" s="59"/>
      <c r="N28" s="158"/>
      <c r="O28" s="59"/>
      <c r="Q28" s="59"/>
      <c r="R28" s="61"/>
    </row>
    <row r="29">
      <c r="B29" s="59"/>
      <c r="D29" s="59"/>
      <c r="F29" s="59"/>
      <c r="G29" s="18"/>
      <c r="H29" s="18"/>
      <c r="J29" s="59"/>
      <c r="L29" s="59"/>
      <c r="N29" s="158"/>
      <c r="O29" s="59"/>
      <c r="Q29" s="59"/>
      <c r="R29" s="61"/>
    </row>
    <row r="30">
      <c r="B30" s="59"/>
      <c r="D30" s="59"/>
      <c r="F30" s="59"/>
      <c r="G30" s="18"/>
      <c r="H30" s="18"/>
      <c r="J30" s="59"/>
      <c r="L30" s="59"/>
      <c r="N30" s="158"/>
      <c r="O30" s="59"/>
      <c r="Q30" s="59"/>
      <c r="R30" s="61"/>
    </row>
    <row r="31">
      <c r="B31" s="59"/>
      <c r="D31" s="59"/>
      <c r="F31" s="59"/>
      <c r="G31" s="18"/>
      <c r="H31" s="18"/>
      <c r="J31" s="59"/>
      <c r="L31" s="59"/>
      <c r="N31" s="158"/>
      <c r="O31" s="59"/>
      <c r="Q31" s="59"/>
      <c r="R31" s="61"/>
    </row>
    <row r="32">
      <c r="B32" s="59"/>
      <c r="D32" s="59"/>
      <c r="F32" s="59"/>
      <c r="G32" s="59"/>
      <c r="H32" s="59"/>
      <c r="J32" s="59"/>
      <c r="L32" s="59"/>
      <c r="N32" s="158"/>
      <c r="O32" s="59"/>
      <c r="Q32" s="59"/>
      <c r="R32" s="61"/>
    </row>
    <row r="33">
      <c r="B33" s="59"/>
      <c r="D33" s="59"/>
      <c r="F33" s="59"/>
      <c r="H33" s="59"/>
      <c r="J33" s="59"/>
      <c r="L33" s="59"/>
      <c r="N33" s="158"/>
      <c r="O33" s="59"/>
      <c r="Q33" s="59"/>
      <c r="R33" s="61"/>
    </row>
    <row r="34">
      <c r="B34" s="59"/>
      <c r="D34" s="59"/>
      <c r="F34" s="59"/>
      <c r="H34" s="59"/>
      <c r="J34" s="59"/>
      <c r="L34" s="59"/>
      <c r="O34" s="59"/>
      <c r="Q34" s="59"/>
      <c r="R34" s="61"/>
    </row>
    <row r="35">
      <c r="B35" s="59"/>
      <c r="D35" s="59"/>
      <c r="F35" s="59"/>
      <c r="H35" s="59"/>
      <c r="J35" s="59"/>
      <c r="L35" s="59"/>
      <c r="O35" s="59"/>
      <c r="Q35" s="59"/>
      <c r="R35" s="61"/>
    </row>
    <row r="36">
      <c r="B36" s="59"/>
      <c r="D36" s="59"/>
      <c r="F36" s="59"/>
      <c r="H36" s="59"/>
      <c r="J36" s="59"/>
      <c r="L36" s="59"/>
      <c r="O36" s="59"/>
      <c r="Q36" s="59"/>
      <c r="R36" s="61"/>
    </row>
    <row r="37">
      <c r="B37" s="59"/>
      <c r="D37" s="59"/>
      <c r="F37" s="59"/>
      <c r="H37" s="59"/>
      <c r="J37" s="59"/>
      <c r="L37" s="59"/>
      <c r="O37" s="59"/>
      <c r="Q37" s="59"/>
      <c r="R37" s="61"/>
    </row>
    <row r="38">
      <c r="B38" s="59"/>
      <c r="D38" s="59"/>
      <c r="F38" s="59"/>
      <c r="H38" s="59"/>
      <c r="J38" s="59"/>
      <c r="L38" s="59"/>
      <c r="O38" s="59"/>
      <c r="Q38" s="59"/>
      <c r="R38" s="61"/>
    </row>
    <row r="39">
      <c r="B39" s="59"/>
      <c r="D39" s="59"/>
      <c r="F39" s="59"/>
      <c r="H39" s="59"/>
      <c r="J39" s="59"/>
      <c r="L39" s="59"/>
      <c r="O39" s="59"/>
      <c r="Q39" s="59"/>
      <c r="R39" s="61"/>
    </row>
    <row r="40">
      <c r="B40" s="59"/>
      <c r="D40" s="59"/>
      <c r="F40" s="59"/>
      <c r="H40" s="59"/>
      <c r="J40" s="59"/>
      <c r="L40" s="59"/>
      <c r="O40" s="59"/>
      <c r="Q40" s="59"/>
      <c r="R40" s="61"/>
    </row>
    <row r="41">
      <c r="B41" s="59"/>
      <c r="D41" s="59"/>
      <c r="F41" s="59"/>
      <c r="H41" s="59"/>
      <c r="J41" s="59"/>
      <c r="L41" s="59"/>
      <c r="O41" s="59"/>
      <c r="Q41" s="59"/>
      <c r="R41" s="61"/>
    </row>
    <row r="42">
      <c r="B42" s="59"/>
      <c r="D42" s="59"/>
      <c r="F42" s="59"/>
      <c r="H42" s="59"/>
      <c r="J42" s="59"/>
      <c r="L42" s="59"/>
      <c r="O42" s="59"/>
      <c r="Q42" s="59"/>
      <c r="R42" s="61"/>
    </row>
    <row r="43">
      <c r="B43" s="59"/>
      <c r="D43" s="59"/>
      <c r="F43" s="59"/>
      <c r="H43" s="59"/>
      <c r="J43" s="59"/>
      <c r="L43" s="59"/>
      <c r="O43" s="59"/>
      <c r="Q43" s="59"/>
      <c r="R43" s="61"/>
    </row>
    <row r="44">
      <c r="B44" s="59"/>
      <c r="D44" s="59"/>
      <c r="F44" s="59"/>
      <c r="H44" s="59"/>
      <c r="J44" s="59"/>
      <c r="L44" s="59"/>
      <c r="O44" s="59"/>
      <c r="Q44" s="59"/>
      <c r="R44" s="61"/>
    </row>
    <row r="45">
      <c r="B45" s="59"/>
      <c r="D45" s="59"/>
      <c r="F45" s="59"/>
      <c r="H45" s="59"/>
      <c r="J45" s="59"/>
      <c r="L45" s="59"/>
      <c r="O45" s="59"/>
      <c r="Q45" s="59"/>
      <c r="R45" s="61"/>
    </row>
    <row r="46">
      <c r="B46" s="59"/>
      <c r="D46" s="59"/>
      <c r="F46" s="59"/>
      <c r="H46" s="59"/>
      <c r="J46" s="59"/>
      <c r="L46" s="59"/>
      <c r="O46" s="59"/>
      <c r="Q46" s="59"/>
      <c r="R46" s="61"/>
    </row>
    <row r="47">
      <c r="B47" s="59"/>
      <c r="D47" s="59"/>
      <c r="F47" s="59"/>
      <c r="H47" s="59"/>
      <c r="J47" s="59"/>
      <c r="L47" s="59"/>
      <c r="O47" s="59"/>
      <c r="Q47" s="59"/>
      <c r="R47" s="61"/>
    </row>
    <row r="48">
      <c r="B48" s="59"/>
      <c r="D48" s="59"/>
      <c r="F48" s="59"/>
      <c r="H48" s="59"/>
      <c r="J48" s="59"/>
      <c r="L48" s="59"/>
      <c r="O48" s="59"/>
      <c r="Q48" s="59"/>
      <c r="R48" s="61"/>
    </row>
    <row r="49">
      <c r="B49" s="59"/>
      <c r="D49" s="59"/>
      <c r="F49" s="59"/>
      <c r="H49" s="59"/>
      <c r="J49" s="59"/>
      <c r="L49" s="59"/>
      <c r="O49" s="59"/>
      <c r="Q49" s="59"/>
      <c r="R49" s="61"/>
    </row>
    <row r="50">
      <c r="B50" s="59"/>
      <c r="D50" s="59"/>
      <c r="F50" s="59"/>
      <c r="H50" s="59"/>
      <c r="J50" s="59"/>
      <c r="L50" s="59"/>
      <c r="O50" s="59"/>
      <c r="Q50" s="59"/>
      <c r="R50" s="61"/>
    </row>
    <row r="51">
      <c r="B51" s="59"/>
      <c r="D51" s="59"/>
      <c r="F51" s="59"/>
      <c r="H51" s="59"/>
      <c r="J51" s="59"/>
      <c r="L51" s="59"/>
      <c r="O51" s="59"/>
      <c r="Q51" s="59"/>
      <c r="R51" s="61"/>
    </row>
    <row r="52">
      <c r="B52" s="59"/>
      <c r="D52" s="59"/>
      <c r="F52" s="59"/>
      <c r="H52" s="59"/>
      <c r="J52" s="59"/>
      <c r="L52" s="59"/>
      <c r="O52" s="59"/>
      <c r="Q52" s="59"/>
      <c r="R52" s="61"/>
    </row>
    <row r="53">
      <c r="B53" s="59"/>
      <c r="D53" s="59"/>
      <c r="F53" s="59"/>
      <c r="H53" s="59"/>
      <c r="J53" s="59"/>
      <c r="L53" s="59"/>
      <c r="O53" s="59"/>
      <c r="Q53" s="59"/>
      <c r="R53" s="61"/>
    </row>
    <row r="54">
      <c r="B54" s="59"/>
      <c r="D54" s="59"/>
      <c r="F54" s="59"/>
      <c r="H54" s="59"/>
      <c r="J54" s="59"/>
      <c r="L54" s="59"/>
      <c r="O54" s="59"/>
      <c r="Q54" s="59"/>
      <c r="R54" s="61"/>
    </row>
    <row r="55">
      <c r="B55" s="59"/>
      <c r="D55" s="59"/>
      <c r="F55" s="59"/>
      <c r="H55" s="59"/>
      <c r="J55" s="59"/>
      <c r="L55" s="59"/>
      <c r="O55" s="59"/>
      <c r="Q55" s="59"/>
      <c r="R55" s="61"/>
    </row>
    <row r="56">
      <c r="B56" s="59"/>
      <c r="D56" s="59"/>
      <c r="F56" s="59"/>
      <c r="H56" s="59"/>
      <c r="J56" s="59"/>
      <c r="L56" s="59"/>
      <c r="O56" s="59"/>
      <c r="Q56" s="59"/>
      <c r="R56" s="61"/>
    </row>
    <row r="57">
      <c r="B57" s="59"/>
      <c r="D57" s="59"/>
      <c r="F57" s="59"/>
      <c r="H57" s="59"/>
      <c r="J57" s="59"/>
      <c r="L57" s="59"/>
      <c r="O57" s="59"/>
      <c r="Q57" s="59"/>
      <c r="R57" s="61"/>
    </row>
    <row r="58">
      <c r="B58" s="59"/>
      <c r="D58" s="59"/>
      <c r="F58" s="59"/>
      <c r="H58" s="59"/>
      <c r="J58" s="59"/>
      <c r="L58" s="59"/>
      <c r="O58" s="59"/>
      <c r="Q58" s="59"/>
      <c r="R58" s="61"/>
    </row>
    <row r="59">
      <c r="B59" s="59"/>
      <c r="D59" s="59"/>
      <c r="F59" s="59"/>
      <c r="H59" s="59"/>
      <c r="J59" s="59"/>
      <c r="L59" s="59"/>
      <c r="O59" s="59"/>
      <c r="Q59" s="59"/>
      <c r="R59" s="61"/>
    </row>
    <row r="60">
      <c r="B60" s="59"/>
      <c r="D60" s="59"/>
      <c r="F60" s="59"/>
      <c r="H60" s="59"/>
      <c r="J60" s="59"/>
      <c r="L60" s="59"/>
      <c r="O60" s="59"/>
      <c r="Q60" s="59"/>
      <c r="R60" s="61"/>
    </row>
    <row r="61">
      <c r="B61" s="59"/>
      <c r="D61" s="59"/>
      <c r="F61" s="59"/>
      <c r="H61" s="59"/>
      <c r="J61" s="59"/>
      <c r="L61" s="59"/>
      <c r="O61" s="59"/>
      <c r="Q61" s="59"/>
      <c r="R61" s="61"/>
    </row>
    <row r="62">
      <c r="B62" s="59"/>
      <c r="D62" s="59"/>
      <c r="F62" s="59"/>
      <c r="H62" s="59"/>
      <c r="J62" s="59"/>
      <c r="L62" s="59"/>
      <c r="O62" s="59"/>
      <c r="Q62" s="59"/>
      <c r="R62" s="61"/>
    </row>
    <row r="63">
      <c r="B63" s="59"/>
      <c r="D63" s="59"/>
      <c r="F63" s="59"/>
      <c r="H63" s="59"/>
      <c r="J63" s="59"/>
      <c r="L63" s="59"/>
      <c r="O63" s="59"/>
      <c r="Q63" s="59"/>
      <c r="R63" s="61"/>
    </row>
    <row r="64">
      <c r="B64" s="59"/>
      <c r="D64" s="59"/>
      <c r="F64" s="59"/>
      <c r="H64" s="59"/>
      <c r="J64" s="59"/>
      <c r="L64" s="59"/>
      <c r="O64" s="59"/>
      <c r="Q64" s="59"/>
      <c r="R64" s="61"/>
    </row>
    <row r="65">
      <c r="B65" s="59"/>
      <c r="D65" s="59"/>
      <c r="F65" s="59"/>
      <c r="H65" s="59"/>
      <c r="J65" s="59"/>
      <c r="L65" s="59"/>
      <c r="O65" s="59"/>
      <c r="Q65" s="59"/>
      <c r="R65" s="61"/>
    </row>
    <row r="66">
      <c r="B66" s="59"/>
      <c r="D66" s="59"/>
      <c r="F66" s="59"/>
      <c r="H66" s="59"/>
      <c r="J66" s="59"/>
      <c r="L66" s="59"/>
      <c r="O66" s="59"/>
      <c r="Q66" s="59"/>
      <c r="R66" s="61"/>
    </row>
    <row r="67">
      <c r="B67" s="59"/>
      <c r="D67" s="59"/>
      <c r="F67" s="59"/>
      <c r="H67" s="59"/>
      <c r="J67" s="59"/>
      <c r="L67" s="59"/>
      <c r="O67" s="59"/>
      <c r="Q67" s="59"/>
      <c r="R67" s="61"/>
    </row>
    <row r="68">
      <c r="B68" s="59"/>
      <c r="D68" s="59"/>
      <c r="F68" s="59"/>
      <c r="H68" s="59"/>
      <c r="J68" s="59"/>
      <c r="L68" s="59"/>
      <c r="O68" s="59"/>
      <c r="Q68" s="59"/>
      <c r="R68" s="61"/>
    </row>
    <row r="69">
      <c r="B69" s="59"/>
      <c r="D69" s="59"/>
      <c r="F69" s="59"/>
      <c r="H69" s="59"/>
      <c r="J69" s="59"/>
      <c r="L69" s="59"/>
      <c r="O69" s="59"/>
      <c r="Q69" s="59"/>
      <c r="R69" s="61"/>
    </row>
    <row r="70">
      <c r="B70" s="59"/>
      <c r="D70" s="59"/>
      <c r="F70" s="59"/>
      <c r="H70" s="59"/>
      <c r="J70" s="59"/>
      <c r="L70" s="59"/>
      <c r="O70" s="59"/>
      <c r="Q70" s="59"/>
      <c r="R70" s="61"/>
    </row>
    <row r="71">
      <c r="B71" s="59"/>
      <c r="D71" s="59"/>
      <c r="F71" s="59"/>
      <c r="H71" s="59"/>
      <c r="J71" s="59"/>
      <c r="L71" s="59"/>
      <c r="O71" s="59"/>
      <c r="Q71" s="59"/>
      <c r="R71" s="61"/>
    </row>
    <row r="72">
      <c r="B72" s="59"/>
      <c r="D72" s="59"/>
      <c r="F72" s="59"/>
      <c r="H72" s="59"/>
      <c r="J72" s="59"/>
      <c r="L72" s="59"/>
      <c r="O72" s="59"/>
      <c r="Q72" s="59"/>
      <c r="R72" s="61"/>
    </row>
    <row r="73">
      <c r="B73" s="59"/>
      <c r="D73" s="59"/>
      <c r="F73" s="59"/>
      <c r="H73" s="59"/>
      <c r="J73" s="59"/>
      <c r="L73" s="59"/>
      <c r="O73" s="59"/>
      <c r="Q73" s="59"/>
      <c r="R73" s="61"/>
    </row>
    <row r="74">
      <c r="B74" s="59"/>
      <c r="D74" s="59"/>
      <c r="F74" s="59"/>
      <c r="H74" s="59"/>
      <c r="J74" s="59"/>
      <c r="L74" s="59"/>
      <c r="O74" s="59"/>
      <c r="Q74" s="59"/>
      <c r="R74" s="61"/>
    </row>
    <row r="75">
      <c r="B75" s="59"/>
      <c r="D75" s="59"/>
      <c r="F75" s="59"/>
      <c r="H75" s="59"/>
      <c r="J75" s="59"/>
      <c r="L75" s="59"/>
      <c r="O75" s="59"/>
      <c r="Q75" s="59"/>
      <c r="R75" s="61"/>
    </row>
    <row r="76">
      <c r="B76" s="59"/>
      <c r="D76" s="59"/>
      <c r="F76" s="59"/>
      <c r="H76" s="59"/>
      <c r="J76" s="59"/>
      <c r="L76" s="59"/>
      <c r="O76" s="59"/>
      <c r="Q76" s="59"/>
      <c r="R76" s="61"/>
    </row>
    <row r="77">
      <c r="B77" s="59"/>
      <c r="D77" s="59"/>
      <c r="F77" s="59"/>
      <c r="H77" s="59"/>
      <c r="J77" s="59"/>
      <c r="L77" s="59"/>
      <c r="O77" s="59"/>
      <c r="Q77" s="59"/>
      <c r="R77" s="61"/>
    </row>
    <row r="78">
      <c r="B78" s="59"/>
      <c r="D78" s="59"/>
      <c r="F78" s="59"/>
      <c r="H78" s="59"/>
      <c r="J78" s="59"/>
      <c r="L78" s="59"/>
      <c r="O78" s="59"/>
      <c r="Q78" s="59"/>
      <c r="R78" s="61"/>
    </row>
    <row r="79">
      <c r="B79" s="59"/>
      <c r="D79" s="59"/>
      <c r="F79" s="59"/>
      <c r="H79" s="59"/>
      <c r="J79" s="59"/>
      <c r="L79" s="59"/>
      <c r="O79" s="59"/>
      <c r="Q79" s="59"/>
      <c r="R79" s="61"/>
    </row>
    <row r="80">
      <c r="B80" s="59"/>
      <c r="D80" s="59"/>
      <c r="F80" s="59"/>
      <c r="H80" s="59"/>
      <c r="J80" s="59"/>
      <c r="L80" s="59"/>
      <c r="O80" s="59"/>
      <c r="Q80" s="59"/>
      <c r="R80" s="61"/>
    </row>
    <row r="81">
      <c r="B81" s="59"/>
      <c r="D81" s="59"/>
      <c r="F81" s="59"/>
      <c r="H81" s="59"/>
      <c r="J81" s="59"/>
      <c r="L81" s="59"/>
      <c r="O81" s="59"/>
      <c r="Q81" s="59"/>
      <c r="R81" s="61"/>
    </row>
    <row r="82">
      <c r="B82" s="59"/>
      <c r="D82" s="59"/>
      <c r="F82" s="59"/>
      <c r="H82" s="59"/>
      <c r="J82" s="59"/>
      <c r="L82" s="59"/>
      <c r="O82" s="59"/>
      <c r="Q82" s="59"/>
      <c r="R82" s="61"/>
    </row>
    <row r="83">
      <c r="B83" s="59"/>
      <c r="D83" s="59"/>
      <c r="F83" s="59"/>
      <c r="H83" s="59"/>
      <c r="J83" s="59"/>
      <c r="L83" s="59"/>
      <c r="O83" s="59"/>
      <c r="Q83" s="59"/>
      <c r="R83" s="61"/>
    </row>
    <row r="84">
      <c r="B84" s="59"/>
      <c r="D84" s="59"/>
      <c r="F84" s="59"/>
      <c r="H84" s="59"/>
      <c r="J84" s="59"/>
      <c r="L84" s="59"/>
      <c r="O84" s="59"/>
      <c r="Q84" s="59"/>
      <c r="R84" s="61"/>
    </row>
    <row r="85">
      <c r="B85" s="59"/>
      <c r="D85" s="59"/>
      <c r="F85" s="59"/>
      <c r="H85" s="59"/>
      <c r="J85" s="59"/>
      <c r="L85" s="59"/>
      <c r="O85" s="59"/>
      <c r="Q85" s="59"/>
      <c r="R85" s="61"/>
    </row>
    <row r="86">
      <c r="B86" s="59"/>
      <c r="D86" s="59"/>
      <c r="F86" s="59"/>
      <c r="H86" s="59"/>
      <c r="J86" s="59"/>
      <c r="L86" s="59"/>
      <c r="O86" s="59"/>
      <c r="Q86" s="59"/>
      <c r="R86" s="61"/>
    </row>
    <row r="87">
      <c r="B87" s="59"/>
      <c r="D87" s="59"/>
      <c r="F87" s="59"/>
      <c r="H87" s="59"/>
      <c r="J87" s="59"/>
      <c r="L87" s="59"/>
      <c r="O87" s="59"/>
      <c r="Q87" s="59"/>
      <c r="R87" s="61"/>
    </row>
    <row r="88">
      <c r="B88" s="59"/>
      <c r="D88" s="59"/>
      <c r="F88" s="59"/>
      <c r="H88" s="59"/>
      <c r="J88" s="59"/>
      <c r="L88" s="59"/>
      <c r="O88" s="59"/>
      <c r="Q88" s="59"/>
      <c r="R88" s="61"/>
    </row>
    <row r="89">
      <c r="B89" s="59"/>
      <c r="D89" s="59"/>
      <c r="F89" s="59"/>
      <c r="H89" s="59"/>
      <c r="J89" s="59"/>
      <c r="L89" s="59"/>
      <c r="O89" s="59"/>
      <c r="Q89" s="59"/>
      <c r="R89" s="61"/>
    </row>
    <row r="90">
      <c r="B90" s="59"/>
      <c r="D90" s="59"/>
      <c r="F90" s="59"/>
      <c r="H90" s="59"/>
      <c r="J90" s="59"/>
      <c r="L90" s="59"/>
      <c r="O90" s="59"/>
      <c r="Q90" s="59"/>
      <c r="R90" s="61"/>
    </row>
    <row r="91">
      <c r="B91" s="59"/>
      <c r="D91" s="59"/>
      <c r="F91" s="59"/>
      <c r="H91" s="59"/>
      <c r="J91" s="59"/>
      <c r="L91" s="59"/>
      <c r="O91" s="59"/>
      <c r="Q91" s="59"/>
      <c r="R91" s="61"/>
    </row>
    <row r="92">
      <c r="B92" s="59"/>
      <c r="D92" s="59"/>
      <c r="F92" s="59"/>
      <c r="H92" s="59"/>
      <c r="J92" s="59"/>
      <c r="L92" s="59"/>
      <c r="O92" s="59"/>
      <c r="Q92" s="59"/>
      <c r="R92" s="61"/>
    </row>
    <row r="93">
      <c r="B93" s="59"/>
      <c r="D93" s="59"/>
      <c r="F93" s="59"/>
      <c r="H93" s="59"/>
      <c r="J93" s="59"/>
      <c r="L93" s="59"/>
      <c r="O93" s="59"/>
      <c r="Q93" s="59"/>
      <c r="R93" s="61"/>
    </row>
    <row r="94">
      <c r="B94" s="59"/>
      <c r="D94" s="59"/>
      <c r="F94" s="59"/>
      <c r="H94" s="59"/>
      <c r="J94" s="59"/>
      <c r="L94" s="59"/>
      <c r="O94" s="59"/>
      <c r="Q94" s="59"/>
      <c r="R94" s="61"/>
    </row>
    <row r="95">
      <c r="B95" s="59"/>
      <c r="D95" s="59"/>
      <c r="F95" s="59"/>
      <c r="H95" s="59"/>
      <c r="J95" s="59"/>
      <c r="L95" s="59"/>
      <c r="O95" s="59"/>
      <c r="Q95" s="59"/>
      <c r="R95" s="61"/>
    </row>
    <row r="96">
      <c r="B96" s="59"/>
      <c r="D96" s="59"/>
      <c r="F96" s="59"/>
      <c r="H96" s="59"/>
      <c r="J96" s="59"/>
      <c r="L96" s="59"/>
      <c r="O96" s="59"/>
      <c r="Q96" s="59"/>
      <c r="R96" s="61"/>
    </row>
    <row r="97">
      <c r="B97" s="59"/>
      <c r="D97" s="59"/>
      <c r="F97" s="59"/>
      <c r="H97" s="59"/>
      <c r="J97" s="59"/>
      <c r="L97" s="59"/>
      <c r="O97" s="59"/>
      <c r="Q97" s="59"/>
      <c r="R97" s="61"/>
    </row>
    <row r="98">
      <c r="B98" s="59"/>
      <c r="D98" s="59"/>
      <c r="F98" s="59"/>
      <c r="H98" s="59"/>
      <c r="J98" s="59"/>
      <c r="L98" s="59"/>
      <c r="O98" s="59"/>
      <c r="Q98" s="59"/>
      <c r="R98" s="61"/>
    </row>
    <row r="99">
      <c r="B99" s="59"/>
      <c r="D99" s="59"/>
      <c r="F99" s="59"/>
      <c r="H99" s="59"/>
      <c r="J99" s="59"/>
      <c r="L99" s="59"/>
      <c r="O99" s="59"/>
      <c r="Q99" s="59"/>
      <c r="R99" s="61"/>
    </row>
    <row r="100">
      <c r="B100" s="59"/>
      <c r="D100" s="59"/>
      <c r="F100" s="59"/>
      <c r="H100" s="59"/>
      <c r="J100" s="59"/>
      <c r="L100" s="59"/>
      <c r="O100" s="59"/>
      <c r="Q100" s="59"/>
      <c r="R100" s="61"/>
    </row>
    <row r="101">
      <c r="B101" s="59"/>
      <c r="D101" s="59"/>
      <c r="F101" s="59"/>
      <c r="H101" s="59"/>
      <c r="J101" s="59"/>
      <c r="L101" s="59"/>
      <c r="O101" s="59"/>
      <c r="Q101" s="59"/>
      <c r="R101" s="61"/>
    </row>
    <row r="102">
      <c r="B102" s="59"/>
      <c r="D102" s="59"/>
      <c r="F102" s="59"/>
      <c r="H102" s="59"/>
      <c r="J102" s="59"/>
      <c r="L102" s="59"/>
      <c r="O102" s="59"/>
      <c r="Q102" s="59"/>
      <c r="R102" s="61"/>
    </row>
    <row r="103">
      <c r="B103" s="59"/>
      <c r="D103" s="59"/>
      <c r="F103" s="59"/>
      <c r="H103" s="59"/>
      <c r="J103" s="59"/>
      <c r="L103" s="59"/>
      <c r="O103" s="59"/>
      <c r="Q103" s="59"/>
      <c r="R103" s="61"/>
    </row>
    <row r="104">
      <c r="B104" s="59"/>
      <c r="D104" s="59"/>
      <c r="F104" s="59"/>
      <c r="H104" s="59"/>
      <c r="J104" s="59"/>
      <c r="L104" s="59"/>
      <c r="O104" s="59"/>
      <c r="Q104" s="59"/>
      <c r="R104" s="61"/>
    </row>
    <row r="105">
      <c r="B105" s="59"/>
      <c r="D105" s="59"/>
      <c r="F105" s="59"/>
      <c r="H105" s="59"/>
      <c r="J105" s="59"/>
      <c r="L105" s="59"/>
      <c r="O105" s="59"/>
      <c r="Q105" s="59"/>
      <c r="R105" s="61"/>
    </row>
    <row r="106">
      <c r="B106" s="59"/>
      <c r="D106" s="59"/>
      <c r="F106" s="59"/>
      <c r="H106" s="59"/>
      <c r="J106" s="59"/>
      <c r="L106" s="59"/>
      <c r="O106" s="59"/>
      <c r="Q106" s="59"/>
      <c r="R106" s="61"/>
    </row>
    <row r="107">
      <c r="B107" s="59"/>
      <c r="D107" s="59"/>
      <c r="F107" s="59"/>
      <c r="H107" s="59"/>
      <c r="J107" s="59"/>
      <c r="L107" s="59"/>
      <c r="O107" s="59"/>
      <c r="Q107" s="59"/>
      <c r="R107" s="61"/>
    </row>
    <row r="108">
      <c r="B108" s="59"/>
      <c r="D108" s="59"/>
      <c r="F108" s="59"/>
      <c r="H108" s="59"/>
      <c r="J108" s="59"/>
      <c r="L108" s="59"/>
      <c r="O108" s="59"/>
      <c r="Q108" s="59"/>
      <c r="R108" s="61"/>
    </row>
    <row r="109">
      <c r="B109" s="59"/>
      <c r="D109" s="59"/>
      <c r="F109" s="59"/>
      <c r="H109" s="59"/>
      <c r="J109" s="59"/>
      <c r="L109" s="59"/>
      <c r="O109" s="59"/>
      <c r="Q109" s="59"/>
      <c r="R109" s="61"/>
    </row>
    <row r="110">
      <c r="B110" s="59"/>
      <c r="D110" s="59"/>
      <c r="F110" s="59"/>
      <c r="H110" s="59"/>
      <c r="J110" s="59"/>
      <c r="L110" s="59"/>
      <c r="O110" s="59"/>
      <c r="Q110" s="59"/>
      <c r="R110" s="61"/>
    </row>
    <row r="111">
      <c r="B111" s="59"/>
      <c r="D111" s="59"/>
      <c r="F111" s="59"/>
      <c r="H111" s="59"/>
      <c r="J111" s="59"/>
      <c r="L111" s="59"/>
      <c r="O111" s="59"/>
      <c r="Q111" s="59"/>
      <c r="R111" s="61"/>
    </row>
    <row r="112">
      <c r="B112" s="59"/>
      <c r="D112" s="59"/>
      <c r="F112" s="59"/>
      <c r="H112" s="59"/>
      <c r="J112" s="59"/>
      <c r="L112" s="59"/>
      <c r="O112" s="59"/>
      <c r="Q112" s="59"/>
      <c r="R112" s="61"/>
    </row>
    <row r="113">
      <c r="B113" s="59"/>
      <c r="D113" s="59"/>
      <c r="F113" s="59"/>
      <c r="H113" s="59"/>
      <c r="J113" s="59"/>
      <c r="L113" s="59"/>
      <c r="O113" s="59"/>
      <c r="Q113" s="59"/>
      <c r="R113" s="61"/>
    </row>
    <row r="114">
      <c r="B114" s="59"/>
      <c r="D114" s="59"/>
      <c r="F114" s="59"/>
      <c r="H114" s="59"/>
      <c r="J114" s="59"/>
      <c r="L114" s="59"/>
      <c r="O114" s="59"/>
      <c r="Q114" s="59"/>
      <c r="R114" s="61"/>
    </row>
    <row r="115">
      <c r="B115" s="59"/>
      <c r="D115" s="59"/>
      <c r="F115" s="59"/>
      <c r="H115" s="59"/>
      <c r="J115" s="59"/>
      <c r="L115" s="59"/>
      <c r="O115" s="59"/>
      <c r="Q115" s="59"/>
      <c r="R115" s="61"/>
    </row>
    <row r="116">
      <c r="B116" s="59"/>
      <c r="D116" s="59"/>
      <c r="F116" s="59"/>
      <c r="H116" s="59"/>
      <c r="J116" s="59"/>
      <c r="L116" s="59"/>
      <c r="O116" s="59"/>
      <c r="Q116" s="59"/>
      <c r="R116" s="61"/>
    </row>
    <row r="117">
      <c r="B117" s="59"/>
      <c r="D117" s="59"/>
      <c r="F117" s="59"/>
      <c r="H117" s="59"/>
      <c r="J117" s="59"/>
      <c r="L117" s="59"/>
      <c r="O117" s="59"/>
      <c r="Q117" s="59"/>
      <c r="R117" s="61"/>
    </row>
    <row r="118">
      <c r="B118" s="59"/>
      <c r="D118" s="59"/>
      <c r="F118" s="59"/>
      <c r="H118" s="59"/>
      <c r="J118" s="59"/>
      <c r="L118" s="59"/>
      <c r="O118" s="59"/>
      <c r="Q118" s="59"/>
      <c r="R118" s="61"/>
    </row>
    <row r="119">
      <c r="B119" s="59"/>
      <c r="D119" s="59"/>
      <c r="F119" s="59"/>
      <c r="H119" s="59"/>
      <c r="J119" s="59"/>
      <c r="L119" s="59"/>
      <c r="O119" s="59"/>
      <c r="Q119" s="59"/>
      <c r="R119" s="61"/>
    </row>
    <row r="120">
      <c r="B120" s="59"/>
      <c r="D120" s="59"/>
      <c r="F120" s="59"/>
      <c r="H120" s="59"/>
      <c r="J120" s="59"/>
      <c r="L120" s="59"/>
      <c r="O120" s="59"/>
      <c r="Q120" s="59"/>
      <c r="R120" s="61"/>
    </row>
    <row r="121">
      <c r="B121" s="59"/>
      <c r="D121" s="59"/>
      <c r="F121" s="59"/>
      <c r="H121" s="59"/>
      <c r="J121" s="59"/>
      <c r="L121" s="59"/>
      <c r="O121" s="59"/>
      <c r="Q121" s="59"/>
      <c r="R121" s="61"/>
    </row>
    <row r="122">
      <c r="B122" s="59"/>
      <c r="D122" s="59"/>
      <c r="F122" s="59"/>
      <c r="H122" s="59"/>
      <c r="J122" s="59"/>
      <c r="L122" s="59"/>
      <c r="O122" s="59"/>
      <c r="Q122" s="59"/>
      <c r="R122" s="61"/>
    </row>
    <row r="123">
      <c r="B123" s="59"/>
      <c r="D123" s="59"/>
      <c r="F123" s="59"/>
      <c r="H123" s="59"/>
      <c r="J123" s="59"/>
      <c r="L123" s="59"/>
      <c r="O123" s="59"/>
      <c r="Q123" s="59"/>
      <c r="R123" s="61"/>
    </row>
    <row r="124">
      <c r="B124" s="59"/>
      <c r="D124" s="59"/>
      <c r="F124" s="59"/>
      <c r="H124" s="59"/>
      <c r="J124" s="59"/>
      <c r="L124" s="59"/>
      <c r="O124" s="59"/>
      <c r="Q124" s="59"/>
      <c r="R124" s="61"/>
    </row>
    <row r="125">
      <c r="B125" s="59"/>
      <c r="D125" s="59"/>
      <c r="F125" s="59"/>
      <c r="H125" s="59"/>
      <c r="J125" s="59"/>
      <c r="L125" s="59"/>
      <c r="O125" s="59"/>
      <c r="Q125" s="59"/>
      <c r="R125" s="61"/>
    </row>
    <row r="126">
      <c r="B126" s="59"/>
      <c r="D126" s="59"/>
      <c r="F126" s="59"/>
      <c r="H126" s="59"/>
      <c r="J126" s="59"/>
      <c r="L126" s="59"/>
      <c r="O126" s="59"/>
      <c r="Q126" s="59"/>
      <c r="R126" s="61"/>
    </row>
    <row r="127">
      <c r="B127" s="59"/>
      <c r="D127" s="59"/>
      <c r="F127" s="59"/>
      <c r="H127" s="59"/>
      <c r="J127" s="59"/>
      <c r="L127" s="59"/>
      <c r="O127" s="59"/>
      <c r="Q127" s="59"/>
      <c r="R127" s="61"/>
    </row>
    <row r="128">
      <c r="B128" s="59"/>
      <c r="D128" s="59"/>
      <c r="F128" s="59"/>
      <c r="H128" s="59"/>
      <c r="J128" s="59"/>
      <c r="L128" s="59"/>
      <c r="O128" s="59"/>
      <c r="Q128" s="59"/>
      <c r="R128" s="61"/>
    </row>
    <row r="129">
      <c r="B129" s="59"/>
      <c r="D129" s="59"/>
      <c r="F129" s="59"/>
      <c r="H129" s="59"/>
      <c r="J129" s="59"/>
      <c r="L129" s="59"/>
      <c r="O129" s="59"/>
      <c r="Q129" s="59"/>
      <c r="R129" s="61"/>
    </row>
    <row r="130">
      <c r="B130" s="59"/>
      <c r="D130" s="59"/>
      <c r="F130" s="59"/>
      <c r="H130" s="59"/>
      <c r="J130" s="59"/>
      <c r="L130" s="59"/>
      <c r="O130" s="59"/>
      <c r="Q130" s="59"/>
      <c r="R130" s="61"/>
    </row>
    <row r="131">
      <c r="B131" s="59"/>
      <c r="D131" s="59"/>
      <c r="F131" s="59"/>
      <c r="H131" s="59"/>
      <c r="J131" s="59"/>
      <c r="L131" s="59"/>
      <c r="O131" s="59"/>
      <c r="Q131" s="59"/>
      <c r="R131" s="61"/>
    </row>
    <row r="132">
      <c r="B132" s="59"/>
      <c r="D132" s="59"/>
      <c r="F132" s="59"/>
      <c r="H132" s="59"/>
      <c r="J132" s="59"/>
      <c r="L132" s="59"/>
      <c r="O132" s="59"/>
      <c r="Q132" s="59"/>
      <c r="R132" s="61"/>
    </row>
    <row r="133">
      <c r="B133" s="59"/>
      <c r="D133" s="59"/>
      <c r="F133" s="59"/>
      <c r="H133" s="59"/>
      <c r="J133" s="59"/>
      <c r="L133" s="59"/>
      <c r="O133" s="59"/>
      <c r="Q133" s="59"/>
      <c r="R133" s="61"/>
    </row>
    <row r="134">
      <c r="B134" s="59"/>
      <c r="D134" s="59"/>
      <c r="F134" s="59"/>
      <c r="H134" s="59"/>
      <c r="J134" s="59"/>
      <c r="L134" s="59"/>
      <c r="O134" s="59"/>
      <c r="Q134" s="59"/>
      <c r="R134" s="61"/>
    </row>
    <row r="135">
      <c r="B135" s="59"/>
      <c r="D135" s="59"/>
      <c r="F135" s="59"/>
      <c r="H135" s="59"/>
      <c r="J135" s="59"/>
      <c r="L135" s="59"/>
      <c r="O135" s="59"/>
      <c r="Q135" s="59"/>
      <c r="R135" s="61"/>
    </row>
    <row r="136">
      <c r="B136" s="59"/>
      <c r="D136" s="59"/>
      <c r="F136" s="59"/>
      <c r="H136" s="59"/>
      <c r="J136" s="59"/>
      <c r="L136" s="59"/>
      <c r="O136" s="59"/>
      <c r="Q136" s="59"/>
      <c r="R136" s="61"/>
    </row>
    <row r="137">
      <c r="B137" s="59"/>
      <c r="D137" s="59"/>
      <c r="F137" s="59"/>
      <c r="H137" s="59"/>
      <c r="J137" s="59"/>
      <c r="L137" s="59"/>
      <c r="O137" s="59"/>
      <c r="Q137" s="59"/>
      <c r="R137" s="61"/>
    </row>
    <row r="138">
      <c r="B138" s="59"/>
      <c r="D138" s="59"/>
      <c r="F138" s="59"/>
      <c r="H138" s="59"/>
      <c r="J138" s="59"/>
      <c r="L138" s="59"/>
      <c r="O138" s="59"/>
      <c r="Q138" s="59"/>
      <c r="R138" s="61"/>
    </row>
    <row r="139">
      <c r="B139" s="59"/>
      <c r="D139" s="59"/>
      <c r="F139" s="59"/>
      <c r="H139" s="59"/>
      <c r="J139" s="59"/>
      <c r="L139" s="59"/>
      <c r="O139" s="59"/>
      <c r="Q139" s="59"/>
      <c r="R139" s="61"/>
    </row>
    <row r="140">
      <c r="B140" s="59"/>
      <c r="D140" s="59"/>
      <c r="F140" s="59"/>
      <c r="H140" s="59"/>
      <c r="J140" s="59"/>
      <c r="L140" s="59"/>
      <c r="O140" s="59"/>
      <c r="Q140" s="59"/>
      <c r="R140" s="61"/>
    </row>
    <row r="141">
      <c r="B141" s="59"/>
      <c r="D141" s="59"/>
      <c r="F141" s="59"/>
      <c r="H141" s="59"/>
      <c r="J141" s="59"/>
      <c r="L141" s="59"/>
      <c r="O141" s="59"/>
      <c r="Q141" s="59"/>
      <c r="R141" s="61"/>
    </row>
    <row r="142">
      <c r="B142" s="59"/>
      <c r="D142" s="59"/>
      <c r="F142" s="59"/>
      <c r="H142" s="59"/>
      <c r="J142" s="59"/>
      <c r="L142" s="59"/>
      <c r="O142" s="59"/>
      <c r="Q142" s="59"/>
      <c r="R142" s="61"/>
    </row>
    <row r="143">
      <c r="B143" s="59"/>
      <c r="D143" s="59"/>
      <c r="F143" s="59"/>
      <c r="H143" s="59"/>
      <c r="J143" s="59"/>
      <c r="L143" s="59"/>
      <c r="O143" s="59"/>
      <c r="Q143" s="59"/>
      <c r="R143" s="61"/>
    </row>
    <row r="144">
      <c r="B144" s="59"/>
      <c r="D144" s="59"/>
      <c r="F144" s="59"/>
      <c r="H144" s="59"/>
      <c r="J144" s="59"/>
      <c r="L144" s="59"/>
      <c r="O144" s="59"/>
      <c r="Q144" s="59"/>
      <c r="R144" s="61"/>
    </row>
    <row r="145">
      <c r="B145" s="59"/>
      <c r="D145" s="59"/>
      <c r="F145" s="59"/>
      <c r="H145" s="59"/>
      <c r="J145" s="59"/>
      <c r="L145" s="59"/>
      <c r="O145" s="59"/>
      <c r="Q145" s="59"/>
      <c r="R145" s="61"/>
    </row>
    <row r="146">
      <c r="B146" s="59"/>
      <c r="D146" s="59"/>
      <c r="F146" s="59"/>
      <c r="H146" s="59"/>
      <c r="J146" s="59"/>
      <c r="L146" s="59"/>
      <c r="O146" s="59"/>
      <c r="Q146" s="59"/>
      <c r="R146" s="61"/>
    </row>
    <row r="147">
      <c r="B147" s="59"/>
      <c r="D147" s="59"/>
      <c r="F147" s="59"/>
      <c r="H147" s="59"/>
      <c r="J147" s="59"/>
      <c r="L147" s="59"/>
      <c r="O147" s="59"/>
      <c r="Q147" s="59"/>
      <c r="R147" s="61"/>
    </row>
    <row r="148">
      <c r="B148" s="59"/>
      <c r="D148" s="59"/>
      <c r="F148" s="59"/>
      <c r="H148" s="59"/>
      <c r="J148" s="59"/>
      <c r="L148" s="59"/>
      <c r="O148" s="59"/>
      <c r="Q148" s="59"/>
      <c r="R148" s="61"/>
    </row>
    <row r="149">
      <c r="B149" s="59"/>
      <c r="D149" s="59"/>
      <c r="F149" s="59"/>
      <c r="H149" s="59"/>
      <c r="J149" s="59"/>
      <c r="L149" s="59"/>
      <c r="O149" s="59"/>
      <c r="Q149" s="59"/>
      <c r="R149" s="61"/>
    </row>
    <row r="150">
      <c r="B150" s="59"/>
      <c r="D150" s="59"/>
      <c r="F150" s="59"/>
      <c r="H150" s="59"/>
      <c r="J150" s="59"/>
      <c r="L150" s="59"/>
      <c r="O150" s="59"/>
      <c r="Q150" s="59"/>
      <c r="R150" s="61"/>
    </row>
    <row r="151">
      <c r="B151" s="59"/>
      <c r="D151" s="59"/>
      <c r="F151" s="59"/>
      <c r="H151" s="59"/>
      <c r="J151" s="59"/>
      <c r="L151" s="59"/>
      <c r="O151" s="59"/>
      <c r="Q151" s="59"/>
      <c r="R151" s="61"/>
    </row>
    <row r="152">
      <c r="B152" s="59"/>
      <c r="D152" s="59"/>
      <c r="F152" s="59"/>
      <c r="H152" s="59"/>
      <c r="J152" s="59"/>
      <c r="L152" s="59"/>
      <c r="O152" s="59"/>
      <c r="Q152" s="59"/>
      <c r="R152" s="61"/>
    </row>
    <row r="153">
      <c r="B153" s="59"/>
      <c r="D153" s="59"/>
      <c r="F153" s="59"/>
      <c r="H153" s="59"/>
      <c r="J153" s="59"/>
      <c r="L153" s="59"/>
      <c r="O153" s="59"/>
      <c r="Q153" s="59"/>
      <c r="R153" s="61"/>
    </row>
    <row r="154">
      <c r="B154" s="59"/>
      <c r="D154" s="59"/>
      <c r="F154" s="59"/>
      <c r="H154" s="59"/>
      <c r="J154" s="59"/>
      <c r="L154" s="59"/>
      <c r="O154" s="59"/>
      <c r="Q154" s="59"/>
      <c r="R154" s="61"/>
    </row>
    <row r="155">
      <c r="B155" s="59"/>
      <c r="D155" s="59"/>
      <c r="F155" s="59"/>
      <c r="H155" s="59"/>
      <c r="J155" s="59"/>
      <c r="L155" s="59"/>
      <c r="O155" s="59"/>
      <c r="Q155" s="59"/>
      <c r="R155" s="61"/>
    </row>
    <row r="156">
      <c r="B156" s="59"/>
      <c r="D156" s="59"/>
      <c r="F156" s="59"/>
      <c r="H156" s="59"/>
      <c r="J156" s="59"/>
      <c r="L156" s="59"/>
      <c r="O156" s="59"/>
      <c r="Q156" s="59"/>
      <c r="R156" s="61"/>
    </row>
    <row r="157">
      <c r="B157" s="59"/>
      <c r="D157" s="59"/>
      <c r="F157" s="59"/>
      <c r="H157" s="59"/>
      <c r="J157" s="59"/>
      <c r="L157" s="59"/>
      <c r="O157" s="59"/>
      <c r="Q157" s="59"/>
      <c r="R157" s="61"/>
    </row>
    <row r="158">
      <c r="B158" s="59"/>
      <c r="D158" s="59"/>
      <c r="F158" s="59"/>
      <c r="H158" s="59"/>
      <c r="J158" s="59"/>
      <c r="L158" s="59"/>
      <c r="O158" s="59"/>
      <c r="Q158" s="59"/>
      <c r="R158" s="61"/>
    </row>
    <row r="159">
      <c r="B159" s="59"/>
      <c r="D159" s="59"/>
      <c r="F159" s="59"/>
      <c r="H159" s="59"/>
      <c r="J159" s="59"/>
      <c r="L159" s="59"/>
      <c r="O159" s="59"/>
      <c r="Q159" s="59"/>
      <c r="R159" s="61"/>
    </row>
    <row r="160">
      <c r="B160" s="59"/>
      <c r="D160" s="59"/>
      <c r="F160" s="59"/>
      <c r="H160" s="59"/>
      <c r="J160" s="59"/>
      <c r="L160" s="59"/>
      <c r="O160" s="59"/>
      <c r="Q160" s="59"/>
      <c r="R160" s="61"/>
    </row>
    <row r="161">
      <c r="B161" s="59"/>
      <c r="D161" s="59"/>
      <c r="F161" s="59"/>
      <c r="H161" s="59"/>
      <c r="J161" s="59"/>
      <c r="L161" s="59"/>
      <c r="O161" s="59"/>
      <c r="Q161" s="59"/>
      <c r="R161" s="61"/>
    </row>
    <row r="162">
      <c r="B162" s="59"/>
      <c r="D162" s="59"/>
      <c r="F162" s="59"/>
      <c r="H162" s="59"/>
      <c r="J162" s="59"/>
      <c r="L162" s="59"/>
      <c r="O162" s="59"/>
      <c r="Q162" s="59"/>
      <c r="R162" s="61"/>
    </row>
    <row r="163">
      <c r="B163" s="59"/>
      <c r="D163" s="59"/>
      <c r="F163" s="59"/>
      <c r="H163" s="59"/>
      <c r="J163" s="59"/>
      <c r="L163" s="59"/>
      <c r="O163" s="59"/>
      <c r="Q163" s="59"/>
      <c r="R163" s="61"/>
    </row>
    <row r="164">
      <c r="B164" s="59"/>
      <c r="D164" s="59"/>
      <c r="F164" s="59"/>
      <c r="H164" s="59"/>
      <c r="J164" s="59"/>
      <c r="L164" s="59"/>
      <c r="O164" s="59"/>
      <c r="Q164" s="59"/>
      <c r="R164" s="61"/>
    </row>
    <row r="165">
      <c r="B165" s="59"/>
      <c r="D165" s="59"/>
      <c r="F165" s="59"/>
      <c r="H165" s="59"/>
      <c r="J165" s="59"/>
      <c r="L165" s="59"/>
      <c r="O165" s="59"/>
      <c r="Q165" s="59"/>
      <c r="R165" s="61"/>
    </row>
    <row r="166">
      <c r="B166" s="59"/>
      <c r="D166" s="59"/>
      <c r="F166" s="59"/>
      <c r="H166" s="59"/>
      <c r="J166" s="59"/>
      <c r="L166" s="59"/>
      <c r="O166" s="59"/>
      <c r="Q166" s="59"/>
      <c r="R166" s="61"/>
    </row>
    <row r="167">
      <c r="B167" s="59"/>
      <c r="D167" s="59"/>
      <c r="F167" s="59"/>
      <c r="H167" s="59"/>
      <c r="J167" s="59"/>
      <c r="L167" s="59"/>
      <c r="O167" s="59"/>
      <c r="Q167" s="59"/>
      <c r="R167" s="61"/>
    </row>
    <row r="168">
      <c r="B168" s="59"/>
      <c r="D168" s="59"/>
      <c r="F168" s="59"/>
      <c r="H168" s="59"/>
      <c r="J168" s="59"/>
      <c r="L168" s="59"/>
      <c r="O168" s="59"/>
      <c r="Q168" s="59"/>
      <c r="R168" s="61"/>
    </row>
    <row r="169">
      <c r="B169" s="59"/>
      <c r="D169" s="59"/>
      <c r="F169" s="59"/>
      <c r="H169" s="59"/>
      <c r="J169" s="59"/>
      <c r="L169" s="59"/>
      <c r="O169" s="59"/>
      <c r="Q169" s="59"/>
      <c r="R169" s="61"/>
    </row>
    <row r="170">
      <c r="B170" s="59"/>
      <c r="D170" s="59"/>
      <c r="F170" s="59"/>
      <c r="H170" s="59"/>
      <c r="J170" s="59"/>
      <c r="L170" s="59"/>
      <c r="O170" s="59"/>
      <c r="Q170" s="59"/>
      <c r="R170" s="61"/>
    </row>
    <row r="171">
      <c r="B171" s="59"/>
      <c r="D171" s="59"/>
      <c r="F171" s="59"/>
      <c r="H171" s="59"/>
      <c r="J171" s="59"/>
      <c r="L171" s="59"/>
      <c r="O171" s="59"/>
      <c r="Q171" s="59"/>
      <c r="R171" s="61"/>
    </row>
    <row r="172">
      <c r="B172" s="59"/>
      <c r="D172" s="59"/>
      <c r="F172" s="59"/>
      <c r="H172" s="59"/>
      <c r="J172" s="59"/>
      <c r="L172" s="59"/>
      <c r="O172" s="59"/>
      <c r="Q172" s="59"/>
      <c r="R172" s="61"/>
    </row>
    <row r="173">
      <c r="B173" s="59"/>
      <c r="D173" s="59"/>
      <c r="F173" s="59"/>
      <c r="H173" s="59"/>
      <c r="J173" s="59"/>
      <c r="L173" s="59"/>
      <c r="O173" s="59"/>
      <c r="Q173" s="59"/>
      <c r="R173" s="61"/>
    </row>
    <row r="174">
      <c r="B174" s="59"/>
      <c r="D174" s="59"/>
      <c r="F174" s="59"/>
      <c r="H174" s="59"/>
      <c r="J174" s="59"/>
      <c r="L174" s="59"/>
      <c r="O174" s="59"/>
      <c r="Q174" s="59"/>
      <c r="R174" s="61"/>
    </row>
    <row r="175">
      <c r="B175" s="59"/>
      <c r="D175" s="59"/>
      <c r="F175" s="59"/>
      <c r="H175" s="59"/>
      <c r="J175" s="59"/>
      <c r="L175" s="59"/>
      <c r="O175" s="59"/>
      <c r="Q175" s="59"/>
      <c r="R175" s="61"/>
    </row>
    <row r="176">
      <c r="B176" s="59"/>
      <c r="D176" s="59"/>
      <c r="F176" s="59"/>
      <c r="H176" s="59"/>
      <c r="J176" s="59"/>
      <c r="L176" s="59"/>
      <c r="O176" s="59"/>
      <c r="Q176" s="59"/>
      <c r="R176" s="61"/>
    </row>
    <row r="177">
      <c r="B177" s="59"/>
      <c r="D177" s="59"/>
      <c r="F177" s="59"/>
      <c r="H177" s="59"/>
      <c r="J177" s="59"/>
      <c r="L177" s="59"/>
      <c r="O177" s="59"/>
      <c r="Q177" s="59"/>
      <c r="R177" s="61"/>
    </row>
    <row r="178">
      <c r="B178" s="59"/>
      <c r="D178" s="59"/>
      <c r="F178" s="59"/>
      <c r="H178" s="59"/>
      <c r="J178" s="59"/>
      <c r="L178" s="59"/>
      <c r="O178" s="59"/>
      <c r="Q178" s="59"/>
      <c r="R178" s="61"/>
    </row>
    <row r="179">
      <c r="B179" s="59"/>
      <c r="D179" s="59"/>
      <c r="F179" s="59"/>
      <c r="H179" s="59"/>
      <c r="J179" s="59"/>
      <c r="L179" s="59"/>
      <c r="O179" s="59"/>
      <c r="Q179" s="59"/>
      <c r="R179" s="61"/>
    </row>
    <row r="180">
      <c r="B180" s="59"/>
      <c r="D180" s="59"/>
      <c r="F180" s="59"/>
      <c r="H180" s="59"/>
      <c r="J180" s="59"/>
      <c r="L180" s="59"/>
      <c r="O180" s="59"/>
      <c r="Q180" s="59"/>
      <c r="R180" s="61"/>
    </row>
    <row r="181">
      <c r="B181" s="59"/>
      <c r="D181" s="59"/>
      <c r="F181" s="59"/>
      <c r="H181" s="59"/>
      <c r="J181" s="59"/>
      <c r="L181" s="59"/>
      <c r="O181" s="59"/>
      <c r="Q181" s="59"/>
      <c r="R181" s="61"/>
    </row>
    <row r="182">
      <c r="B182" s="59"/>
      <c r="D182" s="59"/>
      <c r="F182" s="59"/>
      <c r="H182" s="59"/>
      <c r="J182" s="59"/>
      <c r="L182" s="59"/>
      <c r="O182" s="59"/>
      <c r="Q182" s="59"/>
      <c r="R182" s="61"/>
    </row>
    <row r="183">
      <c r="B183" s="59"/>
      <c r="D183" s="59"/>
      <c r="F183" s="59"/>
      <c r="H183" s="59"/>
      <c r="J183" s="59"/>
      <c r="L183" s="59"/>
      <c r="O183" s="59"/>
      <c r="Q183" s="59"/>
      <c r="R183" s="61"/>
    </row>
    <row r="184">
      <c r="B184" s="59"/>
      <c r="D184" s="59"/>
      <c r="F184" s="59"/>
      <c r="H184" s="59"/>
      <c r="J184" s="59"/>
      <c r="L184" s="59"/>
      <c r="O184" s="59"/>
      <c r="Q184" s="59"/>
      <c r="R184" s="61"/>
    </row>
    <row r="185">
      <c r="B185" s="59"/>
      <c r="D185" s="59"/>
      <c r="F185" s="59"/>
      <c r="H185" s="59"/>
      <c r="J185" s="59"/>
      <c r="L185" s="59"/>
      <c r="O185" s="59"/>
      <c r="Q185" s="59"/>
      <c r="R185" s="61"/>
    </row>
    <row r="186">
      <c r="B186" s="59"/>
      <c r="D186" s="59"/>
      <c r="F186" s="59"/>
      <c r="H186" s="59"/>
      <c r="J186" s="59"/>
      <c r="L186" s="59"/>
      <c r="O186" s="59"/>
      <c r="Q186" s="59"/>
      <c r="R186" s="61"/>
    </row>
    <row r="187">
      <c r="B187" s="59"/>
      <c r="D187" s="59"/>
      <c r="F187" s="59"/>
      <c r="H187" s="59"/>
      <c r="J187" s="59"/>
      <c r="L187" s="59"/>
      <c r="O187" s="59"/>
      <c r="Q187" s="59"/>
      <c r="R187" s="61"/>
    </row>
    <row r="188">
      <c r="B188" s="59"/>
      <c r="D188" s="59"/>
      <c r="F188" s="59"/>
      <c r="H188" s="59"/>
      <c r="J188" s="59"/>
      <c r="L188" s="59"/>
      <c r="O188" s="59"/>
      <c r="Q188" s="59"/>
      <c r="R188" s="61"/>
    </row>
    <row r="189">
      <c r="B189" s="59"/>
      <c r="D189" s="59"/>
      <c r="F189" s="59"/>
      <c r="H189" s="59"/>
      <c r="J189" s="59"/>
      <c r="L189" s="59"/>
      <c r="O189" s="59"/>
      <c r="Q189" s="59"/>
      <c r="R189" s="61"/>
    </row>
    <row r="190">
      <c r="B190" s="59"/>
      <c r="D190" s="59"/>
      <c r="F190" s="59"/>
      <c r="H190" s="59"/>
      <c r="J190" s="59"/>
      <c r="L190" s="59"/>
      <c r="O190" s="59"/>
      <c r="Q190" s="59"/>
      <c r="R190" s="61"/>
    </row>
    <row r="191">
      <c r="B191" s="59"/>
      <c r="D191" s="59"/>
      <c r="F191" s="59"/>
      <c r="H191" s="59"/>
      <c r="J191" s="59"/>
      <c r="L191" s="59"/>
      <c r="O191" s="59"/>
      <c r="Q191" s="59"/>
      <c r="R191" s="61"/>
    </row>
    <row r="192">
      <c r="B192" s="59"/>
      <c r="D192" s="59"/>
      <c r="F192" s="59"/>
      <c r="H192" s="59"/>
      <c r="J192" s="59"/>
      <c r="L192" s="59"/>
      <c r="O192" s="59"/>
      <c r="Q192" s="59"/>
      <c r="R192" s="61"/>
    </row>
    <row r="193">
      <c r="B193" s="59"/>
      <c r="D193" s="59"/>
      <c r="F193" s="59"/>
      <c r="H193" s="59"/>
      <c r="J193" s="59"/>
      <c r="L193" s="59"/>
      <c r="O193" s="59"/>
      <c r="Q193" s="59"/>
      <c r="R193" s="61"/>
    </row>
    <row r="194">
      <c r="B194" s="59"/>
      <c r="D194" s="59"/>
      <c r="F194" s="59"/>
      <c r="H194" s="59"/>
      <c r="J194" s="59"/>
      <c r="L194" s="59"/>
      <c r="O194" s="59"/>
      <c r="Q194" s="59"/>
      <c r="R194" s="61"/>
    </row>
    <row r="195">
      <c r="B195" s="59"/>
      <c r="D195" s="59"/>
      <c r="F195" s="59"/>
      <c r="H195" s="59"/>
      <c r="J195" s="59"/>
      <c r="L195" s="59"/>
      <c r="O195" s="59"/>
      <c r="Q195" s="59"/>
      <c r="R195" s="61"/>
    </row>
    <row r="196">
      <c r="B196" s="59"/>
      <c r="D196" s="59"/>
      <c r="F196" s="59"/>
      <c r="H196" s="59"/>
      <c r="J196" s="59"/>
      <c r="L196" s="59"/>
      <c r="O196" s="59"/>
      <c r="Q196" s="59"/>
      <c r="R196" s="61"/>
    </row>
    <row r="197">
      <c r="B197" s="59"/>
      <c r="D197" s="59"/>
      <c r="F197" s="59"/>
      <c r="H197" s="59"/>
      <c r="J197" s="59"/>
      <c r="L197" s="59"/>
      <c r="O197" s="59"/>
      <c r="Q197" s="59"/>
      <c r="R197" s="61"/>
    </row>
    <row r="198">
      <c r="B198" s="59"/>
      <c r="D198" s="59"/>
      <c r="F198" s="59"/>
      <c r="H198" s="59"/>
      <c r="J198" s="59"/>
      <c r="L198" s="59"/>
      <c r="O198" s="59"/>
      <c r="Q198" s="59"/>
      <c r="R198" s="61"/>
    </row>
    <row r="199">
      <c r="B199" s="59"/>
      <c r="D199" s="59"/>
      <c r="F199" s="59"/>
      <c r="H199" s="59"/>
      <c r="J199" s="59"/>
      <c r="L199" s="59"/>
      <c r="O199" s="59"/>
      <c r="Q199" s="59"/>
      <c r="R199" s="61"/>
    </row>
    <row r="200">
      <c r="B200" s="59"/>
      <c r="D200" s="59"/>
      <c r="F200" s="59"/>
      <c r="H200" s="59"/>
      <c r="J200" s="59"/>
      <c r="L200" s="59"/>
      <c r="O200" s="59"/>
      <c r="Q200" s="59"/>
      <c r="R200" s="61"/>
    </row>
    <row r="201">
      <c r="B201" s="59"/>
      <c r="D201" s="59"/>
      <c r="F201" s="59"/>
      <c r="H201" s="59"/>
      <c r="J201" s="59"/>
      <c r="L201" s="59"/>
      <c r="O201" s="59"/>
      <c r="Q201" s="59"/>
      <c r="R201" s="61"/>
    </row>
    <row r="202">
      <c r="B202" s="59"/>
      <c r="D202" s="59"/>
      <c r="F202" s="59"/>
      <c r="H202" s="59"/>
      <c r="J202" s="59"/>
      <c r="L202" s="59"/>
      <c r="O202" s="59"/>
      <c r="Q202" s="59"/>
      <c r="R202" s="61"/>
    </row>
    <row r="203">
      <c r="B203" s="59"/>
      <c r="D203" s="59"/>
      <c r="F203" s="59"/>
      <c r="H203" s="59"/>
      <c r="J203" s="59"/>
      <c r="L203" s="59"/>
      <c r="O203" s="59"/>
      <c r="Q203" s="59"/>
      <c r="R203" s="61"/>
    </row>
    <row r="204">
      <c r="B204" s="59"/>
      <c r="D204" s="59"/>
      <c r="F204" s="59"/>
      <c r="H204" s="59"/>
      <c r="J204" s="59"/>
      <c r="L204" s="59"/>
      <c r="O204" s="59"/>
      <c r="Q204" s="59"/>
      <c r="R204" s="61"/>
    </row>
    <row r="205">
      <c r="B205" s="59"/>
      <c r="D205" s="59"/>
      <c r="F205" s="59"/>
      <c r="H205" s="59"/>
      <c r="J205" s="59"/>
      <c r="L205" s="59"/>
      <c r="O205" s="59"/>
      <c r="Q205" s="59"/>
      <c r="R205" s="61"/>
    </row>
    <row r="206">
      <c r="B206" s="59"/>
      <c r="D206" s="59"/>
      <c r="F206" s="59"/>
      <c r="H206" s="59"/>
      <c r="J206" s="59"/>
      <c r="L206" s="59"/>
      <c r="O206" s="59"/>
      <c r="Q206" s="59"/>
      <c r="R206" s="61"/>
    </row>
    <row r="207">
      <c r="B207" s="59"/>
      <c r="D207" s="59"/>
      <c r="F207" s="59"/>
      <c r="H207" s="59"/>
      <c r="J207" s="59"/>
      <c r="L207" s="59"/>
      <c r="O207" s="59"/>
      <c r="Q207" s="59"/>
      <c r="R207" s="61"/>
    </row>
    <row r="208">
      <c r="B208" s="59"/>
      <c r="D208" s="59"/>
      <c r="F208" s="59"/>
      <c r="H208" s="59"/>
      <c r="J208" s="59"/>
      <c r="L208" s="59"/>
      <c r="O208" s="59"/>
      <c r="Q208" s="59"/>
      <c r="R208" s="61"/>
    </row>
    <row r="209">
      <c r="B209" s="59"/>
      <c r="D209" s="59"/>
      <c r="F209" s="59"/>
      <c r="H209" s="59"/>
      <c r="J209" s="59"/>
      <c r="L209" s="59"/>
      <c r="O209" s="59"/>
      <c r="Q209" s="59"/>
      <c r="R209" s="61"/>
    </row>
    <row r="210">
      <c r="B210" s="59"/>
      <c r="D210" s="59"/>
      <c r="F210" s="59"/>
      <c r="H210" s="59"/>
      <c r="J210" s="59"/>
      <c r="L210" s="59"/>
      <c r="O210" s="59"/>
      <c r="Q210" s="59"/>
      <c r="R210" s="61"/>
    </row>
    <row r="211">
      <c r="B211" s="59"/>
      <c r="D211" s="59"/>
      <c r="F211" s="59"/>
      <c r="H211" s="59"/>
      <c r="J211" s="59"/>
      <c r="L211" s="59"/>
      <c r="O211" s="59"/>
      <c r="Q211" s="59"/>
      <c r="R211" s="61"/>
    </row>
    <row r="212">
      <c r="B212" s="59"/>
      <c r="D212" s="59"/>
      <c r="F212" s="59"/>
      <c r="H212" s="59"/>
      <c r="J212" s="59"/>
      <c r="L212" s="59"/>
      <c r="O212" s="59"/>
      <c r="Q212" s="59"/>
      <c r="R212" s="61"/>
    </row>
    <row r="213">
      <c r="B213" s="59"/>
      <c r="D213" s="59"/>
      <c r="F213" s="59"/>
      <c r="H213" s="59"/>
      <c r="J213" s="59"/>
      <c r="L213" s="59"/>
      <c r="O213" s="59"/>
      <c r="Q213" s="59"/>
      <c r="R213" s="61"/>
    </row>
    <row r="214">
      <c r="B214" s="59"/>
      <c r="D214" s="59"/>
      <c r="F214" s="59"/>
      <c r="H214" s="59"/>
      <c r="J214" s="59"/>
      <c r="L214" s="59"/>
      <c r="O214" s="59"/>
      <c r="Q214" s="59"/>
      <c r="R214" s="61"/>
    </row>
    <row r="215">
      <c r="B215" s="59"/>
      <c r="D215" s="59"/>
      <c r="F215" s="59"/>
      <c r="H215" s="59"/>
      <c r="J215" s="59"/>
      <c r="L215" s="59"/>
      <c r="O215" s="59"/>
      <c r="Q215" s="59"/>
      <c r="R215" s="61"/>
    </row>
    <row r="216">
      <c r="B216" s="59"/>
      <c r="D216" s="59"/>
      <c r="F216" s="59"/>
      <c r="H216" s="59"/>
      <c r="J216" s="59"/>
      <c r="L216" s="59"/>
      <c r="O216" s="59"/>
      <c r="Q216" s="59"/>
      <c r="R216" s="61"/>
    </row>
    <row r="217">
      <c r="B217" s="59"/>
      <c r="D217" s="59"/>
      <c r="F217" s="59"/>
      <c r="H217" s="59"/>
      <c r="J217" s="59"/>
      <c r="L217" s="59"/>
      <c r="O217" s="59"/>
      <c r="Q217" s="59"/>
      <c r="R217" s="61"/>
    </row>
    <row r="218">
      <c r="B218" s="59"/>
      <c r="D218" s="59"/>
      <c r="F218" s="59"/>
      <c r="H218" s="59"/>
      <c r="J218" s="59"/>
      <c r="L218" s="59"/>
      <c r="O218" s="59"/>
      <c r="Q218" s="59"/>
      <c r="R218" s="61"/>
    </row>
    <row r="219">
      <c r="B219" s="59"/>
      <c r="D219" s="59"/>
      <c r="F219" s="59"/>
      <c r="H219" s="59"/>
      <c r="J219" s="59"/>
      <c r="L219" s="59"/>
      <c r="O219" s="59"/>
      <c r="Q219" s="59"/>
      <c r="R219" s="61"/>
    </row>
    <row r="220">
      <c r="B220" s="59"/>
      <c r="D220" s="59"/>
      <c r="F220" s="59"/>
      <c r="H220" s="59"/>
      <c r="J220" s="59"/>
      <c r="L220" s="59"/>
      <c r="O220" s="59"/>
      <c r="Q220" s="59"/>
      <c r="R220" s="61"/>
    </row>
    <row r="221">
      <c r="B221" s="59"/>
      <c r="D221" s="59"/>
      <c r="F221" s="59"/>
      <c r="H221" s="59"/>
      <c r="J221" s="59"/>
      <c r="L221" s="59"/>
      <c r="O221" s="59"/>
      <c r="Q221" s="59"/>
      <c r="R221" s="61"/>
    </row>
    <row r="222">
      <c r="B222" s="59"/>
      <c r="D222" s="59"/>
      <c r="F222" s="59"/>
      <c r="H222" s="59"/>
      <c r="J222" s="59"/>
      <c r="L222" s="59"/>
      <c r="O222" s="59"/>
      <c r="Q222" s="59"/>
      <c r="R222" s="61"/>
    </row>
    <row r="223">
      <c r="B223" s="59"/>
      <c r="D223" s="59"/>
      <c r="F223" s="59"/>
      <c r="H223" s="59"/>
      <c r="J223" s="59"/>
      <c r="L223" s="59"/>
      <c r="O223" s="59"/>
      <c r="Q223" s="59"/>
      <c r="R223" s="61"/>
    </row>
    <row r="224">
      <c r="B224" s="59"/>
      <c r="D224" s="59"/>
      <c r="F224" s="59"/>
      <c r="H224" s="59"/>
      <c r="J224" s="59"/>
      <c r="L224" s="59"/>
      <c r="O224" s="59"/>
      <c r="Q224" s="59"/>
      <c r="R224" s="61"/>
    </row>
    <row r="225">
      <c r="B225" s="59"/>
      <c r="D225" s="59"/>
      <c r="F225" s="59"/>
      <c r="H225" s="59"/>
      <c r="J225" s="59"/>
      <c r="L225" s="59"/>
      <c r="O225" s="59"/>
      <c r="Q225" s="59"/>
      <c r="R225" s="61"/>
    </row>
    <row r="226">
      <c r="B226" s="59"/>
      <c r="D226" s="59"/>
      <c r="F226" s="59"/>
      <c r="H226" s="59"/>
      <c r="J226" s="59"/>
      <c r="L226" s="59"/>
      <c r="O226" s="59"/>
      <c r="Q226" s="59"/>
      <c r="R226" s="61"/>
    </row>
    <row r="227">
      <c r="B227" s="59"/>
      <c r="D227" s="59"/>
      <c r="F227" s="59"/>
      <c r="H227" s="59"/>
      <c r="J227" s="59"/>
      <c r="L227" s="59"/>
      <c r="O227" s="59"/>
      <c r="Q227" s="59"/>
      <c r="R227" s="61"/>
    </row>
    <row r="228">
      <c r="B228" s="59"/>
      <c r="D228" s="59"/>
      <c r="F228" s="59"/>
      <c r="H228" s="59"/>
      <c r="J228" s="59"/>
      <c r="L228" s="59"/>
      <c r="O228" s="59"/>
      <c r="Q228" s="59"/>
      <c r="R228" s="61"/>
    </row>
    <row r="229">
      <c r="B229" s="59"/>
      <c r="D229" s="59"/>
      <c r="F229" s="59"/>
      <c r="H229" s="59"/>
      <c r="J229" s="59"/>
      <c r="L229" s="59"/>
      <c r="O229" s="59"/>
      <c r="Q229" s="59"/>
      <c r="R229" s="61"/>
    </row>
    <row r="230">
      <c r="B230" s="59"/>
      <c r="D230" s="59"/>
      <c r="F230" s="59"/>
      <c r="H230" s="59"/>
      <c r="J230" s="59"/>
      <c r="L230" s="59"/>
      <c r="O230" s="59"/>
      <c r="Q230" s="59"/>
      <c r="R230" s="61"/>
    </row>
    <row r="231">
      <c r="B231" s="59"/>
      <c r="D231" s="59"/>
      <c r="F231" s="59"/>
      <c r="H231" s="59"/>
      <c r="J231" s="59"/>
      <c r="L231" s="59"/>
      <c r="O231" s="59"/>
      <c r="Q231" s="59"/>
      <c r="R231" s="61"/>
    </row>
    <row r="232">
      <c r="B232" s="59"/>
      <c r="D232" s="59"/>
      <c r="F232" s="59"/>
      <c r="H232" s="59"/>
      <c r="J232" s="59"/>
      <c r="L232" s="59"/>
      <c r="O232" s="59"/>
      <c r="Q232" s="59"/>
      <c r="R232" s="61"/>
    </row>
    <row r="233">
      <c r="B233" s="59"/>
      <c r="D233" s="59"/>
      <c r="F233" s="59"/>
      <c r="H233" s="59"/>
      <c r="J233" s="59"/>
      <c r="L233" s="59"/>
      <c r="O233" s="59"/>
      <c r="Q233" s="59"/>
      <c r="R233" s="61"/>
    </row>
    <row r="234">
      <c r="B234" s="59"/>
      <c r="D234" s="59"/>
      <c r="F234" s="59"/>
      <c r="H234" s="59"/>
      <c r="J234" s="59"/>
      <c r="L234" s="59"/>
      <c r="O234" s="59"/>
      <c r="Q234" s="59"/>
      <c r="R234" s="61"/>
    </row>
    <row r="235">
      <c r="B235" s="59"/>
      <c r="D235" s="59"/>
      <c r="F235" s="59"/>
      <c r="H235" s="59"/>
      <c r="J235" s="59"/>
      <c r="L235" s="59"/>
      <c r="O235" s="59"/>
      <c r="Q235" s="59"/>
      <c r="R235" s="61"/>
    </row>
    <row r="236">
      <c r="B236" s="59"/>
      <c r="D236" s="59"/>
      <c r="F236" s="59"/>
      <c r="H236" s="59"/>
      <c r="J236" s="59"/>
      <c r="L236" s="59"/>
      <c r="O236" s="59"/>
      <c r="Q236" s="59"/>
      <c r="R236" s="61"/>
    </row>
    <row r="237">
      <c r="B237" s="59"/>
      <c r="D237" s="59"/>
      <c r="F237" s="59"/>
      <c r="H237" s="59"/>
      <c r="J237" s="59"/>
      <c r="L237" s="59"/>
      <c r="O237" s="59"/>
      <c r="Q237" s="59"/>
      <c r="R237" s="61"/>
    </row>
    <row r="238">
      <c r="B238" s="59"/>
      <c r="D238" s="59"/>
      <c r="F238" s="59"/>
      <c r="H238" s="59"/>
      <c r="J238" s="59"/>
      <c r="L238" s="59"/>
      <c r="O238" s="59"/>
      <c r="Q238" s="59"/>
      <c r="R238" s="61"/>
    </row>
    <row r="239">
      <c r="B239" s="59"/>
      <c r="D239" s="59"/>
      <c r="F239" s="59"/>
      <c r="H239" s="59"/>
      <c r="J239" s="59"/>
      <c r="L239" s="59"/>
      <c r="O239" s="59"/>
      <c r="Q239" s="59"/>
      <c r="R239" s="61"/>
    </row>
    <row r="240">
      <c r="B240" s="59"/>
      <c r="D240" s="59"/>
      <c r="F240" s="59"/>
      <c r="H240" s="59"/>
      <c r="J240" s="59"/>
      <c r="L240" s="59"/>
      <c r="O240" s="59"/>
      <c r="Q240" s="59"/>
      <c r="R240" s="61"/>
    </row>
    <row r="241">
      <c r="B241" s="59"/>
      <c r="D241" s="59"/>
      <c r="F241" s="59"/>
      <c r="H241" s="59"/>
      <c r="J241" s="59"/>
      <c r="L241" s="59"/>
      <c r="O241" s="59"/>
      <c r="Q241" s="59"/>
      <c r="R241" s="61"/>
    </row>
    <row r="242">
      <c r="B242" s="59"/>
      <c r="D242" s="59"/>
      <c r="F242" s="59"/>
      <c r="H242" s="59"/>
      <c r="J242" s="59"/>
      <c r="L242" s="59"/>
      <c r="O242" s="59"/>
      <c r="Q242" s="59"/>
      <c r="R242" s="61"/>
    </row>
    <row r="243">
      <c r="B243" s="59"/>
      <c r="D243" s="59"/>
      <c r="F243" s="59"/>
      <c r="H243" s="59"/>
      <c r="J243" s="59"/>
      <c r="L243" s="59"/>
      <c r="O243" s="59"/>
      <c r="Q243" s="59"/>
      <c r="R243" s="61"/>
    </row>
    <row r="244">
      <c r="B244" s="59"/>
      <c r="D244" s="59"/>
      <c r="F244" s="59"/>
      <c r="H244" s="59"/>
      <c r="J244" s="59"/>
      <c r="L244" s="59"/>
      <c r="O244" s="59"/>
      <c r="Q244" s="59"/>
      <c r="R244" s="61"/>
    </row>
    <row r="245">
      <c r="B245" s="59"/>
      <c r="D245" s="59"/>
      <c r="F245" s="59"/>
      <c r="H245" s="59"/>
      <c r="J245" s="59"/>
      <c r="L245" s="59"/>
      <c r="O245" s="59"/>
      <c r="Q245" s="59"/>
      <c r="R245" s="61"/>
    </row>
    <row r="246">
      <c r="B246" s="59"/>
      <c r="D246" s="59"/>
      <c r="F246" s="59"/>
      <c r="H246" s="59"/>
      <c r="J246" s="59"/>
      <c r="L246" s="59"/>
      <c r="O246" s="59"/>
      <c r="Q246" s="59"/>
      <c r="R246" s="61"/>
    </row>
    <row r="247">
      <c r="B247" s="59"/>
      <c r="D247" s="59"/>
      <c r="F247" s="59"/>
      <c r="H247" s="59"/>
      <c r="J247" s="59"/>
      <c r="L247" s="59"/>
      <c r="O247" s="59"/>
      <c r="Q247" s="59"/>
      <c r="R247" s="61"/>
    </row>
    <row r="248">
      <c r="B248" s="59"/>
      <c r="D248" s="59"/>
      <c r="F248" s="59"/>
      <c r="H248" s="59"/>
      <c r="J248" s="59"/>
      <c r="L248" s="59"/>
      <c r="O248" s="59"/>
      <c r="Q248" s="59"/>
      <c r="R248" s="61"/>
    </row>
    <row r="249">
      <c r="B249" s="59"/>
      <c r="D249" s="59"/>
      <c r="F249" s="59"/>
      <c r="H249" s="59"/>
      <c r="J249" s="59"/>
      <c r="L249" s="59"/>
      <c r="O249" s="59"/>
      <c r="Q249" s="59"/>
      <c r="R249" s="61"/>
    </row>
    <row r="250">
      <c r="B250" s="59"/>
      <c r="D250" s="59"/>
      <c r="F250" s="59"/>
      <c r="H250" s="59"/>
      <c r="J250" s="59"/>
      <c r="L250" s="59"/>
      <c r="O250" s="59"/>
      <c r="Q250" s="59"/>
      <c r="R250" s="61"/>
    </row>
    <row r="251">
      <c r="B251" s="59"/>
      <c r="D251" s="59"/>
      <c r="F251" s="59"/>
      <c r="H251" s="59"/>
      <c r="J251" s="59"/>
      <c r="L251" s="59"/>
      <c r="O251" s="59"/>
      <c r="Q251" s="59"/>
      <c r="R251" s="61"/>
    </row>
    <row r="252">
      <c r="B252" s="59"/>
      <c r="D252" s="59"/>
      <c r="F252" s="59"/>
      <c r="H252" s="59"/>
      <c r="J252" s="59"/>
      <c r="L252" s="59"/>
      <c r="O252" s="59"/>
      <c r="Q252" s="59"/>
      <c r="R252" s="61"/>
    </row>
    <row r="253">
      <c r="B253" s="59"/>
      <c r="D253" s="59"/>
      <c r="F253" s="59"/>
      <c r="H253" s="59"/>
      <c r="J253" s="59"/>
      <c r="L253" s="59"/>
      <c r="O253" s="59"/>
      <c r="Q253" s="59"/>
      <c r="R253" s="61"/>
    </row>
    <row r="254">
      <c r="B254" s="59"/>
      <c r="D254" s="59"/>
      <c r="F254" s="59"/>
      <c r="H254" s="59"/>
      <c r="J254" s="59"/>
      <c r="L254" s="59"/>
      <c r="O254" s="59"/>
      <c r="Q254" s="59"/>
      <c r="R254" s="61"/>
    </row>
    <row r="255">
      <c r="B255" s="59"/>
      <c r="D255" s="59"/>
      <c r="F255" s="59"/>
      <c r="H255" s="59"/>
      <c r="J255" s="59"/>
      <c r="L255" s="59"/>
      <c r="O255" s="59"/>
      <c r="Q255" s="59"/>
      <c r="R255" s="61"/>
    </row>
    <row r="256">
      <c r="B256" s="59"/>
      <c r="D256" s="59"/>
      <c r="F256" s="59"/>
      <c r="H256" s="59"/>
      <c r="J256" s="59"/>
      <c r="L256" s="59"/>
      <c r="O256" s="59"/>
      <c r="Q256" s="59"/>
      <c r="R256" s="61"/>
    </row>
    <row r="257">
      <c r="B257" s="59"/>
      <c r="D257" s="59"/>
      <c r="F257" s="59"/>
      <c r="H257" s="59"/>
      <c r="J257" s="59"/>
      <c r="L257" s="59"/>
      <c r="O257" s="59"/>
      <c r="Q257" s="59"/>
      <c r="R257" s="61"/>
    </row>
    <row r="258">
      <c r="B258" s="59"/>
      <c r="D258" s="59"/>
      <c r="F258" s="59"/>
      <c r="H258" s="59"/>
      <c r="J258" s="59"/>
      <c r="L258" s="59"/>
      <c r="O258" s="59"/>
      <c r="Q258" s="59"/>
      <c r="R258" s="61"/>
    </row>
    <row r="259">
      <c r="B259" s="59"/>
      <c r="D259" s="59"/>
      <c r="F259" s="59"/>
      <c r="H259" s="59"/>
      <c r="J259" s="59"/>
      <c r="L259" s="59"/>
      <c r="O259" s="59"/>
      <c r="Q259" s="59"/>
      <c r="R259" s="61"/>
    </row>
    <row r="260">
      <c r="B260" s="59"/>
      <c r="D260" s="59"/>
      <c r="F260" s="59"/>
      <c r="H260" s="59"/>
      <c r="J260" s="59"/>
      <c r="L260" s="59"/>
      <c r="O260" s="59"/>
      <c r="Q260" s="59"/>
      <c r="R260" s="61"/>
    </row>
    <row r="261">
      <c r="B261" s="59"/>
      <c r="D261" s="59"/>
      <c r="F261" s="59"/>
      <c r="H261" s="59"/>
      <c r="J261" s="59"/>
      <c r="L261" s="59"/>
      <c r="O261" s="59"/>
      <c r="Q261" s="59"/>
      <c r="R261" s="61"/>
    </row>
    <row r="262">
      <c r="B262" s="59"/>
      <c r="D262" s="59"/>
      <c r="F262" s="59"/>
      <c r="H262" s="59"/>
      <c r="J262" s="59"/>
      <c r="L262" s="59"/>
      <c r="O262" s="59"/>
      <c r="Q262" s="59"/>
      <c r="R262" s="61"/>
    </row>
    <row r="263">
      <c r="B263" s="59"/>
      <c r="D263" s="59"/>
      <c r="F263" s="59"/>
      <c r="H263" s="59"/>
      <c r="J263" s="59"/>
      <c r="L263" s="59"/>
      <c r="O263" s="59"/>
      <c r="Q263" s="59"/>
      <c r="R263" s="61"/>
    </row>
    <row r="264">
      <c r="B264" s="59"/>
      <c r="D264" s="59"/>
      <c r="F264" s="59"/>
      <c r="H264" s="59"/>
      <c r="J264" s="59"/>
      <c r="L264" s="59"/>
      <c r="O264" s="59"/>
      <c r="Q264" s="59"/>
      <c r="R264" s="61"/>
    </row>
    <row r="265">
      <c r="B265" s="59"/>
      <c r="D265" s="59"/>
      <c r="F265" s="59"/>
      <c r="H265" s="59"/>
      <c r="J265" s="59"/>
      <c r="L265" s="59"/>
      <c r="O265" s="59"/>
      <c r="Q265" s="59"/>
      <c r="R265" s="61"/>
    </row>
    <row r="266">
      <c r="B266" s="59"/>
      <c r="D266" s="59"/>
      <c r="F266" s="59"/>
      <c r="H266" s="59"/>
      <c r="J266" s="59"/>
      <c r="L266" s="59"/>
      <c r="O266" s="59"/>
      <c r="Q266" s="59"/>
      <c r="R266" s="61"/>
    </row>
    <row r="267">
      <c r="B267" s="59"/>
      <c r="D267" s="59"/>
      <c r="F267" s="59"/>
      <c r="H267" s="59"/>
      <c r="J267" s="59"/>
      <c r="L267" s="59"/>
      <c r="O267" s="59"/>
      <c r="Q267" s="59"/>
      <c r="R267" s="61"/>
    </row>
    <row r="268">
      <c r="B268" s="59"/>
      <c r="D268" s="59"/>
      <c r="F268" s="59"/>
      <c r="H268" s="59"/>
      <c r="J268" s="59"/>
      <c r="L268" s="59"/>
      <c r="O268" s="59"/>
      <c r="Q268" s="59"/>
      <c r="R268" s="61"/>
    </row>
    <row r="269">
      <c r="B269" s="59"/>
      <c r="D269" s="59"/>
      <c r="F269" s="59"/>
      <c r="H269" s="59"/>
      <c r="J269" s="59"/>
      <c r="L269" s="59"/>
      <c r="O269" s="59"/>
      <c r="Q269" s="59"/>
      <c r="R269" s="61"/>
    </row>
    <row r="270">
      <c r="B270" s="59"/>
      <c r="D270" s="59"/>
      <c r="F270" s="59"/>
      <c r="H270" s="59"/>
      <c r="J270" s="59"/>
      <c r="L270" s="59"/>
      <c r="O270" s="59"/>
      <c r="Q270" s="59"/>
      <c r="R270" s="61"/>
    </row>
    <row r="271">
      <c r="B271" s="59"/>
      <c r="D271" s="59"/>
      <c r="F271" s="59"/>
      <c r="H271" s="59"/>
      <c r="J271" s="59"/>
      <c r="L271" s="59"/>
      <c r="O271" s="59"/>
      <c r="Q271" s="59"/>
      <c r="R271" s="61"/>
    </row>
    <row r="272">
      <c r="B272" s="59"/>
      <c r="D272" s="59"/>
      <c r="F272" s="59"/>
      <c r="H272" s="59"/>
      <c r="J272" s="59"/>
      <c r="L272" s="59"/>
      <c r="O272" s="59"/>
      <c r="Q272" s="59"/>
      <c r="R272" s="61"/>
    </row>
    <row r="273">
      <c r="B273" s="59"/>
      <c r="D273" s="59"/>
      <c r="F273" s="59"/>
      <c r="H273" s="59"/>
      <c r="J273" s="59"/>
      <c r="L273" s="59"/>
      <c r="O273" s="59"/>
      <c r="Q273" s="59"/>
      <c r="R273" s="61"/>
    </row>
    <row r="274">
      <c r="B274" s="59"/>
      <c r="D274" s="59"/>
      <c r="F274" s="59"/>
      <c r="H274" s="59"/>
      <c r="J274" s="59"/>
      <c r="L274" s="59"/>
      <c r="O274" s="59"/>
      <c r="Q274" s="59"/>
      <c r="R274" s="61"/>
    </row>
    <row r="275">
      <c r="B275" s="59"/>
      <c r="D275" s="59"/>
      <c r="F275" s="59"/>
      <c r="H275" s="59"/>
      <c r="J275" s="59"/>
      <c r="L275" s="59"/>
      <c r="O275" s="59"/>
      <c r="Q275" s="59"/>
      <c r="R275" s="61"/>
    </row>
    <row r="276">
      <c r="B276" s="59"/>
      <c r="D276" s="59"/>
      <c r="F276" s="59"/>
      <c r="H276" s="59"/>
      <c r="J276" s="59"/>
      <c r="L276" s="59"/>
      <c r="O276" s="59"/>
      <c r="Q276" s="59"/>
      <c r="R276" s="61"/>
    </row>
    <row r="277">
      <c r="B277" s="59"/>
      <c r="D277" s="59"/>
      <c r="F277" s="59"/>
      <c r="H277" s="59"/>
      <c r="J277" s="59"/>
      <c r="L277" s="59"/>
      <c r="O277" s="59"/>
      <c r="Q277" s="59"/>
      <c r="R277" s="61"/>
    </row>
    <row r="278">
      <c r="B278" s="59"/>
      <c r="D278" s="59"/>
      <c r="F278" s="59"/>
      <c r="H278" s="59"/>
      <c r="J278" s="59"/>
      <c r="L278" s="59"/>
      <c r="O278" s="59"/>
      <c r="Q278" s="59"/>
      <c r="R278" s="61"/>
    </row>
    <row r="279">
      <c r="B279" s="59"/>
      <c r="D279" s="59"/>
      <c r="F279" s="59"/>
      <c r="H279" s="59"/>
      <c r="J279" s="59"/>
      <c r="L279" s="59"/>
      <c r="O279" s="59"/>
      <c r="Q279" s="59"/>
      <c r="R279" s="61"/>
    </row>
    <row r="280">
      <c r="B280" s="59"/>
      <c r="D280" s="59"/>
      <c r="F280" s="59"/>
      <c r="H280" s="59"/>
      <c r="J280" s="59"/>
      <c r="L280" s="59"/>
      <c r="O280" s="59"/>
      <c r="Q280" s="59"/>
      <c r="R280" s="61"/>
    </row>
    <row r="281">
      <c r="B281" s="59"/>
      <c r="D281" s="59"/>
      <c r="F281" s="59"/>
      <c r="H281" s="59"/>
      <c r="J281" s="59"/>
      <c r="L281" s="59"/>
      <c r="O281" s="59"/>
      <c r="Q281" s="59"/>
      <c r="R281" s="61"/>
    </row>
    <row r="282">
      <c r="B282" s="59"/>
      <c r="D282" s="59"/>
      <c r="F282" s="59"/>
      <c r="H282" s="59"/>
      <c r="J282" s="59"/>
      <c r="L282" s="59"/>
      <c r="O282" s="59"/>
      <c r="Q282" s="59"/>
      <c r="R282" s="61"/>
    </row>
    <row r="283">
      <c r="B283" s="59"/>
      <c r="D283" s="59"/>
      <c r="F283" s="59"/>
      <c r="H283" s="59"/>
      <c r="J283" s="59"/>
      <c r="L283" s="59"/>
      <c r="O283" s="59"/>
      <c r="Q283" s="59"/>
      <c r="R283" s="61"/>
    </row>
    <row r="284">
      <c r="B284" s="59"/>
      <c r="D284" s="59"/>
      <c r="F284" s="59"/>
      <c r="H284" s="59"/>
      <c r="J284" s="59"/>
      <c r="L284" s="59"/>
      <c r="O284" s="59"/>
      <c r="Q284" s="59"/>
      <c r="R284" s="61"/>
    </row>
    <row r="285">
      <c r="B285" s="59"/>
      <c r="D285" s="59"/>
      <c r="F285" s="59"/>
      <c r="H285" s="59"/>
      <c r="J285" s="59"/>
      <c r="L285" s="59"/>
      <c r="O285" s="59"/>
      <c r="Q285" s="59"/>
      <c r="R285" s="61"/>
    </row>
    <row r="286">
      <c r="B286" s="59"/>
      <c r="D286" s="59"/>
      <c r="F286" s="59"/>
      <c r="H286" s="59"/>
      <c r="J286" s="59"/>
      <c r="L286" s="59"/>
      <c r="O286" s="59"/>
      <c r="Q286" s="59"/>
      <c r="R286" s="61"/>
    </row>
    <row r="287">
      <c r="B287" s="59"/>
      <c r="D287" s="59"/>
      <c r="F287" s="59"/>
      <c r="H287" s="59"/>
      <c r="J287" s="59"/>
      <c r="L287" s="59"/>
      <c r="O287" s="59"/>
      <c r="Q287" s="59"/>
      <c r="R287" s="61"/>
    </row>
    <row r="288">
      <c r="B288" s="59"/>
      <c r="D288" s="59"/>
      <c r="F288" s="59"/>
      <c r="H288" s="59"/>
      <c r="J288" s="59"/>
      <c r="L288" s="59"/>
      <c r="O288" s="59"/>
      <c r="Q288" s="59"/>
      <c r="R288" s="61"/>
    </row>
    <row r="289">
      <c r="B289" s="59"/>
      <c r="D289" s="59"/>
      <c r="F289" s="59"/>
      <c r="H289" s="59"/>
      <c r="J289" s="59"/>
      <c r="L289" s="59"/>
      <c r="O289" s="59"/>
      <c r="Q289" s="59"/>
      <c r="R289" s="61"/>
    </row>
    <row r="290">
      <c r="B290" s="59"/>
      <c r="D290" s="59"/>
      <c r="F290" s="59"/>
      <c r="H290" s="59"/>
      <c r="J290" s="59"/>
      <c r="L290" s="59"/>
      <c r="O290" s="59"/>
      <c r="Q290" s="59"/>
      <c r="R290" s="61"/>
    </row>
    <row r="291">
      <c r="B291" s="59"/>
      <c r="D291" s="59"/>
      <c r="F291" s="59"/>
      <c r="H291" s="59"/>
      <c r="J291" s="59"/>
      <c r="L291" s="59"/>
      <c r="O291" s="59"/>
      <c r="Q291" s="59"/>
      <c r="R291" s="61"/>
    </row>
    <row r="292">
      <c r="B292" s="59"/>
      <c r="D292" s="59"/>
      <c r="F292" s="59"/>
      <c r="H292" s="59"/>
      <c r="J292" s="59"/>
      <c r="L292" s="59"/>
      <c r="O292" s="59"/>
      <c r="Q292" s="59"/>
      <c r="R292" s="61"/>
    </row>
    <row r="293">
      <c r="B293" s="59"/>
      <c r="D293" s="59"/>
      <c r="F293" s="59"/>
      <c r="H293" s="59"/>
      <c r="J293" s="59"/>
      <c r="L293" s="59"/>
      <c r="O293" s="59"/>
      <c r="Q293" s="59"/>
      <c r="R293" s="61"/>
    </row>
    <row r="294">
      <c r="B294" s="59"/>
      <c r="D294" s="59"/>
      <c r="F294" s="59"/>
      <c r="H294" s="59"/>
      <c r="J294" s="59"/>
      <c r="L294" s="59"/>
      <c r="O294" s="59"/>
      <c r="Q294" s="59"/>
      <c r="R294" s="61"/>
    </row>
    <row r="295">
      <c r="B295" s="59"/>
      <c r="D295" s="59"/>
      <c r="F295" s="59"/>
      <c r="H295" s="59"/>
      <c r="J295" s="59"/>
      <c r="L295" s="59"/>
      <c r="O295" s="59"/>
      <c r="Q295" s="59"/>
      <c r="R295" s="61"/>
    </row>
    <row r="296">
      <c r="B296" s="59"/>
      <c r="D296" s="59"/>
      <c r="F296" s="59"/>
      <c r="H296" s="59"/>
      <c r="J296" s="59"/>
      <c r="L296" s="59"/>
      <c r="O296" s="59"/>
      <c r="Q296" s="59"/>
      <c r="R296" s="61"/>
    </row>
    <row r="297">
      <c r="B297" s="59"/>
      <c r="D297" s="59"/>
      <c r="F297" s="59"/>
      <c r="H297" s="59"/>
      <c r="J297" s="59"/>
      <c r="L297" s="59"/>
      <c r="O297" s="59"/>
      <c r="Q297" s="59"/>
      <c r="R297" s="61"/>
    </row>
    <row r="298">
      <c r="B298" s="59"/>
      <c r="D298" s="59"/>
      <c r="F298" s="59"/>
      <c r="H298" s="59"/>
      <c r="J298" s="59"/>
      <c r="L298" s="59"/>
      <c r="O298" s="59"/>
      <c r="Q298" s="59"/>
      <c r="R298" s="61"/>
    </row>
    <row r="299">
      <c r="B299" s="59"/>
      <c r="D299" s="59"/>
      <c r="F299" s="59"/>
      <c r="H299" s="59"/>
      <c r="J299" s="59"/>
      <c r="L299" s="59"/>
      <c r="O299" s="59"/>
      <c r="Q299" s="59"/>
      <c r="R299" s="61"/>
    </row>
    <row r="300">
      <c r="B300" s="59"/>
      <c r="D300" s="59"/>
      <c r="F300" s="59"/>
      <c r="H300" s="59"/>
      <c r="J300" s="59"/>
      <c r="L300" s="59"/>
      <c r="O300" s="59"/>
      <c r="Q300" s="59"/>
      <c r="R300" s="61"/>
    </row>
    <row r="301">
      <c r="B301" s="59"/>
      <c r="D301" s="59"/>
      <c r="F301" s="59"/>
      <c r="H301" s="59"/>
      <c r="J301" s="59"/>
      <c r="L301" s="59"/>
      <c r="O301" s="59"/>
      <c r="Q301" s="59"/>
      <c r="R301" s="61"/>
    </row>
    <row r="302">
      <c r="B302" s="59"/>
      <c r="D302" s="59"/>
      <c r="F302" s="59"/>
      <c r="H302" s="59"/>
      <c r="J302" s="59"/>
      <c r="L302" s="59"/>
      <c r="O302" s="59"/>
      <c r="Q302" s="59"/>
      <c r="R302" s="61"/>
    </row>
    <row r="303">
      <c r="B303" s="59"/>
      <c r="D303" s="59"/>
      <c r="F303" s="59"/>
      <c r="H303" s="59"/>
      <c r="J303" s="59"/>
      <c r="L303" s="59"/>
      <c r="O303" s="59"/>
      <c r="Q303" s="59"/>
      <c r="R303" s="61"/>
    </row>
    <row r="304">
      <c r="B304" s="59"/>
      <c r="D304" s="59"/>
      <c r="F304" s="59"/>
      <c r="H304" s="59"/>
      <c r="J304" s="59"/>
      <c r="L304" s="59"/>
      <c r="O304" s="59"/>
      <c r="Q304" s="59"/>
      <c r="R304" s="61"/>
    </row>
    <row r="305">
      <c r="B305" s="59"/>
      <c r="D305" s="59"/>
      <c r="F305" s="59"/>
      <c r="H305" s="59"/>
      <c r="J305" s="59"/>
      <c r="L305" s="59"/>
      <c r="O305" s="59"/>
      <c r="Q305" s="59"/>
      <c r="R305" s="61"/>
    </row>
    <row r="306">
      <c r="B306" s="59"/>
      <c r="D306" s="59"/>
      <c r="F306" s="59"/>
      <c r="H306" s="59"/>
      <c r="J306" s="59"/>
      <c r="L306" s="59"/>
      <c r="O306" s="59"/>
      <c r="Q306" s="59"/>
      <c r="R306" s="61"/>
    </row>
    <row r="307">
      <c r="B307" s="59"/>
      <c r="D307" s="59"/>
      <c r="F307" s="59"/>
      <c r="H307" s="59"/>
      <c r="J307" s="59"/>
      <c r="L307" s="59"/>
      <c r="O307" s="59"/>
      <c r="Q307" s="59"/>
      <c r="R307" s="61"/>
    </row>
    <row r="308">
      <c r="B308" s="59"/>
      <c r="D308" s="59"/>
      <c r="F308" s="59"/>
      <c r="H308" s="59"/>
      <c r="J308" s="59"/>
      <c r="L308" s="59"/>
      <c r="O308" s="59"/>
      <c r="Q308" s="59"/>
      <c r="R308" s="61"/>
    </row>
    <row r="309">
      <c r="B309" s="59"/>
      <c r="D309" s="59"/>
      <c r="F309" s="59"/>
      <c r="H309" s="59"/>
      <c r="J309" s="59"/>
      <c r="L309" s="59"/>
      <c r="O309" s="59"/>
      <c r="Q309" s="59"/>
      <c r="R309" s="61"/>
    </row>
    <row r="310">
      <c r="B310" s="59"/>
      <c r="D310" s="59"/>
      <c r="F310" s="59"/>
      <c r="H310" s="59"/>
      <c r="J310" s="59"/>
      <c r="L310" s="59"/>
      <c r="O310" s="59"/>
      <c r="Q310" s="59"/>
      <c r="R310" s="61"/>
    </row>
    <row r="311">
      <c r="B311" s="59"/>
      <c r="D311" s="59"/>
      <c r="F311" s="59"/>
      <c r="H311" s="59"/>
      <c r="J311" s="59"/>
      <c r="L311" s="59"/>
      <c r="O311" s="59"/>
      <c r="Q311" s="59"/>
      <c r="R311" s="61"/>
    </row>
    <row r="312">
      <c r="B312" s="59"/>
      <c r="D312" s="59"/>
      <c r="F312" s="59"/>
      <c r="H312" s="59"/>
      <c r="J312" s="59"/>
      <c r="L312" s="59"/>
      <c r="O312" s="59"/>
      <c r="Q312" s="59"/>
      <c r="R312" s="61"/>
    </row>
    <row r="313">
      <c r="B313" s="59"/>
      <c r="D313" s="59"/>
      <c r="F313" s="59"/>
      <c r="H313" s="59"/>
      <c r="J313" s="59"/>
      <c r="L313" s="59"/>
      <c r="O313" s="59"/>
      <c r="Q313" s="59"/>
      <c r="R313" s="61"/>
    </row>
    <row r="314">
      <c r="B314" s="59"/>
      <c r="D314" s="59"/>
      <c r="F314" s="59"/>
      <c r="H314" s="59"/>
      <c r="J314" s="59"/>
      <c r="L314" s="59"/>
      <c r="O314" s="59"/>
      <c r="Q314" s="59"/>
      <c r="R314" s="61"/>
    </row>
    <row r="315">
      <c r="B315" s="59"/>
      <c r="D315" s="59"/>
      <c r="F315" s="59"/>
      <c r="H315" s="59"/>
      <c r="J315" s="59"/>
      <c r="L315" s="59"/>
      <c r="O315" s="59"/>
      <c r="Q315" s="59"/>
      <c r="R315" s="61"/>
    </row>
    <row r="316">
      <c r="B316" s="59"/>
      <c r="D316" s="59"/>
      <c r="F316" s="59"/>
      <c r="H316" s="59"/>
      <c r="J316" s="59"/>
      <c r="L316" s="59"/>
      <c r="O316" s="59"/>
      <c r="Q316" s="59"/>
      <c r="R316" s="61"/>
    </row>
    <row r="317">
      <c r="B317" s="59"/>
      <c r="D317" s="59"/>
      <c r="F317" s="59"/>
      <c r="H317" s="59"/>
      <c r="J317" s="59"/>
      <c r="L317" s="59"/>
      <c r="O317" s="59"/>
      <c r="Q317" s="59"/>
      <c r="R317" s="61"/>
    </row>
    <row r="318">
      <c r="B318" s="59"/>
      <c r="D318" s="59"/>
      <c r="F318" s="59"/>
      <c r="H318" s="59"/>
      <c r="J318" s="59"/>
      <c r="L318" s="59"/>
      <c r="O318" s="59"/>
      <c r="Q318" s="59"/>
      <c r="R318" s="61"/>
    </row>
    <row r="319">
      <c r="B319" s="59"/>
      <c r="D319" s="59"/>
      <c r="F319" s="59"/>
      <c r="H319" s="59"/>
      <c r="J319" s="59"/>
      <c r="L319" s="59"/>
      <c r="O319" s="59"/>
      <c r="Q319" s="59"/>
      <c r="R319" s="61"/>
    </row>
    <row r="320">
      <c r="B320" s="59"/>
      <c r="D320" s="59"/>
      <c r="F320" s="59"/>
      <c r="H320" s="59"/>
      <c r="J320" s="59"/>
      <c r="L320" s="59"/>
      <c r="O320" s="59"/>
      <c r="Q320" s="59"/>
      <c r="R320" s="61"/>
    </row>
    <row r="321">
      <c r="B321" s="59"/>
      <c r="D321" s="59"/>
      <c r="F321" s="59"/>
      <c r="H321" s="59"/>
      <c r="J321" s="59"/>
      <c r="L321" s="59"/>
      <c r="O321" s="59"/>
      <c r="Q321" s="59"/>
      <c r="R321" s="61"/>
    </row>
    <row r="322">
      <c r="B322" s="59"/>
      <c r="D322" s="59"/>
      <c r="F322" s="59"/>
      <c r="H322" s="59"/>
      <c r="J322" s="59"/>
      <c r="L322" s="59"/>
      <c r="O322" s="59"/>
      <c r="Q322" s="59"/>
      <c r="R322" s="61"/>
    </row>
    <row r="323">
      <c r="B323" s="59"/>
      <c r="D323" s="59"/>
      <c r="F323" s="59"/>
      <c r="H323" s="59"/>
      <c r="J323" s="59"/>
      <c r="L323" s="59"/>
      <c r="O323" s="59"/>
      <c r="Q323" s="59"/>
      <c r="R323" s="61"/>
    </row>
    <row r="324">
      <c r="B324" s="59"/>
      <c r="D324" s="59"/>
      <c r="F324" s="59"/>
      <c r="H324" s="59"/>
      <c r="J324" s="59"/>
      <c r="L324" s="59"/>
      <c r="O324" s="59"/>
      <c r="Q324" s="59"/>
      <c r="R324" s="61"/>
    </row>
    <row r="325">
      <c r="B325" s="59"/>
      <c r="D325" s="59"/>
      <c r="F325" s="59"/>
      <c r="H325" s="59"/>
      <c r="J325" s="59"/>
      <c r="L325" s="59"/>
      <c r="O325" s="59"/>
      <c r="Q325" s="59"/>
      <c r="R325" s="61"/>
    </row>
    <row r="326">
      <c r="B326" s="59"/>
      <c r="D326" s="59"/>
      <c r="F326" s="59"/>
      <c r="H326" s="59"/>
      <c r="J326" s="59"/>
      <c r="L326" s="59"/>
      <c r="O326" s="59"/>
      <c r="Q326" s="59"/>
      <c r="R326" s="61"/>
    </row>
    <row r="327">
      <c r="B327" s="59"/>
      <c r="D327" s="59"/>
      <c r="F327" s="59"/>
      <c r="H327" s="59"/>
      <c r="J327" s="59"/>
      <c r="L327" s="59"/>
      <c r="O327" s="59"/>
      <c r="Q327" s="59"/>
      <c r="R327" s="61"/>
    </row>
    <row r="328">
      <c r="B328" s="59"/>
      <c r="D328" s="59"/>
      <c r="F328" s="59"/>
      <c r="H328" s="59"/>
      <c r="J328" s="59"/>
      <c r="L328" s="59"/>
      <c r="O328" s="59"/>
      <c r="Q328" s="59"/>
      <c r="R328" s="61"/>
    </row>
    <row r="329">
      <c r="B329" s="59"/>
      <c r="D329" s="59"/>
      <c r="F329" s="59"/>
      <c r="H329" s="59"/>
      <c r="J329" s="59"/>
      <c r="L329" s="59"/>
      <c r="O329" s="59"/>
      <c r="Q329" s="59"/>
      <c r="R329" s="61"/>
    </row>
    <row r="330">
      <c r="B330" s="59"/>
      <c r="D330" s="59"/>
      <c r="F330" s="59"/>
      <c r="H330" s="59"/>
      <c r="J330" s="59"/>
      <c r="L330" s="59"/>
      <c r="O330" s="59"/>
      <c r="Q330" s="59"/>
      <c r="R330" s="61"/>
    </row>
    <row r="331">
      <c r="B331" s="59"/>
      <c r="D331" s="59"/>
      <c r="F331" s="59"/>
      <c r="H331" s="59"/>
      <c r="J331" s="59"/>
      <c r="L331" s="59"/>
      <c r="O331" s="59"/>
      <c r="Q331" s="59"/>
      <c r="R331" s="61"/>
    </row>
    <row r="332">
      <c r="B332" s="59"/>
      <c r="D332" s="59"/>
      <c r="F332" s="59"/>
      <c r="H332" s="59"/>
      <c r="J332" s="59"/>
      <c r="L332" s="59"/>
      <c r="O332" s="59"/>
      <c r="Q332" s="59"/>
      <c r="R332" s="61"/>
    </row>
    <row r="333">
      <c r="B333" s="59"/>
      <c r="D333" s="59"/>
      <c r="F333" s="59"/>
      <c r="H333" s="59"/>
      <c r="J333" s="59"/>
      <c r="L333" s="59"/>
      <c r="O333" s="59"/>
      <c r="Q333" s="59"/>
      <c r="R333" s="61"/>
    </row>
    <row r="334">
      <c r="B334" s="59"/>
      <c r="D334" s="59"/>
      <c r="F334" s="59"/>
      <c r="H334" s="59"/>
      <c r="J334" s="59"/>
      <c r="L334" s="59"/>
      <c r="O334" s="59"/>
      <c r="Q334" s="59"/>
      <c r="R334" s="61"/>
    </row>
    <row r="335">
      <c r="B335" s="59"/>
      <c r="D335" s="59"/>
      <c r="F335" s="59"/>
      <c r="H335" s="59"/>
      <c r="J335" s="59"/>
      <c r="L335" s="59"/>
      <c r="O335" s="59"/>
      <c r="Q335" s="59"/>
      <c r="R335" s="61"/>
    </row>
    <row r="336">
      <c r="B336" s="59"/>
      <c r="D336" s="59"/>
      <c r="F336" s="59"/>
      <c r="H336" s="59"/>
      <c r="J336" s="59"/>
      <c r="L336" s="59"/>
      <c r="O336" s="59"/>
      <c r="Q336" s="59"/>
      <c r="R336" s="61"/>
    </row>
    <row r="337">
      <c r="B337" s="59"/>
      <c r="D337" s="59"/>
      <c r="F337" s="59"/>
      <c r="H337" s="59"/>
      <c r="J337" s="59"/>
      <c r="L337" s="59"/>
      <c r="O337" s="59"/>
      <c r="Q337" s="59"/>
      <c r="R337" s="61"/>
    </row>
    <row r="338">
      <c r="B338" s="59"/>
      <c r="D338" s="59"/>
      <c r="F338" s="59"/>
      <c r="H338" s="59"/>
      <c r="J338" s="59"/>
      <c r="L338" s="59"/>
      <c r="O338" s="59"/>
      <c r="Q338" s="59"/>
      <c r="R338" s="61"/>
    </row>
    <row r="339">
      <c r="B339" s="59"/>
      <c r="D339" s="59"/>
      <c r="F339" s="59"/>
      <c r="H339" s="59"/>
      <c r="J339" s="59"/>
      <c r="L339" s="59"/>
      <c r="O339" s="59"/>
      <c r="Q339" s="59"/>
      <c r="R339" s="61"/>
    </row>
    <row r="340">
      <c r="B340" s="59"/>
      <c r="D340" s="59"/>
      <c r="F340" s="59"/>
      <c r="H340" s="59"/>
      <c r="J340" s="59"/>
      <c r="L340" s="59"/>
      <c r="O340" s="59"/>
      <c r="Q340" s="59"/>
      <c r="R340" s="61"/>
    </row>
    <row r="341">
      <c r="B341" s="59"/>
      <c r="D341" s="59"/>
      <c r="F341" s="59"/>
      <c r="H341" s="59"/>
      <c r="J341" s="59"/>
      <c r="L341" s="59"/>
      <c r="O341" s="59"/>
      <c r="Q341" s="59"/>
      <c r="R341" s="61"/>
    </row>
    <row r="342">
      <c r="B342" s="59"/>
      <c r="D342" s="59"/>
      <c r="F342" s="59"/>
      <c r="H342" s="59"/>
      <c r="J342" s="59"/>
      <c r="L342" s="59"/>
      <c r="O342" s="59"/>
      <c r="Q342" s="59"/>
      <c r="R342" s="61"/>
    </row>
    <row r="343">
      <c r="B343" s="59"/>
      <c r="D343" s="59"/>
      <c r="F343" s="59"/>
      <c r="H343" s="59"/>
      <c r="J343" s="59"/>
      <c r="L343" s="59"/>
      <c r="O343" s="59"/>
      <c r="Q343" s="59"/>
      <c r="R343" s="61"/>
    </row>
    <row r="344">
      <c r="B344" s="59"/>
      <c r="D344" s="59"/>
      <c r="F344" s="59"/>
      <c r="H344" s="59"/>
      <c r="J344" s="59"/>
      <c r="L344" s="59"/>
      <c r="O344" s="59"/>
      <c r="Q344" s="59"/>
      <c r="R344" s="61"/>
    </row>
    <row r="345">
      <c r="B345" s="59"/>
      <c r="D345" s="59"/>
      <c r="F345" s="59"/>
      <c r="H345" s="59"/>
      <c r="J345" s="59"/>
      <c r="L345" s="59"/>
      <c r="O345" s="59"/>
      <c r="Q345" s="59"/>
      <c r="R345" s="61"/>
    </row>
    <row r="346">
      <c r="B346" s="59"/>
      <c r="D346" s="59"/>
      <c r="F346" s="59"/>
      <c r="H346" s="59"/>
      <c r="J346" s="59"/>
      <c r="L346" s="59"/>
      <c r="O346" s="59"/>
      <c r="Q346" s="59"/>
      <c r="R346" s="61"/>
    </row>
    <row r="347">
      <c r="B347" s="59"/>
      <c r="D347" s="59"/>
      <c r="F347" s="59"/>
      <c r="H347" s="59"/>
      <c r="J347" s="59"/>
      <c r="L347" s="59"/>
      <c r="O347" s="59"/>
      <c r="Q347" s="59"/>
      <c r="R347" s="61"/>
    </row>
    <row r="348">
      <c r="B348" s="59"/>
      <c r="D348" s="59"/>
      <c r="F348" s="59"/>
      <c r="H348" s="59"/>
      <c r="J348" s="59"/>
      <c r="L348" s="59"/>
      <c r="O348" s="59"/>
      <c r="Q348" s="59"/>
      <c r="R348" s="61"/>
    </row>
    <row r="349">
      <c r="B349" s="59"/>
      <c r="D349" s="59"/>
      <c r="F349" s="59"/>
      <c r="H349" s="59"/>
      <c r="J349" s="59"/>
      <c r="L349" s="59"/>
      <c r="O349" s="59"/>
      <c r="Q349" s="59"/>
      <c r="R349" s="61"/>
    </row>
    <row r="350">
      <c r="B350" s="59"/>
      <c r="D350" s="59"/>
      <c r="F350" s="59"/>
      <c r="H350" s="59"/>
      <c r="J350" s="59"/>
      <c r="L350" s="59"/>
      <c r="O350" s="59"/>
      <c r="Q350" s="59"/>
      <c r="R350" s="61"/>
    </row>
    <row r="351">
      <c r="B351" s="59"/>
      <c r="D351" s="59"/>
      <c r="F351" s="59"/>
      <c r="H351" s="59"/>
      <c r="J351" s="59"/>
      <c r="L351" s="59"/>
      <c r="O351" s="59"/>
      <c r="Q351" s="59"/>
      <c r="R351" s="61"/>
    </row>
    <row r="352">
      <c r="B352" s="59"/>
      <c r="D352" s="59"/>
      <c r="F352" s="59"/>
      <c r="H352" s="59"/>
      <c r="J352" s="59"/>
      <c r="L352" s="59"/>
      <c r="O352" s="59"/>
      <c r="Q352" s="59"/>
      <c r="R352" s="61"/>
    </row>
    <row r="353">
      <c r="B353" s="59"/>
      <c r="D353" s="59"/>
      <c r="F353" s="59"/>
      <c r="H353" s="59"/>
      <c r="J353" s="59"/>
      <c r="L353" s="59"/>
      <c r="O353" s="59"/>
      <c r="Q353" s="59"/>
      <c r="R353" s="61"/>
    </row>
    <row r="354">
      <c r="B354" s="59"/>
      <c r="D354" s="59"/>
      <c r="F354" s="59"/>
      <c r="H354" s="59"/>
      <c r="J354" s="59"/>
      <c r="L354" s="59"/>
      <c r="O354" s="59"/>
      <c r="Q354" s="59"/>
      <c r="R354" s="61"/>
    </row>
    <row r="355">
      <c r="B355" s="59"/>
      <c r="D355" s="59"/>
      <c r="F355" s="59"/>
      <c r="H355" s="59"/>
      <c r="J355" s="59"/>
      <c r="L355" s="59"/>
      <c r="O355" s="59"/>
      <c r="Q355" s="59"/>
      <c r="R355" s="61"/>
    </row>
    <row r="356">
      <c r="B356" s="59"/>
      <c r="D356" s="59"/>
      <c r="F356" s="59"/>
      <c r="H356" s="59"/>
      <c r="J356" s="59"/>
      <c r="L356" s="59"/>
      <c r="O356" s="59"/>
      <c r="Q356" s="59"/>
      <c r="R356" s="61"/>
    </row>
    <row r="357">
      <c r="B357" s="59"/>
      <c r="D357" s="59"/>
      <c r="F357" s="59"/>
      <c r="H357" s="59"/>
      <c r="J357" s="59"/>
      <c r="L357" s="59"/>
      <c r="O357" s="59"/>
      <c r="Q357" s="59"/>
      <c r="R357" s="61"/>
    </row>
    <row r="358">
      <c r="B358" s="59"/>
      <c r="D358" s="59"/>
      <c r="F358" s="59"/>
      <c r="H358" s="59"/>
      <c r="J358" s="59"/>
      <c r="L358" s="59"/>
      <c r="O358" s="59"/>
      <c r="Q358" s="59"/>
      <c r="R358" s="61"/>
    </row>
    <row r="359">
      <c r="B359" s="59"/>
      <c r="D359" s="59"/>
      <c r="F359" s="59"/>
      <c r="H359" s="59"/>
      <c r="J359" s="59"/>
      <c r="L359" s="59"/>
      <c r="O359" s="59"/>
      <c r="Q359" s="59"/>
      <c r="R359" s="61"/>
    </row>
    <row r="360">
      <c r="B360" s="59"/>
      <c r="D360" s="59"/>
      <c r="F360" s="59"/>
      <c r="H360" s="59"/>
      <c r="J360" s="59"/>
      <c r="L360" s="59"/>
      <c r="O360" s="59"/>
      <c r="Q360" s="59"/>
      <c r="R360" s="61"/>
    </row>
    <row r="361">
      <c r="B361" s="59"/>
      <c r="D361" s="59"/>
      <c r="F361" s="59"/>
      <c r="H361" s="59"/>
      <c r="J361" s="59"/>
      <c r="L361" s="59"/>
      <c r="O361" s="59"/>
      <c r="Q361" s="59"/>
      <c r="R361" s="61"/>
    </row>
    <row r="362">
      <c r="B362" s="59"/>
      <c r="D362" s="59"/>
      <c r="F362" s="59"/>
      <c r="H362" s="59"/>
      <c r="J362" s="59"/>
      <c r="L362" s="59"/>
      <c r="O362" s="59"/>
      <c r="Q362" s="59"/>
      <c r="R362" s="61"/>
    </row>
    <row r="363">
      <c r="B363" s="59"/>
      <c r="D363" s="59"/>
      <c r="F363" s="59"/>
      <c r="H363" s="59"/>
      <c r="J363" s="59"/>
      <c r="L363" s="59"/>
      <c r="O363" s="59"/>
      <c r="Q363" s="59"/>
      <c r="R363" s="61"/>
    </row>
    <row r="364">
      <c r="B364" s="59"/>
      <c r="D364" s="59"/>
      <c r="F364" s="59"/>
      <c r="H364" s="59"/>
      <c r="J364" s="59"/>
      <c r="L364" s="59"/>
      <c r="O364" s="59"/>
      <c r="Q364" s="59"/>
      <c r="R364" s="61"/>
    </row>
    <row r="365">
      <c r="B365" s="59"/>
      <c r="D365" s="59"/>
      <c r="F365" s="59"/>
      <c r="H365" s="59"/>
      <c r="J365" s="59"/>
      <c r="L365" s="59"/>
      <c r="O365" s="59"/>
      <c r="Q365" s="59"/>
      <c r="R365" s="61"/>
    </row>
    <row r="366">
      <c r="B366" s="59"/>
      <c r="D366" s="59"/>
      <c r="F366" s="59"/>
      <c r="H366" s="59"/>
      <c r="J366" s="59"/>
      <c r="L366" s="59"/>
      <c r="O366" s="59"/>
      <c r="Q366" s="59"/>
      <c r="R366" s="61"/>
    </row>
    <row r="367">
      <c r="B367" s="59"/>
      <c r="D367" s="59"/>
      <c r="F367" s="59"/>
      <c r="H367" s="59"/>
      <c r="J367" s="59"/>
      <c r="L367" s="59"/>
      <c r="O367" s="59"/>
      <c r="Q367" s="59"/>
      <c r="R367" s="61"/>
    </row>
    <row r="368">
      <c r="B368" s="59"/>
      <c r="D368" s="59"/>
      <c r="F368" s="59"/>
      <c r="H368" s="59"/>
      <c r="J368" s="59"/>
      <c r="L368" s="59"/>
      <c r="O368" s="59"/>
      <c r="Q368" s="59"/>
      <c r="R368" s="61"/>
    </row>
    <row r="369">
      <c r="B369" s="59"/>
      <c r="D369" s="59"/>
      <c r="F369" s="59"/>
      <c r="H369" s="59"/>
      <c r="J369" s="59"/>
      <c r="L369" s="59"/>
      <c r="O369" s="59"/>
      <c r="Q369" s="59"/>
      <c r="R369" s="61"/>
    </row>
    <row r="370">
      <c r="B370" s="59"/>
      <c r="D370" s="59"/>
      <c r="F370" s="59"/>
      <c r="H370" s="59"/>
      <c r="J370" s="59"/>
      <c r="L370" s="59"/>
      <c r="O370" s="59"/>
      <c r="Q370" s="59"/>
      <c r="R370" s="61"/>
    </row>
    <row r="371">
      <c r="B371" s="59"/>
      <c r="D371" s="59"/>
      <c r="F371" s="59"/>
      <c r="H371" s="59"/>
      <c r="J371" s="59"/>
      <c r="L371" s="59"/>
      <c r="O371" s="59"/>
      <c r="Q371" s="59"/>
      <c r="R371" s="61"/>
    </row>
    <row r="372">
      <c r="B372" s="59"/>
      <c r="D372" s="59"/>
      <c r="F372" s="59"/>
      <c r="H372" s="59"/>
      <c r="J372" s="59"/>
      <c r="L372" s="59"/>
      <c r="O372" s="59"/>
      <c r="Q372" s="59"/>
      <c r="R372" s="61"/>
    </row>
    <row r="373">
      <c r="B373" s="59"/>
      <c r="D373" s="59"/>
      <c r="F373" s="59"/>
      <c r="H373" s="59"/>
      <c r="J373" s="59"/>
      <c r="L373" s="59"/>
      <c r="O373" s="59"/>
      <c r="Q373" s="59"/>
      <c r="R373" s="61"/>
    </row>
    <row r="374">
      <c r="B374" s="59"/>
      <c r="D374" s="59"/>
      <c r="F374" s="59"/>
      <c r="H374" s="59"/>
      <c r="J374" s="59"/>
      <c r="L374" s="59"/>
      <c r="O374" s="59"/>
      <c r="Q374" s="59"/>
      <c r="R374" s="61"/>
    </row>
    <row r="375">
      <c r="B375" s="59"/>
      <c r="D375" s="59"/>
      <c r="F375" s="59"/>
      <c r="H375" s="59"/>
      <c r="J375" s="59"/>
      <c r="L375" s="59"/>
      <c r="O375" s="59"/>
      <c r="Q375" s="59"/>
      <c r="R375" s="61"/>
    </row>
    <row r="376">
      <c r="B376" s="59"/>
      <c r="D376" s="59"/>
      <c r="F376" s="59"/>
      <c r="H376" s="59"/>
      <c r="J376" s="59"/>
      <c r="L376" s="59"/>
      <c r="O376" s="59"/>
      <c r="Q376" s="59"/>
      <c r="R376" s="61"/>
    </row>
    <row r="377">
      <c r="B377" s="59"/>
      <c r="D377" s="59"/>
      <c r="F377" s="59"/>
      <c r="H377" s="59"/>
      <c r="J377" s="59"/>
      <c r="L377" s="59"/>
      <c r="O377" s="59"/>
      <c r="Q377" s="59"/>
      <c r="R377" s="61"/>
    </row>
    <row r="378">
      <c r="B378" s="59"/>
      <c r="D378" s="59"/>
      <c r="F378" s="59"/>
      <c r="H378" s="59"/>
      <c r="J378" s="59"/>
      <c r="L378" s="59"/>
      <c r="O378" s="59"/>
      <c r="Q378" s="59"/>
      <c r="R378" s="61"/>
    </row>
    <row r="379">
      <c r="B379" s="59"/>
      <c r="D379" s="59"/>
      <c r="F379" s="59"/>
      <c r="H379" s="59"/>
      <c r="J379" s="59"/>
      <c r="L379" s="59"/>
      <c r="O379" s="59"/>
      <c r="Q379" s="59"/>
      <c r="R379" s="61"/>
    </row>
    <row r="380">
      <c r="B380" s="59"/>
      <c r="D380" s="59"/>
      <c r="F380" s="59"/>
      <c r="H380" s="59"/>
      <c r="J380" s="59"/>
      <c r="L380" s="59"/>
      <c r="O380" s="59"/>
      <c r="Q380" s="59"/>
      <c r="R380" s="61"/>
    </row>
    <row r="381">
      <c r="B381" s="59"/>
      <c r="D381" s="59"/>
      <c r="F381" s="59"/>
      <c r="H381" s="59"/>
      <c r="J381" s="59"/>
      <c r="L381" s="59"/>
      <c r="O381" s="59"/>
      <c r="Q381" s="59"/>
      <c r="R381" s="61"/>
    </row>
    <row r="382">
      <c r="B382" s="59"/>
      <c r="D382" s="59"/>
      <c r="F382" s="59"/>
      <c r="H382" s="59"/>
      <c r="J382" s="59"/>
      <c r="L382" s="59"/>
      <c r="O382" s="59"/>
      <c r="Q382" s="59"/>
      <c r="R382" s="61"/>
    </row>
    <row r="383">
      <c r="B383" s="59"/>
      <c r="D383" s="59"/>
      <c r="F383" s="59"/>
      <c r="H383" s="59"/>
      <c r="J383" s="59"/>
      <c r="L383" s="59"/>
      <c r="O383" s="59"/>
      <c r="Q383" s="59"/>
      <c r="R383" s="61"/>
    </row>
    <row r="384">
      <c r="B384" s="59"/>
      <c r="D384" s="59"/>
      <c r="F384" s="59"/>
      <c r="H384" s="59"/>
      <c r="J384" s="59"/>
      <c r="L384" s="59"/>
      <c r="O384" s="59"/>
      <c r="Q384" s="59"/>
      <c r="R384" s="61"/>
    </row>
    <row r="385">
      <c r="B385" s="59"/>
      <c r="D385" s="59"/>
      <c r="F385" s="59"/>
      <c r="H385" s="59"/>
      <c r="J385" s="59"/>
      <c r="L385" s="59"/>
      <c r="O385" s="59"/>
      <c r="Q385" s="59"/>
      <c r="R385" s="61"/>
    </row>
    <row r="386">
      <c r="B386" s="59"/>
      <c r="D386" s="59"/>
      <c r="F386" s="59"/>
      <c r="H386" s="59"/>
      <c r="J386" s="59"/>
      <c r="L386" s="59"/>
      <c r="O386" s="59"/>
      <c r="Q386" s="59"/>
      <c r="R386" s="61"/>
    </row>
    <row r="387">
      <c r="B387" s="59"/>
      <c r="D387" s="59"/>
      <c r="F387" s="59"/>
      <c r="H387" s="59"/>
      <c r="J387" s="59"/>
      <c r="L387" s="59"/>
      <c r="O387" s="59"/>
      <c r="Q387" s="59"/>
      <c r="R387" s="61"/>
    </row>
    <row r="388">
      <c r="B388" s="59"/>
      <c r="D388" s="59"/>
      <c r="F388" s="59"/>
      <c r="H388" s="59"/>
      <c r="J388" s="59"/>
      <c r="L388" s="59"/>
      <c r="O388" s="59"/>
      <c r="Q388" s="59"/>
      <c r="R388" s="61"/>
    </row>
    <row r="389">
      <c r="B389" s="59"/>
      <c r="D389" s="59"/>
      <c r="F389" s="59"/>
      <c r="H389" s="59"/>
      <c r="J389" s="59"/>
      <c r="L389" s="59"/>
      <c r="O389" s="59"/>
      <c r="Q389" s="59"/>
      <c r="R389" s="61"/>
    </row>
    <row r="390">
      <c r="B390" s="59"/>
      <c r="D390" s="59"/>
      <c r="F390" s="59"/>
      <c r="H390" s="59"/>
      <c r="J390" s="59"/>
      <c r="L390" s="59"/>
      <c r="O390" s="59"/>
      <c r="Q390" s="59"/>
      <c r="R390" s="61"/>
    </row>
    <row r="391">
      <c r="B391" s="59"/>
      <c r="D391" s="59"/>
      <c r="F391" s="59"/>
      <c r="H391" s="59"/>
      <c r="J391" s="59"/>
      <c r="L391" s="59"/>
      <c r="O391" s="59"/>
      <c r="Q391" s="59"/>
      <c r="R391" s="61"/>
    </row>
    <row r="392">
      <c r="B392" s="59"/>
      <c r="D392" s="59"/>
      <c r="F392" s="59"/>
      <c r="H392" s="59"/>
      <c r="J392" s="59"/>
      <c r="L392" s="59"/>
      <c r="O392" s="59"/>
      <c r="Q392" s="59"/>
      <c r="R392" s="61"/>
    </row>
    <row r="393">
      <c r="B393" s="59"/>
      <c r="D393" s="59"/>
      <c r="F393" s="59"/>
      <c r="H393" s="59"/>
      <c r="J393" s="59"/>
      <c r="L393" s="59"/>
      <c r="O393" s="59"/>
      <c r="Q393" s="59"/>
      <c r="R393" s="61"/>
    </row>
    <row r="394">
      <c r="B394" s="59"/>
      <c r="D394" s="59"/>
      <c r="F394" s="59"/>
      <c r="H394" s="59"/>
      <c r="J394" s="59"/>
      <c r="L394" s="59"/>
      <c r="O394" s="59"/>
      <c r="Q394" s="59"/>
      <c r="R394" s="61"/>
    </row>
    <row r="395">
      <c r="B395" s="59"/>
      <c r="D395" s="59"/>
      <c r="F395" s="59"/>
      <c r="H395" s="59"/>
      <c r="J395" s="59"/>
      <c r="L395" s="59"/>
      <c r="O395" s="59"/>
      <c r="Q395" s="59"/>
      <c r="R395" s="61"/>
    </row>
    <row r="396">
      <c r="B396" s="59"/>
      <c r="D396" s="59"/>
      <c r="F396" s="59"/>
      <c r="H396" s="59"/>
      <c r="J396" s="59"/>
      <c r="L396" s="59"/>
      <c r="O396" s="59"/>
      <c r="Q396" s="59"/>
      <c r="R396" s="61"/>
    </row>
    <row r="397">
      <c r="B397" s="59"/>
      <c r="D397" s="59"/>
      <c r="F397" s="59"/>
      <c r="H397" s="59"/>
      <c r="J397" s="59"/>
      <c r="L397" s="59"/>
      <c r="O397" s="59"/>
      <c r="Q397" s="59"/>
      <c r="R397" s="61"/>
    </row>
    <row r="398">
      <c r="B398" s="59"/>
      <c r="D398" s="59"/>
      <c r="F398" s="59"/>
      <c r="H398" s="59"/>
      <c r="J398" s="59"/>
      <c r="L398" s="59"/>
      <c r="O398" s="59"/>
      <c r="Q398" s="59"/>
      <c r="R398" s="61"/>
    </row>
    <row r="399">
      <c r="B399" s="59"/>
      <c r="D399" s="59"/>
      <c r="F399" s="59"/>
      <c r="H399" s="59"/>
      <c r="J399" s="59"/>
      <c r="L399" s="59"/>
      <c r="O399" s="59"/>
      <c r="Q399" s="59"/>
      <c r="R399" s="61"/>
    </row>
    <row r="400">
      <c r="B400" s="59"/>
      <c r="D400" s="59"/>
      <c r="F400" s="59"/>
      <c r="H400" s="59"/>
      <c r="J400" s="59"/>
      <c r="L400" s="59"/>
      <c r="O400" s="59"/>
      <c r="Q400" s="59"/>
      <c r="R400" s="61"/>
    </row>
    <row r="401">
      <c r="B401" s="59"/>
      <c r="D401" s="59"/>
      <c r="F401" s="59"/>
      <c r="H401" s="59"/>
      <c r="J401" s="59"/>
      <c r="L401" s="59"/>
      <c r="O401" s="59"/>
      <c r="Q401" s="59"/>
      <c r="R401" s="61"/>
    </row>
    <row r="402">
      <c r="B402" s="59"/>
      <c r="D402" s="59"/>
      <c r="F402" s="59"/>
      <c r="H402" s="59"/>
      <c r="J402" s="59"/>
      <c r="L402" s="59"/>
      <c r="O402" s="59"/>
      <c r="Q402" s="59"/>
      <c r="R402" s="61"/>
    </row>
    <row r="403">
      <c r="B403" s="59"/>
      <c r="D403" s="59"/>
      <c r="F403" s="59"/>
      <c r="H403" s="59"/>
      <c r="J403" s="59"/>
      <c r="L403" s="59"/>
      <c r="O403" s="59"/>
      <c r="Q403" s="59"/>
      <c r="R403" s="61"/>
    </row>
    <row r="404">
      <c r="B404" s="59"/>
      <c r="D404" s="59"/>
      <c r="F404" s="59"/>
      <c r="H404" s="59"/>
      <c r="J404" s="59"/>
      <c r="L404" s="59"/>
      <c r="O404" s="59"/>
      <c r="Q404" s="59"/>
      <c r="R404" s="61"/>
    </row>
    <row r="405">
      <c r="B405" s="59"/>
      <c r="D405" s="59"/>
      <c r="F405" s="59"/>
      <c r="H405" s="59"/>
      <c r="J405" s="59"/>
      <c r="L405" s="59"/>
      <c r="O405" s="59"/>
      <c r="Q405" s="59"/>
      <c r="R405" s="61"/>
    </row>
    <row r="406">
      <c r="B406" s="59"/>
      <c r="D406" s="59"/>
      <c r="F406" s="59"/>
      <c r="H406" s="59"/>
      <c r="J406" s="59"/>
      <c r="L406" s="59"/>
      <c r="O406" s="59"/>
      <c r="Q406" s="59"/>
      <c r="R406" s="61"/>
    </row>
    <row r="407">
      <c r="B407" s="59"/>
      <c r="D407" s="59"/>
      <c r="F407" s="59"/>
      <c r="H407" s="59"/>
      <c r="J407" s="59"/>
      <c r="L407" s="59"/>
      <c r="O407" s="59"/>
      <c r="Q407" s="59"/>
      <c r="R407" s="61"/>
    </row>
    <row r="408">
      <c r="B408" s="59"/>
      <c r="D408" s="59"/>
      <c r="F408" s="59"/>
      <c r="H408" s="59"/>
      <c r="J408" s="59"/>
      <c r="L408" s="59"/>
      <c r="O408" s="59"/>
      <c r="Q408" s="59"/>
      <c r="R408" s="61"/>
    </row>
    <row r="409">
      <c r="B409" s="59"/>
      <c r="D409" s="59"/>
      <c r="F409" s="59"/>
      <c r="H409" s="59"/>
      <c r="J409" s="59"/>
      <c r="L409" s="59"/>
      <c r="O409" s="59"/>
      <c r="Q409" s="59"/>
      <c r="R409" s="61"/>
    </row>
    <row r="410">
      <c r="B410" s="59"/>
      <c r="D410" s="59"/>
      <c r="F410" s="59"/>
      <c r="H410" s="59"/>
      <c r="J410" s="59"/>
      <c r="L410" s="59"/>
      <c r="O410" s="59"/>
      <c r="Q410" s="59"/>
      <c r="R410" s="61"/>
    </row>
    <row r="411">
      <c r="B411" s="59"/>
      <c r="D411" s="59"/>
      <c r="F411" s="59"/>
      <c r="H411" s="59"/>
      <c r="J411" s="59"/>
      <c r="L411" s="59"/>
      <c r="O411" s="59"/>
      <c r="Q411" s="59"/>
      <c r="R411" s="61"/>
    </row>
    <row r="412">
      <c r="B412" s="59"/>
      <c r="D412" s="59"/>
      <c r="F412" s="59"/>
      <c r="H412" s="59"/>
      <c r="J412" s="59"/>
      <c r="L412" s="59"/>
      <c r="O412" s="59"/>
      <c r="Q412" s="59"/>
      <c r="R412" s="61"/>
    </row>
    <row r="413">
      <c r="B413" s="59"/>
      <c r="D413" s="59"/>
      <c r="F413" s="59"/>
      <c r="H413" s="59"/>
      <c r="J413" s="59"/>
      <c r="L413" s="59"/>
      <c r="O413" s="59"/>
      <c r="Q413" s="59"/>
      <c r="R413" s="61"/>
    </row>
    <row r="414">
      <c r="B414" s="59"/>
      <c r="D414" s="59"/>
      <c r="F414" s="59"/>
      <c r="H414" s="59"/>
      <c r="J414" s="59"/>
      <c r="L414" s="59"/>
      <c r="O414" s="59"/>
      <c r="Q414" s="59"/>
      <c r="R414" s="61"/>
    </row>
    <row r="415">
      <c r="B415" s="59"/>
      <c r="D415" s="59"/>
      <c r="F415" s="59"/>
      <c r="H415" s="59"/>
      <c r="J415" s="59"/>
      <c r="L415" s="59"/>
      <c r="O415" s="59"/>
      <c r="Q415" s="59"/>
      <c r="R415" s="61"/>
    </row>
    <row r="416">
      <c r="B416" s="59"/>
      <c r="D416" s="59"/>
      <c r="F416" s="59"/>
      <c r="H416" s="59"/>
      <c r="J416" s="59"/>
      <c r="L416" s="59"/>
      <c r="O416" s="59"/>
      <c r="Q416" s="59"/>
      <c r="R416" s="61"/>
    </row>
    <row r="417">
      <c r="B417" s="59"/>
      <c r="D417" s="59"/>
      <c r="F417" s="59"/>
      <c r="H417" s="59"/>
      <c r="J417" s="59"/>
      <c r="L417" s="59"/>
      <c r="O417" s="59"/>
      <c r="Q417" s="59"/>
      <c r="R417" s="61"/>
    </row>
    <row r="418">
      <c r="B418" s="59"/>
      <c r="D418" s="59"/>
      <c r="F418" s="59"/>
      <c r="H418" s="59"/>
      <c r="J418" s="59"/>
      <c r="L418" s="59"/>
      <c r="O418" s="59"/>
      <c r="Q418" s="59"/>
      <c r="R418" s="61"/>
    </row>
    <row r="419">
      <c r="B419" s="59"/>
      <c r="D419" s="59"/>
      <c r="F419" s="59"/>
      <c r="H419" s="59"/>
      <c r="J419" s="59"/>
      <c r="L419" s="59"/>
      <c r="O419" s="59"/>
      <c r="Q419" s="59"/>
      <c r="R419" s="61"/>
    </row>
    <row r="420">
      <c r="B420" s="59"/>
      <c r="D420" s="59"/>
      <c r="F420" s="59"/>
      <c r="H420" s="59"/>
      <c r="J420" s="59"/>
      <c r="L420" s="59"/>
      <c r="O420" s="59"/>
      <c r="Q420" s="59"/>
      <c r="R420" s="61"/>
    </row>
    <row r="421">
      <c r="B421" s="59"/>
      <c r="D421" s="59"/>
      <c r="F421" s="59"/>
      <c r="H421" s="59"/>
      <c r="J421" s="59"/>
      <c r="L421" s="59"/>
      <c r="O421" s="59"/>
      <c r="Q421" s="59"/>
      <c r="R421" s="61"/>
    </row>
    <row r="422">
      <c r="B422" s="59"/>
      <c r="D422" s="59"/>
      <c r="F422" s="59"/>
      <c r="H422" s="59"/>
      <c r="J422" s="59"/>
      <c r="L422" s="59"/>
      <c r="O422" s="59"/>
      <c r="Q422" s="59"/>
      <c r="R422" s="61"/>
    </row>
    <row r="423">
      <c r="B423" s="59"/>
      <c r="D423" s="59"/>
      <c r="F423" s="59"/>
      <c r="H423" s="59"/>
      <c r="J423" s="59"/>
      <c r="L423" s="59"/>
      <c r="O423" s="59"/>
      <c r="Q423" s="59"/>
      <c r="R423" s="61"/>
    </row>
    <row r="424">
      <c r="B424" s="59"/>
      <c r="D424" s="59"/>
      <c r="F424" s="59"/>
      <c r="H424" s="59"/>
      <c r="J424" s="59"/>
      <c r="L424" s="59"/>
      <c r="O424" s="59"/>
      <c r="Q424" s="59"/>
      <c r="R424" s="61"/>
    </row>
    <row r="425">
      <c r="B425" s="59"/>
      <c r="D425" s="59"/>
      <c r="F425" s="59"/>
      <c r="H425" s="59"/>
      <c r="J425" s="59"/>
      <c r="L425" s="59"/>
      <c r="O425" s="59"/>
      <c r="Q425" s="59"/>
      <c r="R425" s="61"/>
    </row>
    <row r="426">
      <c r="B426" s="59"/>
      <c r="D426" s="59"/>
      <c r="F426" s="59"/>
      <c r="H426" s="59"/>
      <c r="J426" s="59"/>
      <c r="L426" s="59"/>
      <c r="O426" s="59"/>
      <c r="Q426" s="59"/>
      <c r="R426" s="61"/>
    </row>
    <row r="427">
      <c r="B427" s="59"/>
      <c r="D427" s="59"/>
      <c r="F427" s="59"/>
      <c r="H427" s="59"/>
      <c r="J427" s="59"/>
      <c r="L427" s="59"/>
      <c r="O427" s="59"/>
      <c r="Q427" s="59"/>
      <c r="R427" s="61"/>
    </row>
    <row r="428">
      <c r="B428" s="59"/>
      <c r="D428" s="59"/>
      <c r="F428" s="59"/>
      <c r="H428" s="59"/>
      <c r="J428" s="59"/>
      <c r="L428" s="59"/>
      <c r="O428" s="59"/>
      <c r="Q428" s="59"/>
      <c r="R428" s="61"/>
    </row>
    <row r="429">
      <c r="B429" s="59"/>
      <c r="D429" s="59"/>
      <c r="F429" s="59"/>
      <c r="H429" s="59"/>
      <c r="J429" s="59"/>
      <c r="L429" s="59"/>
      <c r="O429" s="59"/>
      <c r="Q429" s="59"/>
      <c r="R429" s="61"/>
    </row>
    <row r="430">
      <c r="B430" s="59"/>
      <c r="D430" s="59"/>
      <c r="F430" s="59"/>
      <c r="H430" s="59"/>
      <c r="J430" s="59"/>
      <c r="L430" s="59"/>
      <c r="O430" s="59"/>
      <c r="Q430" s="59"/>
      <c r="R430" s="61"/>
    </row>
    <row r="431">
      <c r="B431" s="59"/>
      <c r="D431" s="59"/>
      <c r="F431" s="59"/>
      <c r="H431" s="59"/>
      <c r="J431" s="59"/>
      <c r="L431" s="59"/>
      <c r="O431" s="59"/>
      <c r="Q431" s="59"/>
      <c r="R431" s="61"/>
    </row>
    <row r="432">
      <c r="B432" s="59"/>
      <c r="D432" s="59"/>
      <c r="F432" s="59"/>
      <c r="H432" s="59"/>
      <c r="J432" s="59"/>
      <c r="L432" s="59"/>
      <c r="O432" s="59"/>
      <c r="Q432" s="59"/>
      <c r="R432" s="61"/>
    </row>
    <row r="433">
      <c r="B433" s="59"/>
      <c r="D433" s="59"/>
      <c r="F433" s="59"/>
      <c r="H433" s="59"/>
      <c r="J433" s="59"/>
      <c r="L433" s="59"/>
      <c r="O433" s="59"/>
      <c r="Q433" s="59"/>
      <c r="R433" s="61"/>
    </row>
    <row r="434">
      <c r="B434" s="59"/>
      <c r="D434" s="59"/>
      <c r="F434" s="59"/>
      <c r="H434" s="59"/>
      <c r="J434" s="59"/>
      <c r="L434" s="59"/>
      <c r="O434" s="59"/>
      <c r="Q434" s="59"/>
      <c r="R434" s="61"/>
    </row>
    <row r="435">
      <c r="B435" s="59"/>
      <c r="D435" s="59"/>
      <c r="F435" s="59"/>
      <c r="H435" s="59"/>
      <c r="J435" s="59"/>
      <c r="L435" s="59"/>
      <c r="O435" s="59"/>
      <c r="Q435" s="59"/>
      <c r="R435" s="61"/>
    </row>
    <row r="436">
      <c r="B436" s="59"/>
      <c r="D436" s="59"/>
      <c r="F436" s="59"/>
      <c r="H436" s="59"/>
      <c r="J436" s="59"/>
      <c r="L436" s="59"/>
      <c r="O436" s="59"/>
      <c r="Q436" s="59"/>
      <c r="R436" s="61"/>
    </row>
    <row r="437">
      <c r="B437" s="59"/>
      <c r="D437" s="59"/>
      <c r="F437" s="59"/>
      <c r="H437" s="59"/>
      <c r="J437" s="59"/>
      <c r="L437" s="59"/>
      <c r="O437" s="59"/>
      <c r="Q437" s="59"/>
      <c r="R437" s="61"/>
    </row>
    <row r="438">
      <c r="B438" s="59"/>
      <c r="D438" s="59"/>
      <c r="F438" s="59"/>
      <c r="H438" s="59"/>
      <c r="J438" s="59"/>
      <c r="L438" s="59"/>
      <c r="O438" s="59"/>
      <c r="Q438" s="59"/>
      <c r="R438" s="61"/>
    </row>
    <row r="439">
      <c r="B439" s="59"/>
      <c r="D439" s="59"/>
      <c r="F439" s="59"/>
      <c r="H439" s="59"/>
      <c r="J439" s="59"/>
      <c r="L439" s="59"/>
      <c r="O439" s="59"/>
      <c r="Q439" s="59"/>
      <c r="R439" s="61"/>
    </row>
    <row r="440">
      <c r="B440" s="59"/>
      <c r="D440" s="59"/>
      <c r="F440" s="59"/>
      <c r="H440" s="59"/>
      <c r="J440" s="59"/>
      <c r="L440" s="59"/>
      <c r="O440" s="59"/>
      <c r="Q440" s="59"/>
      <c r="R440" s="61"/>
    </row>
    <row r="441">
      <c r="B441" s="59"/>
      <c r="D441" s="59"/>
      <c r="F441" s="59"/>
      <c r="H441" s="59"/>
      <c r="J441" s="59"/>
      <c r="L441" s="59"/>
      <c r="O441" s="59"/>
      <c r="Q441" s="59"/>
      <c r="R441" s="61"/>
    </row>
    <row r="442">
      <c r="B442" s="59"/>
      <c r="D442" s="59"/>
      <c r="F442" s="59"/>
      <c r="H442" s="59"/>
      <c r="J442" s="59"/>
      <c r="L442" s="59"/>
      <c r="O442" s="59"/>
      <c r="Q442" s="59"/>
      <c r="R442" s="61"/>
    </row>
    <row r="443">
      <c r="B443" s="59"/>
      <c r="D443" s="59"/>
      <c r="F443" s="59"/>
      <c r="H443" s="59"/>
      <c r="J443" s="59"/>
      <c r="L443" s="59"/>
      <c r="O443" s="59"/>
      <c r="Q443" s="59"/>
      <c r="R443" s="61"/>
    </row>
    <row r="444">
      <c r="B444" s="59"/>
      <c r="D444" s="59"/>
      <c r="F444" s="59"/>
      <c r="H444" s="59"/>
      <c r="J444" s="59"/>
      <c r="L444" s="59"/>
      <c r="O444" s="59"/>
      <c r="Q444" s="59"/>
      <c r="R444" s="61"/>
    </row>
    <row r="445">
      <c r="B445" s="59"/>
      <c r="D445" s="59"/>
      <c r="F445" s="59"/>
      <c r="H445" s="59"/>
      <c r="J445" s="59"/>
      <c r="L445" s="59"/>
      <c r="O445" s="59"/>
      <c r="Q445" s="59"/>
      <c r="R445" s="61"/>
    </row>
    <row r="446">
      <c r="B446" s="59"/>
      <c r="D446" s="59"/>
      <c r="F446" s="59"/>
      <c r="H446" s="59"/>
      <c r="J446" s="59"/>
      <c r="L446" s="59"/>
      <c r="O446" s="59"/>
      <c r="Q446" s="59"/>
      <c r="R446" s="61"/>
    </row>
    <row r="447">
      <c r="B447" s="59"/>
      <c r="D447" s="59"/>
      <c r="F447" s="59"/>
      <c r="H447" s="59"/>
      <c r="J447" s="59"/>
      <c r="L447" s="59"/>
      <c r="O447" s="59"/>
      <c r="Q447" s="59"/>
      <c r="R447" s="61"/>
    </row>
    <row r="448">
      <c r="B448" s="59"/>
      <c r="D448" s="59"/>
      <c r="F448" s="59"/>
      <c r="H448" s="59"/>
      <c r="J448" s="59"/>
      <c r="L448" s="59"/>
      <c r="O448" s="59"/>
      <c r="Q448" s="59"/>
      <c r="R448" s="61"/>
    </row>
    <row r="449">
      <c r="B449" s="59"/>
      <c r="D449" s="59"/>
      <c r="F449" s="59"/>
      <c r="H449" s="59"/>
      <c r="J449" s="59"/>
      <c r="L449" s="59"/>
      <c r="O449" s="59"/>
      <c r="Q449" s="59"/>
      <c r="R449" s="61"/>
    </row>
    <row r="450">
      <c r="B450" s="59"/>
      <c r="D450" s="59"/>
      <c r="F450" s="59"/>
      <c r="H450" s="59"/>
      <c r="J450" s="59"/>
      <c r="L450" s="59"/>
      <c r="O450" s="59"/>
      <c r="Q450" s="59"/>
      <c r="R450" s="61"/>
    </row>
    <row r="451">
      <c r="B451" s="59"/>
      <c r="D451" s="59"/>
      <c r="F451" s="59"/>
      <c r="H451" s="59"/>
      <c r="J451" s="59"/>
      <c r="L451" s="59"/>
      <c r="O451" s="59"/>
      <c r="Q451" s="59"/>
      <c r="R451" s="61"/>
    </row>
    <row r="452">
      <c r="B452" s="59"/>
      <c r="D452" s="59"/>
      <c r="F452" s="59"/>
      <c r="H452" s="59"/>
      <c r="J452" s="59"/>
      <c r="L452" s="59"/>
      <c r="O452" s="59"/>
      <c r="Q452" s="59"/>
      <c r="R452" s="61"/>
    </row>
    <row r="453">
      <c r="B453" s="59"/>
      <c r="D453" s="59"/>
      <c r="F453" s="59"/>
      <c r="H453" s="59"/>
      <c r="J453" s="59"/>
      <c r="L453" s="59"/>
      <c r="O453" s="59"/>
      <c r="Q453" s="59"/>
      <c r="R453" s="61"/>
    </row>
    <row r="454">
      <c r="B454" s="59"/>
      <c r="D454" s="59"/>
      <c r="F454" s="59"/>
      <c r="H454" s="59"/>
      <c r="J454" s="59"/>
      <c r="L454" s="59"/>
      <c r="O454" s="59"/>
      <c r="Q454" s="59"/>
      <c r="R454" s="61"/>
    </row>
    <row r="455">
      <c r="B455" s="59"/>
      <c r="D455" s="59"/>
      <c r="F455" s="59"/>
      <c r="H455" s="59"/>
      <c r="J455" s="59"/>
      <c r="L455" s="59"/>
      <c r="O455" s="59"/>
      <c r="Q455" s="59"/>
      <c r="R455" s="61"/>
    </row>
    <row r="456">
      <c r="B456" s="59"/>
      <c r="D456" s="59"/>
      <c r="F456" s="59"/>
      <c r="H456" s="59"/>
      <c r="J456" s="59"/>
      <c r="L456" s="59"/>
      <c r="O456" s="59"/>
      <c r="Q456" s="59"/>
      <c r="R456" s="61"/>
    </row>
    <row r="457">
      <c r="B457" s="59"/>
      <c r="D457" s="59"/>
      <c r="F457" s="59"/>
      <c r="H457" s="59"/>
      <c r="J457" s="59"/>
      <c r="L457" s="59"/>
      <c r="O457" s="59"/>
      <c r="Q457" s="59"/>
      <c r="R457" s="61"/>
    </row>
    <row r="458">
      <c r="B458" s="59"/>
      <c r="D458" s="59"/>
      <c r="F458" s="59"/>
      <c r="H458" s="59"/>
      <c r="J458" s="59"/>
      <c r="L458" s="59"/>
      <c r="O458" s="59"/>
      <c r="Q458" s="59"/>
      <c r="R458" s="61"/>
    </row>
    <row r="459">
      <c r="B459" s="59"/>
      <c r="D459" s="59"/>
      <c r="F459" s="59"/>
      <c r="H459" s="59"/>
      <c r="J459" s="59"/>
      <c r="L459" s="59"/>
      <c r="O459" s="59"/>
      <c r="Q459" s="59"/>
      <c r="R459" s="61"/>
    </row>
    <row r="460">
      <c r="B460" s="59"/>
      <c r="D460" s="59"/>
      <c r="F460" s="59"/>
      <c r="H460" s="59"/>
      <c r="J460" s="59"/>
      <c r="L460" s="59"/>
      <c r="O460" s="59"/>
      <c r="Q460" s="59"/>
      <c r="R460" s="61"/>
    </row>
    <row r="461">
      <c r="B461" s="59"/>
      <c r="D461" s="59"/>
      <c r="F461" s="59"/>
      <c r="H461" s="59"/>
      <c r="J461" s="59"/>
      <c r="L461" s="59"/>
      <c r="O461" s="59"/>
      <c r="Q461" s="59"/>
      <c r="R461" s="61"/>
    </row>
    <row r="462">
      <c r="B462" s="59"/>
      <c r="D462" s="59"/>
      <c r="F462" s="59"/>
      <c r="H462" s="59"/>
      <c r="J462" s="59"/>
      <c r="L462" s="59"/>
      <c r="O462" s="59"/>
      <c r="Q462" s="59"/>
      <c r="R462" s="61"/>
    </row>
    <row r="463">
      <c r="B463" s="59"/>
      <c r="D463" s="59"/>
      <c r="F463" s="59"/>
      <c r="H463" s="59"/>
      <c r="J463" s="59"/>
      <c r="L463" s="59"/>
      <c r="O463" s="59"/>
      <c r="Q463" s="59"/>
      <c r="R463" s="61"/>
    </row>
    <row r="464">
      <c r="B464" s="59"/>
      <c r="D464" s="59"/>
      <c r="F464" s="59"/>
      <c r="H464" s="59"/>
      <c r="J464" s="59"/>
      <c r="L464" s="59"/>
      <c r="O464" s="59"/>
      <c r="Q464" s="59"/>
      <c r="R464" s="61"/>
    </row>
    <row r="465">
      <c r="B465" s="59"/>
      <c r="D465" s="59"/>
      <c r="F465" s="59"/>
      <c r="H465" s="59"/>
      <c r="J465" s="59"/>
      <c r="L465" s="59"/>
      <c r="O465" s="59"/>
      <c r="Q465" s="59"/>
      <c r="R465" s="61"/>
    </row>
    <row r="466">
      <c r="B466" s="59"/>
      <c r="D466" s="59"/>
      <c r="F466" s="59"/>
      <c r="H466" s="59"/>
      <c r="J466" s="59"/>
      <c r="L466" s="59"/>
      <c r="O466" s="59"/>
      <c r="Q466" s="59"/>
      <c r="R466" s="61"/>
    </row>
    <row r="467">
      <c r="B467" s="59"/>
      <c r="D467" s="59"/>
      <c r="F467" s="59"/>
      <c r="H467" s="59"/>
      <c r="J467" s="59"/>
      <c r="L467" s="59"/>
      <c r="O467" s="59"/>
      <c r="Q467" s="59"/>
      <c r="R467" s="61"/>
    </row>
    <row r="468">
      <c r="B468" s="59"/>
      <c r="D468" s="59"/>
      <c r="F468" s="59"/>
      <c r="H468" s="59"/>
      <c r="J468" s="59"/>
      <c r="L468" s="59"/>
      <c r="O468" s="59"/>
      <c r="Q468" s="59"/>
      <c r="R468" s="61"/>
    </row>
    <row r="469">
      <c r="B469" s="59"/>
      <c r="D469" s="59"/>
      <c r="F469" s="59"/>
      <c r="H469" s="59"/>
      <c r="J469" s="59"/>
      <c r="L469" s="59"/>
      <c r="O469" s="59"/>
      <c r="Q469" s="59"/>
      <c r="R469" s="61"/>
    </row>
    <row r="470">
      <c r="B470" s="59"/>
      <c r="D470" s="59"/>
      <c r="F470" s="59"/>
      <c r="H470" s="59"/>
      <c r="J470" s="59"/>
      <c r="L470" s="59"/>
      <c r="O470" s="59"/>
      <c r="Q470" s="59"/>
      <c r="R470" s="61"/>
    </row>
    <row r="471">
      <c r="B471" s="59"/>
      <c r="D471" s="59"/>
      <c r="F471" s="59"/>
      <c r="H471" s="59"/>
      <c r="J471" s="59"/>
      <c r="L471" s="59"/>
      <c r="O471" s="59"/>
      <c r="Q471" s="59"/>
      <c r="R471" s="61"/>
    </row>
    <row r="472">
      <c r="B472" s="59"/>
      <c r="D472" s="59"/>
      <c r="F472" s="59"/>
      <c r="H472" s="59"/>
      <c r="J472" s="59"/>
      <c r="L472" s="59"/>
      <c r="O472" s="59"/>
      <c r="Q472" s="59"/>
      <c r="R472" s="61"/>
    </row>
    <row r="473">
      <c r="B473" s="59"/>
      <c r="D473" s="59"/>
      <c r="F473" s="59"/>
      <c r="H473" s="59"/>
      <c r="J473" s="59"/>
      <c r="L473" s="59"/>
      <c r="O473" s="59"/>
      <c r="Q473" s="59"/>
      <c r="R473" s="61"/>
    </row>
    <row r="474">
      <c r="B474" s="59"/>
      <c r="D474" s="59"/>
      <c r="F474" s="59"/>
      <c r="H474" s="59"/>
      <c r="J474" s="59"/>
      <c r="L474" s="59"/>
      <c r="O474" s="59"/>
      <c r="Q474" s="59"/>
      <c r="R474" s="61"/>
    </row>
    <row r="475">
      <c r="B475" s="59"/>
      <c r="D475" s="59"/>
      <c r="F475" s="59"/>
      <c r="H475" s="59"/>
      <c r="J475" s="59"/>
      <c r="L475" s="59"/>
      <c r="O475" s="59"/>
      <c r="Q475" s="59"/>
      <c r="R475" s="61"/>
    </row>
    <row r="476">
      <c r="B476" s="59"/>
      <c r="D476" s="59"/>
      <c r="F476" s="59"/>
      <c r="H476" s="59"/>
      <c r="J476" s="59"/>
      <c r="L476" s="59"/>
      <c r="O476" s="59"/>
      <c r="Q476" s="59"/>
      <c r="R476" s="61"/>
    </row>
    <row r="477">
      <c r="B477" s="59"/>
      <c r="D477" s="59"/>
      <c r="F477" s="59"/>
      <c r="H477" s="59"/>
      <c r="J477" s="59"/>
      <c r="L477" s="59"/>
      <c r="O477" s="59"/>
      <c r="Q477" s="59"/>
      <c r="R477" s="61"/>
    </row>
    <row r="478">
      <c r="B478" s="59"/>
      <c r="D478" s="59"/>
      <c r="F478" s="59"/>
      <c r="H478" s="59"/>
      <c r="J478" s="59"/>
      <c r="L478" s="59"/>
      <c r="O478" s="59"/>
      <c r="Q478" s="59"/>
      <c r="R478" s="61"/>
    </row>
    <row r="479">
      <c r="B479" s="59"/>
      <c r="D479" s="59"/>
      <c r="F479" s="59"/>
      <c r="H479" s="59"/>
      <c r="J479" s="59"/>
      <c r="L479" s="59"/>
      <c r="O479" s="59"/>
      <c r="Q479" s="59"/>
      <c r="R479" s="61"/>
    </row>
    <row r="480">
      <c r="B480" s="59"/>
      <c r="D480" s="59"/>
      <c r="F480" s="59"/>
      <c r="H480" s="59"/>
      <c r="J480" s="59"/>
      <c r="L480" s="59"/>
      <c r="O480" s="59"/>
      <c r="Q480" s="59"/>
      <c r="R480" s="61"/>
    </row>
    <row r="481">
      <c r="B481" s="59"/>
      <c r="D481" s="59"/>
      <c r="F481" s="59"/>
      <c r="H481" s="59"/>
      <c r="J481" s="59"/>
      <c r="L481" s="59"/>
      <c r="O481" s="59"/>
      <c r="Q481" s="59"/>
      <c r="R481" s="61"/>
    </row>
    <row r="482">
      <c r="B482" s="59"/>
      <c r="D482" s="59"/>
      <c r="F482" s="59"/>
      <c r="H482" s="59"/>
      <c r="J482" s="59"/>
      <c r="L482" s="59"/>
      <c r="O482" s="59"/>
      <c r="Q482" s="59"/>
      <c r="R482" s="61"/>
    </row>
    <row r="483">
      <c r="B483" s="59"/>
      <c r="D483" s="59"/>
      <c r="F483" s="59"/>
      <c r="H483" s="59"/>
      <c r="J483" s="59"/>
      <c r="L483" s="59"/>
      <c r="O483" s="59"/>
      <c r="Q483" s="59"/>
      <c r="R483" s="61"/>
    </row>
    <row r="484">
      <c r="B484" s="59"/>
      <c r="D484" s="59"/>
      <c r="F484" s="59"/>
      <c r="H484" s="59"/>
      <c r="J484" s="59"/>
      <c r="L484" s="59"/>
      <c r="O484" s="59"/>
      <c r="Q484" s="59"/>
      <c r="R484" s="61"/>
    </row>
    <row r="485">
      <c r="B485" s="59"/>
      <c r="D485" s="59"/>
      <c r="F485" s="59"/>
      <c r="H485" s="59"/>
      <c r="J485" s="59"/>
      <c r="L485" s="59"/>
      <c r="O485" s="59"/>
      <c r="Q485" s="59"/>
      <c r="R485" s="61"/>
    </row>
    <row r="486">
      <c r="B486" s="59"/>
      <c r="D486" s="59"/>
      <c r="F486" s="59"/>
      <c r="H486" s="59"/>
      <c r="J486" s="59"/>
      <c r="L486" s="59"/>
      <c r="O486" s="59"/>
      <c r="Q486" s="59"/>
      <c r="R486" s="61"/>
    </row>
    <row r="487">
      <c r="B487" s="59"/>
      <c r="D487" s="59"/>
      <c r="F487" s="59"/>
      <c r="H487" s="59"/>
      <c r="J487" s="59"/>
      <c r="L487" s="59"/>
      <c r="O487" s="59"/>
      <c r="Q487" s="59"/>
      <c r="R487" s="61"/>
    </row>
    <row r="488">
      <c r="B488" s="59"/>
      <c r="D488" s="59"/>
      <c r="F488" s="59"/>
      <c r="H488" s="59"/>
      <c r="J488" s="59"/>
      <c r="L488" s="59"/>
      <c r="O488" s="59"/>
      <c r="Q488" s="59"/>
      <c r="R488" s="61"/>
    </row>
    <row r="489">
      <c r="B489" s="59"/>
      <c r="D489" s="59"/>
      <c r="F489" s="59"/>
      <c r="H489" s="59"/>
      <c r="J489" s="59"/>
      <c r="L489" s="59"/>
      <c r="O489" s="59"/>
      <c r="Q489" s="59"/>
      <c r="R489" s="61"/>
    </row>
    <row r="490">
      <c r="B490" s="59"/>
      <c r="D490" s="59"/>
      <c r="F490" s="59"/>
      <c r="H490" s="59"/>
      <c r="J490" s="59"/>
      <c r="L490" s="59"/>
      <c r="O490" s="59"/>
      <c r="Q490" s="59"/>
      <c r="R490" s="61"/>
    </row>
    <row r="491">
      <c r="B491" s="59"/>
      <c r="D491" s="59"/>
      <c r="F491" s="59"/>
      <c r="H491" s="59"/>
      <c r="J491" s="59"/>
      <c r="L491" s="59"/>
      <c r="O491" s="59"/>
      <c r="Q491" s="59"/>
      <c r="R491" s="61"/>
    </row>
    <row r="492">
      <c r="B492" s="59"/>
      <c r="D492" s="59"/>
      <c r="F492" s="59"/>
      <c r="H492" s="59"/>
      <c r="J492" s="59"/>
      <c r="L492" s="59"/>
      <c r="O492" s="59"/>
      <c r="Q492" s="59"/>
      <c r="R492" s="61"/>
    </row>
    <row r="493">
      <c r="B493" s="59"/>
      <c r="D493" s="59"/>
      <c r="F493" s="59"/>
      <c r="H493" s="59"/>
      <c r="J493" s="59"/>
      <c r="L493" s="59"/>
      <c r="O493" s="59"/>
      <c r="Q493" s="59"/>
      <c r="R493" s="61"/>
    </row>
    <row r="494">
      <c r="B494" s="59"/>
      <c r="D494" s="59"/>
      <c r="F494" s="59"/>
      <c r="H494" s="59"/>
      <c r="J494" s="59"/>
      <c r="L494" s="59"/>
      <c r="O494" s="59"/>
      <c r="Q494" s="59"/>
      <c r="R494" s="61"/>
    </row>
    <row r="495">
      <c r="B495" s="59"/>
      <c r="D495" s="59"/>
      <c r="F495" s="59"/>
      <c r="H495" s="59"/>
      <c r="J495" s="59"/>
      <c r="L495" s="59"/>
      <c r="O495" s="59"/>
      <c r="Q495" s="59"/>
      <c r="R495" s="61"/>
    </row>
    <row r="496">
      <c r="B496" s="59"/>
      <c r="D496" s="59"/>
      <c r="F496" s="59"/>
      <c r="H496" s="59"/>
      <c r="J496" s="59"/>
      <c r="L496" s="59"/>
      <c r="O496" s="59"/>
      <c r="Q496" s="59"/>
      <c r="R496" s="61"/>
    </row>
    <row r="497">
      <c r="B497" s="59"/>
      <c r="D497" s="59"/>
      <c r="F497" s="59"/>
      <c r="H497" s="59"/>
      <c r="J497" s="59"/>
      <c r="L497" s="59"/>
      <c r="O497" s="59"/>
      <c r="Q497" s="59"/>
      <c r="R497" s="61"/>
    </row>
    <row r="498">
      <c r="B498" s="59"/>
      <c r="D498" s="59"/>
      <c r="F498" s="59"/>
      <c r="H498" s="59"/>
      <c r="J498" s="59"/>
      <c r="L498" s="59"/>
      <c r="O498" s="59"/>
      <c r="Q498" s="59"/>
      <c r="R498" s="61"/>
    </row>
    <row r="499">
      <c r="B499" s="59"/>
      <c r="D499" s="59"/>
      <c r="F499" s="59"/>
      <c r="H499" s="59"/>
      <c r="J499" s="59"/>
      <c r="L499" s="59"/>
      <c r="O499" s="59"/>
      <c r="Q499" s="59"/>
      <c r="R499" s="61"/>
    </row>
    <row r="500">
      <c r="B500" s="59"/>
      <c r="D500" s="59"/>
      <c r="F500" s="59"/>
      <c r="H500" s="59"/>
      <c r="J500" s="59"/>
      <c r="L500" s="59"/>
      <c r="O500" s="59"/>
      <c r="Q500" s="59"/>
      <c r="R500" s="61"/>
    </row>
    <row r="501">
      <c r="B501" s="59"/>
      <c r="D501" s="59"/>
      <c r="F501" s="59"/>
      <c r="H501" s="59"/>
      <c r="J501" s="59"/>
      <c r="L501" s="59"/>
      <c r="O501" s="59"/>
      <c r="Q501" s="59"/>
      <c r="R501" s="61"/>
    </row>
    <row r="502">
      <c r="B502" s="59"/>
      <c r="D502" s="59"/>
      <c r="F502" s="59"/>
      <c r="H502" s="59"/>
      <c r="J502" s="59"/>
      <c r="L502" s="59"/>
      <c r="O502" s="59"/>
      <c r="Q502" s="59"/>
      <c r="R502" s="61"/>
    </row>
    <row r="503">
      <c r="B503" s="59"/>
      <c r="D503" s="59"/>
      <c r="F503" s="59"/>
      <c r="H503" s="59"/>
      <c r="J503" s="59"/>
      <c r="L503" s="59"/>
      <c r="O503" s="59"/>
      <c r="Q503" s="59"/>
      <c r="R503" s="61"/>
    </row>
    <row r="504">
      <c r="B504" s="59"/>
      <c r="D504" s="59"/>
      <c r="F504" s="59"/>
      <c r="H504" s="59"/>
      <c r="J504" s="59"/>
      <c r="L504" s="59"/>
      <c r="O504" s="59"/>
      <c r="Q504" s="59"/>
      <c r="R504" s="61"/>
    </row>
    <row r="505">
      <c r="B505" s="59"/>
      <c r="D505" s="59"/>
      <c r="F505" s="59"/>
      <c r="H505" s="59"/>
      <c r="J505" s="59"/>
      <c r="L505" s="59"/>
      <c r="O505" s="59"/>
      <c r="Q505" s="59"/>
      <c r="R505" s="61"/>
    </row>
    <row r="506">
      <c r="B506" s="59"/>
      <c r="D506" s="59"/>
      <c r="F506" s="59"/>
      <c r="H506" s="59"/>
      <c r="J506" s="59"/>
      <c r="L506" s="59"/>
      <c r="O506" s="59"/>
      <c r="Q506" s="59"/>
      <c r="R506" s="61"/>
    </row>
    <row r="507">
      <c r="B507" s="59"/>
      <c r="D507" s="59"/>
      <c r="F507" s="59"/>
      <c r="H507" s="59"/>
      <c r="J507" s="59"/>
      <c r="L507" s="59"/>
      <c r="O507" s="59"/>
      <c r="Q507" s="59"/>
      <c r="R507" s="61"/>
    </row>
    <row r="508">
      <c r="B508" s="59"/>
      <c r="D508" s="59"/>
      <c r="F508" s="59"/>
      <c r="H508" s="59"/>
      <c r="J508" s="59"/>
      <c r="L508" s="59"/>
      <c r="O508" s="59"/>
      <c r="Q508" s="59"/>
      <c r="R508" s="61"/>
    </row>
    <row r="509">
      <c r="B509" s="59"/>
      <c r="D509" s="59"/>
      <c r="F509" s="59"/>
      <c r="H509" s="59"/>
      <c r="J509" s="59"/>
      <c r="L509" s="59"/>
      <c r="O509" s="59"/>
      <c r="Q509" s="59"/>
      <c r="R509" s="61"/>
    </row>
    <row r="510">
      <c r="B510" s="59"/>
      <c r="D510" s="59"/>
      <c r="F510" s="59"/>
      <c r="H510" s="59"/>
      <c r="J510" s="59"/>
      <c r="L510" s="59"/>
      <c r="O510" s="59"/>
      <c r="Q510" s="59"/>
      <c r="R510" s="61"/>
    </row>
    <row r="511">
      <c r="B511" s="59"/>
      <c r="D511" s="59"/>
      <c r="F511" s="59"/>
      <c r="H511" s="59"/>
      <c r="J511" s="59"/>
      <c r="L511" s="59"/>
      <c r="O511" s="59"/>
      <c r="Q511" s="59"/>
      <c r="R511" s="61"/>
    </row>
    <row r="512">
      <c r="B512" s="59"/>
      <c r="D512" s="59"/>
      <c r="F512" s="59"/>
      <c r="H512" s="59"/>
      <c r="J512" s="59"/>
      <c r="L512" s="59"/>
      <c r="O512" s="59"/>
      <c r="Q512" s="59"/>
      <c r="R512" s="61"/>
    </row>
    <row r="513">
      <c r="B513" s="59"/>
      <c r="D513" s="59"/>
      <c r="F513" s="59"/>
      <c r="H513" s="59"/>
      <c r="J513" s="59"/>
      <c r="L513" s="59"/>
      <c r="O513" s="59"/>
      <c r="Q513" s="59"/>
      <c r="R513" s="61"/>
    </row>
    <row r="514">
      <c r="B514" s="59"/>
      <c r="D514" s="59"/>
      <c r="F514" s="59"/>
      <c r="H514" s="59"/>
      <c r="J514" s="59"/>
      <c r="L514" s="59"/>
      <c r="O514" s="59"/>
      <c r="Q514" s="59"/>
      <c r="R514" s="61"/>
    </row>
    <row r="515">
      <c r="B515" s="59"/>
      <c r="D515" s="59"/>
      <c r="F515" s="59"/>
      <c r="H515" s="59"/>
      <c r="J515" s="59"/>
      <c r="L515" s="59"/>
      <c r="O515" s="59"/>
      <c r="Q515" s="59"/>
      <c r="R515" s="61"/>
    </row>
    <row r="516">
      <c r="B516" s="59"/>
      <c r="D516" s="59"/>
      <c r="F516" s="59"/>
      <c r="H516" s="59"/>
      <c r="J516" s="59"/>
      <c r="L516" s="59"/>
      <c r="O516" s="59"/>
      <c r="Q516" s="59"/>
      <c r="R516" s="61"/>
    </row>
    <row r="517">
      <c r="B517" s="59"/>
      <c r="D517" s="59"/>
      <c r="F517" s="59"/>
      <c r="H517" s="59"/>
      <c r="J517" s="59"/>
      <c r="L517" s="59"/>
      <c r="O517" s="59"/>
      <c r="Q517" s="59"/>
      <c r="R517" s="61"/>
    </row>
    <row r="518">
      <c r="B518" s="59"/>
      <c r="D518" s="59"/>
      <c r="F518" s="59"/>
      <c r="H518" s="59"/>
      <c r="J518" s="59"/>
      <c r="L518" s="59"/>
      <c r="O518" s="59"/>
      <c r="Q518" s="59"/>
      <c r="R518" s="61"/>
    </row>
    <row r="519">
      <c r="B519" s="59"/>
      <c r="D519" s="59"/>
      <c r="F519" s="59"/>
      <c r="H519" s="59"/>
      <c r="J519" s="59"/>
      <c r="L519" s="59"/>
      <c r="O519" s="59"/>
      <c r="Q519" s="59"/>
      <c r="R519" s="61"/>
    </row>
    <row r="520">
      <c r="B520" s="59"/>
      <c r="D520" s="59"/>
      <c r="F520" s="59"/>
      <c r="H520" s="59"/>
      <c r="J520" s="59"/>
      <c r="L520" s="59"/>
      <c r="O520" s="59"/>
      <c r="Q520" s="59"/>
      <c r="R520" s="61"/>
    </row>
    <row r="521">
      <c r="B521" s="59"/>
      <c r="D521" s="59"/>
      <c r="F521" s="59"/>
      <c r="H521" s="59"/>
      <c r="J521" s="59"/>
      <c r="L521" s="59"/>
      <c r="O521" s="59"/>
      <c r="Q521" s="59"/>
      <c r="R521" s="61"/>
    </row>
    <row r="522">
      <c r="B522" s="59"/>
      <c r="D522" s="59"/>
      <c r="F522" s="59"/>
      <c r="H522" s="59"/>
      <c r="J522" s="59"/>
      <c r="L522" s="59"/>
      <c r="O522" s="59"/>
      <c r="Q522" s="59"/>
      <c r="R522" s="61"/>
    </row>
    <row r="523">
      <c r="B523" s="59"/>
      <c r="D523" s="59"/>
      <c r="F523" s="59"/>
      <c r="H523" s="59"/>
      <c r="J523" s="59"/>
      <c r="L523" s="59"/>
      <c r="O523" s="59"/>
      <c r="Q523" s="59"/>
      <c r="R523" s="61"/>
    </row>
    <row r="524">
      <c r="B524" s="59"/>
      <c r="D524" s="59"/>
      <c r="F524" s="59"/>
      <c r="H524" s="59"/>
      <c r="J524" s="59"/>
      <c r="L524" s="59"/>
      <c r="O524" s="59"/>
      <c r="Q524" s="59"/>
      <c r="R524" s="61"/>
    </row>
    <row r="525">
      <c r="B525" s="59"/>
      <c r="D525" s="59"/>
      <c r="F525" s="59"/>
      <c r="H525" s="59"/>
      <c r="J525" s="59"/>
      <c r="L525" s="59"/>
      <c r="O525" s="59"/>
      <c r="Q525" s="59"/>
      <c r="R525" s="61"/>
    </row>
    <row r="526">
      <c r="B526" s="59"/>
      <c r="D526" s="59"/>
      <c r="F526" s="59"/>
      <c r="H526" s="59"/>
      <c r="J526" s="59"/>
      <c r="L526" s="59"/>
      <c r="O526" s="59"/>
      <c r="Q526" s="59"/>
      <c r="R526" s="61"/>
    </row>
    <row r="527">
      <c r="B527" s="59"/>
      <c r="D527" s="59"/>
      <c r="F527" s="59"/>
      <c r="H527" s="59"/>
      <c r="J527" s="59"/>
      <c r="L527" s="59"/>
      <c r="O527" s="59"/>
      <c r="Q527" s="59"/>
      <c r="R527" s="61"/>
    </row>
    <row r="528">
      <c r="B528" s="59"/>
      <c r="D528" s="59"/>
      <c r="F528" s="59"/>
      <c r="H528" s="59"/>
      <c r="J528" s="59"/>
      <c r="L528" s="59"/>
      <c r="O528" s="59"/>
      <c r="Q528" s="59"/>
      <c r="R528" s="61"/>
    </row>
    <row r="529">
      <c r="B529" s="59"/>
      <c r="D529" s="59"/>
      <c r="F529" s="59"/>
      <c r="H529" s="59"/>
      <c r="J529" s="59"/>
      <c r="L529" s="59"/>
      <c r="O529" s="59"/>
      <c r="Q529" s="59"/>
      <c r="R529" s="61"/>
    </row>
    <row r="530">
      <c r="B530" s="59"/>
      <c r="D530" s="59"/>
      <c r="F530" s="59"/>
      <c r="H530" s="59"/>
      <c r="J530" s="59"/>
      <c r="L530" s="59"/>
      <c r="O530" s="59"/>
      <c r="Q530" s="59"/>
      <c r="R530" s="61"/>
    </row>
    <row r="531">
      <c r="B531" s="59"/>
      <c r="D531" s="59"/>
      <c r="F531" s="59"/>
      <c r="H531" s="59"/>
      <c r="J531" s="59"/>
      <c r="L531" s="59"/>
      <c r="O531" s="59"/>
      <c r="Q531" s="59"/>
      <c r="R531" s="61"/>
    </row>
    <row r="532">
      <c r="B532" s="59"/>
      <c r="D532" s="59"/>
      <c r="F532" s="59"/>
      <c r="H532" s="59"/>
      <c r="J532" s="59"/>
      <c r="L532" s="59"/>
      <c r="O532" s="59"/>
      <c r="Q532" s="59"/>
      <c r="R532" s="61"/>
    </row>
    <row r="533">
      <c r="B533" s="59"/>
      <c r="D533" s="59"/>
      <c r="F533" s="59"/>
      <c r="H533" s="59"/>
      <c r="J533" s="59"/>
      <c r="L533" s="59"/>
      <c r="O533" s="59"/>
      <c r="Q533" s="59"/>
      <c r="R533" s="61"/>
    </row>
    <row r="534">
      <c r="B534" s="59"/>
      <c r="D534" s="59"/>
      <c r="F534" s="59"/>
      <c r="H534" s="59"/>
      <c r="J534" s="59"/>
      <c r="L534" s="59"/>
      <c r="O534" s="59"/>
      <c r="Q534" s="59"/>
      <c r="R534" s="61"/>
    </row>
    <row r="535">
      <c r="B535" s="59"/>
      <c r="D535" s="59"/>
      <c r="F535" s="59"/>
      <c r="H535" s="59"/>
      <c r="J535" s="59"/>
      <c r="L535" s="59"/>
      <c r="O535" s="59"/>
      <c r="Q535" s="59"/>
      <c r="R535" s="61"/>
    </row>
    <row r="536">
      <c r="B536" s="59"/>
      <c r="D536" s="59"/>
      <c r="F536" s="59"/>
      <c r="H536" s="59"/>
      <c r="J536" s="59"/>
      <c r="L536" s="59"/>
      <c r="O536" s="59"/>
      <c r="Q536" s="59"/>
      <c r="R536" s="61"/>
    </row>
    <row r="537">
      <c r="B537" s="59"/>
      <c r="D537" s="59"/>
      <c r="F537" s="59"/>
      <c r="H537" s="59"/>
      <c r="J537" s="59"/>
      <c r="L537" s="59"/>
      <c r="O537" s="59"/>
      <c r="Q537" s="59"/>
      <c r="R537" s="61"/>
    </row>
    <row r="538">
      <c r="B538" s="59"/>
      <c r="D538" s="59"/>
      <c r="F538" s="59"/>
      <c r="H538" s="59"/>
      <c r="J538" s="59"/>
      <c r="L538" s="59"/>
      <c r="O538" s="59"/>
      <c r="Q538" s="59"/>
      <c r="R538" s="61"/>
    </row>
    <row r="539">
      <c r="B539" s="59"/>
      <c r="D539" s="59"/>
      <c r="F539" s="59"/>
      <c r="H539" s="59"/>
      <c r="J539" s="59"/>
      <c r="L539" s="59"/>
      <c r="O539" s="59"/>
      <c r="Q539" s="59"/>
      <c r="R539" s="61"/>
    </row>
    <row r="540">
      <c r="B540" s="59"/>
      <c r="D540" s="59"/>
      <c r="F540" s="59"/>
      <c r="H540" s="59"/>
      <c r="J540" s="59"/>
      <c r="L540" s="59"/>
      <c r="O540" s="59"/>
      <c r="Q540" s="59"/>
      <c r="R540" s="61"/>
    </row>
    <row r="541">
      <c r="B541" s="59"/>
      <c r="D541" s="59"/>
      <c r="F541" s="59"/>
      <c r="H541" s="59"/>
      <c r="J541" s="59"/>
      <c r="L541" s="59"/>
      <c r="O541" s="59"/>
      <c r="Q541" s="59"/>
      <c r="R541" s="61"/>
    </row>
    <row r="542">
      <c r="B542" s="59"/>
      <c r="D542" s="59"/>
      <c r="F542" s="59"/>
      <c r="H542" s="59"/>
      <c r="J542" s="59"/>
      <c r="L542" s="59"/>
      <c r="O542" s="59"/>
      <c r="Q542" s="59"/>
      <c r="R542" s="61"/>
    </row>
    <row r="543">
      <c r="B543" s="59"/>
      <c r="D543" s="59"/>
      <c r="F543" s="59"/>
      <c r="H543" s="59"/>
      <c r="J543" s="59"/>
      <c r="L543" s="59"/>
      <c r="O543" s="59"/>
      <c r="Q543" s="59"/>
      <c r="R543" s="61"/>
    </row>
    <row r="544">
      <c r="B544" s="59"/>
      <c r="D544" s="59"/>
      <c r="F544" s="59"/>
      <c r="H544" s="59"/>
      <c r="J544" s="59"/>
      <c r="L544" s="59"/>
      <c r="O544" s="59"/>
      <c r="Q544" s="59"/>
      <c r="R544" s="61"/>
    </row>
    <row r="545">
      <c r="B545" s="59"/>
      <c r="D545" s="59"/>
      <c r="F545" s="59"/>
      <c r="H545" s="59"/>
      <c r="J545" s="59"/>
      <c r="L545" s="59"/>
      <c r="O545" s="59"/>
      <c r="Q545" s="59"/>
      <c r="R545" s="61"/>
    </row>
    <row r="546">
      <c r="B546" s="59"/>
      <c r="D546" s="59"/>
      <c r="F546" s="59"/>
      <c r="H546" s="59"/>
      <c r="J546" s="59"/>
      <c r="L546" s="59"/>
      <c r="O546" s="59"/>
      <c r="Q546" s="59"/>
      <c r="R546" s="61"/>
    </row>
    <row r="547">
      <c r="B547" s="59"/>
      <c r="D547" s="59"/>
      <c r="F547" s="59"/>
      <c r="H547" s="59"/>
      <c r="J547" s="59"/>
      <c r="L547" s="59"/>
      <c r="O547" s="59"/>
      <c r="Q547" s="59"/>
      <c r="R547" s="61"/>
    </row>
    <row r="548">
      <c r="B548" s="59"/>
      <c r="D548" s="59"/>
      <c r="F548" s="59"/>
      <c r="H548" s="59"/>
      <c r="J548" s="59"/>
      <c r="L548" s="59"/>
      <c r="O548" s="59"/>
      <c r="Q548" s="59"/>
      <c r="R548" s="61"/>
    </row>
    <row r="549">
      <c r="B549" s="59"/>
      <c r="D549" s="59"/>
      <c r="F549" s="59"/>
      <c r="H549" s="59"/>
      <c r="J549" s="59"/>
      <c r="L549" s="59"/>
      <c r="O549" s="59"/>
      <c r="Q549" s="59"/>
      <c r="R549" s="61"/>
    </row>
    <row r="550">
      <c r="B550" s="59"/>
      <c r="D550" s="59"/>
      <c r="F550" s="59"/>
      <c r="H550" s="59"/>
      <c r="J550" s="59"/>
      <c r="L550" s="59"/>
      <c r="O550" s="59"/>
      <c r="Q550" s="59"/>
      <c r="R550" s="61"/>
    </row>
    <row r="551">
      <c r="B551" s="59"/>
      <c r="D551" s="59"/>
      <c r="F551" s="59"/>
      <c r="H551" s="59"/>
      <c r="J551" s="59"/>
      <c r="L551" s="59"/>
      <c r="O551" s="59"/>
      <c r="Q551" s="59"/>
      <c r="R551" s="61"/>
    </row>
    <row r="552">
      <c r="B552" s="59"/>
      <c r="D552" s="59"/>
      <c r="F552" s="59"/>
      <c r="H552" s="59"/>
      <c r="J552" s="59"/>
      <c r="L552" s="59"/>
      <c r="O552" s="59"/>
      <c r="Q552" s="59"/>
      <c r="R552" s="61"/>
    </row>
    <row r="553">
      <c r="B553" s="59"/>
      <c r="D553" s="59"/>
      <c r="F553" s="59"/>
      <c r="H553" s="59"/>
      <c r="J553" s="59"/>
      <c r="L553" s="59"/>
      <c r="O553" s="59"/>
      <c r="Q553" s="59"/>
      <c r="R553" s="61"/>
    </row>
    <row r="554">
      <c r="B554" s="59"/>
      <c r="D554" s="59"/>
      <c r="F554" s="59"/>
      <c r="H554" s="59"/>
      <c r="J554" s="59"/>
      <c r="L554" s="59"/>
      <c r="O554" s="59"/>
      <c r="Q554" s="59"/>
      <c r="R554" s="61"/>
    </row>
    <row r="555">
      <c r="B555" s="59"/>
      <c r="D555" s="59"/>
      <c r="F555" s="59"/>
      <c r="H555" s="59"/>
      <c r="J555" s="59"/>
      <c r="L555" s="59"/>
      <c r="O555" s="59"/>
      <c r="Q555" s="59"/>
      <c r="R555" s="61"/>
    </row>
    <row r="556">
      <c r="B556" s="59"/>
      <c r="D556" s="59"/>
      <c r="F556" s="59"/>
      <c r="H556" s="59"/>
      <c r="J556" s="59"/>
      <c r="L556" s="59"/>
      <c r="O556" s="59"/>
      <c r="Q556" s="59"/>
      <c r="R556" s="61"/>
    </row>
    <row r="557">
      <c r="B557" s="59"/>
      <c r="D557" s="59"/>
      <c r="F557" s="59"/>
      <c r="H557" s="59"/>
      <c r="J557" s="59"/>
      <c r="L557" s="59"/>
      <c r="O557" s="59"/>
      <c r="Q557" s="59"/>
      <c r="R557" s="61"/>
    </row>
    <row r="558">
      <c r="B558" s="59"/>
      <c r="D558" s="59"/>
      <c r="F558" s="59"/>
      <c r="H558" s="59"/>
      <c r="J558" s="59"/>
      <c r="L558" s="59"/>
      <c r="O558" s="59"/>
      <c r="Q558" s="59"/>
      <c r="R558" s="61"/>
    </row>
    <row r="559">
      <c r="B559" s="59"/>
      <c r="D559" s="59"/>
      <c r="F559" s="59"/>
      <c r="H559" s="59"/>
      <c r="J559" s="59"/>
      <c r="L559" s="59"/>
      <c r="O559" s="59"/>
      <c r="Q559" s="59"/>
      <c r="R559" s="61"/>
    </row>
    <row r="560">
      <c r="B560" s="59"/>
      <c r="D560" s="59"/>
      <c r="F560" s="59"/>
      <c r="H560" s="59"/>
      <c r="J560" s="59"/>
      <c r="L560" s="59"/>
      <c r="O560" s="59"/>
      <c r="Q560" s="59"/>
      <c r="R560" s="61"/>
    </row>
    <row r="561">
      <c r="B561" s="59"/>
      <c r="D561" s="59"/>
      <c r="F561" s="59"/>
      <c r="H561" s="59"/>
      <c r="J561" s="59"/>
      <c r="L561" s="59"/>
      <c r="O561" s="59"/>
      <c r="Q561" s="59"/>
      <c r="R561" s="61"/>
    </row>
    <row r="562">
      <c r="B562" s="59"/>
      <c r="D562" s="59"/>
      <c r="F562" s="59"/>
      <c r="H562" s="59"/>
      <c r="J562" s="59"/>
      <c r="L562" s="59"/>
      <c r="O562" s="59"/>
      <c r="Q562" s="59"/>
      <c r="R562" s="61"/>
    </row>
    <row r="563">
      <c r="B563" s="59"/>
      <c r="D563" s="59"/>
      <c r="F563" s="59"/>
      <c r="H563" s="59"/>
      <c r="J563" s="59"/>
      <c r="L563" s="59"/>
      <c r="O563" s="59"/>
      <c r="Q563" s="59"/>
      <c r="R563" s="61"/>
    </row>
    <row r="564">
      <c r="B564" s="59"/>
      <c r="D564" s="59"/>
      <c r="F564" s="59"/>
      <c r="H564" s="59"/>
      <c r="J564" s="59"/>
      <c r="L564" s="59"/>
      <c r="O564" s="59"/>
      <c r="Q564" s="59"/>
      <c r="R564" s="61"/>
    </row>
    <row r="565">
      <c r="B565" s="59"/>
      <c r="D565" s="59"/>
      <c r="F565" s="59"/>
      <c r="H565" s="59"/>
      <c r="J565" s="59"/>
      <c r="L565" s="59"/>
      <c r="O565" s="59"/>
      <c r="Q565" s="59"/>
      <c r="R565" s="61"/>
    </row>
    <row r="566">
      <c r="B566" s="59"/>
      <c r="D566" s="59"/>
      <c r="F566" s="59"/>
      <c r="H566" s="59"/>
      <c r="J566" s="59"/>
      <c r="L566" s="59"/>
      <c r="O566" s="59"/>
      <c r="Q566" s="59"/>
      <c r="R566" s="61"/>
    </row>
    <row r="567">
      <c r="B567" s="59"/>
      <c r="D567" s="59"/>
      <c r="F567" s="59"/>
      <c r="H567" s="59"/>
      <c r="J567" s="59"/>
      <c r="L567" s="59"/>
      <c r="O567" s="59"/>
      <c r="Q567" s="59"/>
      <c r="R567" s="61"/>
    </row>
    <row r="568">
      <c r="B568" s="59"/>
      <c r="D568" s="59"/>
      <c r="F568" s="59"/>
      <c r="H568" s="59"/>
      <c r="J568" s="59"/>
      <c r="L568" s="59"/>
      <c r="O568" s="59"/>
      <c r="Q568" s="59"/>
      <c r="R568" s="61"/>
    </row>
    <row r="569">
      <c r="B569" s="59"/>
      <c r="D569" s="59"/>
      <c r="F569" s="59"/>
      <c r="H569" s="59"/>
      <c r="J569" s="59"/>
      <c r="L569" s="59"/>
      <c r="O569" s="59"/>
      <c r="Q569" s="59"/>
      <c r="R569" s="61"/>
    </row>
    <row r="570">
      <c r="B570" s="59"/>
      <c r="D570" s="59"/>
      <c r="F570" s="59"/>
      <c r="H570" s="59"/>
      <c r="J570" s="59"/>
      <c r="L570" s="59"/>
      <c r="O570" s="59"/>
      <c r="Q570" s="59"/>
      <c r="R570" s="61"/>
    </row>
    <row r="571">
      <c r="B571" s="59"/>
      <c r="D571" s="59"/>
      <c r="F571" s="59"/>
      <c r="H571" s="59"/>
      <c r="J571" s="59"/>
      <c r="L571" s="59"/>
      <c r="O571" s="59"/>
      <c r="Q571" s="59"/>
      <c r="R571" s="61"/>
    </row>
    <row r="572">
      <c r="B572" s="59"/>
      <c r="D572" s="59"/>
      <c r="F572" s="59"/>
      <c r="H572" s="59"/>
      <c r="J572" s="59"/>
      <c r="L572" s="59"/>
      <c r="O572" s="59"/>
      <c r="Q572" s="59"/>
      <c r="R572" s="61"/>
    </row>
    <row r="573">
      <c r="B573" s="59"/>
      <c r="D573" s="59"/>
      <c r="F573" s="59"/>
      <c r="H573" s="59"/>
      <c r="J573" s="59"/>
      <c r="L573" s="59"/>
      <c r="O573" s="59"/>
      <c r="Q573" s="59"/>
      <c r="R573" s="61"/>
    </row>
    <row r="574">
      <c r="B574" s="59"/>
      <c r="D574" s="59"/>
      <c r="F574" s="59"/>
      <c r="H574" s="59"/>
      <c r="J574" s="59"/>
      <c r="L574" s="59"/>
      <c r="O574" s="59"/>
      <c r="Q574" s="59"/>
      <c r="R574" s="61"/>
    </row>
    <row r="575">
      <c r="B575" s="59"/>
      <c r="D575" s="59"/>
      <c r="F575" s="59"/>
      <c r="H575" s="59"/>
      <c r="J575" s="59"/>
      <c r="L575" s="59"/>
      <c r="O575" s="59"/>
      <c r="Q575" s="59"/>
      <c r="R575" s="61"/>
    </row>
    <row r="576">
      <c r="B576" s="59"/>
      <c r="D576" s="59"/>
      <c r="F576" s="59"/>
      <c r="H576" s="59"/>
      <c r="J576" s="59"/>
      <c r="L576" s="59"/>
      <c r="O576" s="59"/>
      <c r="Q576" s="59"/>
      <c r="R576" s="61"/>
    </row>
    <row r="577">
      <c r="B577" s="59"/>
      <c r="D577" s="59"/>
      <c r="F577" s="59"/>
      <c r="H577" s="59"/>
      <c r="J577" s="59"/>
      <c r="L577" s="59"/>
      <c r="O577" s="59"/>
      <c r="Q577" s="59"/>
      <c r="R577" s="61"/>
    </row>
    <row r="578">
      <c r="B578" s="59"/>
      <c r="D578" s="59"/>
      <c r="F578" s="59"/>
      <c r="H578" s="59"/>
      <c r="J578" s="59"/>
      <c r="L578" s="59"/>
      <c r="O578" s="59"/>
      <c r="Q578" s="59"/>
      <c r="R578" s="61"/>
    </row>
    <row r="579">
      <c r="B579" s="59"/>
      <c r="D579" s="59"/>
      <c r="F579" s="59"/>
      <c r="H579" s="59"/>
      <c r="J579" s="59"/>
      <c r="L579" s="59"/>
      <c r="O579" s="59"/>
      <c r="Q579" s="59"/>
      <c r="R579" s="61"/>
    </row>
    <row r="580">
      <c r="B580" s="59"/>
      <c r="D580" s="59"/>
      <c r="F580" s="59"/>
      <c r="H580" s="59"/>
      <c r="J580" s="59"/>
      <c r="L580" s="59"/>
      <c r="O580" s="59"/>
      <c r="Q580" s="59"/>
      <c r="R580" s="61"/>
    </row>
    <row r="581">
      <c r="B581" s="59"/>
      <c r="D581" s="59"/>
      <c r="F581" s="59"/>
      <c r="H581" s="59"/>
      <c r="J581" s="59"/>
      <c r="L581" s="59"/>
      <c r="O581" s="59"/>
      <c r="Q581" s="59"/>
      <c r="R581" s="61"/>
    </row>
    <row r="582">
      <c r="B582" s="59"/>
      <c r="D582" s="59"/>
      <c r="F582" s="59"/>
      <c r="H582" s="59"/>
      <c r="J582" s="59"/>
      <c r="L582" s="59"/>
      <c r="O582" s="59"/>
      <c r="Q582" s="59"/>
      <c r="R582" s="61"/>
    </row>
    <row r="583">
      <c r="B583" s="59"/>
      <c r="D583" s="59"/>
      <c r="F583" s="59"/>
      <c r="H583" s="59"/>
      <c r="J583" s="59"/>
      <c r="L583" s="59"/>
      <c r="O583" s="59"/>
      <c r="Q583" s="59"/>
      <c r="R583" s="61"/>
    </row>
    <row r="584">
      <c r="B584" s="59"/>
      <c r="D584" s="59"/>
      <c r="F584" s="59"/>
      <c r="H584" s="59"/>
      <c r="J584" s="59"/>
      <c r="L584" s="59"/>
      <c r="O584" s="59"/>
      <c r="Q584" s="59"/>
      <c r="R584" s="61"/>
    </row>
    <row r="585">
      <c r="B585" s="59"/>
      <c r="D585" s="59"/>
      <c r="F585" s="59"/>
      <c r="H585" s="59"/>
      <c r="J585" s="59"/>
      <c r="L585" s="59"/>
      <c r="O585" s="59"/>
      <c r="Q585" s="59"/>
      <c r="R585" s="61"/>
    </row>
    <row r="586">
      <c r="B586" s="59"/>
      <c r="D586" s="59"/>
      <c r="F586" s="59"/>
      <c r="H586" s="59"/>
      <c r="J586" s="59"/>
      <c r="L586" s="59"/>
      <c r="O586" s="59"/>
      <c r="Q586" s="59"/>
      <c r="R586" s="61"/>
    </row>
    <row r="587">
      <c r="B587" s="59"/>
      <c r="D587" s="59"/>
      <c r="F587" s="59"/>
      <c r="H587" s="59"/>
      <c r="J587" s="59"/>
      <c r="L587" s="59"/>
      <c r="O587" s="59"/>
      <c r="Q587" s="59"/>
      <c r="R587" s="61"/>
    </row>
    <row r="588">
      <c r="B588" s="59"/>
      <c r="D588" s="59"/>
      <c r="F588" s="59"/>
      <c r="H588" s="59"/>
      <c r="J588" s="59"/>
      <c r="L588" s="59"/>
      <c r="O588" s="59"/>
      <c r="Q588" s="59"/>
      <c r="R588" s="61"/>
    </row>
    <row r="589">
      <c r="B589" s="59"/>
      <c r="D589" s="59"/>
      <c r="F589" s="59"/>
      <c r="H589" s="59"/>
      <c r="J589" s="59"/>
      <c r="L589" s="59"/>
      <c r="O589" s="59"/>
      <c r="Q589" s="59"/>
      <c r="R589" s="61"/>
    </row>
    <row r="590">
      <c r="B590" s="59"/>
      <c r="D590" s="59"/>
      <c r="F590" s="59"/>
      <c r="H590" s="59"/>
      <c r="J590" s="59"/>
      <c r="L590" s="59"/>
      <c r="O590" s="59"/>
      <c r="Q590" s="59"/>
      <c r="R590" s="61"/>
    </row>
    <row r="591">
      <c r="B591" s="59"/>
      <c r="D591" s="59"/>
      <c r="F591" s="59"/>
      <c r="H591" s="59"/>
      <c r="J591" s="59"/>
      <c r="L591" s="59"/>
      <c r="O591" s="59"/>
      <c r="Q591" s="59"/>
      <c r="R591" s="61"/>
    </row>
    <row r="592">
      <c r="B592" s="59"/>
      <c r="D592" s="59"/>
      <c r="F592" s="59"/>
      <c r="H592" s="59"/>
      <c r="J592" s="59"/>
      <c r="L592" s="59"/>
      <c r="O592" s="59"/>
      <c r="Q592" s="59"/>
      <c r="R592" s="61"/>
    </row>
    <row r="593">
      <c r="B593" s="59"/>
      <c r="D593" s="59"/>
      <c r="F593" s="59"/>
      <c r="H593" s="59"/>
      <c r="J593" s="59"/>
      <c r="L593" s="59"/>
      <c r="O593" s="59"/>
      <c r="Q593" s="59"/>
      <c r="R593" s="61"/>
    </row>
    <row r="594">
      <c r="B594" s="59"/>
      <c r="D594" s="59"/>
      <c r="F594" s="59"/>
      <c r="H594" s="59"/>
      <c r="J594" s="59"/>
      <c r="L594" s="59"/>
      <c r="O594" s="59"/>
      <c r="Q594" s="59"/>
      <c r="R594" s="61"/>
    </row>
    <row r="595">
      <c r="B595" s="59"/>
      <c r="D595" s="59"/>
      <c r="F595" s="59"/>
      <c r="H595" s="59"/>
      <c r="J595" s="59"/>
      <c r="L595" s="59"/>
      <c r="O595" s="59"/>
      <c r="Q595" s="59"/>
      <c r="R595" s="61"/>
    </row>
    <row r="596">
      <c r="B596" s="59"/>
      <c r="D596" s="59"/>
      <c r="F596" s="59"/>
      <c r="H596" s="59"/>
      <c r="J596" s="59"/>
      <c r="L596" s="59"/>
      <c r="O596" s="59"/>
      <c r="Q596" s="59"/>
      <c r="R596" s="61"/>
    </row>
    <row r="597">
      <c r="B597" s="59"/>
      <c r="D597" s="59"/>
      <c r="F597" s="59"/>
      <c r="H597" s="59"/>
      <c r="J597" s="59"/>
      <c r="L597" s="59"/>
      <c r="O597" s="59"/>
      <c r="Q597" s="59"/>
      <c r="R597" s="61"/>
    </row>
    <row r="598">
      <c r="B598" s="59"/>
      <c r="D598" s="59"/>
      <c r="F598" s="59"/>
      <c r="H598" s="59"/>
      <c r="J598" s="59"/>
      <c r="L598" s="59"/>
      <c r="O598" s="59"/>
      <c r="Q598" s="59"/>
      <c r="R598" s="61"/>
    </row>
    <row r="599">
      <c r="B599" s="59"/>
      <c r="D599" s="59"/>
      <c r="F599" s="59"/>
      <c r="H599" s="59"/>
      <c r="J599" s="59"/>
      <c r="L599" s="59"/>
      <c r="O599" s="59"/>
      <c r="Q599" s="59"/>
      <c r="R599" s="61"/>
    </row>
    <row r="600">
      <c r="B600" s="59"/>
      <c r="D600" s="59"/>
      <c r="F600" s="59"/>
      <c r="H600" s="59"/>
      <c r="J600" s="59"/>
      <c r="L600" s="59"/>
      <c r="O600" s="59"/>
      <c r="Q600" s="59"/>
      <c r="R600" s="61"/>
    </row>
    <row r="601">
      <c r="B601" s="59"/>
      <c r="D601" s="59"/>
      <c r="F601" s="59"/>
      <c r="H601" s="59"/>
      <c r="J601" s="59"/>
      <c r="L601" s="59"/>
      <c r="O601" s="59"/>
      <c r="Q601" s="59"/>
      <c r="R601" s="61"/>
    </row>
    <row r="602">
      <c r="B602" s="59"/>
      <c r="D602" s="59"/>
      <c r="F602" s="59"/>
      <c r="H602" s="59"/>
      <c r="J602" s="59"/>
      <c r="L602" s="59"/>
      <c r="O602" s="59"/>
      <c r="Q602" s="59"/>
      <c r="R602" s="61"/>
    </row>
    <row r="603">
      <c r="B603" s="59"/>
      <c r="D603" s="59"/>
      <c r="F603" s="59"/>
      <c r="H603" s="59"/>
      <c r="J603" s="59"/>
      <c r="L603" s="59"/>
      <c r="O603" s="59"/>
      <c r="Q603" s="59"/>
      <c r="R603" s="61"/>
    </row>
    <row r="604">
      <c r="B604" s="59"/>
      <c r="D604" s="59"/>
      <c r="F604" s="59"/>
      <c r="H604" s="59"/>
      <c r="J604" s="59"/>
      <c r="L604" s="59"/>
      <c r="O604" s="59"/>
      <c r="Q604" s="59"/>
      <c r="R604" s="61"/>
    </row>
    <row r="605">
      <c r="B605" s="59"/>
      <c r="D605" s="59"/>
      <c r="F605" s="59"/>
      <c r="H605" s="59"/>
      <c r="J605" s="59"/>
      <c r="L605" s="59"/>
      <c r="O605" s="59"/>
      <c r="Q605" s="59"/>
      <c r="R605" s="61"/>
    </row>
    <row r="606">
      <c r="B606" s="59"/>
      <c r="D606" s="59"/>
      <c r="F606" s="59"/>
      <c r="H606" s="59"/>
      <c r="J606" s="59"/>
      <c r="L606" s="59"/>
      <c r="O606" s="59"/>
      <c r="Q606" s="59"/>
      <c r="R606" s="61"/>
    </row>
    <row r="607">
      <c r="B607" s="59"/>
      <c r="D607" s="59"/>
      <c r="F607" s="59"/>
      <c r="H607" s="59"/>
      <c r="J607" s="59"/>
      <c r="L607" s="59"/>
      <c r="O607" s="59"/>
      <c r="Q607" s="59"/>
      <c r="R607" s="61"/>
    </row>
    <row r="608">
      <c r="B608" s="59"/>
      <c r="D608" s="59"/>
      <c r="F608" s="59"/>
      <c r="H608" s="59"/>
      <c r="J608" s="59"/>
      <c r="L608" s="59"/>
      <c r="O608" s="59"/>
      <c r="Q608" s="59"/>
      <c r="R608" s="61"/>
    </row>
    <row r="609">
      <c r="B609" s="59"/>
      <c r="D609" s="59"/>
      <c r="F609" s="59"/>
      <c r="H609" s="59"/>
      <c r="J609" s="59"/>
      <c r="L609" s="59"/>
      <c r="O609" s="59"/>
      <c r="Q609" s="59"/>
      <c r="R609" s="61"/>
    </row>
    <row r="610">
      <c r="B610" s="59"/>
      <c r="D610" s="59"/>
      <c r="F610" s="59"/>
      <c r="H610" s="59"/>
      <c r="J610" s="59"/>
      <c r="L610" s="59"/>
      <c r="O610" s="59"/>
      <c r="Q610" s="59"/>
      <c r="R610" s="61"/>
    </row>
    <row r="611">
      <c r="B611" s="59"/>
      <c r="D611" s="59"/>
      <c r="F611" s="59"/>
      <c r="H611" s="59"/>
      <c r="J611" s="59"/>
      <c r="L611" s="59"/>
      <c r="O611" s="59"/>
      <c r="Q611" s="59"/>
      <c r="R611" s="61"/>
    </row>
    <row r="612">
      <c r="B612" s="59"/>
      <c r="D612" s="59"/>
      <c r="F612" s="59"/>
      <c r="H612" s="59"/>
      <c r="J612" s="59"/>
      <c r="L612" s="59"/>
      <c r="O612" s="59"/>
      <c r="Q612" s="59"/>
      <c r="R612" s="61"/>
    </row>
    <row r="613">
      <c r="B613" s="59"/>
      <c r="D613" s="59"/>
      <c r="F613" s="59"/>
      <c r="H613" s="59"/>
      <c r="J613" s="59"/>
      <c r="L613" s="59"/>
      <c r="O613" s="59"/>
      <c r="Q613" s="59"/>
      <c r="R613" s="61"/>
    </row>
    <row r="614">
      <c r="B614" s="59"/>
      <c r="D614" s="59"/>
      <c r="F614" s="59"/>
      <c r="H614" s="59"/>
      <c r="J614" s="59"/>
      <c r="L614" s="59"/>
      <c r="O614" s="59"/>
      <c r="Q614" s="59"/>
      <c r="R614" s="61"/>
    </row>
    <row r="615">
      <c r="B615" s="59"/>
      <c r="D615" s="59"/>
      <c r="F615" s="59"/>
      <c r="H615" s="59"/>
      <c r="J615" s="59"/>
      <c r="L615" s="59"/>
      <c r="O615" s="59"/>
      <c r="Q615" s="59"/>
      <c r="R615" s="61"/>
    </row>
    <row r="616">
      <c r="B616" s="59"/>
      <c r="D616" s="59"/>
      <c r="F616" s="59"/>
      <c r="H616" s="59"/>
      <c r="J616" s="59"/>
      <c r="L616" s="59"/>
      <c r="O616" s="59"/>
      <c r="Q616" s="59"/>
      <c r="R616" s="61"/>
    </row>
    <row r="617">
      <c r="B617" s="59"/>
      <c r="D617" s="59"/>
      <c r="F617" s="59"/>
      <c r="H617" s="59"/>
      <c r="J617" s="59"/>
      <c r="L617" s="59"/>
      <c r="O617" s="59"/>
      <c r="Q617" s="59"/>
      <c r="R617" s="61"/>
    </row>
    <row r="618">
      <c r="B618" s="59"/>
      <c r="D618" s="59"/>
      <c r="F618" s="59"/>
      <c r="H618" s="59"/>
      <c r="J618" s="59"/>
      <c r="L618" s="59"/>
      <c r="O618" s="59"/>
      <c r="Q618" s="59"/>
      <c r="R618" s="61"/>
    </row>
    <row r="619">
      <c r="B619" s="59"/>
      <c r="D619" s="59"/>
      <c r="F619" s="59"/>
      <c r="H619" s="59"/>
      <c r="J619" s="59"/>
      <c r="L619" s="59"/>
      <c r="O619" s="59"/>
      <c r="Q619" s="59"/>
      <c r="R619" s="61"/>
    </row>
    <row r="620">
      <c r="B620" s="59"/>
      <c r="D620" s="59"/>
      <c r="F620" s="59"/>
      <c r="H620" s="59"/>
      <c r="J620" s="59"/>
      <c r="L620" s="59"/>
      <c r="O620" s="59"/>
      <c r="Q620" s="59"/>
      <c r="R620" s="61"/>
    </row>
    <row r="621">
      <c r="B621" s="59"/>
      <c r="D621" s="59"/>
      <c r="F621" s="59"/>
      <c r="H621" s="59"/>
      <c r="J621" s="59"/>
      <c r="L621" s="59"/>
      <c r="O621" s="59"/>
      <c r="Q621" s="59"/>
      <c r="R621" s="61"/>
    </row>
    <row r="622">
      <c r="B622" s="59"/>
      <c r="D622" s="59"/>
      <c r="F622" s="59"/>
      <c r="H622" s="59"/>
      <c r="J622" s="59"/>
      <c r="L622" s="59"/>
      <c r="O622" s="59"/>
      <c r="Q622" s="59"/>
      <c r="R622" s="61"/>
    </row>
    <row r="623">
      <c r="B623" s="59"/>
      <c r="D623" s="59"/>
      <c r="F623" s="59"/>
      <c r="H623" s="59"/>
      <c r="J623" s="59"/>
      <c r="L623" s="59"/>
      <c r="O623" s="59"/>
      <c r="Q623" s="59"/>
      <c r="R623" s="61"/>
    </row>
    <row r="624">
      <c r="B624" s="59"/>
      <c r="D624" s="59"/>
      <c r="F624" s="59"/>
      <c r="H624" s="59"/>
      <c r="J624" s="59"/>
      <c r="L624" s="59"/>
      <c r="O624" s="59"/>
      <c r="Q624" s="59"/>
      <c r="R624" s="61"/>
    </row>
    <row r="625">
      <c r="B625" s="59"/>
      <c r="D625" s="59"/>
      <c r="F625" s="59"/>
      <c r="H625" s="59"/>
      <c r="J625" s="59"/>
      <c r="L625" s="59"/>
      <c r="O625" s="59"/>
      <c r="Q625" s="59"/>
      <c r="R625" s="61"/>
    </row>
    <row r="626">
      <c r="B626" s="59"/>
      <c r="D626" s="59"/>
      <c r="F626" s="59"/>
      <c r="H626" s="59"/>
      <c r="J626" s="59"/>
      <c r="L626" s="59"/>
      <c r="O626" s="59"/>
      <c r="Q626" s="59"/>
      <c r="R626" s="61"/>
    </row>
    <row r="627">
      <c r="B627" s="59"/>
      <c r="D627" s="59"/>
      <c r="F627" s="59"/>
      <c r="H627" s="59"/>
      <c r="J627" s="59"/>
      <c r="L627" s="59"/>
      <c r="O627" s="59"/>
      <c r="Q627" s="59"/>
      <c r="R627" s="61"/>
    </row>
    <row r="628">
      <c r="B628" s="59"/>
      <c r="D628" s="59"/>
      <c r="F628" s="59"/>
      <c r="H628" s="59"/>
      <c r="J628" s="59"/>
      <c r="L628" s="59"/>
      <c r="O628" s="59"/>
      <c r="Q628" s="59"/>
      <c r="R628" s="61"/>
    </row>
    <row r="629">
      <c r="B629" s="59"/>
      <c r="D629" s="59"/>
      <c r="F629" s="59"/>
      <c r="H629" s="59"/>
      <c r="J629" s="59"/>
      <c r="L629" s="59"/>
      <c r="O629" s="59"/>
      <c r="Q629" s="59"/>
      <c r="R629" s="61"/>
    </row>
    <row r="630">
      <c r="B630" s="59"/>
      <c r="D630" s="59"/>
      <c r="F630" s="59"/>
      <c r="H630" s="59"/>
      <c r="J630" s="59"/>
      <c r="L630" s="59"/>
      <c r="O630" s="59"/>
      <c r="Q630" s="59"/>
      <c r="R630" s="61"/>
    </row>
    <row r="631">
      <c r="B631" s="59"/>
      <c r="D631" s="59"/>
      <c r="F631" s="59"/>
      <c r="H631" s="59"/>
      <c r="J631" s="59"/>
      <c r="L631" s="59"/>
      <c r="O631" s="59"/>
      <c r="Q631" s="59"/>
      <c r="R631" s="61"/>
    </row>
    <row r="632">
      <c r="B632" s="59"/>
      <c r="D632" s="59"/>
      <c r="F632" s="59"/>
      <c r="H632" s="59"/>
      <c r="J632" s="59"/>
      <c r="L632" s="59"/>
      <c r="O632" s="59"/>
      <c r="Q632" s="59"/>
      <c r="R632" s="61"/>
    </row>
    <row r="633">
      <c r="B633" s="59"/>
      <c r="D633" s="59"/>
      <c r="F633" s="59"/>
      <c r="H633" s="59"/>
      <c r="J633" s="59"/>
      <c r="L633" s="59"/>
      <c r="O633" s="59"/>
      <c r="Q633" s="59"/>
      <c r="R633" s="61"/>
    </row>
    <row r="634">
      <c r="B634" s="59"/>
      <c r="D634" s="59"/>
      <c r="F634" s="59"/>
      <c r="H634" s="59"/>
      <c r="J634" s="59"/>
      <c r="L634" s="59"/>
      <c r="O634" s="59"/>
      <c r="Q634" s="59"/>
      <c r="R634" s="61"/>
    </row>
    <row r="635">
      <c r="B635" s="59"/>
      <c r="D635" s="59"/>
      <c r="F635" s="59"/>
      <c r="H635" s="59"/>
      <c r="J635" s="59"/>
      <c r="L635" s="59"/>
      <c r="O635" s="59"/>
      <c r="Q635" s="59"/>
      <c r="R635" s="61"/>
    </row>
    <row r="636">
      <c r="B636" s="59"/>
      <c r="D636" s="59"/>
      <c r="F636" s="59"/>
      <c r="H636" s="59"/>
      <c r="J636" s="59"/>
      <c r="L636" s="59"/>
      <c r="O636" s="59"/>
      <c r="Q636" s="59"/>
      <c r="R636" s="61"/>
    </row>
    <row r="637">
      <c r="B637" s="59"/>
      <c r="D637" s="59"/>
      <c r="F637" s="59"/>
      <c r="H637" s="59"/>
      <c r="J637" s="59"/>
      <c r="L637" s="59"/>
      <c r="O637" s="59"/>
      <c r="Q637" s="59"/>
      <c r="R637" s="61"/>
    </row>
    <row r="638">
      <c r="B638" s="59"/>
      <c r="D638" s="59"/>
      <c r="F638" s="59"/>
      <c r="H638" s="59"/>
      <c r="J638" s="59"/>
      <c r="L638" s="59"/>
      <c r="O638" s="59"/>
      <c r="Q638" s="59"/>
      <c r="R638" s="61"/>
    </row>
    <row r="639">
      <c r="B639" s="59"/>
      <c r="D639" s="59"/>
      <c r="F639" s="59"/>
      <c r="H639" s="59"/>
      <c r="J639" s="59"/>
      <c r="L639" s="59"/>
      <c r="O639" s="59"/>
      <c r="Q639" s="59"/>
      <c r="R639" s="61"/>
    </row>
    <row r="640">
      <c r="B640" s="59"/>
      <c r="D640" s="59"/>
      <c r="F640" s="59"/>
      <c r="H640" s="59"/>
      <c r="J640" s="59"/>
      <c r="L640" s="59"/>
      <c r="O640" s="59"/>
      <c r="Q640" s="59"/>
      <c r="R640" s="61"/>
    </row>
    <row r="641">
      <c r="B641" s="59"/>
      <c r="D641" s="59"/>
      <c r="F641" s="59"/>
      <c r="H641" s="59"/>
      <c r="J641" s="59"/>
      <c r="L641" s="59"/>
      <c r="O641" s="59"/>
      <c r="Q641" s="59"/>
      <c r="R641" s="61"/>
    </row>
    <row r="642">
      <c r="B642" s="59"/>
      <c r="D642" s="59"/>
      <c r="F642" s="59"/>
      <c r="H642" s="59"/>
      <c r="J642" s="59"/>
      <c r="L642" s="59"/>
      <c r="O642" s="59"/>
      <c r="Q642" s="59"/>
      <c r="R642" s="61"/>
    </row>
    <row r="643">
      <c r="B643" s="59"/>
      <c r="D643" s="59"/>
      <c r="F643" s="59"/>
      <c r="H643" s="59"/>
      <c r="J643" s="59"/>
      <c r="L643" s="59"/>
      <c r="O643" s="59"/>
      <c r="Q643" s="59"/>
      <c r="R643" s="61"/>
    </row>
    <row r="644">
      <c r="B644" s="59"/>
      <c r="D644" s="59"/>
      <c r="F644" s="59"/>
      <c r="H644" s="59"/>
      <c r="J644" s="59"/>
      <c r="L644" s="59"/>
      <c r="O644" s="59"/>
      <c r="Q644" s="59"/>
      <c r="R644" s="61"/>
    </row>
    <row r="645">
      <c r="B645" s="59"/>
      <c r="D645" s="59"/>
      <c r="F645" s="59"/>
      <c r="H645" s="59"/>
      <c r="J645" s="59"/>
      <c r="L645" s="59"/>
      <c r="O645" s="59"/>
      <c r="Q645" s="59"/>
      <c r="R645" s="61"/>
    </row>
    <row r="646">
      <c r="B646" s="59"/>
      <c r="D646" s="59"/>
      <c r="F646" s="59"/>
      <c r="H646" s="59"/>
      <c r="J646" s="59"/>
      <c r="L646" s="59"/>
      <c r="O646" s="59"/>
      <c r="Q646" s="59"/>
      <c r="R646" s="61"/>
    </row>
    <row r="647">
      <c r="B647" s="59"/>
      <c r="D647" s="59"/>
      <c r="F647" s="59"/>
      <c r="H647" s="59"/>
      <c r="J647" s="59"/>
      <c r="L647" s="59"/>
      <c r="O647" s="59"/>
      <c r="Q647" s="59"/>
      <c r="R647" s="61"/>
    </row>
    <row r="648">
      <c r="B648" s="59"/>
      <c r="D648" s="59"/>
      <c r="F648" s="59"/>
      <c r="H648" s="59"/>
      <c r="J648" s="59"/>
      <c r="L648" s="59"/>
      <c r="O648" s="59"/>
      <c r="Q648" s="59"/>
      <c r="R648" s="61"/>
    </row>
    <row r="649">
      <c r="B649" s="59"/>
      <c r="D649" s="59"/>
      <c r="F649" s="59"/>
      <c r="H649" s="59"/>
      <c r="J649" s="59"/>
      <c r="L649" s="59"/>
      <c r="O649" s="59"/>
      <c r="Q649" s="59"/>
      <c r="R649" s="61"/>
    </row>
    <row r="650">
      <c r="B650" s="59"/>
      <c r="D650" s="59"/>
      <c r="F650" s="59"/>
      <c r="H650" s="59"/>
      <c r="J650" s="59"/>
      <c r="L650" s="59"/>
      <c r="O650" s="59"/>
      <c r="Q650" s="59"/>
      <c r="R650" s="61"/>
    </row>
    <row r="651">
      <c r="B651" s="59"/>
      <c r="D651" s="59"/>
      <c r="F651" s="59"/>
      <c r="H651" s="59"/>
      <c r="J651" s="59"/>
      <c r="L651" s="59"/>
      <c r="O651" s="59"/>
      <c r="Q651" s="59"/>
      <c r="R651" s="61"/>
    </row>
    <row r="652">
      <c r="B652" s="59"/>
      <c r="D652" s="59"/>
      <c r="F652" s="59"/>
      <c r="H652" s="59"/>
      <c r="J652" s="59"/>
      <c r="L652" s="59"/>
      <c r="O652" s="59"/>
      <c r="Q652" s="59"/>
      <c r="R652" s="61"/>
    </row>
    <row r="653">
      <c r="B653" s="59"/>
      <c r="D653" s="59"/>
      <c r="F653" s="59"/>
      <c r="H653" s="59"/>
      <c r="J653" s="59"/>
      <c r="L653" s="59"/>
      <c r="O653" s="59"/>
      <c r="Q653" s="59"/>
      <c r="R653" s="61"/>
    </row>
    <row r="654">
      <c r="B654" s="59"/>
      <c r="D654" s="59"/>
      <c r="F654" s="59"/>
      <c r="H654" s="59"/>
      <c r="J654" s="59"/>
      <c r="L654" s="59"/>
      <c r="O654" s="59"/>
      <c r="Q654" s="59"/>
      <c r="R654" s="61"/>
    </row>
    <row r="655">
      <c r="B655" s="59"/>
      <c r="D655" s="59"/>
      <c r="F655" s="59"/>
      <c r="H655" s="59"/>
      <c r="J655" s="59"/>
      <c r="L655" s="59"/>
      <c r="O655" s="59"/>
      <c r="Q655" s="59"/>
      <c r="R655" s="61"/>
    </row>
    <row r="656">
      <c r="B656" s="59"/>
      <c r="D656" s="59"/>
      <c r="F656" s="59"/>
      <c r="H656" s="59"/>
      <c r="J656" s="59"/>
      <c r="L656" s="59"/>
      <c r="O656" s="59"/>
      <c r="Q656" s="59"/>
      <c r="R656" s="61"/>
    </row>
    <row r="657">
      <c r="B657" s="59"/>
      <c r="D657" s="59"/>
      <c r="F657" s="59"/>
      <c r="H657" s="59"/>
      <c r="J657" s="59"/>
      <c r="L657" s="59"/>
      <c r="O657" s="59"/>
      <c r="Q657" s="59"/>
      <c r="R657" s="61"/>
    </row>
    <row r="658">
      <c r="B658" s="59"/>
      <c r="D658" s="59"/>
      <c r="F658" s="59"/>
      <c r="H658" s="59"/>
      <c r="J658" s="59"/>
      <c r="L658" s="59"/>
      <c r="O658" s="59"/>
      <c r="Q658" s="59"/>
      <c r="R658" s="61"/>
    </row>
    <row r="659">
      <c r="B659" s="59"/>
      <c r="D659" s="59"/>
      <c r="F659" s="59"/>
      <c r="H659" s="59"/>
      <c r="J659" s="59"/>
      <c r="L659" s="59"/>
      <c r="O659" s="59"/>
      <c r="Q659" s="59"/>
      <c r="R659" s="61"/>
    </row>
    <row r="660">
      <c r="B660" s="59"/>
      <c r="D660" s="59"/>
      <c r="F660" s="59"/>
      <c r="H660" s="59"/>
      <c r="J660" s="59"/>
      <c r="L660" s="59"/>
      <c r="O660" s="59"/>
      <c r="Q660" s="59"/>
      <c r="R660" s="61"/>
    </row>
    <row r="661">
      <c r="B661" s="59"/>
      <c r="D661" s="59"/>
      <c r="F661" s="59"/>
      <c r="H661" s="59"/>
      <c r="J661" s="59"/>
      <c r="L661" s="59"/>
      <c r="O661" s="59"/>
      <c r="Q661" s="59"/>
      <c r="R661" s="61"/>
    </row>
    <row r="662">
      <c r="B662" s="59"/>
      <c r="D662" s="59"/>
      <c r="F662" s="59"/>
      <c r="H662" s="59"/>
      <c r="J662" s="59"/>
      <c r="L662" s="59"/>
      <c r="O662" s="59"/>
      <c r="Q662" s="59"/>
      <c r="R662" s="61"/>
    </row>
    <row r="663">
      <c r="B663" s="59"/>
      <c r="D663" s="59"/>
      <c r="F663" s="59"/>
      <c r="H663" s="59"/>
      <c r="J663" s="59"/>
      <c r="L663" s="59"/>
      <c r="O663" s="59"/>
      <c r="Q663" s="59"/>
      <c r="R663" s="61"/>
    </row>
    <row r="664">
      <c r="B664" s="59"/>
      <c r="D664" s="59"/>
      <c r="F664" s="59"/>
      <c r="H664" s="59"/>
      <c r="J664" s="59"/>
      <c r="L664" s="59"/>
      <c r="O664" s="59"/>
      <c r="Q664" s="59"/>
      <c r="R664" s="61"/>
    </row>
    <row r="665">
      <c r="B665" s="59"/>
      <c r="D665" s="59"/>
      <c r="F665" s="59"/>
      <c r="H665" s="59"/>
      <c r="J665" s="59"/>
      <c r="L665" s="59"/>
      <c r="O665" s="59"/>
      <c r="Q665" s="59"/>
      <c r="R665" s="61"/>
    </row>
    <row r="666">
      <c r="B666" s="59"/>
      <c r="D666" s="59"/>
      <c r="F666" s="59"/>
      <c r="H666" s="59"/>
      <c r="J666" s="59"/>
      <c r="L666" s="59"/>
      <c r="O666" s="59"/>
      <c r="Q666" s="59"/>
      <c r="R666" s="61"/>
    </row>
    <row r="667">
      <c r="B667" s="59"/>
      <c r="D667" s="59"/>
      <c r="F667" s="59"/>
      <c r="H667" s="59"/>
      <c r="J667" s="59"/>
      <c r="L667" s="59"/>
      <c r="O667" s="59"/>
      <c r="Q667" s="59"/>
      <c r="R667" s="61"/>
    </row>
    <row r="668">
      <c r="B668" s="59"/>
      <c r="D668" s="59"/>
      <c r="F668" s="59"/>
      <c r="H668" s="59"/>
      <c r="J668" s="59"/>
      <c r="L668" s="59"/>
      <c r="O668" s="59"/>
      <c r="Q668" s="59"/>
      <c r="R668" s="61"/>
    </row>
    <row r="669">
      <c r="B669" s="59"/>
      <c r="D669" s="59"/>
      <c r="F669" s="59"/>
      <c r="H669" s="59"/>
      <c r="J669" s="59"/>
      <c r="L669" s="59"/>
      <c r="O669" s="59"/>
      <c r="Q669" s="59"/>
      <c r="R669" s="61"/>
    </row>
    <row r="670">
      <c r="B670" s="59"/>
      <c r="D670" s="59"/>
      <c r="F670" s="59"/>
      <c r="H670" s="59"/>
      <c r="J670" s="59"/>
      <c r="L670" s="59"/>
      <c r="O670" s="59"/>
      <c r="Q670" s="59"/>
      <c r="R670" s="61"/>
    </row>
    <row r="671">
      <c r="B671" s="59"/>
      <c r="D671" s="59"/>
      <c r="F671" s="59"/>
      <c r="H671" s="59"/>
      <c r="J671" s="59"/>
      <c r="L671" s="59"/>
      <c r="O671" s="59"/>
      <c r="Q671" s="59"/>
      <c r="R671" s="61"/>
    </row>
    <row r="672">
      <c r="B672" s="59"/>
      <c r="D672" s="59"/>
      <c r="F672" s="59"/>
      <c r="H672" s="59"/>
      <c r="J672" s="59"/>
      <c r="L672" s="59"/>
      <c r="O672" s="59"/>
      <c r="Q672" s="59"/>
      <c r="R672" s="61"/>
    </row>
    <row r="673">
      <c r="B673" s="59"/>
      <c r="D673" s="59"/>
      <c r="F673" s="59"/>
      <c r="H673" s="59"/>
      <c r="J673" s="59"/>
      <c r="L673" s="59"/>
      <c r="O673" s="59"/>
      <c r="Q673" s="59"/>
      <c r="R673" s="61"/>
    </row>
    <row r="674">
      <c r="B674" s="59"/>
      <c r="D674" s="59"/>
      <c r="F674" s="59"/>
      <c r="H674" s="59"/>
      <c r="J674" s="59"/>
      <c r="L674" s="59"/>
      <c r="O674" s="59"/>
      <c r="Q674" s="59"/>
      <c r="R674" s="61"/>
    </row>
    <row r="675">
      <c r="B675" s="59"/>
      <c r="D675" s="59"/>
      <c r="F675" s="59"/>
      <c r="H675" s="59"/>
      <c r="J675" s="59"/>
      <c r="L675" s="59"/>
      <c r="O675" s="59"/>
      <c r="Q675" s="59"/>
      <c r="R675" s="61"/>
    </row>
    <row r="676">
      <c r="B676" s="59"/>
      <c r="D676" s="59"/>
      <c r="F676" s="59"/>
      <c r="H676" s="59"/>
      <c r="J676" s="59"/>
      <c r="L676" s="59"/>
      <c r="O676" s="59"/>
      <c r="Q676" s="59"/>
      <c r="R676" s="61"/>
    </row>
    <row r="677">
      <c r="B677" s="59"/>
      <c r="D677" s="59"/>
      <c r="F677" s="59"/>
      <c r="H677" s="59"/>
      <c r="J677" s="59"/>
      <c r="L677" s="59"/>
      <c r="O677" s="59"/>
      <c r="Q677" s="59"/>
      <c r="R677" s="61"/>
    </row>
    <row r="678">
      <c r="B678" s="59"/>
      <c r="D678" s="59"/>
      <c r="F678" s="59"/>
      <c r="H678" s="59"/>
      <c r="J678" s="59"/>
      <c r="L678" s="59"/>
      <c r="O678" s="59"/>
      <c r="Q678" s="59"/>
      <c r="R678" s="61"/>
    </row>
    <row r="679">
      <c r="B679" s="59"/>
      <c r="D679" s="59"/>
      <c r="F679" s="59"/>
      <c r="H679" s="59"/>
      <c r="J679" s="59"/>
      <c r="L679" s="59"/>
      <c r="O679" s="59"/>
      <c r="Q679" s="59"/>
      <c r="R679" s="61"/>
    </row>
    <row r="680">
      <c r="B680" s="59"/>
      <c r="D680" s="59"/>
      <c r="F680" s="59"/>
      <c r="H680" s="59"/>
      <c r="J680" s="59"/>
      <c r="L680" s="59"/>
      <c r="O680" s="59"/>
      <c r="Q680" s="59"/>
      <c r="R680" s="61"/>
    </row>
    <row r="681">
      <c r="B681" s="59"/>
      <c r="D681" s="59"/>
      <c r="F681" s="59"/>
      <c r="H681" s="59"/>
      <c r="J681" s="59"/>
      <c r="L681" s="59"/>
      <c r="O681" s="59"/>
      <c r="Q681" s="59"/>
      <c r="R681" s="61"/>
    </row>
    <row r="682">
      <c r="B682" s="59"/>
      <c r="D682" s="59"/>
      <c r="F682" s="59"/>
      <c r="H682" s="59"/>
      <c r="J682" s="59"/>
      <c r="L682" s="59"/>
      <c r="O682" s="59"/>
      <c r="Q682" s="59"/>
      <c r="R682" s="61"/>
    </row>
    <row r="683">
      <c r="B683" s="59"/>
      <c r="D683" s="59"/>
      <c r="F683" s="59"/>
      <c r="H683" s="59"/>
      <c r="J683" s="59"/>
      <c r="L683" s="59"/>
      <c r="O683" s="59"/>
      <c r="Q683" s="59"/>
      <c r="R683" s="61"/>
    </row>
    <row r="684">
      <c r="B684" s="59"/>
      <c r="D684" s="59"/>
      <c r="F684" s="59"/>
      <c r="H684" s="59"/>
      <c r="J684" s="59"/>
      <c r="L684" s="59"/>
      <c r="O684" s="59"/>
      <c r="Q684" s="59"/>
      <c r="R684" s="61"/>
    </row>
    <row r="685">
      <c r="B685" s="59"/>
      <c r="D685" s="59"/>
      <c r="F685" s="59"/>
      <c r="H685" s="59"/>
      <c r="J685" s="59"/>
      <c r="L685" s="59"/>
      <c r="O685" s="59"/>
      <c r="Q685" s="59"/>
      <c r="R685" s="61"/>
    </row>
    <row r="686">
      <c r="B686" s="59"/>
      <c r="D686" s="59"/>
      <c r="F686" s="59"/>
      <c r="H686" s="59"/>
      <c r="J686" s="59"/>
      <c r="L686" s="59"/>
      <c r="O686" s="59"/>
      <c r="Q686" s="59"/>
      <c r="R686" s="61"/>
    </row>
    <row r="687">
      <c r="B687" s="59"/>
      <c r="D687" s="59"/>
      <c r="F687" s="59"/>
      <c r="H687" s="59"/>
      <c r="J687" s="59"/>
      <c r="L687" s="59"/>
      <c r="O687" s="59"/>
      <c r="Q687" s="59"/>
      <c r="R687" s="61"/>
    </row>
    <row r="688">
      <c r="B688" s="59"/>
      <c r="D688" s="59"/>
      <c r="F688" s="59"/>
      <c r="H688" s="59"/>
      <c r="J688" s="59"/>
      <c r="L688" s="59"/>
      <c r="O688" s="59"/>
      <c r="Q688" s="59"/>
      <c r="R688" s="61"/>
    </row>
    <row r="689">
      <c r="B689" s="59"/>
      <c r="D689" s="59"/>
      <c r="F689" s="59"/>
      <c r="H689" s="59"/>
      <c r="J689" s="59"/>
      <c r="L689" s="59"/>
      <c r="O689" s="59"/>
      <c r="Q689" s="59"/>
      <c r="R689" s="61"/>
    </row>
    <row r="690">
      <c r="B690" s="59"/>
      <c r="D690" s="59"/>
      <c r="F690" s="59"/>
      <c r="H690" s="59"/>
      <c r="J690" s="59"/>
      <c r="L690" s="59"/>
      <c r="O690" s="59"/>
      <c r="Q690" s="59"/>
      <c r="R690" s="61"/>
    </row>
    <row r="691">
      <c r="B691" s="59"/>
      <c r="D691" s="59"/>
      <c r="F691" s="59"/>
      <c r="H691" s="59"/>
      <c r="J691" s="59"/>
      <c r="L691" s="59"/>
      <c r="O691" s="59"/>
      <c r="Q691" s="59"/>
      <c r="R691" s="61"/>
    </row>
    <row r="692">
      <c r="B692" s="59"/>
      <c r="D692" s="59"/>
      <c r="F692" s="59"/>
      <c r="H692" s="59"/>
      <c r="J692" s="59"/>
      <c r="L692" s="59"/>
      <c r="O692" s="59"/>
      <c r="Q692" s="59"/>
      <c r="R692" s="61"/>
    </row>
    <row r="693">
      <c r="B693" s="59"/>
      <c r="D693" s="59"/>
      <c r="F693" s="59"/>
      <c r="H693" s="59"/>
      <c r="J693" s="59"/>
      <c r="L693" s="59"/>
      <c r="O693" s="59"/>
      <c r="Q693" s="59"/>
      <c r="R693" s="61"/>
    </row>
    <row r="694">
      <c r="B694" s="59"/>
      <c r="D694" s="59"/>
      <c r="F694" s="59"/>
      <c r="H694" s="59"/>
      <c r="J694" s="59"/>
      <c r="L694" s="59"/>
      <c r="O694" s="59"/>
      <c r="Q694" s="59"/>
      <c r="R694" s="61"/>
    </row>
    <row r="695">
      <c r="B695" s="59"/>
      <c r="D695" s="59"/>
      <c r="F695" s="59"/>
      <c r="H695" s="59"/>
      <c r="J695" s="59"/>
      <c r="L695" s="59"/>
      <c r="O695" s="59"/>
      <c r="Q695" s="59"/>
      <c r="R695" s="61"/>
    </row>
    <row r="696">
      <c r="B696" s="59"/>
      <c r="D696" s="59"/>
      <c r="F696" s="59"/>
      <c r="H696" s="59"/>
      <c r="J696" s="59"/>
      <c r="L696" s="59"/>
      <c r="O696" s="59"/>
      <c r="Q696" s="59"/>
      <c r="R696" s="61"/>
    </row>
    <row r="697">
      <c r="B697" s="59"/>
      <c r="D697" s="59"/>
      <c r="F697" s="59"/>
      <c r="H697" s="59"/>
      <c r="J697" s="59"/>
      <c r="L697" s="59"/>
      <c r="O697" s="59"/>
      <c r="Q697" s="59"/>
      <c r="R697" s="61"/>
    </row>
    <row r="698">
      <c r="B698" s="59"/>
      <c r="D698" s="59"/>
      <c r="F698" s="59"/>
      <c r="H698" s="59"/>
      <c r="J698" s="59"/>
      <c r="L698" s="59"/>
      <c r="O698" s="59"/>
      <c r="Q698" s="59"/>
      <c r="R698" s="61"/>
    </row>
    <row r="699">
      <c r="B699" s="59"/>
      <c r="D699" s="59"/>
      <c r="F699" s="59"/>
      <c r="H699" s="59"/>
      <c r="J699" s="59"/>
      <c r="L699" s="59"/>
      <c r="O699" s="59"/>
      <c r="Q699" s="59"/>
      <c r="R699" s="61"/>
    </row>
    <row r="700">
      <c r="B700" s="59"/>
      <c r="D700" s="59"/>
      <c r="F700" s="59"/>
      <c r="H700" s="59"/>
      <c r="J700" s="59"/>
      <c r="L700" s="59"/>
      <c r="O700" s="59"/>
      <c r="Q700" s="59"/>
      <c r="R700" s="61"/>
    </row>
    <row r="701">
      <c r="B701" s="59"/>
      <c r="D701" s="59"/>
      <c r="F701" s="59"/>
      <c r="H701" s="59"/>
      <c r="J701" s="59"/>
      <c r="L701" s="59"/>
      <c r="O701" s="59"/>
      <c r="Q701" s="59"/>
      <c r="R701" s="61"/>
    </row>
    <row r="702">
      <c r="B702" s="59"/>
      <c r="D702" s="59"/>
      <c r="F702" s="59"/>
      <c r="H702" s="59"/>
      <c r="J702" s="59"/>
      <c r="L702" s="59"/>
      <c r="O702" s="59"/>
      <c r="Q702" s="59"/>
      <c r="R702" s="61"/>
    </row>
    <row r="703">
      <c r="B703" s="59"/>
      <c r="D703" s="59"/>
      <c r="F703" s="59"/>
      <c r="H703" s="59"/>
      <c r="J703" s="59"/>
      <c r="L703" s="59"/>
      <c r="O703" s="59"/>
      <c r="Q703" s="59"/>
      <c r="R703" s="61"/>
    </row>
    <row r="704">
      <c r="B704" s="59"/>
      <c r="D704" s="59"/>
      <c r="F704" s="59"/>
      <c r="H704" s="59"/>
      <c r="J704" s="59"/>
      <c r="L704" s="59"/>
      <c r="O704" s="59"/>
      <c r="Q704" s="59"/>
      <c r="R704" s="61"/>
    </row>
    <row r="705">
      <c r="B705" s="59"/>
      <c r="D705" s="59"/>
      <c r="F705" s="59"/>
      <c r="H705" s="59"/>
      <c r="J705" s="59"/>
      <c r="L705" s="59"/>
      <c r="O705" s="59"/>
      <c r="Q705" s="59"/>
      <c r="R705" s="61"/>
    </row>
    <row r="706">
      <c r="B706" s="59"/>
      <c r="D706" s="59"/>
      <c r="F706" s="59"/>
      <c r="H706" s="59"/>
      <c r="J706" s="59"/>
      <c r="L706" s="59"/>
      <c r="O706" s="59"/>
      <c r="Q706" s="59"/>
      <c r="R706" s="61"/>
    </row>
    <row r="707">
      <c r="B707" s="59"/>
      <c r="D707" s="59"/>
      <c r="F707" s="59"/>
      <c r="H707" s="59"/>
      <c r="J707" s="59"/>
      <c r="L707" s="59"/>
      <c r="O707" s="59"/>
      <c r="Q707" s="59"/>
      <c r="R707" s="61"/>
    </row>
    <row r="708">
      <c r="B708" s="59"/>
      <c r="D708" s="59"/>
      <c r="F708" s="59"/>
      <c r="H708" s="59"/>
      <c r="J708" s="59"/>
      <c r="L708" s="59"/>
      <c r="O708" s="59"/>
      <c r="Q708" s="59"/>
      <c r="R708" s="61"/>
    </row>
    <row r="709">
      <c r="B709" s="59"/>
      <c r="D709" s="59"/>
      <c r="F709" s="59"/>
      <c r="H709" s="59"/>
      <c r="J709" s="59"/>
      <c r="L709" s="59"/>
      <c r="O709" s="59"/>
      <c r="Q709" s="59"/>
      <c r="R709" s="61"/>
    </row>
    <row r="710">
      <c r="B710" s="59"/>
      <c r="D710" s="59"/>
      <c r="F710" s="59"/>
      <c r="H710" s="59"/>
      <c r="J710" s="59"/>
      <c r="L710" s="59"/>
      <c r="O710" s="59"/>
      <c r="Q710" s="59"/>
      <c r="R710" s="61"/>
    </row>
    <row r="711">
      <c r="B711" s="59"/>
      <c r="D711" s="59"/>
      <c r="F711" s="59"/>
      <c r="H711" s="59"/>
      <c r="J711" s="59"/>
      <c r="L711" s="59"/>
      <c r="O711" s="59"/>
      <c r="Q711" s="59"/>
      <c r="R711" s="61"/>
    </row>
    <row r="712">
      <c r="B712" s="59"/>
      <c r="D712" s="59"/>
      <c r="F712" s="59"/>
      <c r="H712" s="59"/>
      <c r="J712" s="59"/>
      <c r="L712" s="59"/>
      <c r="O712" s="59"/>
      <c r="Q712" s="59"/>
      <c r="R712" s="61"/>
    </row>
    <row r="713">
      <c r="B713" s="59"/>
      <c r="D713" s="59"/>
      <c r="F713" s="59"/>
      <c r="H713" s="59"/>
      <c r="J713" s="59"/>
      <c r="L713" s="59"/>
      <c r="O713" s="59"/>
      <c r="Q713" s="59"/>
      <c r="R713" s="61"/>
    </row>
    <row r="714">
      <c r="B714" s="59"/>
      <c r="D714" s="59"/>
      <c r="F714" s="59"/>
      <c r="H714" s="59"/>
      <c r="J714" s="59"/>
      <c r="L714" s="59"/>
      <c r="O714" s="59"/>
      <c r="Q714" s="59"/>
      <c r="R714" s="61"/>
    </row>
    <row r="715">
      <c r="B715" s="59"/>
      <c r="D715" s="59"/>
      <c r="F715" s="59"/>
      <c r="H715" s="59"/>
      <c r="J715" s="59"/>
      <c r="L715" s="59"/>
      <c r="O715" s="59"/>
      <c r="Q715" s="59"/>
      <c r="R715" s="61"/>
    </row>
    <row r="716">
      <c r="B716" s="59"/>
      <c r="D716" s="59"/>
      <c r="F716" s="59"/>
      <c r="H716" s="59"/>
      <c r="J716" s="59"/>
      <c r="L716" s="59"/>
      <c r="O716" s="59"/>
      <c r="Q716" s="59"/>
      <c r="R716" s="61"/>
    </row>
    <row r="717">
      <c r="B717" s="59"/>
      <c r="D717" s="59"/>
      <c r="F717" s="59"/>
      <c r="H717" s="59"/>
      <c r="J717" s="59"/>
      <c r="L717" s="59"/>
      <c r="O717" s="59"/>
      <c r="Q717" s="59"/>
      <c r="R717" s="61"/>
    </row>
    <row r="718">
      <c r="B718" s="59"/>
      <c r="D718" s="59"/>
      <c r="F718" s="59"/>
      <c r="H718" s="59"/>
      <c r="J718" s="59"/>
      <c r="L718" s="59"/>
      <c r="O718" s="59"/>
      <c r="Q718" s="59"/>
      <c r="R718" s="61"/>
    </row>
    <row r="719">
      <c r="B719" s="59"/>
      <c r="D719" s="59"/>
      <c r="F719" s="59"/>
      <c r="H719" s="59"/>
      <c r="J719" s="59"/>
      <c r="L719" s="59"/>
      <c r="O719" s="59"/>
      <c r="Q719" s="59"/>
      <c r="R719" s="61"/>
    </row>
    <row r="720">
      <c r="B720" s="59"/>
      <c r="D720" s="59"/>
      <c r="F720" s="59"/>
      <c r="H720" s="59"/>
      <c r="J720" s="59"/>
      <c r="L720" s="59"/>
      <c r="O720" s="59"/>
      <c r="Q720" s="59"/>
      <c r="R720" s="61"/>
    </row>
    <row r="721">
      <c r="B721" s="59"/>
      <c r="D721" s="59"/>
      <c r="F721" s="59"/>
      <c r="H721" s="59"/>
      <c r="J721" s="59"/>
      <c r="L721" s="59"/>
      <c r="O721" s="59"/>
      <c r="Q721" s="59"/>
      <c r="R721" s="61"/>
    </row>
    <row r="722">
      <c r="B722" s="59"/>
      <c r="D722" s="59"/>
      <c r="F722" s="59"/>
      <c r="H722" s="59"/>
      <c r="J722" s="59"/>
      <c r="L722" s="59"/>
      <c r="O722" s="59"/>
      <c r="Q722" s="59"/>
      <c r="R722" s="61"/>
    </row>
    <row r="723">
      <c r="B723" s="59"/>
      <c r="D723" s="59"/>
      <c r="F723" s="59"/>
      <c r="H723" s="59"/>
      <c r="J723" s="59"/>
      <c r="L723" s="59"/>
      <c r="O723" s="59"/>
      <c r="Q723" s="59"/>
      <c r="R723" s="61"/>
    </row>
    <row r="724">
      <c r="B724" s="59"/>
      <c r="D724" s="59"/>
      <c r="F724" s="59"/>
      <c r="H724" s="59"/>
      <c r="J724" s="59"/>
      <c r="L724" s="59"/>
      <c r="O724" s="59"/>
      <c r="Q724" s="59"/>
      <c r="R724" s="61"/>
    </row>
    <row r="725">
      <c r="B725" s="59"/>
      <c r="D725" s="59"/>
      <c r="F725" s="59"/>
      <c r="H725" s="59"/>
      <c r="J725" s="59"/>
      <c r="L725" s="59"/>
      <c r="O725" s="59"/>
      <c r="Q725" s="59"/>
      <c r="R725" s="61"/>
    </row>
    <row r="726">
      <c r="B726" s="59"/>
      <c r="D726" s="59"/>
      <c r="F726" s="59"/>
      <c r="H726" s="59"/>
      <c r="J726" s="59"/>
      <c r="L726" s="59"/>
      <c r="O726" s="59"/>
      <c r="Q726" s="59"/>
      <c r="R726" s="61"/>
    </row>
    <row r="727">
      <c r="B727" s="59"/>
      <c r="D727" s="59"/>
      <c r="F727" s="59"/>
      <c r="H727" s="59"/>
      <c r="J727" s="59"/>
      <c r="L727" s="59"/>
      <c r="O727" s="59"/>
      <c r="Q727" s="59"/>
      <c r="R727" s="61"/>
    </row>
    <row r="728">
      <c r="B728" s="59"/>
      <c r="D728" s="59"/>
      <c r="F728" s="59"/>
      <c r="H728" s="59"/>
      <c r="J728" s="59"/>
      <c r="L728" s="59"/>
      <c r="O728" s="59"/>
      <c r="Q728" s="59"/>
      <c r="R728" s="61"/>
    </row>
    <row r="729">
      <c r="B729" s="59"/>
      <c r="D729" s="59"/>
      <c r="F729" s="59"/>
      <c r="H729" s="59"/>
      <c r="J729" s="59"/>
      <c r="L729" s="59"/>
      <c r="O729" s="59"/>
      <c r="Q729" s="59"/>
      <c r="R729" s="61"/>
    </row>
    <row r="730">
      <c r="B730" s="59"/>
      <c r="D730" s="59"/>
      <c r="F730" s="59"/>
      <c r="H730" s="59"/>
      <c r="J730" s="59"/>
      <c r="L730" s="59"/>
      <c r="O730" s="59"/>
      <c r="Q730" s="59"/>
      <c r="R730" s="61"/>
    </row>
    <row r="731">
      <c r="B731" s="59"/>
      <c r="D731" s="59"/>
      <c r="F731" s="59"/>
      <c r="H731" s="59"/>
      <c r="J731" s="59"/>
      <c r="L731" s="59"/>
      <c r="O731" s="59"/>
      <c r="Q731" s="59"/>
      <c r="R731" s="61"/>
    </row>
    <row r="732">
      <c r="B732" s="59"/>
      <c r="D732" s="59"/>
      <c r="F732" s="59"/>
      <c r="H732" s="59"/>
      <c r="J732" s="59"/>
      <c r="L732" s="59"/>
      <c r="O732" s="59"/>
      <c r="Q732" s="59"/>
      <c r="R732" s="61"/>
    </row>
    <row r="733">
      <c r="B733" s="59"/>
      <c r="D733" s="59"/>
      <c r="F733" s="59"/>
      <c r="H733" s="59"/>
      <c r="J733" s="59"/>
      <c r="L733" s="59"/>
      <c r="O733" s="59"/>
      <c r="Q733" s="59"/>
      <c r="R733" s="61"/>
    </row>
    <row r="734">
      <c r="B734" s="59"/>
      <c r="D734" s="59"/>
      <c r="F734" s="59"/>
      <c r="H734" s="59"/>
      <c r="J734" s="59"/>
      <c r="L734" s="59"/>
      <c r="O734" s="59"/>
      <c r="Q734" s="59"/>
      <c r="R734" s="61"/>
    </row>
    <row r="735">
      <c r="B735" s="59"/>
      <c r="D735" s="59"/>
      <c r="F735" s="59"/>
      <c r="H735" s="59"/>
      <c r="J735" s="59"/>
      <c r="L735" s="59"/>
      <c r="O735" s="59"/>
      <c r="Q735" s="59"/>
      <c r="R735" s="61"/>
    </row>
    <row r="736">
      <c r="B736" s="59"/>
      <c r="D736" s="59"/>
      <c r="F736" s="59"/>
      <c r="H736" s="59"/>
      <c r="J736" s="59"/>
      <c r="L736" s="59"/>
      <c r="O736" s="59"/>
      <c r="Q736" s="59"/>
      <c r="R736" s="61"/>
    </row>
    <row r="737">
      <c r="B737" s="59"/>
      <c r="D737" s="59"/>
      <c r="F737" s="59"/>
      <c r="H737" s="59"/>
      <c r="J737" s="59"/>
      <c r="L737" s="59"/>
      <c r="O737" s="59"/>
      <c r="Q737" s="59"/>
      <c r="R737" s="61"/>
    </row>
    <row r="738">
      <c r="B738" s="59"/>
      <c r="D738" s="59"/>
      <c r="F738" s="59"/>
      <c r="H738" s="59"/>
      <c r="J738" s="59"/>
      <c r="L738" s="59"/>
      <c r="O738" s="59"/>
      <c r="Q738" s="59"/>
      <c r="R738" s="61"/>
    </row>
    <row r="739">
      <c r="B739" s="59"/>
      <c r="D739" s="59"/>
      <c r="F739" s="59"/>
      <c r="H739" s="59"/>
      <c r="J739" s="59"/>
      <c r="L739" s="59"/>
      <c r="O739" s="59"/>
      <c r="Q739" s="59"/>
      <c r="R739" s="61"/>
    </row>
    <row r="740">
      <c r="B740" s="59"/>
      <c r="D740" s="59"/>
      <c r="F740" s="59"/>
      <c r="H740" s="59"/>
      <c r="J740" s="59"/>
      <c r="L740" s="59"/>
      <c r="O740" s="59"/>
      <c r="Q740" s="59"/>
      <c r="R740" s="61"/>
    </row>
    <row r="741">
      <c r="B741" s="59"/>
      <c r="D741" s="59"/>
      <c r="F741" s="59"/>
      <c r="H741" s="59"/>
      <c r="J741" s="59"/>
      <c r="L741" s="59"/>
      <c r="O741" s="59"/>
      <c r="Q741" s="59"/>
      <c r="R741" s="61"/>
    </row>
    <row r="742">
      <c r="B742" s="59"/>
      <c r="D742" s="59"/>
      <c r="F742" s="59"/>
      <c r="H742" s="59"/>
      <c r="J742" s="59"/>
      <c r="L742" s="59"/>
      <c r="O742" s="59"/>
      <c r="Q742" s="59"/>
      <c r="R742" s="61"/>
    </row>
    <row r="743">
      <c r="B743" s="59"/>
      <c r="D743" s="59"/>
      <c r="F743" s="59"/>
      <c r="H743" s="59"/>
      <c r="J743" s="59"/>
      <c r="L743" s="59"/>
      <c r="O743" s="59"/>
      <c r="Q743" s="59"/>
      <c r="R743" s="61"/>
    </row>
    <row r="744">
      <c r="B744" s="59"/>
      <c r="D744" s="59"/>
      <c r="F744" s="59"/>
      <c r="H744" s="59"/>
      <c r="J744" s="59"/>
      <c r="L744" s="59"/>
      <c r="O744" s="59"/>
      <c r="Q744" s="59"/>
      <c r="R744" s="61"/>
    </row>
    <row r="745">
      <c r="B745" s="59"/>
      <c r="D745" s="59"/>
      <c r="F745" s="59"/>
      <c r="H745" s="59"/>
      <c r="J745" s="59"/>
      <c r="L745" s="59"/>
      <c r="O745" s="59"/>
      <c r="Q745" s="59"/>
      <c r="R745" s="61"/>
    </row>
    <row r="746">
      <c r="B746" s="59"/>
      <c r="D746" s="59"/>
      <c r="F746" s="59"/>
      <c r="H746" s="59"/>
      <c r="J746" s="59"/>
      <c r="L746" s="59"/>
      <c r="O746" s="59"/>
      <c r="Q746" s="59"/>
      <c r="R746" s="61"/>
    </row>
    <row r="747">
      <c r="B747" s="59"/>
      <c r="D747" s="59"/>
      <c r="F747" s="59"/>
      <c r="H747" s="59"/>
      <c r="J747" s="59"/>
      <c r="L747" s="59"/>
      <c r="O747" s="59"/>
      <c r="Q747" s="59"/>
      <c r="R747" s="61"/>
    </row>
    <row r="748">
      <c r="B748" s="59"/>
      <c r="D748" s="59"/>
      <c r="F748" s="59"/>
      <c r="H748" s="59"/>
      <c r="J748" s="59"/>
      <c r="L748" s="59"/>
      <c r="O748" s="59"/>
      <c r="Q748" s="59"/>
      <c r="R748" s="61"/>
    </row>
    <row r="749">
      <c r="B749" s="59"/>
      <c r="D749" s="59"/>
      <c r="F749" s="59"/>
      <c r="H749" s="59"/>
      <c r="J749" s="59"/>
      <c r="L749" s="59"/>
      <c r="O749" s="59"/>
      <c r="Q749" s="59"/>
      <c r="R749" s="61"/>
    </row>
    <row r="750">
      <c r="B750" s="59"/>
      <c r="D750" s="59"/>
      <c r="F750" s="59"/>
      <c r="H750" s="59"/>
      <c r="J750" s="59"/>
      <c r="L750" s="59"/>
      <c r="O750" s="59"/>
      <c r="Q750" s="59"/>
      <c r="R750" s="61"/>
    </row>
    <row r="751">
      <c r="B751" s="59"/>
      <c r="D751" s="59"/>
      <c r="F751" s="59"/>
      <c r="H751" s="59"/>
      <c r="J751" s="59"/>
      <c r="L751" s="59"/>
      <c r="O751" s="59"/>
      <c r="Q751" s="59"/>
      <c r="R751" s="61"/>
    </row>
    <row r="752">
      <c r="B752" s="59"/>
      <c r="D752" s="59"/>
      <c r="F752" s="59"/>
      <c r="H752" s="59"/>
      <c r="J752" s="59"/>
      <c r="L752" s="59"/>
      <c r="O752" s="59"/>
      <c r="Q752" s="59"/>
      <c r="R752" s="61"/>
    </row>
    <row r="753">
      <c r="B753" s="59"/>
      <c r="D753" s="59"/>
      <c r="F753" s="59"/>
      <c r="H753" s="59"/>
      <c r="J753" s="59"/>
      <c r="L753" s="59"/>
      <c r="O753" s="59"/>
      <c r="Q753" s="59"/>
      <c r="R753" s="61"/>
    </row>
    <row r="754">
      <c r="B754" s="59"/>
      <c r="D754" s="59"/>
      <c r="F754" s="59"/>
      <c r="H754" s="59"/>
      <c r="J754" s="59"/>
      <c r="L754" s="59"/>
      <c r="O754" s="59"/>
      <c r="Q754" s="59"/>
      <c r="R754" s="61"/>
    </row>
    <row r="755">
      <c r="B755" s="59"/>
      <c r="D755" s="59"/>
      <c r="F755" s="59"/>
      <c r="H755" s="59"/>
      <c r="J755" s="59"/>
      <c r="L755" s="59"/>
      <c r="O755" s="59"/>
      <c r="Q755" s="59"/>
      <c r="R755" s="61"/>
    </row>
    <row r="756">
      <c r="B756" s="59"/>
      <c r="D756" s="59"/>
      <c r="F756" s="59"/>
      <c r="H756" s="59"/>
      <c r="J756" s="59"/>
      <c r="L756" s="59"/>
      <c r="O756" s="59"/>
      <c r="Q756" s="59"/>
      <c r="R756" s="61"/>
    </row>
    <row r="757">
      <c r="B757" s="59"/>
      <c r="D757" s="59"/>
      <c r="F757" s="59"/>
      <c r="H757" s="59"/>
      <c r="J757" s="59"/>
      <c r="L757" s="59"/>
      <c r="O757" s="59"/>
      <c r="Q757" s="59"/>
      <c r="R757" s="61"/>
    </row>
    <row r="758">
      <c r="B758" s="59"/>
      <c r="D758" s="59"/>
      <c r="F758" s="59"/>
      <c r="H758" s="59"/>
      <c r="J758" s="59"/>
      <c r="L758" s="59"/>
      <c r="O758" s="59"/>
      <c r="Q758" s="59"/>
      <c r="R758" s="61"/>
    </row>
    <row r="759">
      <c r="B759" s="59"/>
      <c r="D759" s="59"/>
      <c r="F759" s="59"/>
      <c r="H759" s="59"/>
      <c r="J759" s="59"/>
      <c r="L759" s="59"/>
      <c r="O759" s="59"/>
      <c r="Q759" s="59"/>
      <c r="R759" s="61"/>
    </row>
    <row r="760">
      <c r="B760" s="59"/>
      <c r="D760" s="59"/>
      <c r="F760" s="59"/>
      <c r="H760" s="59"/>
      <c r="J760" s="59"/>
      <c r="L760" s="59"/>
      <c r="O760" s="59"/>
      <c r="Q760" s="59"/>
      <c r="R760" s="61"/>
    </row>
    <row r="761">
      <c r="B761" s="59"/>
      <c r="D761" s="59"/>
      <c r="F761" s="59"/>
      <c r="H761" s="59"/>
      <c r="J761" s="59"/>
      <c r="L761" s="59"/>
      <c r="O761" s="59"/>
      <c r="Q761" s="59"/>
      <c r="R761" s="61"/>
    </row>
    <row r="762">
      <c r="B762" s="59"/>
      <c r="D762" s="59"/>
      <c r="F762" s="59"/>
      <c r="H762" s="59"/>
      <c r="J762" s="59"/>
      <c r="L762" s="59"/>
      <c r="O762" s="59"/>
      <c r="Q762" s="59"/>
      <c r="R762" s="61"/>
    </row>
    <row r="763">
      <c r="B763" s="59"/>
      <c r="D763" s="59"/>
      <c r="F763" s="59"/>
      <c r="H763" s="59"/>
      <c r="J763" s="59"/>
      <c r="L763" s="59"/>
      <c r="O763" s="59"/>
      <c r="Q763" s="59"/>
      <c r="R763" s="61"/>
    </row>
    <row r="764">
      <c r="B764" s="59"/>
      <c r="D764" s="59"/>
      <c r="F764" s="59"/>
      <c r="H764" s="59"/>
      <c r="J764" s="59"/>
      <c r="L764" s="59"/>
      <c r="O764" s="59"/>
      <c r="Q764" s="59"/>
      <c r="R764" s="61"/>
    </row>
    <row r="765">
      <c r="B765" s="59"/>
      <c r="D765" s="59"/>
      <c r="F765" s="59"/>
      <c r="H765" s="59"/>
      <c r="J765" s="59"/>
      <c r="L765" s="59"/>
      <c r="O765" s="59"/>
      <c r="Q765" s="59"/>
      <c r="R765" s="61"/>
    </row>
    <row r="766">
      <c r="B766" s="59"/>
      <c r="D766" s="59"/>
      <c r="F766" s="59"/>
      <c r="H766" s="59"/>
      <c r="J766" s="59"/>
      <c r="L766" s="59"/>
      <c r="O766" s="59"/>
      <c r="Q766" s="59"/>
      <c r="R766" s="61"/>
    </row>
    <row r="767">
      <c r="B767" s="59"/>
      <c r="D767" s="59"/>
      <c r="F767" s="59"/>
      <c r="H767" s="59"/>
      <c r="J767" s="59"/>
      <c r="L767" s="59"/>
      <c r="O767" s="59"/>
      <c r="Q767" s="59"/>
      <c r="R767" s="61"/>
    </row>
    <row r="768">
      <c r="B768" s="59"/>
      <c r="D768" s="59"/>
      <c r="F768" s="59"/>
      <c r="H768" s="59"/>
      <c r="J768" s="59"/>
      <c r="L768" s="59"/>
      <c r="O768" s="59"/>
      <c r="Q768" s="59"/>
      <c r="R768" s="61"/>
    </row>
    <row r="769">
      <c r="B769" s="59"/>
      <c r="D769" s="59"/>
      <c r="F769" s="59"/>
      <c r="H769" s="59"/>
      <c r="J769" s="59"/>
      <c r="L769" s="59"/>
      <c r="O769" s="59"/>
      <c r="Q769" s="59"/>
      <c r="R769" s="61"/>
    </row>
    <row r="770">
      <c r="B770" s="59"/>
      <c r="D770" s="59"/>
      <c r="F770" s="59"/>
      <c r="H770" s="59"/>
      <c r="J770" s="59"/>
      <c r="L770" s="59"/>
      <c r="O770" s="59"/>
      <c r="Q770" s="59"/>
      <c r="R770" s="61"/>
    </row>
    <row r="771">
      <c r="B771" s="59"/>
      <c r="D771" s="59"/>
      <c r="F771" s="59"/>
      <c r="H771" s="59"/>
      <c r="J771" s="59"/>
      <c r="L771" s="59"/>
      <c r="O771" s="59"/>
      <c r="Q771" s="59"/>
      <c r="R771" s="61"/>
    </row>
    <row r="772">
      <c r="B772" s="59"/>
      <c r="D772" s="59"/>
      <c r="F772" s="59"/>
      <c r="H772" s="59"/>
      <c r="J772" s="59"/>
      <c r="L772" s="59"/>
      <c r="O772" s="59"/>
      <c r="Q772" s="59"/>
      <c r="R772" s="61"/>
    </row>
    <row r="773">
      <c r="B773" s="59"/>
      <c r="D773" s="59"/>
      <c r="F773" s="59"/>
      <c r="H773" s="59"/>
      <c r="J773" s="59"/>
      <c r="L773" s="59"/>
      <c r="O773" s="59"/>
      <c r="Q773" s="59"/>
      <c r="R773" s="61"/>
    </row>
    <row r="774">
      <c r="B774" s="59"/>
      <c r="D774" s="59"/>
      <c r="F774" s="59"/>
      <c r="H774" s="59"/>
      <c r="J774" s="59"/>
      <c r="L774" s="59"/>
      <c r="O774" s="59"/>
      <c r="Q774" s="59"/>
      <c r="R774" s="61"/>
    </row>
    <row r="775">
      <c r="B775" s="59"/>
      <c r="D775" s="59"/>
      <c r="F775" s="59"/>
      <c r="H775" s="59"/>
      <c r="J775" s="59"/>
      <c r="L775" s="59"/>
      <c r="O775" s="59"/>
      <c r="Q775" s="59"/>
      <c r="R775" s="61"/>
    </row>
    <row r="776">
      <c r="B776" s="59"/>
      <c r="D776" s="59"/>
      <c r="F776" s="59"/>
      <c r="H776" s="59"/>
      <c r="J776" s="59"/>
      <c r="L776" s="59"/>
      <c r="O776" s="59"/>
      <c r="Q776" s="59"/>
      <c r="R776" s="61"/>
    </row>
    <row r="777">
      <c r="B777" s="59"/>
      <c r="D777" s="59"/>
      <c r="F777" s="59"/>
      <c r="H777" s="59"/>
      <c r="J777" s="59"/>
      <c r="L777" s="59"/>
      <c r="O777" s="59"/>
      <c r="Q777" s="59"/>
      <c r="R777" s="61"/>
    </row>
    <row r="778">
      <c r="B778" s="59"/>
      <c r="D778" s="59"/>
      <c r="F778" s="59"/>
      <c r="H778" s="59"/>
      <c r="J778" s="59"/>
      <c r="L778" s="59"/>
      <c r="O778" s="59"/>
      <c r="Q778" s="59"/>
      <c r="R778" s="61"/>
    </row>
    <row r="779">
      <c r="B779" s="59"/>
      <c r="D779" s="59"/>
      <c r="F779" s="59"/>
      <c r="H779" s="59"/>
      <c r="J779" s="59"/>
      <c r="L779" s="59"/>
      <c r="O779" s="59"/>
      <c r="Q779" s="59"/>
      <c r="R779" s="61"/>
    </row>
    <row r="780">
      <c r="B780" s="59"/>
      <c r="D780" s="59"/>
      <c r="F780" s="59"/>
      <c r="H780" s="59"/>
      <c r="J780" s="59"/>
      <c r="L780" s="59"/>
      <c r="O780" s="59"/>
      <c r="Q780" s="59"/>
      <c r="R780" s="61"/>
    </row>
    <row r="781">
      <c r="B781" s="59"/>
      <c r="D781" s="59"/>
      <c r="F781" s="59"/>
      <c r="H781" s="59"/>
      <c r="J781" s="59"/>
      <c r="L781" s="59"/>
      <c r="O781" s="59"/>
      <c r="Q781" s="59"/>
      <c r="R781" s="61"/>
    </row>
    <row r="782">
      <c r="B782" s="59"/>
      <c r="D782" s="59"/>
      <c r="F782" s="59"/>
      <c r="H782" s="59"/>
      <c r="J782" s="59"/>
      <c r="L782" s="59"/>
      <c r="O782" s="59"/>
      <c r="Q782" s="59"/>
      <c r="R782" s="61"/>
    </row>
    <row r="783">
      <c r="B783" s="59"/>
      <c r="D783" s="59"/>
      <c r="F783" s="59"/>
      <c r="H783" s="59"/>
      <c r="J783" s="59"/>
      <c r="L783" s="59"/>
      <c r="O783" s="59"/>
      <c r="Q783" s="59"/>
      <c r="R783" s="61"/>
    </row>
    <row r="784">
      <c r="B784" s="59"/>
      <c r="D784" s="59"/>
      <c r="F784" s="59"/>
      <c r="H784" s="59"/>
      <c r="J784" s="59"/>
      <c r="L784" s="59"/>
      <c r="O784" s="59"/>
      <c r="Q784" s="59"/>
      <c r="R784" s="61"/>
    </row>
    <row r="785">
      <c r="B785" s="59"/>
      <c r="D785" s="59"/>
      <c r="F785" s="59"/>
      <c r="H785" s="59"/>
      <c r="J785" s="59"/>
      <c r="L785" s="59"/>
      <c r="O785" s="59"/>
      <c r="Q785" s="59"/>
      <c r="R785" s="61"/>
    </row>
    <row r="786">
      <c r="B786" s="59"/>
      <c r="D786" s="59"/>
      <c r="F786" s="59"/>
      <c r="H786" s="59"/>
      <c r="J786" s="59"/>
      <c r="L786" s="59"/>
      <c r="O786" s="59"/>
      <c r="Q786" s="59"/>
      <c r="R786" s="61"/>
    </row>
    <row r="787">
      <c r="B787" s="59"/>
      <c r="D787" s="59"/>
      <c r="F787" s="59"/>
      <c r="H787" s="59"/>
      <c r="J787" s="59"/>
      <c r="L787" s="59"/>
      <c r="O787" s="59"/>
      <c r="Q787" s="59"/>
      <c r="R787" s="61"/>
    </row>
    <row r="788">
      <c r="B788" s="59"/>
      <c r="D788" s="59"/>
      <c r="F788" s="59"/>
      <c r="H788" s="59"/>
      <c r="J788" s="59"/>
      <c r="L788" s="59"/>
      <c r="O788" s="59"/>
      <c r="Q788" s="59"/>
      <c r="R788" s="61"/>
    </row>
    <row r="789">
      <c r="B789" s="59"/>
      <c r="D789" s="59"/>
      <c r="F789" s="59"/>
      <c r="H789" s="59"/>
      <c r="J789" s="59"/>
      <c r="L789" s="59"/>
      <c r="O789" s="59"/>
      <c r="Q789" s="59"/>
      <c r="R789" s="61"/>
    </row>
    <row r="790">
      <c r="B790" s="59"/>
      <c r="D790" s="59"/>
      <c r="F790" s="59"/>
      <c r="H790" s="59"/>
      <c r="J790" s="59"/>
      <c r="L790" s="59"/>
      <c r="O790" s="59"/>
      <c r="Q790" s="59"/>
      <c r="R790" s="61"/>
    </row>
    <row r="791">
      <c r="B791" s="59"/>
      <c r="D791" s="59"/>
      <c r="F791" s="59"/>
      <c r="H791" s="59"/>
      <c r="J791" s="59"/>
      <c r="L791" s="59"/>
      <c r="O791" s="59"/>
      <c r="Q791" s="59"/>
      <c r="R791" s="61"/>
    </row>
    <row r="792">
      <c r="B792" s="59"/>
      <c r="D792" s="59"/>
      <c r="F792" s="59"/>
      <c r="H792" s="59"/>
      <c r="J792" s="59"/>
      <c r="L792" s="59"/>
      <c r="O792" s="59"/>
      <c r="Q792" s="59"/>
      <c r="R792" s="61"/>
    </row>
    <row r="793">
      <c r="B793" s="59"/>
      <c r="D793" s="59"/>
      <c r="F793" s="59"/>
      <c r="H793" s="59"/>
      <c r="J793" s="59"/>
      <c r="L793" s="59"/>
      <c r="O793" s="59"/>
      <c r="Q793" s="59"/>
      <c r="R793" s="61"/>
    </row>
    <row r="794">
      <c r="B794" s="59"/>
      <c r="D794" s="59"/>
      <c r="F794" s="59"/>
      <c r="H794" s="59"/>
      <c r="J794" s="59"/>
      <c r="L794" s="59"/>
      <c r="O794" s="59"/>
      <c r="Q794" s="59"/>
      <c r="R794" s="61"/>
    </row>
    <row r="795">
      <c r="B795" s="59"/>
      <c r="D795" s="59"/>
      <c r="F795" s="59"/>
      <c r="H795" s="59"/>
      <c r="J795" s="59"/>
      <c r="L795" s="59"/>
      <c r="O795" s="59"/>
      <c r="Q795" s="59"/>
      <c r="R795" s="61"/>
    </row>
    <row r="796">
      <c r="B796" s="59"/>
      <c r="D796" s="59"/>
      <c r="F796" s="59"/>
      <c r="H796" s="59"/>
      <c r="J796" s="59"/>
      <c r="L796" s="59"/>
      <c r="O796" s="59"/>
      <c r="Q796" s="59"/>
      <c r="R796" s="61"/>
    </row>
    <row r="797">
      <c r="B797" s="59"/>
      <c r="D797" s="59"/>
      <c r="F797" s="59"/>
      <c r="H797" s="59"/>
      <c r="J797" s="59"/>
      <c r="L797" s="59"/>
      <c r="O797" s="59"/>
      <c r="Q797" s="59"/>
      <c r="R797" s="61"/>
    </row>
    <row r="798">
      <c r="B798" s="59"/>
      <c r="D798" s="59"/>
      <c r="F798" s="59"/>
      <c r="H798" s="59"/>
      <c r="J798" s="59"/>
      <c r="L798" s="59"/>
      <c r="O798" s="59"/>
      <c r="Q798" s="59"/>
      <c r="R798" s="61"/>
    </row>
    <row r="799">
      <c r="B799" s="59"/>
      <c r="D799" s="59"/>
      <c r="F799" s="59"/>
      <c r="H799" s="59"/>
      <c r="J799" s="59"/>
      <c r="L799" s="59"/>
      <c r="O799" s="59"/>
      <c r="Q799" s="59"/>
      <c r="R799" s="61"/>
    </row>
    <row r="800">
      <c r="B800" s="59"/>
      <c r="D800" s="59"/>
      <c r="F800" s="59"/>
      <c r="H800" s="59"/>
      <c r="J800" s="59"/>
      <c r="L800" s="59"/>
      <c r="O800" s="59"/>
      <c r="Q800" s="59"/>
      <c r="R800" s="61"/>
    </row>
    <row r="801">
      <c r="B801" s="59"/>
      <c r="D801" s="59"/>
      <c r="F801" s="59"/>
      <c r="H801" s="59"/>
      <c r="J801" s="59"/>
      <c r="L801" s="59"/>
      <c r="O801" s="59"/>
      <c r="Q801" s="59"/>
      <c r="R801" s="61"/>
    </row>
    <row r="802">
      <c r="B802" s="59"/>
      <c r="D802" s="59"/>
      <c r="F802" s="59"/>
      <c r="H802" s="59"/>
      <c r="J802" s="59"/>
      <c r="L802" s="59"/>
      <c r="O802" s="59"/>
      <c r="Q802" s="59"/>
      <c r="R802" s="61"/>
    </row>
    <row r="803">
      <c r="B803" s="59"/>
      <c r="D803" s="59"/>
      <c r="F803" s="59"/>
      <c r="H803" s="59"/>
      <c r="J803" s="59"/>
      <c r="L803" s="59"/>
      <c r="O803" s="59"/>
      <c r="Q803" s="59"/>
      <c r="R803" s="61"/>
    </row>
    <row r="804">
      <c r="B804" s="59"/>
      <c r="D804" s="59"/>
      <c r="F804" s="59"/>
      <c r="H804" s="59"/>
      <c r="J804" s="59"/>
      <c r="L804" s="59"/>
      <c r="O804" s="59"/>
      <c r="Q804" s="59"/>
      <c r="R804" s="61"/>
    </row>
    <row r="805">
      <c r="B805" s="59"/>
      <c r="D805" s="59"/>
      <c r="F805" s="59"/>
      <c r="H805" s="59"/>
      <c r="J805" s="59"/>
      <c r="L805" s="59"/>
      <c r="O805" s="59"/>
      <c r="Q805" s="59"/>
      <c r="R805" s="61"/>
    </row>
    <row r="806">
      <c r="B806" s="59"/>
      <c r="D806" s="59"/>
      <c r="F806" s="59"/>
      <c r="H806" s="59"/>
      <c r="J806" s="59"/>
      <c r="L806" s="59"/>
      <c r="O806" s="59"/>
      <c r="Q806" s="59"/>
      <c r="R806" s="61"/>
    </row>
    <row r="807">
      <c r="B807" s="59"/>
      <c r="D807" s="59"/>
      <c r="F807" s="59"/>
      <c r="H807" s="59"/>
      <c r="J807" s="59"/>
      <c r="L807" s="59"/>
      <c r="O807" s="59"/>
      <c r="Q807" s="59"/>
      <c r="R807" s="61"/>
    </row>
    <row r="808">
      <c r="B808" s="59"/>
      <c r="D808" s="59"/>
      <c r="F808" s="59"/>
      <c r="H808" s="59"/>
      <c r="J808" s="59"/>
      <c r="L808" s="59"/>
      <c r="O808" s="59"/>
      <c r="Q808" s="59"/>
      <c r="R808" s="61"/>
    </row>
    <row r="809">
      <c r="B809" s="59"/>
      <c r="D809" s="59"/>
      <c r="F809" s="59"/>
      <c r="H809" s="59"/>
      <c r="J809" s="59"/>
      <c r="L809" s="59"/>
      <c r="O809" s="59"/>
      <c r="Q809" s="59"/>
      <c r="R809" s="61"/>
    </row>
    <row r="810">
      <c r="B810" s="59"/>
      <c r="D810" s="59"/>
      <c r="F810" s="59"/>
      <c r="H810" s="59"/>
      <c r="J810" s="59"/>
      <c r="L810" s="59"/>
      <c r="O810" s="59"/>
      <c r="Q810" s="59"/>
      <c r="R810" s="61"/>
    </row>
    <row r="811">
      <c r="B811" s="59"/>
      <c r="D811" s="59"/>
      <c r="F811" s="59"/>
      <c r="H811" s="59"/>
      <c r="J811" s="59"/>
      <c r="L811" s="59"/>
      <c r="O811" s="59"/>
      <c r="Q811" s="59"/>
      <c r="R811" s="61"/>
    </row>
    <row r="812">
      <c r="B812" s="59"/>
      <c r="D812" s="59"/>
      <c r="F812" s="59"/>
      <c r="H812" s="59"/>
      <c r="J812" s="59"/>
      <c r="L812" s="59"/>
      <c r="O812" s="59"/>
      <c r="Q812" s="59"/>
      <c r="R812" s="61"/>
    </row>
    <row r="813">
      <c r="B813" s="59"/>
      <c r="D813" s="59"/>
      <c r="F813" s="59"/>
      <c r="H813" s="59"/>
      <c r="J813" s="59"/>
      <c r="L813" s="59"/>
      <c r="O813" s="59"/>
      <c r="Q813" s="59"/>
      <c r="R813" s="61"/>
    </row>
    <row r="814">
      <c r="B814" s="59"/>
      <c r="D814" s="59"/>
      <c r="F814" s="59"/>
      <c r="H814" s="59"/>
      <c r="J814" s="59"/>
      <c r="L814" s="59"/>
      <c r="O814" s="59"/>
      <c r="Q814" s="59"/>
      <c r="R814" s="61"/>
    </row>
    <row r="815">
      <c r="B815" s="59"/>
      <c r="D815" s="59"/>
      <c r="F815" s="59"/>
      <c r="H815" s="59"/>
      <c r="J815" s="59"/>
      <c r="L815" s="59"/>
      <c r="O815" s="59"/>
      <c r="Q815" s="59"/>
      <c r="R815" s="61"/>
    </row>
    <row r="816">
      <c r="B816" s="59"/>
      <c r="D816" s="59"/>
      <c r="F816" s="59"/>
      <c r="H816" s="59"/>
      <c r="J816" s="59"/>
      <c r="L816" s="59"/>
      <c r="O816" s="59"/>
      <c r="Q816" s="59"/>
      <c r="R816" s="61"/>
    </row>
    <row r="817">
      <c r="B817" s="59"/>
      <c r="D817" s="59"/>
      <c r="F817" s="59"/>
      <c r="H817" s="59"/>
      <c r="J817" s="59"/>
      <c r="L817" s="59"/>
      <c r="O817" s="59"/>
      <c r="Q817" s="59"/>
      <c r="R817" s="61"/>
    </row>
    <row r="818">
      <c r="B818" s="59"/>
      <c r="D818" s="59"/>
      <c r="F818" s="59"/>
      <c r="H818" s="59"/>
      <c r="J818" s="59"/>
      <c r="L818" s="59"/>
      <c r="O818" s="59"/>
      <c r="Q818" s="59"/>
      <c r="R818" s="61"/>
    </row>
    <row r="819">
      <c r="B819" s="59"/>
      <c r="D819" s="59"/>
      <c r="F819" s="59"/>
      <c r="H819" s="59"/>
      <c r="J819" s="59"/>
      <c r="L819" s="59"/>
      <c r="O819" s="59"/>
      <c r="Q819" s="59"/>
      <c r="R819" s="61"/>
    </row>
    <row r="820">
      <c r="B820" s="59"/>
      <c r="D820" s="59"/>
      <c r="F820" s="59"/>
      <c r="H820" s="59"/>
      <c r="J820" s="59"/>
      <c r="L820" s="59"/>
      <c r="O820" s="59"/>
      <c r="Q820" s="59"/>
      <c r="R820" s="61"/>
    </row>
    <row r="821">
      <c r="B821" s="59"/>
      <c r="D821" s="59"/>
      <c r="F821" s="59"/>
      <c r="H821" s="59"/>
      <c r="J821" s="59"/>
      <c r="L821" s="59"/>
      <c r="O821" s="59"/>
      <c r="Q821" s="59"/>
      <c r="R821" s="61"/>
    </row>
    <row r="822">
      <c r="B822" s="59"/>
      <c r="D822" s="59"/>
      <c r="F822" s="59"/>
      <c r="H822" s="59"/>
      <c r="J822" s="59"/>
      <c r="L822" s="59"/>
      <c r="O822" s="59"/>
      <c r="Q822" s="59"/>
      <c r="R822" s="61"/>
    </row>
    <row r="823">
      <c r="B823" s="59"/>
      <c r="D823" s="59"/>
      <c r="F823" s="59"/>
      <c r="H823" s="59"/>
      <c r="J823" s="59"/>
      <c r="L823" s="59"/>
      <c r="O823" s="59"/>
      <c r="Q823" s="59"/>
      <c r="R823" s="61"/>
    </row>
    <row r="824">
      <c r="B824" s="59"/>
      <c r="D824" s="59"/>
      <c r="F824" s="59"/>
      <c r="H824" s="59"/>
      <c r="J824" s="59"/>
      <c r="L824" s="59"/>
      <c r="O824" s="59"/>
      <c r="Q824" s="59"/>
      <c r="R824" s="61"/>
    </row>
    <row r="825">
      <c r="B825" s="59"/>
      <c r="D825" s="59"/>
      <c r="F825" s="59"/>
      <c r="H825" s="59"/>
      <c r="J825" s="59"/>
      <c r="L825" s="59"/>
      <c r="O825" s="59"/>
      <c r="Q825" s="59"/>
      <c r="R825" s="61"/>
    </row>
    <row r="826">
      <c r="B826" s="59"/>
      <c r="D826" s="59"/>
      <c r="F826" s="59"/>
      <c r="H826" s="59"/>
      <c r="J826" s="59"/>
      <c r="L826" s="59"/>
      <c r="O826" s="59"/>
      <c r="Q826" s="59"/>
      <c r="R826" s="61"/>
    </row>
    <row r="827">
      <c r="B827" s="59"/>
      <c r="D827" s="59"/>
      <c r="F827" s="59"/>
      <c r="H827" s="59"/>
      <c r="J827" s="59"/>
      <c r="L827" s="59"/>
      <c r="O827" s="59"/>
      <c r="Q827" s="59"/>
      <c r="R827" s="61"/>
    </row>
    <row r="828">
      <c r="B828" s="59"/>
      <c r="D828" s="59"/>
      <c r="F828" s="59"/>
      <c r="H828" s="59"/>
      <c r="J828" s="59"/>
      <c r="L828" s="59"/>
      <c r="O828" s="59"/>
      <c r="Q828" s="59"/>
      <c r="R828" s="61"/>
    </row>
    <row r="829">
      <c r="B829" s="59"/>
      <c r="D829" s="59"/>
      <c r="F829" s="59"/>
      <c r="H829" s="59"/>
      <c r="J829" s="59"/>
      <c r="L829" s="59"/>
      <c r="O829" s="59"/>
      <c r="Q829" s="59"/>
      <c r="R829" s="61"/>
    </row>
    <row r="830">
      <c r="B830" s="59"/>
      <c r="D830" s="59"/>
      <c r="F830" s="59"/>
      <c r="H830" s="59"/>
      <c r="J830" s="59"/>
      <c r="L830" s="59"/>
      <c r="O830" s="59"/>
      <c r="Q830" s="59"/>
      <c r="R830" s="61"/>
    </row>
    <row r="831">
      <c r="B831" s="59"/>
      <c r="D831" s="59"/>
      <c r="F831" s="59"/>
      <c r="H831" s="59"/>
      <c r="J831" s="59"/>
      <c r="L831" s="59"/>
      <c r="O831" s="59"/>
      <c r="Q831" s="59"/>
      <c r="R831" s="61"/>
    </row>
    <row r="832">
      <c r="B832" s="59"/>
      <c r="D832" s="59"/>
      <c r="F832" s="59"/>
      <c r="H832" s="59"/>
      <c r="J832" s="59"/>
      <c r="L832" s="59"/>
      <c r="O832" s="59"/>
      <c r="Q832" s="59"/>
      <c r="R832" s="61"/>
    </row>
    <row r="833">
      <c r="B833" s="59"/>
      <c r="D833" s="59"/>
      <c r="F833" s="59"/>
      <c r="H833" s="59"/>
      <c r="J833" s="59"/>
      <c r="L833" s="59"/>
      <c r="O833" s="59"/>
      <c r="Q833" s="59"/>
      <c r="R833" s="61"/>
    </row>
    <row r="834">
      <c r="B834" s="59"/>
      <c r="D834" s="59"/>
      <c r="F834" s="59"/>
      <c r="H834" s="59"/>
      <c r="J834" s="59"/>
      <c r="L834" s="59"/>
      <c r="O834" s="59"/>
      <c r="Q834" s="59"/>
      <c r="R834" s="61"/>
    </row>
    <row r="835">
      <c r="B835" s="59"/>
      <c r="D835" s="59"/>
      <c r="F835" s="59"/>
      <c r="H835" s="59"/>
      <c r="J835" s="59"/>
      <c r="L835" s="59"/>
      <c r="O835" s="59"/>
      <c r="Q835" s="59"/>
      <c r="R835" s="61"/>
    </row>
    <row r="836">
      <c r="B836" s="59"/>
      <c r="D836" s="59"/>
      <c r="F836" s="59"/>
      <c r="H836" s="59"/>
      <c r="J836" s="59"/>
      <c r="L836" s="59"/>
      <c r="O836" s="59"/>
      <c r="Q836" s="59"/>
      <c r="R836" s="61"/>
    </row>
    <row r="837">
      <c r="B837" s="59"/>
      <c r="D837" s="59"/>
      <c r="F837" s="59"/>
      <c r="H837" s="59"/>
      <c r="J837" s="59"/>
      <c r="L837" s="59"/>
      <c r="O837" s="59"/>
      <c r="Q837" s="59"/>
      <c r="R837" s="61"/>
    </row>
    <row r="838">
      <c r="B838" s="59"/>
      <c r="D838" s="59"/>
      <c r="F838" s="59"/>
      <c r="H838" s="59"/>
      <c r="J838" s="59"/>
      <c r="L838" s="59"/>
      <c r="O838" s="59"/>
      <c r="Q838" s="59"/>
      <c r="R838" s="61"/>
    </row>
    <row r="839">
      <c r="B839" s="59"/>
      <c r="D839" s="59"/>
      <c r="F839" s="59"/>
      <c r="H839" s="59"/>
      <c r="J839" s="59"/>
      <c r="L839" s="59"/>
      <c r="O839" s="59"/>
      <c r="Q839" s="59"/>
      <c r="R839" s="61"/>
    </row>
    <row r="840">
      <c r="B840" s="59"/>
      <c r="D840" s="59"/>
      <c r="F840" s="59"/>
      <c r="H840" s="59"/>
      <c r="J840" s="59"/>
      <c r="L840" s="59"/>
      <c r="O840" s="59"/>
      <c r="Q840" s="59"/>
      <c r="R840" s="61"/>
    </row>
    <row r="841">
      <c r="B841" s="59"/>
      <c r="D841" s="59"/>
      <c r="F841" s="59"/>
      <c r="H841" s="59"/>
      <c r="J841" s="59"/>
      <c r="L841" s="59"/>
      <c r="O841" s="59"/>
      <c r="Q841" s="59"/>
      <c r="R841" s="61"/>
    </row>
    <row r="842">
      <c r="B842" s="59"/>
      <c r="D842" s="59"/>
      <c r="F842" s="59"/>
      <c r="H842" s="59"/>
      <c r="J842" s="59"/>
      <c r="L842" s="59"/>
      <c r="O842" s="59"/>
      <c r="Q842" s="59"/>
      <c r="R842" s="61"/>
    </row>
    <row r="843">
      <c r="B843" s="59"/>
      <c r="D843" s="59"/>
      <c r="F843" s="59"/>
      <c r="H843" s="59"/>
      <c r="J843" s="59"/>
      <c r="L843" s="59"/>
      <c r="O843" s="59"/>
      <c r="Q843" s="59"/>
      <c r="R843" s="61"/>
    </row>
    <row r="844">
      <c r="B844" s="59"/>
      <c r="D844" s="59"/>
      <c r="F844" s="59"/>
      <c r="H844" s="59"/>
      <c r="J844" s="59"/>
      <c r="L844" s="59"/>
      <c r="O844" s="59"/>
      <c r="Q844" s="59"/>
      <c r="R844" s="61"/>
    </row>
    <row r="845">
      <c r="B845" s="59"/>
      <c r="D845" s="59"/>
      <c r="F845" s="59"/>
      <c r="H845" s="59"/>
      <c r="J845" s="59"/>
      <c r="L845" s="59"/>
      <c r="O845" s="59"/>
      <c r="Q845" s="59"/>
      <c r="R845" s="61"/>
    </row>
    <row r="846">
      <c r="B846" s="59"/>
      <c r="D846" s="59"/>
      <c r="F846" s="59"/>
      <c r="H846" s="59"/>
      <c r="J846" s="59"/>
      <c r="L846" s="59"/>
      <c r="O846" s="59"/>
      <c r="Q846" s="59"/>
      <c r="R846" s="61"/>
    </row>
    <row r="847">
      <c r="B847" s="59"/>
      <c r="D847" s="59"/>
      <c r="F847" s="59"/>
      <c r="H847" s="59"/>
      <c r="J847" s="59"/>
      <c r="L847" s="59"/>
      <c r="O847" s="59"/>
      <c r="Q847" s="59"/>
      <c r="R847" s="61"/>
    </row>
    <row r="848">
      <c r="B848" s="59"/>
      <c r="D848" s="59"/>
      <c r="F848" s="59"/>
      <c r="H848" s="59"/>
      <c r="J848" s="59"/>
      <c r="L848" s="59"/>
      <c r="O848" s="59"/>
      <c r="Q848" s="59"/>
      <c r="R848" s="61"/>
    </row>
    <row r="849">
      <c r="B849" s="59"/>
      <c r="D849" s="59"/>
      <c r="F849" s="59"/>
      <c r="H849" s="59"/>
      <c r="J849" s="59"/>
      <c r="L849" s="59"/>
      <c r="O849" s="59"/>
      <c r="Q849" s="59"/>
      <c r="R849" s="61"/>
    </row>
    <row r="850">
      <c r="B850" s="59"/>
      <c r="D850" s="59"/>
      <c r="F850" s="59"/>
      <c r="H850" s="59"/>
      <c r="J850" s="59"/>
      <c r="L850" s="59"/>
      <c r="O850" s="59"/>
      <c r="Q850" s="59"/>
      <c r="R850" s="61"/>
    </row>
    <row r="851">
      <c r="B851" s="59"/>
      <c r="D851" s="59"/>
      <c r="F851" s="59"/>
      <c r="H851" s="59"/>
      <c r="J851" s="59"/>
      <c r="L851" s="59"/>
      <c r="O851" s="59"/>
      <c r="Q851" s="59"/>
      <c r="R851" s="61"/>
    </row>
    <row r="852">
      <c r="B852" s="59"/>
      <c r="D852" s="59"/>
      <c r="F852" s="59"/>
      <c r="H852" s="59"/>
      <c r="J852" s="59"/>
      <c r="L852" s="59"/>
      <c r="O852" s="59"/>
      <c r="Q852" s="59"/>
      <c r="R852" s="61"/>
    </row>
    <row r="853">
      <c r="B853" s="59"/>
      <c r="D853" s="59"/>
      <c r="F853" s="59"/>
      <c r="H853" s="59"/>
      <c r="J853" s="59"/>
      <c r="L853" s="59"/>
      <c r="O853" s="59"/>
      <c r="Q853" s="59"/>
      <c r="R853" s="61"/>
    </row>
    <row r="854">
      <c r="B854" s="59"/>
      <c r="D854" s="59"/>
      <c r="F854" s="59"/>
      <c r="H854" s="59"/>
      <c r="J854" s="59"/>
      <c r="L854" s="59"/>
      <c r="O854" s="59"/>
      <c r="Q854" s="59"/>
      <c r="R854" s="61"/>
    </row>
    <row r="855">
      <c r="B855" s="59"/>
      <c r="D855" s="59"/>
      <c r="F855" s="59"/>
      <c r="H855" s="59"/>
      <c r="J855" s="59"/>
      <c r="L855" s="59"/>
      <c r="O855" s="59"/>
      <c r="Q855" s="59"/>
      <c r="R855" s="61"/>
    </row>
    <row r="856">
      <c r="B856" s="59"/>
      <c r="D856" s="59"/>
      <c r="F856" s="59"/>
      <c r="H856" s="59"/>
      <c r="J856" s="59"/>
      <c r="L856" s="59"/>
      <c r="O856" s="59"/>
      <c r="Q856" s="59"/>
      <c r="R856" s="61"/>
    </row>
    <row r="857">
      <c r="B857" s="59"/>
      <c r="D857" s="59"/>
      <c r="F857" s="59"/>
      <c r="H857" s="59"/>
      <c r="J857" s="59"/>
      <c r="L857" s="59"/>
      <c r="O857" s="59"/>
      <c r="Q857" s="59"/>
      <c r="R857" s="61"/>
    </row>
    <row r="858">
      <c r="B858" s="59"/>
      <c r="D858" s="59"/>
      <c r="F858" s="59"/>
      <c r="H858" s="59"/>
      <c r="J858" s="59"/>
      <c r="L858" s="59"/>
      <c r="O858" s="59"/>
      <c r="Q858" s="59"/>
      <c r="R858" s="61"/>
    </row>
    <row r="859">
      <c r="B859" s="59"/>
      <c r="D859" s="59"/>
      <c r="F859" s="59"/>
      <c r="H859" s="59"/>
      <c r="J859" s="59"/>
      <c r="L859" s="59"/>
      <c r="O859" s="59"/>
      <c r="Q859" s="59"/>
      <c r="R859" s="61"/>
    </row>
    <row r="860">
      <c r="B860" s="59"/>
      <c r="D860" s="59"/>
      <c r="F860" s="59"/>
      <c r="H860" s="59"/>
      <c r="J860" s="59"/>
      <c r="L860" s="59"/>
      <c r="O860" s="59"/>
      <c r="Q860" s="59"/>
      <c r="R860" s="61"/>
    </row>
    <row r="861">
      <c r="B861" s="59"/>
      <c r="D861" s="59"/>
      <c r="F861" s="59"/>
      <c r="H861" s="59"/>
      <c r="J861" s="59"/>
      <c r="L861" s="59"/>
      <c r="O861" s="59"/>
      <c r="Q861" s="59"/>
      <c r="R861" s="61"/>
    </row>
    <row r="862">
      <c r="B862" s="59"/>
      <c r="D862" s="59"/>
      <c r="F862" s="59"/>
      <c r="H862" s="59"/>
      <c r="J862" s="59"/>
      <c r="L862" s="59"/>
      <c r="O862" s="59"/>
      <c r="Q862" s="59"/>
      <c r="R862" s="61"/>
    </row>
    <row r="863">
      <c r="B863" s="59"/>
      <c r="D863" s="59"/>
      <c r="F863" s="59"/>
      <c r="H863" s="59"/>
      <c r="J863" s="59"/>
      <c r="L863" s="59"/>
      <c r="O863" s="59"/>
      <c r="Q863" s="59"/>
      <c r="R863" s="61"/>
    </row>
    <row r="864">
      <c r="B864" s="59"/>
      <c r="D864" s="59"/>
      <c r="F864" s="59"/>
      <c r="H864" s="59"/>
      <c r="J864" s="59"/>
      <c r="L864" s="59"/>
      <c r="O864" s="59"/>
      <c r="Q864" s="59"/>
      <c r="R864" s="61"/>
    </row>
    <row r="865">
      <c r="B865" s="59"/>
      <c r="D865" s="59"/>
      <c r="F865" s="59"/>
      <c r="H865" s="59"/>
      <c r="J865" s="59"/>
      <c r="L865" s="59"/>
      <c r="O865" s="59"/>
      <c r="Q865" s="59"/>
      <c r="R865" s="61"/>
    </row>
    <row r="866">
      <c r="B866" s="59"/>
      <c r="D866" s="59"/>
      <c r="F866" s="59"/>
      <c r="H866" s="59"/>
      <c r="J866" s="59"/>
      <c r="L866" s="59"/>
      <c r="O866" s="59"/>
      <c r="Q866" s="59"/>
      <c r="R866" s="61"/>
    </row>
    <row r="867">
      <c r="B867" s="59"/>
      <c r="D867" s="59"/>
      <c r="F867" s="59"/>
      <c r="H867" s="59"/>
      <c r="J867" s="59"/>
      <c r="L867" s="59"/>
      <c r="O867" s="59"/>
      <c r="Q867" s="59"/>
      <c r="R867" s="61"/>
    </row>
    <row r="868">
      <c r="B868" s="59"/>
      <c r="D868" s="59"/>
      <c r="F868" s="59"/>
      <c r="H868" s="59"/>
      <c r="J868" s="59"/>
      <c r="L868" s="59"/>
      <c r="O868" s="59"/>
      <c r="Q868" s="59"/>
      <c r="R868" s="61"/>
    </row>
    <row r="869">
      <c r="B869" s="59"/>
      <c r="D869" s="59"/>
      <c r="F869" s="59"/>
      <c r="H869" s="59"/>
      <c r="J869" s="59"/>
      <c r="L869" s="59"/>
      <c r="O869" s="59"/>
      <c r="Q869" s="59"/>
      <c r="R869" s="61"/>
    </row>
    <row r="870">
      <c r="B870" s="59"/>
      <c r="D870" s="59"/>
      <c r="F870" s="59"/>
      <c r="H870" s="59"/>
      <c r="J870" s="59"/>
      <c r="L870" s="59"/>
      <c r="O870" s="59"/>
      <c r="Q870" s="59"/>
      <c r="R870" s="61"/>
    </row>
    <row r="871">
      <c r="B871" s="59"/>
      <c r="D871" s="59"/>
      <c r="F871" s="59"/>
      <c r="H871" s="59"/>
      <c r="J871" s="59"/>
      <c r="L871" s="59"/>
      <c r="O871" s="59"/>
      <c r="Q871" s="59"/>
      <c r="R871" s="61"/>
    </row>
    <row r="872">
      <c r="B872" s="59"/>
      <c r="D872" s="59"/>
      <c r="F872" s="59"/>
      <c r="H872" s="59"/>
      <c r="J872" s="59"/>
      <c r="L872" s="59"/>
      <c r="O872" s="59"/>
      <c r="Q872" s="59"/>
      <c r="R872" s="61"/>
    </row>
    <row r="873">
      <c r="B873" s="59"/>
      <c r="D873" s="59"/>
      <c r="F873" s="59"/>
      <c r="H873" s="59"/>
      <c r="J873" s="59"/>
      <c r="L873" s="59"/>
      <c r="O873" s="59"/>
      <c r="Q873" s="59"/>
      <c r="R873" s="61"/>
    </row>
    <row r="874">
      <c r="B874" s="59"/>
      <c r="D874" s="59"/>
      <c r="F874" s="59"/>
      <c r="H874" s="59"/>
      <c r="J874" s="59"/>
      <c r="L874" s="59"/>
      <c r="O874" s="59"/>
      <c r="Q874" s="59"/>
      <c r="R874" s="61"/>
    </row>
    <row r="875">
      <c r="B875" s="59"/>
      <c r="D875" s="59"/>
      <c r="F875" s="59"/>
      <c r="H875" s="59"/>
      <c r="J875" s="59"/>
      <c r="L875" s="59"/>
      <c r="O875" s="59"/>
      <c r="Q875" s="59"/>
      <c r="R875" s="61"/>
    </row>
    <row r="876">
      <c r="B876" s="59"/>
      <c r="D876" s="59"/>
      <c r="F876" s="59"/>
      <c r="H876" s="59"/>
      <c r="J876" s="59"/>
      <c r="L876" s="59"/>
      <c r="O876" s="59"/>
      <c r="Q876" s="59"/>
      <c r="R876" s="61"/>
    </row>
    <row r="877">
      <c r="B877" s="59"/>
      <c r="D877" s="59"/>
      <c r="F877" s="59"/>
      <c r="H877" s="59"/>
      <c r="J877" s="59"/>
      <c r="L877" s="59"/>
      <c r="O877" s="59"/>
      <c r="Q877" s="59"/>
      <c r="R877" s="61"/>
    </row>
    <row r="878">
      <c r="B878" s="59"/>
      <c r="D878" s="59"/>
      <c r="F878" s="59"/>
      <c r="H878" s="59"/>
      <c r="J878" s="59"/>
      <c r="L878" s="59"/>
      <c r="O878" s="59"/>
      <c r="Q878" s="59"/>
      <c r="R878" s="61"/>
    </row>
    <row r="879">
      <c r="B879" s="59"/>
      <c r="D879" s="59"/>
      <c r="F879" s="59"/>
      <c r="H879" s="59"/>
      <c r="J879" s="59"/>
      <c r="L879" s="59"/>
      <c r="O879" s="59"/>
      <c r="Q879" s="59"/>
      <c r="R879" s="61"/>
    </row>
    <row r="880">
      <c r="B880" s="59"/>
      <c r="D880" s="59"/>
      <c r="F880" s="59"/>
      <c r="H880" s="59"/>
      <c r="J880" s="59"/>
      <c r="L880" s="59"/>
      <c r="O880" s="59"/>
      <c r="Q880" s="59"/>
      <c r="R880" s="61"/>
    </row>
    <row r="881">
      <c r="B881" s="59"/>
      <c r="D881" s="59"/>
      <c r="F881" s="59"/>
      <c r="H881" s="59"/>
      <c r="J881" s="59"/>
      <c r="L881" s="59"/>
      <c r="O881" s="59"/>
      <c r="Q881" s="59"/>
      <c r="R881" s="61"/>
    </row>
    <row r="882">
      <c r="B882" s="59"/>
      <c r="D882" s="59"/>
      <c r="F882" s="59"/>
      <c r="H882" s="59"/>
      <c r="J882" s="59"/>
      <c r="L882" s="59"/>
      <c r="O882" s="59"/>
      <c r="Q882" s="59"/>
      <c r="R882" s="61"/>
    </row>
    <row r="883">
      <c r="B883" s="59"/>
      <c r="D883" s="59"/>
      <c r="F883" s="59"/>
      <c r="H883" s="59"/>
      <c r="J883" s="59"/>
      <c r="L883" s="59"/>
      <c r="O883" s="59"/>
      <c r="Q883" s="59"/>
      <c r="R883" s="61"/>
    </row>
    <row r="884">
      <c r="B884" s="59"/>
      <c r="D884" s="59"/>
      <c r="F884" s="59"/>
      <c r="H884" s="59"/>
      <c r="J884" s="59"/>
      <c r="L884" s="59"/>
      <c r="O884" s="59"/>
      <c r="Q884" s="59"/>
      <c r="R884" s="61"/>
    </row>
    <row r="885">
      <c r="B885" s="59"/>
      <c r="D885" s="59"/>
      <c r="F885" s="59"/>
      <c r="H885" s="59"/>
      <c r="J885" s="59"/>
      <c r="L885" s="59"/>
      <c r="O885" s="59"/>
      <c r="Q885" s="59"/>
      <c r="R885" s="61"/>
    </row>
    <row r="886">
      <c r="B886" s="59"/>
      <c r="D886" s="59"/>
      <c r="F886" s="59"/>
      <c r="H886" s="59"/>
      <c r="J886" s="59"/>
      <c r="L886" s="59"/>
      <c r="O886" s="59"/>
      <c r="Q886" s="59"/>
      <c r="R886" s="61"/>
    </row>
    <row r="887">
      <c r="B887" s="59"/>
      <c r="D887" s="59"/>
      <c r="F887" s="59"/>
      <c r="H887" s="59"/>
      <c r="J887" s="59"/>
      <c r="L887" s="59"/>
      <c r="O887" s="59"/>
      <c r="Q887" s="59"/>
      <c r="R887" s="61"/>
    </row>
    <row r="888">
      <c r="B888" s="59"/>
      <c r="D888" s="59"/>
      <c r="F888" s="59"/>
      <c r="H888" s="59"/>
      <c r="J888" s="59"/>
      <c r="L888" s="59"/>
      <c r="O888" s="59"/>
      <c r="Q888" s="59"/>
      <c r="R888" s="61"/>
    </row>
    <row r="889">
      <c r="B889" s="59"/>
      <c r="D889" s="59"/>
      <c r="F889" s="59"/>
      <c r="H889" s="59"/>
      <c r="J889" s="59"/>
      <c r="L889" s="59"/>
      <c r="O889" s="59"/>
      <c r="Q889" s="59"/>
      <c r="R889" s="61"/>
    </row>
    <row r="890">
      <c r="B890" s="59"/>
      <c r="D890" s="59"/>
      <c r="F890" s="59"/>
      <c r="H890" s="59"/>
      <c r="J890" s="59"/>
      <c r="L890" s="59"/>
      <c r="O890" s="59"/>
      <c r="Q890" s="59"/>
      <c r="R890" s="61"/>
    </row>
    <row r="891">
      <c r="B891" s="59"/>
      <c r="D891" s="59"/>
      <c r="F891" s="59"/>
      <c r="H891" s="59"/>
      <c r="J891" s="59"/>
      <c r="L891" s="59"/>
      <c r="O891" s="59"/>
      <c r="Q891" s="59"/>
      <c r="R891" s="61"/>
    </row>
    <row r="892">
      <c r="B892" s="59"/>
      <c r="D892" s="59"/>
      <c r="F892" s="59"/>
      <c r="H892" s="59"/>
      <c r="J892" s="59"/>
      <c r="L892" s="59"/>
      <c r="O892" s="59"/>
      <c r="Q892" s="59"/>
      <c r="R892" s="61"/>
    </row>
    <row r="893">
      <c r="B893" s="59"/>
      <c r="D893" s="59"/>
      <c r="F893" s="59"/>
      <c r="H893" s="59"/>
      <c r="J893" s="59"/>
      <c r="L893" s="59"/>
      <c r="O893" s="59"/>
      <c r="Q893" s="59"/>
      <c r="R893" s="61"/>
    </row>
    <row r="894">
      <c r="B894" s="59"/>
      <c r="D894" s="59"/>
      <c r="F894" s="59"/>
      <c r="H894" s="59"/>
      <c r="J894" s="59"/>
      <c r="L894" s="59"/>
      <c r="O894" s="59"/>
      <c r="Q894" s="59"/>
      <c r="R894" s="61"/>
    </row>
    <row r="895">
      <c r="B895" s="59"/>
      <c r="D895" s="59"/>
      <c r="F895" s="59"/>
      <c r="H895" s="59"/>
      <c r="J895" s="59"/>
      <c r="L895" s="59"/>
      <c r="O895" s="59"/>
      <c r="Q895" s="59"/>
      <c r="R895" s="61"/>
    </row>
    <row r="896">
      <c r="B896" s="59"/>
      <c r="D896" s="59"/>
      <c r="F896" s="59"/>
      <c r="H896" s="59"/>
      <c r="J896" s="59"/>
      <c r="L896" s="59"/>
      <c r="O896" s="59"/>
      <c r="Q896" s="59"/>
      <c r="R896" s="61"/>
    </row>
    <row r="897">
      <c r="B897" s="59"/>
      <c r="D897" s="59"/>
      <c r="F897" s="59"/>
      <c r="H897" s="59"/>
      <c r="J897" s="59"/>
      <c r="L897" s="59"/>
      <c r="O897" s="59"/>
      <c r="Q897" s="59"/>
      <c r="R897" s="61"/>
    </row>
    <row r="898">
      <c r="B898" s="59"/>
      <c r="D898" s="59"/>
      <c r="F898" s="59"/>
      <c r="H898" s="59"/>
      <c r="J898" s="59"/>
      <c r="L898" s="59"/>
      <c r="O898" s="59"/>
      <c r="Q898" s="59"/>
      <c r="R898" s="61"/>
    </row>
    <row r="899">
      <c r="B899" s="59"/>
      <c r="D899" s="59"/>
      <c r="F899" s="59"/>
      <c r="H899" s="59"/>
      <c r="J899" s="59"/>
      <c r="L899" s="59"/>
      <c r="O899" s="59"/>
      <c r="Q899" s="59"/>
      <c r="R899" s="61"/>
    </row>
    <row r="900">
      <c r="B900" s="59"/>
      <c r="D900" s="59"/>
      <c r="F900" s="59"/>
      <c r="H900" s="59"/>
      <c r="J900" s="59"/>
      <c r="L900" s="59"/>
      <c r="O900" s="59"/>
      <c r="Q900" s="59"/>
      <c r="R900" s="61"/>
    </row>
    <row r="901">
      <c r="B901" s="59"/>
      <c r="D901" s="59"/>
      <c r="F901" s="59"/>
      <c r="H901" s="59"/>
      <c r="J901" s="59"/>
      <c r="L901" s="59"/>
      <c r="O901" s="59"/>
      <c r="Q901" s="59"/>
      <c r="R901" s="61"/>
    </row>
    <row r="902">
      <c r="B902" s="59"/>
      <c r="D902" s="59"/>
      <c r="F902" s="59"/>
      <c r="H902" s="59"/>
      <c r="J902" s="59"/>
      <c r="L902" s="59"/>
      <c r="O902" s="59"/>
      <c r="Q902" s="59"/>
      <c r="R902" s="61"/>
    </row>
    <row r="903">
      <c r="B903" s="59"/>
      <c r="D903" s="59"/>
      <c r="F903" s="59"/>
      <c r="H903" s="59"/>
      <c r="J903" s="59"/>
      <c r="L903" s="59"/>
      <c r="O903" s="59"/>
      <c r="Q903" s="59"/>
      <c r="R903" s="61"/>
    </row>
    <row r="904">
      <c r="B904" s="59"/>
      <c r="D904" s="59"/>
      <c r="F904" s="59"/>
      <c r="H904" s="59"/>
      <c r="J904" s="59"/>
      <c r="L904" s="59"/>
      <c r="O904" s="59"/>
      <c r="Q904" s="59"/>
      <c r="R904" s="61"/>
    </row>
    <row r="905">
      <c r="B905" s="59"/>
      <c r="D905" s="59"/>
      <c r="F905" s="59"/>
      <c r="H905" s="59"/>
      <c r="J905" s="59"/>
      <c r="L905" s="59"/>
      <c r="O905" s="59"/>
      <c r="Q905" s="59"/>
      <c r="R905" s="61"/>
    </row>
    <row r="906">
      <c r="B906" s="59"/>
      <c r="D906" s="59"/>
      <c r="F906" s="59"/>
      <c r="H906" s="59"/>
      <c r="J906" s="59"/>
      <c r="L906" s="59"/>
      <c r="O906" s="59"/>
      <c r="Q906" s="59"/>
      <c r="R906" s="61"/>
    </row>
    <row r="907">
      <c r="B907" s="59"/>
      <c r="D907" s="59"/>
      <c r="F907" s="59"/>
      <c r="H907" s="59"/>
      <c r="J907" s="59"/>
      <c r="L907" s="59"/>
      <c r="O907" s="59"/>
      <c r="Q907" s="59"/>
      <c r="R907" s="61"/>
    </row>
    <row r="908">
      <c r="B908" s="59"/>
      <c r="D908" s="59"/>
      <c r="F908" s="59"/>
      <c r="H908" s="59"/>
      <c r="J908" s="59"/>
      <c r="L908" s="59"/>
      <c r="O908" s="59"/>
      <c r="Q908" s="59"/>
      <c r="R908" s="61"/>
    </row>
    <row r="909">
      <c r="B909" s="59"/>
      <c r="D909" s="59"/>
      <c r="F909" s="59"/>
      <c r="H909" s="59"/>
      <c r="J909" s="59"/>
      <c r="L909" s="59"/>
      <c r="O909" s="59"/>
      <c r="Q909" s="59"/>
      <c r="R909" s="61"/>
    </row>
    <row r="910">
      <c r="B910" s="59"/>
      <c r="D910" s="59"/>
      <c r="F910" s="59"/>
      <c r="H910" s="59"/>
      <c r="J910" s="59"/>
      <c r="L910" s="59"/>
      <c r="O910" s="59"/>
      <c r="Q910" s="59"/>
      <c r="R910" s="61"/>
    </row>
    <row r="911">
      <c r="B911" s="59"/>
      <c r="D911" s="59"/>
      <c r="F911" s="59"/>
      <c r="H911" s="59"/>
      <c r="J911" s="59"/>
      <c r="L911" s="59"/>
      <c r="O911" s="59"/>
      <c r="Q911" s="59"/>
      <c r="R911" s="61"/>
    </row>
    <row r="912">
      <c r="B912" s="59"/>
      <c r="D912" s="59"/>
      <c r="F912" s="59"/>
      <c r="H912" s="59"/>
      <c r="J912" s="59"/>
      <c r="L912" s="59"/>
      <c r="O912" s="59"/>
      <c r="Q912" s="59"/>
      <c r="R912" s="61"/>
    </row>
    <row r="913">
      <c r="B913" s="59"/>
      <c r="D913" s="59"/>
      <c r="F913" s="59"/>
      <c r="H913" s="59"/>
      <c r="J913" s="59"/>
      <c r="L913" s="59"/>
      <c r="O913" s="59"/>
      <c r="Q913" s="59"/>
      <c r="R913" s="61"/>
    </row>
    <row r="914">
      <c r="B914" s="59"/>
      <c r="D914" s="59"/>
      <c r="F914" s="59"/>
      <c r="H914" s="59"/>
      <c r="J914" s="59"/>
      <c r="L914" s="59"/>
      <c r="O914" s="59"/>
      <c r="Q914" s="59"/>
      <c r="R914" s="61"/>
    </row>
    <row r="915">
      <c r="B915" s="59"/>
      <c r="D915" s="59"/>
      <c r="F915" s="59"/>
      <c r="H915" s="59"/>
      <c r="J915" s="59"/>
      <c r="L915" s="59"/>
      <c r="O915" s="59"/>
      <c r="Q915" s="59"/>
      <c r="R915" s="61"/>
    </row>
    <row r="916">
      <c r="B916" s="59"/>
      <c r="D916" s="59"/>
      <c r="F916" s="59"/>
      <c r="H916" s="59"/>
      <c r="J916" s="59"/>
      <c r="L916" s="59"/>
      <c r="O916" s="59"/>
      <c r="Q916" s="59"/>
      <c r="R916" s="61"/>
    </row>
    <row r="917">
      <c r="B917" s="59"/>
      <c r="D917" s="59"/>
      <c r="F917" s="59"/>
      <c r="H917" s="59"/>
      <c r="J917" s="59"/>
      <c r="L917" s="59"/>
      <c r="O917" s="59"/>
      <c r="Q917" s="59"/>
      <c r="R917" s="61"/>
    </row>
    <row r="918">
      <c r="B918" s="59"/>
      <c r="D918" s="59"/>
      <c r="F918" s="59"/>
      <c r="H918" s="59"/>
      <c r="J918" s="59"/>
      <c r="L918" s="59"/>
      <c r="O918" s="59"/>
      <c r="Q918" s="59"/>
      <c r="R918" s="61"/>
    </row>
    <row r="919">
      <c r="B919" s="59"/>
      <c r="D919" s="59"/>
      <c r="F919" s="59"/>
      <c r="H919" s="59"/>
      <c r="J919" s="59"/>
      <c r="L919" s="59"/>
      <c r="O919" s="59"/>
      <c r="Q919" s="59"/>
      <c r="R919" s="61"/>
    </row>
    <row r="920">
      <c r="B920" s="59"/>
      <c r="D920" s="59"/>
      <c r="F920" s="59"/>
      <c r="H920" s="59"/>
      <c r="J920" s="59"/>
      <c r="L920" s="59"/>
      <c r="O920" s="59"/>
      <c r="Q920" s="59"/>
      <c r="R920" s="61"/>
    </row>
    <row r="921">
      <c r="B921" s="59"/>
      <c r="D921" s="59"/>
      <c r="F921" s="59"/>
      <c r="H921" s="59"/>
      <c r="J921" s="59"/>
      <c r="L921" s="59"/>
      <c r="O921" s="59"/>
      <c r="Q921" s="59"/>
      <c r="R921" s="61"/>
    </row>
    <row r="922">
      <c r="B922" s="59"/>
      <c r="D922" s="59"/>
      <c r="F922" s="59"/>
      <c r="H922" s="59"/>
      <c r="J922" s="59"/>
      <c r="L922" s="59"/>
      <c r="O922" s="59"/>
      <c r="Q922" s="59"/>
      <c r="R922" s="61"/>
    </row>
    <row r="923">
      <c r="B923" s="59"/>
      <c r="D923" s="59"/>
      <c r="F923" s="59"/>
      <c r="H923" s="59"/>
      <c r="J923" s="59"/>
      <c r="L923" s="59"/>
      <c r="O923" s="59"/>
      <c r="Q923" s="59"/>
      <c r="R923" s="61"/>
    </row>
    <row r="924">
      <c r="B924" s="59"/>
      <c r="D924" s="59"/>
      <c r="F924" s="59"/>
      <c r="H924" s="59"/>
      <c r="J924" s="59"/>
      <c r="L924" s="59"/>
      <c r="O924" s="59"/>
      <c r="Q924" s="59"/>
      <c r="R924" s="61"/>
    </row>
    <row r="925">
      <c r="B925" s="59"/>
      <c r="D925" s="59"/>
      <c r="F925" s="59"/>
      <c r="H925" s="59"/>
      <c r="J925" s="59"/>
      <c r="L925" s="59"/>
      <c r="O925" s="59"/>
      <c r="Q925" s="59"/>
      <c r="R925" s="61"/>
    </row>
    <row r="926">
      <c r="B926" s="59"/>
      <c r="D926" s="59"/>
      <c r="F926" s="59"/>
      <c r="H926" s="59"/>
      <c r="J926" s="59"/>
      <c r="L926" s="59"/>
      <c r="O926" s="59"/>
      <c r="Q926" s="59"/>
      <c r="R926" s="61"/>
    </row>
    <row r="927">
      <c r="B927" s="59"/>
      <c r="D927" s="59"/>
      <c r="F927" s="59"/>
      <c r="H927" s="59"/>
      <c r="J927" s="59"/>
      <c r="L927" s="59"/>
      <c r="O927" s="59"/>
      <c r="Q927" s="59"/>
      <c r="R927" s="61"/>
    </row>
    <row r="928">
      <c r="B928" s="59"/>
      <c r="D928" s="59"/>
      <c r="F928" s="59"/>
      <c r="H928" s="59"/>
      <c r="J928" s="59"/>
      <c r="L928" s="59"/>
      <c r="O928" s="59"/>
      <c r="Q928" s="59"/>
      <c r="R928" s="61"/>
    </row>
    <row r="929">
      <c r="B929" s="59"/>
      <c r="D929" s="59"/>
      <c r="F929" s="59"/>
      <c r="H929" s="59"/>
      <c r="J929" s="59"/>
      <c r="L929" s="59"/>
      <c r="O929" s="59"/>
      <c r="Q929" s="59"/>
      <c r="R929" s="61"/>
    </row>
    <row r="930">
      <c r="B930" s="59"/>
      <c r="D930" s="59"/>
      <c r="F930" s="59"/>
      <c r="H930" s="59"/>
      <c r="J930" s="59"/>
      <c r="L930" s="59"/>
      <c r="O930" s="59"/>
      <c r="Q930" s="59"/>
      <c r="R930" s="61"/>
    </row>
    <row r="931">
      <c r="B931" s="59"/>
      <c r="D931" s="59"/>
      <c r="F931" s="59"/>
      <c r="H931" s="59"/>
      <c r="J931" s="59"/>
      <c r="L931" s="59"/>
      <c r="O931" s="59"/>
      <c r="Q931" s="59"/>
      <c r="R931" s="61"/>
    </row>
    <row r="932">
      <c r="B932" s="59"/>
      <c r="D932" s="59"/>
      <c r="F932" s="59"/>
      <c r="H932" s="59"/>
      <c r="J932" s="59"/>
      <c r="L932" s="59"/>
      <c r="O932" s="59"/>
      <c r="Q932" s="59"/>
      <c r="R932" s="61"/>
    </row>
    <row r="933">
      <c r="B933" s="59"/>
      <c r="D933" s="59"/>
      <c r="F933" s="59"/>
      <c r="H933" s="59"/>
      <c r="J933" s="59"/>
      <c r="L933" s="59"/>
      <c r="O933" s="59"/>
      <c r="Q933" s="59"/>
      <c r="R933" s="61"/>
    </row>
    <row r="934">
      <c r="B934" s="59"/>
      <c r="D934" s="59"/>
      <c r="F934" s="59"/>
      <c r="H934" s="59"/>
      <c r="J934" s="59"/>
      <c r="L934" s="59"/>
      <c r="O934" s="59"/>
      <c r="Q934" s="59"/>
      <c r="R934" s="61"/>
    </row>
    <row r="935">
      <c r="B935" s="59"/>
      <c r="D935" s="59"/>
      <c r="F935" s="59"/>
      <c r="H935" s="59"/>
      <c r="J935" s="59"/>
      <c r="L935" s="59"/>
      <c r="O935" s="59"/>
      <c r="Q935" s="59"/>
      <c r="R935" s="61"/>
    </row>
    <row r="936">
      <c r="B936" s="59"/>
      <c r="D936" s="59"/>
      <c r="F936" s="59"/>
      <c r="H936" s="59"/>
      <c r="J936" s="59"/>
      <c r="L936" s="59"/>
      <c r="O936" s="59"/>
      <c r="Q936" s="59"/>
      <c r="R936" s="61"/>
    </row>
    <row r="937">
      <c r="B937" s="59"/>
      <c r="D937" s="59"/>
      <c r="F937" s="59"/>
      <c r="H937" s="59"/>
      <c r="J937" s="59"/>
      <c r="L937" s="59"/>
      <c r="O937" s="59"/>
      <c r="Q937" s="59"/>
      <c r="R937" s="61"/>
    </row>
    <row r="938">
      <c r="B938" s="59"/>
      <c r="D938" s="59"/>
      <c r="F938" s="59"/>
      <c r="H938" s="59"/>
      <c r="J938" s="59"/>
      <c r="L938" s="59"/>
      <c r="O938" s="59"/>
      <c r="Q938" s="59"/>
      <c r="R938" s="61"/>
    </row>
    <row r="939">
      <c r="B939" s="59"/>
      <c r="D939" s="59"/>
      <c r="F939" s="59"/>
      <c r="H939" s="59"/>
      <c r="J939" s="59"/>
      <c r="L939" s="59"/>
      <c r="O939" s="59"/>
      <c r="Q939" s="59"/>
      <c r="R939" s="61"/>
    </row>
    <row r="940">
      <c r="B940" s="59"/>
      <c r="D940" s="59"/>
      <c r="F940" s="59"/>
      <c r="H940" s="59"/>
      <c r="J940" s="59"/>
      <c r="L940" s="59"/>
      <c r="O940" s="59"/>
      <c r="Q940" s="59"/>
      <c r="R940" s="61"/>
    </row>
    <row r="941">
      <c r="B941" s="59"/>
      <c r="D941" s="59"/>
      <c r="F941" s="59"/>
      <c r="H941" s="59"/>
      <c r="J941" s="59"/>
      <c r="L941" s="59"/>
      <c r="O941" s="59"/>
      <c r="Q941" s="59"/>
      <c r="R941" s="61"/>
    </row>
    <row r="942">
      <c r="B942" s="59"/>
      <c r="D942" s="59"/>
      <c r="F942" s="59"/>
      <c r="H942" s="59"/>
      <c r="J942" s="59"/>
      <c r="L942" s="59"/>
      <c r="O942" s="59"/>
      <c r="Q942" s="59"/>
      <c r="R942" s="61"/>
    </row>
    <row r="943">
      <c r="B943" s="59"/>
      <c r="D943" s="59"/>
      <c r="F943" s="59"/>
      <c r="H943" s="59"/>
      <c r="J943" s="59"/>
      <c r="L943" s="59"/>
      <c r="O943" s="59"/>
      <c r="Q943" s="59"/>
      <c r="R943" s="61"/>
    </row>
    <row r="944">
      <c r="B944" s="59"/>
      <c r="D944" s="59"/>
      <c r="F944" s="59"/>
      <c r="H944" s="59"/>
      <c r="J944" s="59"/>
      <c r="L944" s="59"/>
      <c r="O944" s="59"/>
      <c r="Q944" s="59"/>
      <c r="R944" s="61"/>
    </row>
    <row r="945">
      <c r="B945" s="59"/>
      <c r="D945" s="59"/>
      <c r="F945" s="59"/>
      <c r="H945" s="59"/>
      <c r="J945" s="59"/>
      <c r="L945" s="59"/>
      <c r="O945" s="59"/>
      <c r="Q945" s="59"/>
      <c r="R945" s="61"/>
    </row>
    <row r="946">
      <c r="B946" s="59"/>
      <c r="D946" s="59"/>
      <c r="F946" s="59"/>
      <c r="H946" s="59"/>
      <c r="J946" s="59"/>
      <c r="L946" s="59"/>
      <c r="O946" s="59"/>
      <c r="Q946" s="59"/>
      <c r="R946" s="61"/>
    </row>
    <row r="947">
      <c r="B947" s="59"/>
      <c r="D947" s="59"/>
      <c r="F947" s="59"/>
      <c r="H947" s="59"/>
      <c r="J947" s="59"/>
      <c r="L947" s="59"/>
      <c r="O947" s="59"/>
      <c r="Q947" s="59"/>
      <c r="R947" s="61"/>
    </row>
    <row r="948">
      <c r="B948" s="59"/>
      <c r="D948" s="59"/>
      <c r="F948" s="59"/>
      <c r="H948" s="59"/>
      <c r="J948" s="59"/>
      <c r="L948" s="59"/>
      <c r="O948" s="59"/>
      <c r="Q948" s="59"/>
      <c r="R948" s="61"/>
    </row>
    <row r="949">
      <c r="B949" s="59"/>
      <c r="D949" s="59"/>
      <c r="F949" s="59"/>
      <c r="H949" s="59"/>
      <c r="J949" s="59"/>
      <c r="L949" s="59"/>
      <c r="O949" s="59"/>
      <c r="Q949" s="59"/>
      <c r="R949" s="61"/>
    </row>
    <row r="950">
      <c r="B950" s="59"/>
      <c r="D950" s="59"/>
      <c r="F950" s="59"/>
      <c r="H950" s="59"/>
      <c r="J950" s="59"/>
      <c r="L950" s="59"/>
      <c r="O950" s="59"/>
      <c r="Q950" s="59"/>
      <c r="R950" s="61"/>
    </row>
    <row r="951">
      <c r="B951" s="59"/>
      <c r="D951" s="59"/>
      <c r="F951" s="59"/>
      <c r="H951" s="59"/>
      <c r="J951" s="59"/>
      <c r="L951" s="59"/>
      <c r="O951" s="59"/>
      <c r="Q951" s="59"/>
      <c r="R951" s="61"/>
    </row>
    <row r="952">
      <c r="B952" s="59"/>
      <c r="D952" s="59"/>
      <c r="F952" s="59"/>
      <c r="H952" s="59"/>
      <c r="J952" s="59"/>
      <c r="L952" s="59"/>
      <c r="O952" s="59"/>
      <c r="Q952" s="59"/>
      <c r="R952" s="61"/>
    </row>
    <row r="953">
      <c r="B953" s="59"/>
      <c r="D953" s="59"/>
      <c r="F953" s="59"/>
      <c r="H953" s="59"/>
      <c r="J953" s="59"/>
      <c r="L953" s="59"/>
      <c r="O953" s="59"/>
      <c r="Q953" s="59"/>
      <c r="R953" s="61"/>
    </row>
    <row r="954">
      <c r="B954" s="59"/>
      <c r="D954" s="59"/>
      <c r="F954" s="59"/>
      <c r="H954" s="59"/>
      <c r="J954" s="59"/>
      <c r="L954" s="59"/>
      <c r="O954" s="59"/>
      <c r="Q954" s="59"/>
      <c r="R954" s="61"/>
    </row>
    <row r="955">
      <c r="B955" s="59"/>
      <c r="D955" s="59"/>
      <c r="F955" s="59"/>
      <c r="H955" s="59"/>
      <c r="J955" s="59"/>
      <c r="L955" s="59"/>
      <c r="O955" s="59"/>
      <c r="Q955" s="59"/>
      <c r="R955" s="61"/>
    </row>
    <row r="956">
      <c r="B956" s="59"/>
      <c r="D956" s="59"/>
      <c r="F956" s="59"/>
      <c r="H956" s="59"/>
      <c r="J956" s="59"/>
      <c r="L956" s="59"/>
      <c r="O956" s="59"/>
      <c r="Q956" s="59"/>
      <c r="R956" s="61"/>
    </row>
    <row r="957">
      <c r="B957" s="59"/>
      <c r="D957" s="59"/>
      <c r="F957" s="59"/>
      <c r="H957" s="59"/>
      <c r="J957" s="59"/>
      <c r="L957" s="59"/>
      <c r="O957" s="59"/>
      <c r="Q957" s="59"/>
      <c r="R957" s="61"/>
    </row>
    <row r="958">
      <c r="B958" s="59"/>
      <c r="D958" s="59"/>
      <c r="F958" s="59"/>
      <c r="H958" s="59"/>
      <c r="J958" s="59"/>
      <c r="L958" s="59"/>
      <c r="O958" s="59"/>
      <c r="Q958" s="59"/>
      <c r="R958" s="61"/>
    </row>
    <row r="959">
      <c r="B959" s="59"/>
      <c r="D959" s="59"/>
      <c r="F959" s="59"/>
      <c r="H959" s="59"/>
      <c r="J959" s="59"/>
      <c r="L959" s="59"/>
      <c r="O959" s="59"/>
      <c r="Q959" s="59"/>
      <c r="R959" s="61"/>
    </row>
    <row r="960">
      <c r="B960" s="59"/>
      <c r="D960" s="59"/>
      <c r="F960" s="59"/>
      <c r="H960" s="59"/>
      <c r="J960" s="59"/>
      <c r="L960" s="59"/>
      <c r="O960" s="59"/>
      <c r="Q960" s="59"/>
      <c r="R960" s="61"/>
    </row>
    <row r="961">
      <c r="B961" s="59"/>
      <c r="D961" s="59"/>
      <c r="F961" s="59"/>
      <c r="H961" s="59"/>
      <c r="J961" s="59"/>
      <c r="L961" s="59"/>
      <c r="O961" s="59"/>
      <c r="Q961" s="59"/>
      <c r="R961" s="61"/>
    </row>
    <row r="962">
      <c r="B962" s="59"/>
      <c r="D962" s="59"/>
      <c r="F962" s="59"/>
      <c r="H962" s="59"/>
      <c r="J962" s="59"/>
      <c r="L962" s="59"/>
      <c r="O962" s="59"/>
      <c r="Q962" s="59"/>
      <c r="R962" s="61"/>
    </row>
    <row r="963">
      <c r="B963" s="59"/>
      <c r="D963" s="59"/>
      <c r="F963" s="59"/>
      <c r="H963" s="59"/>
      <c r="J963" s="59"/>
      <c r="L963" s="59"/>
      <c r="O963" s="59"/>
      <c r="Q963" s="59"/>
      <c r="R963" s="61"/>
    </row>
    <row r="964">
      <c r="B964" s="59"/>
      <c r="D964" s="59"/>
      <c r="F964" s="59"/>
      <c r="H964" s="59"/>
      <c r="J964" s="59"/>
      <c r="L964" s="59"/>
      <c r="O964" s="59"/>
      <c r="Q964" s="59"/>
      <c r="R964" s="61"/>
    </row>
    <row r="965">
      <c r="B965" s="59"/>
      <c r="D965" s="59"/>
      <c r="F965" s="59"/>
      <c r="H965" s="59"/>
      <c r="J965" s="59"/>
      <c r="L965" s="59"/>
      <c r="O965" s="59"/>
      <c r="Q965" s="59"/>
      <c r="R965" s="61"/>
    </row>
    <row r="966">
      <c r="B966" s="59"/>
      <c r="D966" s="59"/>
      <c r="F966" s="59"/>
      <c r="H966" s="59"/>
      <c r="J966" s="59"/>
      <c r="L966" s="59"/>
      <c r="O966" s="59"/>
      <c r="Q966" s="59"/>
      <c r="R966" s="61"/>
    </row>
    <row r="967">
      <c r="B967" s="59"/>
      <c r="D967" s="59"/>
      <c r="F967" s="59"/>
      <c r="H967" s="59"/>
      <c r="J967" s="59"/>
      <c r="L967" s="59"/>
      <c r="O967" s="59"/>
      <c r="Q967" s="59"/>
      <c r="R967" s="61"/>
    </row>
    <row r="968">
      <c r="B968" s="59"/>
      <c r="D968" s="59"/>
      <c r="F968" s="59"/>
      <c r="H968" s="59"/>
      <c r="J968" s="59"/>
      <c r="L968" s="59"/>
      <c r="O968" s="59"/>
      <c r="Q968" s="59"/>
      <c r="R968" s="61"/>
    </row>
    <row r="969">
      <c r="B969" s="59"/>
      <c r="D969" s="59"/>
      <c r="F969" s="59"/>
      <c r="H969" s="59"/>
      <c r="J969" s="59"/>
      <c r="L969" s="59"/>
      <c r="O969" s="59"/>
      <c r="Q969" s="59"/>
      <c r="R969" s="61"/>
    </row>
    <row r="970">
      <c r="B970" s="59"/>
      <c r="D970" s="59"/>
      <c r="F970" s="59"/>
      <c r="H970" s="59"/>
      <c r="J970" s="59"/>
      <c r="L970" s="59"/>
      <c r="O970" s="59"/>
      <c r="Q970" s="59"/>
      <c r="R970" s="61"/>
    </row>
    <row r="971">
      <c r="B971" s="59"/>
      <c r="D971" s="59"/>
      <c r="F971" s="59"/>
      <c r="H971" s="59"/>
      <c r="J971" s="59"/>
      <c r="L971" s="59"/>
      <c r="O971" s="59"/>
      <c r="Q971" s="59"/>
      <c r="R971" s="61"/>
    </row>
    <row r="972">
      <c r="B972" s="59"/>
      <c r="D972" s="59"/>
      <c r="F972" s="59"/>
      <c r="H972" s="59"/>
      <c r="J972" s="59"/>
      <c r="L972" s="59"/>
      <c r="O972" s="59"/>
      <c r="Q972" s="59"/>
      <c r="R972" s="61"/>
    </row>
    <row r="973">
      <c r="B973" s="59"/>
      <c r="D973" s="59"/>
      <c r="F973" s="59"/>
      <c r="H973" s="59"/>
      <c r="J973" s="59"/>
      <c r="L973" s="59"/>
      <c r="O973" s="59"/>
      <c r="Q973" s="59"/>
      <c r="R973" s="61"/>
    </row>
    <row r="974">
      <c r="B974" s="59"/>
      <c r="D974" s="59"/>
      <c r="F974" s="59"/>
      <c r="H974" s="59"/>
      <c r="J974" s="59"/>
      <c r="L974" s="59"/>
      <c r="O974" s="59"/>
      <c r="Q974" s="59"/>
      <c r="R974" s="61"/>
    </row>
    <row r="975">
      <c r="B975" s="59"/>
      <c r="D975" s="59"/>
      <c r="F975" s="59"/>
      <c r="H975" s="59"/>
      <c r="J975" s="59"/>
      <c r="L975" s="59"/>
      <c r="O975" s="59"/>
      <c r="Q975" s="59"/>
      <c r="R975" s="61"/>
    </row>
    <row r="976">
      <c r="B976" s="59"/>
      <c r="D976" s="59"/>
      <c r="F976" s="59"/>
      <c r="H976" s="59"/>
      <c r="J976" s="59"/>
      <c r="L976" s="59"/>
      <c r="O976" s="59"/>
      <c r="Q976" s="59"/>
      <c r="R976" s="61"/>
    </row>
    <row r="977">
      <c r="B977" s="59"/>
      <c r="D977" s="59"/>
      <c r="F977" s="59"/>
      <c r="H977" s="59"/>
      <c r="J977" s="59"/>
      <c r="L977" s="59"/>
      <c r="O977" s="59"/>
      <c r="Q977" s="59"/>
      <c r="R977" s="61"/>
    </row>
    <row r="978">
      <c r="B978" s="59"/>
      <c r="D978" s="59"/>
      <c r="F978" s="59"/>
      <c r="H978" s="59"/>
      <c r="J978" s="59"/>
      <c r="L978" s="59"/>
      <c r="O978" s="59"/>
      <c r="Q978" s="59"/>
      <c r="R978" s="61"/>
    </row>
    <row r="979">
      <c r="B979" s="59"/>
      <c r="D979" s="59"/>
      <c r="F979" s="59"/>
      <c r="H979" s="59"/>
      <c r="J979" s="59"/>
      <c r="L979" s="59"/>
      <c r="O979" s="59"/>
      <c r="Q979" s="59"/>
      <c r="R979" s="61"/>
    </row>
    <row r="980">
      <c r="B980" s="59"/>
      <c r="D980" s="59"/>
      <c r="F980" s="59"/>
      <c r="H980" s="59"/>
      <c r="J980" s="59"/>
      <c r="L980" s="59"/>
      <c r="O980" s="59"/>
      <c r="Q980" s="59"/>
      <c r="R980" s="61"/>
    </row>
    <row r="981">
      <c r="B981" s="59"/>
      <c r="D981" s="59"/>
      <c r="F981" s="59"/>
      <c r="H981" s="59"/>
      <c r="J981" s="59"/>
      <c r="L981" s="59"/>
      <c r="O981" s="59"/>
      <c r="Q981" s="59"/>
      <c r="R981" s="61"/>
    </row>
    <row r="982">
      <c r="B982" s="59"/>
      <c r="D982" s="59"/>
      <c r="F982" s="59"/>
      <c r="H982" s="59"/>
      <c r="J982" s="59"/>
      <c r="L982" s="59"/>
      <c r="O982" s="59"/>
      <c r="Q982" s="59"/>
      <c r="R982" s="61"/>
    </row>
    <row r="983">
      <c r="B983" s="59"/>
      <c r="D983" s="59"/>
      <c r="F983" s="59"/>
      <c r="H983" s="59"/>
      <c r="J983" s="59"/>
      <c r="L983" s="59"/>
      <c r="O983" s="59"/>
      <c r="Q983" s="59"/>
      <c r="R983" s="61"/>
    </row>
    <row r="984">
      <c r="B984" s="59"/>
      <c r="D984" s="59"/>
      <c r="F984" s="59"/>
      <c r="H984" s="59"/>
      <c r="J984" s="59"/>
      <c r="L984" s="59"/>
      <c r="O984" s="59"/>
      <c r="Q984" s="59"/>
      <c r="R984" s="61"/>
    </row>
    <row r="985">
      <c r="B985" s="59"/>
      <c r="D985" s="59"/>
      <c r="F985" s="59"/>
      <c r="H985" s="59"/>
      <c r="J985" s="59"/>
      <c r="L985" s="59"/>
      <c r="O985" s="59"/>
      <c r="Q985" s="59"/>
      <c r="R985" s="61"/>
    </row>
    <row r="986">
      <c r="B986" s="59"/>
      <c r="D986" s="59"/>
      <c r="F986" s="59"/>
      <c r="H986" s="59"/>
      <c r="J986" s="59"/>
      <c r="L986" s="59"/>
      <c r="O986" s="59"/>
      <c r="Q986" s="59"/>
      <c r="R986" s="61"/>
    </row>
    <row r="987">
      <c r="B987" s="59"/>
      <c r="D987" s="59"/>
      <c r="F987" s="59"/>
      <c r="H987" s="59"/>
      <c r="J987" s="59"/>
      <c r="L987" s="59"/>
      <c r="O987" s="59"/>
      <c r="Q987" s="59"/>
      <c r="R987" s="61"/>
    </row>
    <row r="988">
      <c r="B988" s="59"/>
      <c r="D988" s="59"/>
      <c r="F988" s="59"/>
      <c r="H988" s="59"/>
      <c r="J988" s="59"/>
      <c r="L988" s="59"/>
      <c r="O988" s="59"/>
      <c r="Q988" s="59"/>
      <c r="R988" s="61"/>
    </row>
    <row r="989">
      <c r="B989" s="59"/>
      <c r="D989" s="59"/>
      <c r="F989" s="59"/>
      <c r="H989" s="59"/>
      <c r="J989" s="59"/>
      <c r="L989" s="59"/>
      <c r="O989" s="59"/>
      <c r="Q989" s="59"/>
      <c r="R989" s="61"/>
    </row>
    <row r="990">
      <c r="B990" s="59"/>
      <c r="D990" s="59"/>
      <c r="F990" s="59"/>
      <c r="H990" s="59"/>
      <c r="J990" s="59"/>
      <c r="L990" s="59"/>
      <c r="O990" s="59"/>
      <c r="Q990" s="59"/>
      <c r="R990" s="61"/>
    </row>
    <row r="991">
      <c r="B991" s="59"/>
      <c r="D991" s="59"/>
      <c r="F991" s="59"/>
      <c r="H991" s="59"/>
      <c r="J991" s="59"/>
      <c r="L991" s="59"/>
      <c r="O991" s="59"/>
      <c r="Q991" s="59"/>
      <c r="R991" s="61"/>
    </row>
    <row r="992">
      <c r="B992" s="59"/>
      <c r="D992" s="59"/>
      <c r="F992" s="59"/>
      <c r="H992" s="59"/>
      <c r="J992" s="59"/>
      <c r="L992" s="59"/>
      <c r="O992" s="59"/>
      <c r="Q992" s="59"/>
      <c r="R992" s="61"/>
    </row>
    <row r="993">
      <c r="B993" s="59"/>
      <c r="D993" s="59"/>
      <c r="F993" s="59"/>
      <c r="H993" s="59"/>
      <c r="J993" s="59"/>
      <c r="L993" s="59"/>
      <c r="O993" s="59"/>
      <c r="Q993" s="59"/>
      <c r="R993" s="61"/>
    </row>
    <row r="994">
      <c r="B994" s="59"/>
      <c r="D994" s="59"/>
      <c r="F994" s="59"/>
      <c r="H994" s="59"/>
      <c r="J994" s="59"/>
      <c r="L994" s="59"/>
      <c r="O994" s="59"/>
      <c r="Q994" s="59"/>
      <c r="R994" s="61"/>
    </row>
    <row r="995">
      <c r="B995" s="59"/>
      <c r="D995" s="59"/>
      <c r="F995" s="59"/>
      <c r="H995" s="59"/>
      <c r="J995" s="59"/>
      <c r="L995" s="59"/>
      <c r="O995" s="59"/>
      <c r="Q995" s="59"/>
      <c r="R995" s="61"/>
    </row>
    <row r="996">
      <c r="B996" s="59"/>
      <c r="D996" s="59"/>
      <c r="F996" s="59"/>
      <c r="H996" s="59"/>
      <c r="J996" s="59"/>
      <c r="L996" s="59"/>
      <c r="O996" s="59"/>
      <c r="Q996" s="59"/>
      <c r="R996" s="61"/>
    </row>
    <row r="997">
      <c r="B997" s="59"/>
      <c r="D997" s="59"/>
      <c r="F997" s="59"/>
      <c r="H997" s="59"/>
      <c r="J997" s="59"/>
      <c r="L997" s="59"/>
      <c r="O997" s="59"/>
      <c r="Q997" s="59"/>
      <c r="R997" s="61"/>
    </row>
    <row r="998">
      <c r="B998" s="59"/>
      <c r="D998" s="59"/>
      <c r="F998" s="59"/>
      <c r="H998" s="59"/>
      <c r="J998" s="59"/>
      <c r="L998" s="59"/>
      <c r="O998" s="59"/>
      <c r="Q998" s="59"/>
      <c r="R998" s="61"/>
    </row>
    <row r="999">
      <c r="B999" s="59"/>
      <c r="D999" s="59"/>
      <c r="F999" s="59"/>
      <c r="H999" s="59"/>
      <c r="J999" s="59"/>
      <c r="L999" s="59"/>
      <c r="O999" s="59"/>
      <c r="Q999" s="59"/>
      <c r="R999" s="61"/>
    </row>
    <row r="1000">
      <c r="B1000" s="59"/>
      <c r="D1000" s="59"/>
      <c r="F1000" s="59"/>
      <c r="H1000" s="59"/>
      <c r="J1000" s="59"/>
      <c r="L1000" s="59"/>
      <c r="O1000" s="59"/>
      <c r="Q1000" s="59"/>
      <c r="R1000" s="61"/>
    </row>
  </sheetData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5.13"/>
    <col customWidth="1" min="5" max="5" width="20.75"/>
    <col customWidth="1" min="6" max="6" width="15.13"/>
    <col customWidth="1" min="8" max="8" width="15.63"/>
    <col customWidth="1" min="13" max="13" width="23.5"/>
    <col customWidth="1" min="15" max="16" width="21.75"/>
  </cols>
  <sheetData>
    <row r="1">
      <c r="A1" s="29" t="s">
        <v>29</v>
      </c>
      <c r="B1" s="30" t="s">
        <v>30</v>
      </c>
      <c r="C1" s="31" t="s">
        <v>31</v>
      </c>
      <c r="D1" s="30" t="s">
        <v>32</v>
      </c>
      <c r="E1" s="31" t="s">
        <v>33</v>
      </c>
      <c r="F1" s="30" t="s">
        <v>34</v>
      </c>
      <c r="G1" s="31" t="s">
        <v>35</v>
      </c>
      <c r="H1" s="32" t="s">
        <v>36</v>
      </c>
      <c r="I1" s="33" t="s">
        <v>37</v>
      </c>
      <c r="J1" s="30" t="s">
        <v>38</v>
      </c>
      <c r="K1" s="33" t="s">
        <v>39</v>
      </c>
      <c r="L1" s="30" t="s">
        <v>38</v>
      </c>
      <c r="M1" s="31" t="s">
        <v>40</v>
      </c>
      <c r="N1" s="30" t="s">
        <v>41</v>
      </c>
      <c r="O1" s="176" t="s">
        <v>460</v>
      </c>
      <c r="P1" s="31" t="s">
        <v>42</v>
      </c>
      <c r="Q1" s="34" t="s">
        <v>43</v>
      </c>
      <c r="R1" s="35">
        <f>SUM(H2:H30)</f>
        <v>28560.06</v>
      </c>
    </row>
    <row r="2">
      <c r="A2" s="17" t="s">
        <v>979</v>
      </c>
      <c r="B2" s="81" t="s">
        <v>980</v>
      </c>
      <c r="C2" s="17" t="s">
        <v>943</v>
      </c>
      <c r="D2" s="81">
        <v>1.0</v>
      </c>
      <c r="E2" s="17" t="s">
        <v>981</v>
      </c>
      <c r="F2" s="81" t="s">
        <v>825</v>
      </c>
      <c r="G2" s="22">
        <v>403.7</v>
      </c>
      <c r="H2" s="18">
        <v>403.7</v>
      </c>
      <c r="I2" s="17" t="s">
        <v>953</v>
      </c>
      <c r="J2" s="81" t="s">
        <v>511</v>
      </c>
      <c r="K2" s="17" t="s">
        <v>982</v>
      </c>
      <c r="L2" s="81" t="s">
        <v>83</v>
      </c>
      <c r="M2" s="17" t="s">
        <v>956</v>
      </c>
      <c r="N2" s="59"/>
      <c r="Q2" s="59"/>
      <c r="R2" s="61"/>
    </row>
    <row r="3">
      <c r="A3" s="17" t="s">
        <v>917</v>
      </c>
      <c r="B3" s="81" t="s">
        <v>918</v>
      </c>
      <c r="C3" s="17" t="s">
        <v>919</v>
      </c>
      <c r="D3" s="81">
        <v>1.0</v>
      </c>
      <c r="E3" s="17" t="s">
        <v>920</v>
      </c>
      <c r="F3" s="17" t="s">
        <v>920</v>
      </c>
      <c r="G3" s="18">
        <v>68.0</v>
      </c>
      <c r="H3" s="18">
        <v>68.0</v>
      </c>
      <c r="I3" s="17" t="s">
        <v>953</v>
      </c>
      <c r="J3" s="81" t="s">
        <v>733</v>
      </c>
      <c r="K3" s="17" t="s">
        <v>982</v>
      </c>
      <c r="L3" s="81" t="s">
        <v>83</v>
      </c>
      <c r="M3" s="17">
        <v>4709138.0</v>
      </c>
      <c r="N3" s="59"/>
      <c r="O3" s="158">
        <v>2215043.0</v>
      </c>
      <c r="Q3" s="59"/>
      <c r="R3" s="61"/>
    </row>
    <row r="4">
      <c r="A4" s="17" t="s">
        <v>983</v>
      </c>
      <c r="B4" s="81" t="s">
        <v>984</v>
      </c>
      <c r="C4" s="17" t="s">
        <v>985</v>
      </c>
      <c r="D4" s="81">
        <v>1.0</v>
      </c>
      <c r="E4" s="17" t="s">
        <v>986</v>
      </c>
      <c r="F4" s="81" t="s">
        <v>987</v>
      </c>
      <c r="G4" s="22">
        <v>137.0</v>
      </c>
      <c r="H4" s="18">
        <v>137.0</v>
      </c>
      <c r="I4" s="17" t="s">
        <v>953</v>
      </c>
      <c r="J4" s="81" t="s">
        <v>733</v>
      </c>
      <c r="K4" s="17" t="s">
        <v>969</v>
      </c>
      <c r="L4" s="81" t="s">
        <v>83</v>
      </c>
      <c r="M4" s="17">
        <v>4709138.0</v>
      </c>
      <c r="N4" s="59"/>
      <c r="O4" s="158">
        <v>2222420.0</v>
      </c>
      <c r="Q4" s="59"/>
      <c r="R4" s="61"/>
    </row>
    <row r="5">
      <c r="A5" s="17" t="s">
        <v>988</v>
      </c>
      <c r="B5" s="81" t="s">
        <v>989</v>
      </c>
      <c r="C5" s="17" t="s">
        <v>990</v>
      </c>
      <c r="D5" s="81">
        <v>1.0</v>
      </c>
      <c r="E5" s="17" t="s">
        <v>976</v>
      </c>
      <c r="F5" s="81" t="s">
        <v>991</v>
      </c>
      <c r="G5" s="22">
        <v>195.0</v>
      </c>
      <c r="H5" s="18">
        <v>195.0</v>
      </c>
      <c r="I5" s="17" t="s">
        <v>953</v>
      </c>
      <c r="J5" s="81" t="s">
        <v>511</v>
      </c>
      <c r="K5" s="17" t="s">
        <v>977</v>
      </c>
      <c r="L5" s="81" t="s">
        <v>83</v>
      </c>
      <c r="M5" s="17">
        <v>4709138.0</v>
      </c>
      <c r="N5" s="59"/>
      <c r="O5" s="158">
        <v>2221391.0</v>
      </c>
      <c r="Q5" s="59"/>
      <c r="R5" s="61"/>
    </row>
    <row r="6">
      <c r="A6" s="17" t="s">
        <v>992</v>
      </c>
      <c r="B6" s="59"/>
      <c r="D6" s="59"/>
      <c r="F6" s="59"/>
      <c r="G6" s="22">
        <v>20607.0</v>
      </c>
      <c r="H6" s="22">
        <v>20607.0</v>
      </c>
      <c r="J6" s="59"/>
      <c r="K6" s="17" t="s">
        <v>993</v>
      </c>
      <c r="L6" s="81" t="s">
        <v>83</v>
      </c>
      <c r="M6" s="17">
        <v>4100466.0</v>
      </c>
      <c r="N6" s="59"/>
      <c r="O6" s="17">
        <v>2214090.0</v>
      </c>
      <c r="Q6" s="59"/>
      <c r="R6" s="61"/>
    </row>
    <row r="7">
      <c r="A7" s="17" t="s">
        <v>994</v>
      </c>
      <c r="B7" s="59"/>
      <c r="D7" s="59"/>
      <c r="F7" s="81" t="s">
        <v>236</v>
      </c>
      <c r="G7" s="22">
        <v>4304.0</v>
      </c>
      <c r="H7" s="18">
        <v>4304.0</v>
      </c>
      <c r="J7" s="59"/>
      <c r="K7" s="17" t="s">
        <v>995</v>
      </c>
      <c r="L7" s="81" t="s">
        <v>83</v>
      </c>
      <c r="M7" s="17">
        <v>1339805.0</v>
      </c>
      <c r="N7" s="59"/>
      <c r="O7" s="158">
        <v>2218277.0</v>
      </c>
      <c r="Q7" s="59"/>
      <c r="R7" s="61"/>
    </row>
    <row r="8">
      <c r="A8" s="17" t="s">
        <v>585</v>
      </c>
      <c r="B8" s="81" t="s">
        <v>996</v>
      </c>
      <c r="C8" s="17">
        <v>250.0</v>
      </c>
      <c r="D8" s="81">
        <v>1.0</v>
      </c>
      <c r="E8" s="17" t="s">
        <v>997</v>
      </c>
      <c r="F8" s="81" t="s">
        <v>998</v>
      </c>
      <c r="G8" s="22">
        <v>128.0</v>
      </c>
      <c r="H8" s="18">
        <v>128.0</v>
      </c>
      <c r="I8" s="17" t="s">
        <v>999</v>
      </c>
      <c r="J8" s="81" t="s">
        <v>83</v>
      </c>
      <c r="K8" s="17" t="s">
        <v>977</v>
      </c>
      <c r="L8" s="81" t="s">
        <v>83</v>
      </c>
      <c r="M8" s="194">
        <v>4709138.0</v>
      </c>
      <c r="N8" s="59"/>
      <c r="O8" s="158">
        <v>2221078.0</v>
      </c>
      <c r="Q8" s="59"/>
      <c r="R8" s="61"/>
    </row>
    <row r="9">
      <c r="A9" s="17" t="s">
        <v>1000</v>
      </c>
      <c r="B9" s="81" t="s">
        <v>121</v>
      </c>
      <c r="C9" s="17" t="s">
        <v>1001</v>
      </c>
      <c r="D9" s="81">
        <v>1.0</v>
      </c>
      <c r="E9" s="17" t="s">
        <v>394</v>
      </c>
      <c r="F9" s="81" t="s">
        <v>998</v>
      </c>
      <c r="G9" s="22">
        <v>221.0</v>
      </c>
      <c r="H9" s="18">
        <v>221.0</v>
      </c>
      <c r="I9" s="17" t="s">
        <v>999</v>
      </c>
      <c r="J9" s="81" t="s">
        <v>733</v>
      </c>
      <c r="K9" s="17" t="s">
        <v>1002</v>
      </c>
      <c r="L9" s="81" t="s">
        <v>83</v>
      </c>
      <c r="M9" s="194">
        <v>4709138.0</v>
      </c>
      <c r="N9" s="59"/>
      <c r="O9" s="158">
        <v>2219702.0</v>
      </c>
      <c r="Q9" s="59"/>
      <c r="R9" s="61"/>
    </row>
    <row r="10">
      <c r="A10" s="17" t="s">
        <v>1003</v>
      </c>
      <c r="B10" s="17" t="s">
        <v>1004</v>
      </c>
      <c r="C10" s="17" t="s">
        <v>862</v>
      </c>
      <c r="D10" s="81">
        <v>1.0</v>
      </c>
      <c r="E10" s="17" t="s">
        <v>1005</v>
      </c>
      <c r="F10" s="81" t="s">
        <v>1006</v>
      </c>
      <c r="G10" s="22">
        <v>121.0</v>
      </c>
      <c r="H10" s="18">
        <v>121.0</v>
      </c>
      <c r="I10" s="17" t="s">
        <v>999</v>
      </c>
      <c r="J10" s="81" t="s">
        <v>733</v>
      </c>
      <c r="K10" s="17" t="s">
        <v>977</v>
      </c>
      <c r="L10" s="81" t="s">
        <v>83</v>
      </c>
      <c r="M10" s="194">
        <v>4709138.0</v>
      </c>
      <c r="N10" s="59"/>
      <c r="O10" s="158">
        <v>2220734.0</v>
      </c>
      <c r="Q10" s="59"/>
      <c r="R10" s="61"/>
    </row>
    <row r="11">
      <c r="A11" s="17" t="s">
        <v>1007</v>
      </c>
      <c r="B11" s="81" t="s">
        <v>1008</v>
      </c>
      <c r="C11" s="17" t="s">
        <v>853</v>
      </c>
      <c r="D11" s="81">
        <v>1.0</v>
      </c>
      <c r="E11" s="17" t="s">
        <v>1005</v>
      </c>
      <c r="F11" s="81" t="s">
        <v>1006</v>
      </c>
      <c r="G11" s="22">
        <v>234.0</v>
      </c>
      <c r="H11" s="18">
        <v>234.0</v>
      </c>
      <c r="I11" s="17" t="s">
        <v>999</v>
      </c>
      <c r="J11" s="81" t="s">
        <v>83</v>
      </c>
      <c r="K11" s="17" t="s">
        <v>995</v>
      </c>
      <c r="L11" s="81" t="s">
        <v>83</v>
      </c>
      <c r="M11" s="194">
        <v>4709138.0</v>
      </c>
      <c r="N11" s="59"/>
      <c r="O11" s="158">
        <v>2219674.0</v>
      </c>
      <c r="Q11" s="59"/>
      <c r="R11" s="61"/>
    </row>
    <row r="12">
      <c r="A12" s="17" t="s">
        <v>1009</v>
      </c>
      <c r="B12" s="81" t="s">
        <v>1010</v>
      </c>
      <c r="C12" s="17" t="s">
        <v>1011</v>
      </c>
      <c r="D12" s="81">
        <v>3.0</v>
      </c>
      <c r="E12" s="17" t="s">
        <v>976</v>
      </c>
      <c r="F12" s="81" t="s">
        <v>991</v>
      </c>
      <c r="G12" s="22">
        <v>105.33</v>
      </c>
      <c r="H12" s="18">
        <v>315.99</v>
      </c>
      <c r="I12" s="17" t="s">
        <v>999</v>
      </c>
      <c r="J12" s="81" t="s">
        <v>83</v>
      </c>
      <c r="K12" s="17" t="s">
        <v>995</v>
      </c>
      <c r="L12" s="81" t="s">
        <v>83</v>
      </c>
      <c r="M12" s="194">
        <v>4709138.0</v>
      </c>
      <c r="N12" s="59"/>
      <c r="O12" s="158">
        <v>2219674.0</v>
      </c>
      <c r="Q12" s="59"/>
      <c r="R12" s="61"/>
    </row>
    <row r="13">
      <c r="A13" s="17" t="s">
        <v>1012</v>
      </c>
      <c r="B13" s="81" t="s">
        <v>1013</v>
      </c>
      <c r="C13" s="17" t="s">
        <v>1014</v>
      </c>
      <c r="D13" s="81">
        <v>1.0</v>
      </c>
      <c r="E13" s="17" t="s">
        <v>976</v>
      </c>
      <c r="F13" s="81" t="s">
        <v>991</v>
      </c>
      <c r="G13" s="22">
        <v>180.0</v>
      </c>
      <c r="H13" s="18">
        <v>180.0</v>
      </c>
      <c r="I13" s="17" t="s">
        <v>1015</v>
      </c>
      <c r="J13" s="81" t="s">
        <v>83</v>
      </c>
      <c r="K13" s="17" t="s">
        <v>1016</v>
      </c>
      <c r="L13" s="81" t="s">
        <v>83</v>
      </c>
      <c r="M13" s="194">
        <v>4709138.0</v>
      </c>
      <c r="N13" s="59"/>
      <c r="O13" s="158">
        <v>2222254.0</v>
      </c>
      <c r="Q13" s="59"/>
      <c r="R13" s="61"/>
    </row>
    <row r="14">
      <c r="A14" s="17" t="s">
        <v>1009</v>
      </c>
      <c r="B14" s="81" t="s">
        <v>1010</v>
      </c>
      <c r="C14" s="17" t="s">
        <v>1011</v>
      </c>
      <c r="D14" s="81">
        <v>2.0</v>
      </c>
      <c r="E14" s="17" t="s">
        <v>976</v>
      </c>
      <c r="F14" s="81" t="s">
        <v>991</v>
      </c>
      <c r="G14" s="22">
        <v>149.89</v>
      </c>
      <c r="H14" s="18">
        <f>G14*2</f>
        <v>299.78</v>
      </c>
      <c r="I14" s="17" t="s">
        <v>995</v>
      </c>
      <c r="J14" s="81" t="s">
        <v>83</v>
      </c>
      <c r="K14" s="17" t="s">
        <v>995</v>
      </c>
      <c r="L14" s="81" t="s">
        <v>83</v>
      </c>
      <c r="M14" s="194">
        <v>4709138.0</v>
      </c>
      <c r="N14" s="59"/>
      <c r="O14" s="158">
        <v>2222235.0</v>
      </c>
      <c r="Q14" s="59"/>
      <c r="R14" s="61"/>
    </row>
    <row r="15">
      <c r="A15" s="17" t="s">
        <v>1017</v>
      </c>
      <c r="B15" s="81" t="s">
        <v>1018</v>
      </c>
      <c r="C15" s="17" t="s">
        <v>1011</v>
      </c>
      <c r="D15" s="81">
        <v>1.0</v>
      </c>
      <c r="E15" s="17" t="s">
        <v>1019</v>
      </c>
      <c r="F15" s="81" t="s">
        <v>998</v>
      </c>
      <c r="G15" s="22">
        <v>96.2</v>
      </c>
      <c r="H15" s="22">
        <v>96.2</v>
      </c>
      <c r="I15" s="17" t="s">
        <v>995</v>
      </c>
      <c r="J15" s="81" t="s">
        <v>83</v>
      </c>
      <c r="K15" s="17" t="s">
        <v>1020</v>
      </c>
      <c r="L15" s="81" t="s">
        <v>83</v>
      </c>
      <c r="M15" s="194">
        <v>4709138.0</v>
      </c>
      <c r="N15" s="59"/>
      <c r="O15" s="17">
        <v>2221611.0</v>
      </c>
      <c r="Q15" s="59"/>
      <c r="R15" s="61"/>
    </row>
    <row r="16">
      <c r="A16" s="17" t="s">
        <v>1021</v>
      </c>
      <c r="B16" s="81" t="s">
        <v>1022</v>
      </c>
      <c r="C16" s="17" t="s">
        <v>138</v>
      </c>
      <c r="D16" s="81">
        <v>1.0</v>
      </c>
      <c r="E16" s="17" t="s">
        <v>85</v>
      </c>
      <c r="F16" s="81" t="s">
        <v>998</v>
      </c>
      <c r="G16" s="22">
        <v>18.66</v>
      </c>
      <c r="H16" s="18">
        <v>18.66</v>
      </c>
      <c r="I16" s="17" t="s">
        <v>995</v>
      </c>
      <c r="J16" s="81" t="s">
        <v>83</v>
      </c>
      <c r="K16" s="17" t="s">
        <v>1023</v>
      </c>
      <c r="L16" s="81" t="s">
        <v>83</v>
      </c>
      <c r="M16" s="194">
        <v>4709138.0</v>
      </c>
      <c r="N16" s="59"/>
      <c r="O16" s="17">
        <v>2223532.0</v>
      </c>
      <c r="Q16" s="59"/>
      <c r="R16" s="61"/>
    </row>
    <row r="17">
      <c r="A17" s="17" t="s">
        <v>765</v>
      </c>
      <c r="B17" s="81" t="s">
        <v>766</v>
      </c>
      <c r="C17" s="17">
        <v>72.0</v>
      </c>
      <c r="D17" s="81">
        <v>10.0</v>
      </c>
      <c r="E17" s="17" t="s">
        <v>1024</v>
      </c>
      <c r="F17" s="81" t="s">
        <v>998</v>
      </c>
      <c r="G17" s="22">
        <v>132.0</v>
      </c>
      <c r="H17" s="18">
        <v>132.0</v>
      </c>
      <c r="I17" s="17" t="s">
        <v>995</v>
      </c>
      <c r="J17" s="81" t="s">
        <v>83</v>
      </c>
      <c r="K17" s="17" t="s">
        <v>977</v>
      </c>
      <c r="L17" s="81" t="s">
        <v>83</v>
      </c>
      <c r="M17" s="194">
        <v>4709138.0</v>
      </c>
      <c r="N17" s="59"/>
      <c r="O17" s="158">
        <v>2220451.0</v>
      </c>
      <c r="Q17" s="59"/>
      <c r="R17" s="61"/>
    </row>
    <row r="18">
      <c r="A18" s="169" t="s">
        <v>889</v>
      </c>
      <c r="B18" s="84" t="s">
        <v>890</v>
      </c>
      <c r="C18" s="17" t="s">
        <v>891</v>
      </c>
      <c r="D18" s="81">
        <v>1.0</v>
      </c>
      <c r="E18" s="169" t="s">
        <v>892</v>
      </c>
      <c r="F18" s="81" t="s">
        <v>208</v>
      </c>
      <c r="G18" s="22">
        <v>146.13</v>
      </c>
      <c r="H18" s="22">
        <v>146.13</v>
      </c>
      <c r="I18" s="17" t="s">
        <v>995</v>
      </c>
      <c r="J18" s="81" t="s">
        <v>83</v>
      </c>
      <c r="K18" s="17" t="s">
        <v>977</v>
      </c>
      <c r="L18" s="81" t="s">
        <v>83</v>
      </c>
      <c r="M18" s="194">
        <v>4709138.0</v>
      </c>
      <c r="N18" s="59"/>
      <c r="O18" s="158">
        <v>2221373.0</v>
      </c>
      <c r="Q18" s="59"/>
      <c r="R18" s="61"/>
    </row>
    <row r="19">
      <c r="A19" s="17" t="s">
        <v>1025</v>
      </c>
      <c r="B19" s="81" t="s">
        <v>1026</v>
      </c>
      <c r="C19" s="17" t="s">
        <v>1027</v>
      </c>
      <c r="D19" s="81">
        <v>1.0</v>
      </c>
      <c r="E19" s="17" t="s">
        <v>1019</v>
      </c>
      <c r="F19" s="81" t="s">
        <v>208</v>
      </c>
      <c r="G19" s="22">
        <v>85.4</v>
      </c>
      <c r="H19" s="18">
        <v>85.4</v>
      </c>
      <c r="I19" s="17" t="s">
        <v>1015</v>
      </c>
      <c r="J19" s="81" t="s">
        <v>83</v>
      </c>
      <c r="K19" s="17" t="s">
        <v>969</v>
      </c>
      <c r="L19" s="81" t="s">
        <v>83</v>
      </c>
      <c r="M19" s="194">
        <v>4709138.0</v>
      </c>
      <c r="N19" s="59"/>
      <c r="O19" s="158">
        <v>2223705.0</v>
      </c>
      <c r="Q19" s="59"/>
      <c r="R19" s="61"/>
    </row>
    <row r="20">
      <c r="A20" s="17" t="s">
        <v>1028</v>
      </c>
      <c r="B20" s="81" t="s">
        <v>1029</v>
      </c>
      <c r="C20" s="17">
        <v>4.0</v>
      </c>
      <c r="D20" s="81">
        <v>4.0</v>
      </c>
      <c r="E20" s="17" t="s">
        <v>1030</v>
      </c>
      <c r="F20" s="81" t="s">
        <v>1031</v>
      </c>
      <c r="G20" s="22">
        <v>149.0</v>
      </c>
      <c r="H20" s="18">
        <f>G20*4</f>
        <v>596</v>
      </c>
      <c r="I20" s="17" t="s">
        <v>977</v>
      </c>
      <c r="J20" s="81" t="s">
        <v>83</v>
      </c>
      <c r="K20" s="17" t="s">
        <v>969</v>
      </c>
      <c r="L20" s="81" t="s">
        <v>83</v>
      </c>
      <c r="M20" s="194">
        <v>4709138.0</v>
      </c>
      <c r="N20" s="59"/>
      <c r="O20" s="178" t="s">
        <v>1032</v>
      </c>
      <c r="Q20" s="59"/>
      <c r="R20" s="61"/>
    </row>
    <row r="21">
      <c r="A21" s="17" t="s">
        <v>1033</v>
      </c>
      <c r="B21" s="81" t="s">
        <v>1034</v>
      </c>
      <c r="C21" s="17">
        <v>2.0</v>
      </c>
      <c r="D21" s="81">
        <v>8.0</v>
      </c>
      <c r="E21" s="17" t="s">
        <v>1030</v>
      </c>
      <c r="F21" s="81" t="s">
        <v>1031</v>
      </c>
      <c r="G21" s="22">
        <v>33.9</v>
      </c>
      <c r="H21" s="18">
        <f>G21*8</f>
        <v>271.2</v>
      </c>
      <c r="I21" s="17" t="s">
        <v>977</v>
      </c>
      <c r="J21" s="81" t="s">
        <v>83</v>
      </c>
      <c r="K21" s="17" t="s">
        <v>969</v>
      </c>
      <c r="L21" s="81" t="s">
        <v>83</v>
      </c>
      <c r="M21" s="194">
        <v>4709138.0</v>
      </c>
      <c r="N21" s="59"/>
      <c r="O21" s="158">
        <v>2223692.0</v>
      </c>
      <c r="Q21" s="59"/>
      <c r="R21" s="61"/>
    </row>
    <row r="22">
      <c r="B22" s="59"/>
      <c r="D22" s="59"/>
      <c r="F22" s="59"/>
      <c r="G22" s="22"/>
      <c r="H22" s="18"/>
      <c r="J22" s="59"/>
      <c r="L22" s="59"/>
      <c r="N22" s="59"/>
      <c r="Q22" s="59"/>
      <c r="R22" s="61"/>
    </row>
    <row r="23">
      <c r="B23" s="59"/>
      <c r="D23" s="59"/>
      <c r="F23" s="59"/>
      <c r="G23" s="22"/>
      <c r="H23" s="18"/>
      <c r="J23" s="59"/>
      <c r="L23" s="59"/>
      <c r="N23" s="59"/>
      <c r="Q23" s="59"/>
      <c r="R23" s="61"/>
    </row>
    <row r="24">
      <c r="B24" s="59"/>
      <c r="D24" s="59"/>
      <c r="F24" s="59"/>
      <c r="G24" s="22"/>
      <c r="H24" s="18"/>
      <c r="J24" s="59"/>
      <c r="L24" s="59"/>
      <c r="N24" s="59"/>
      <c r="Q24" s="59"/>
      <c r="R24" s="61"/>
    </row>
    <row r="25">
      <c r="B25" s="59"/>
      <c r="D25" s="59"/>
      <c r="F25" s="59"/>
      <c r="G25" s="22"/>
      <c r="H25" s="18"/>
      <c r="J25" s="59"/>
      <c r="L25" s="59"/>
      <c r="N25" s="59"/>
      <c r="Q25" s="59"/>
      <c r="R25" s="61"/>
    </row>
    <row r="26">
      <c r="B26" s="59"/>
      <c r="D26" s="59"/>
      <c r="F26" s="59"/>
      <c r="G26" s="22"/>
      <c r="H26" s="18"/>
      <c r="J26" s="59"/>
      <c r="L26" s="59"/>
      <c r="N26" s="59"/>
      <c r="Q26" s="59"/>
      <c r="R26" s="61"/>
    </row>
    <row r="27">
      <c r="B27" s="59"/>
      <c r="D27" s="59"/>
      <c r="F27" s="59"/>
      <c r="G27" s="22"/>
      <c r="H27" s="18"/>
      <c r="J27" s="59"/>
      <c r="L27" s="59"/>
      <c r="N27" s="59"/>
      <c r="Q27" s="59"/>
      <c r="R27" s="61"/>
    </row>
    <row r="28">
      <c r="B28" s="59"/>
      <c r="D28" s="59"/>
      <c r="F28" s="59"/>
      <c r="G28" s="22"/>
      <c r="H28" s="18"/>
      <c r="J28" s="59"/>
      <c r="L28" s="59"/>
      <c r="N28" s="59"/>
      <c r="Q28" s="59"/>
      <c r="R28" s="61"/>
    </row>
    <row r="29">
      <c r="B29" s="59"/>
      <c r="D29" s="59"/>
      <c r="F29" s="59"/>
      <c r="G29" s="22"/>
      <c r="H29" s="18"/>
      <c r="J29" s="59"/>
      <c r="L29" s="59"/>
      <c r="N29" s="59"/>
      <c r="Q29" s="59"/>
      <c r="R29" s="61"/>
    </row>
    <row r="30">
      <c r="B30" s="59"/>
      <c r="D30" s="59"/>
      <c r="F30" s="59"/>
      <c r="G30" s="22"/>
      <c r="H30" s="18"/>
      <c r="J30" s="59"/>
      <c r="L30" s="59"/>
      <c r="N30" s="59"/>
      <c r="Q30" s="59"/>
      <c r="R30" s="61"/>
    </row>
    <row r="31">
      <c r="B31" s="59"/>
      <c r="D31" s="59"/>
      <c r="F31" s="59"/>
      <c r="G31" s="22"/>
      <c r="H31" s="18"/>
      <c r="J31" s="59"/>
      <c r="L31" s="59"/>
      <c r="N31" s="59"/>
      <c r="Q31" s="59"/>
      <c r="R31" s="61"/>
    </row>
    <row r="32">
      <c r="B32" s="59"/>
      <c r="D32" s="59"/>
      <c r="F32" s="59"/>
      <c r="G32" s="22"/>
      <c r="H32" s="18"/>
      <c r="J32" s="59"/>
      <c r="L32" s="59"/>
      <c r="N32" s="59"/>
      <c r="Q32" s="59"/>
      <c r="R32" s="61"/>
    </row>
    <row r="33">
      <c r="B33" s="59"/>
      <c r="D33" s="59"/>
      <c r="F33" s="59"/>
      <c r="G33" s="22"/>
      <c r="H33" s="18"/>
      <c r="J33" s="59"/>
      <c r="L33" s="59"/>
      <c r="N33" s="59"/>
      <c r="Q33" s="59"/>
      <c r="R33" s="61"/>
    </row>
    <row r="34">
      <c r="B34" s="59"/>
      <c r="D34" s="59"/>
      <c r="F34" s="59"/>
      <c r="G34" s="22"/>
      <c r="H34" s="18"/>
      <c r="J34" s="59"/>
      <c r="L34" s="59"/>
      <c r="N34" s="59"/>
      <c r="Q34" s="59"/>
      <c r="R34" s="61"/>
    </row>
    <row r="35">
      <c r="B35" s="59"/>
      <c r="D35" s="59"/>
      <c r="F35" s="59"/>
      <c r="G35" s="22"/>
      <c r="H35" s="18"/>
      <c r="J35" s="59"/>
      <c r="L35" s="59"/>
      <c r="N35" s="59"/>
      <c r="Q35" s="59"/>
      <c r="R35" s="61"/>
    </row>
    <row r="36">
      <c r="B36" s="59"/>
      <c r="D36" s="59"/>
      <c r="F36" s="59"/>
      <c r="G36" s="22"/>
      <c r="H36" s="18"/>
      <c r="J36" s="59"/>
      <c r="L36" s="59"/>
      <c r="N36" s="59"/>
      <c r="Q36" s="59"/>
      <c r="R36" s="61"/>
    </row>
    <row r="37">
      <c r="B37" s="59"/>
      <c r="D37" s="59"/>
      <c r="F37" s="59"/>
      <c r="G37" s="22"/>
      <c r="H37" s="18"/>
      <c r="J37" s="59"/>
      <c r="L37" s="59"/>
      <c r="N37" s="59"/>
      <c r="Q37" s="59"/>
      <c r="R37" s="61"/>
    </row>
    <row r="38">
      <c r="B38" s="59"/>
      <c r="D38" s="59"/>
      <c r="F38" s="59"/>
      <c r="G38" s="22"/>
      <c r="H38" s="18"/>
      <c r="J38" s="59"/>
      <c r="L38" s="59"/>
      <c r="N38" s="59"/>
      <c r="Q38" s="59"/>
      <c r="R38" s="61"/>
    </row>
    <row r="39">
      <c r="B39" s="59"/>
      <c r="D39" s="59"/>
      <c r="F39" s="59"/>
      <c r="G39" s="22"/>
      <c r="H39" s="18"/>
      <c r="J39" s="59"/>
      <c r="L39" s="59"/>
      <c r="N39" s="59"/>
      <c r="Q39" s="59"/>
      <c r="R39" s="61"/>
    </row>
    <row r="40">
      <c r="B40" s="59"/>
      <c r="D40" s="59"/>
      <c r="F40" s="59"/>
      <c r="G40" s="22"/>
      <c r="H40" s="18"/>
      <c r="J40" s="59"/>
      <c r="L40" s="59"/>
      <c r="N40" s="59"/>
      <c r="Q40" s="59"/>
      <c r="R40" s="61"/>
    </row>
    <row r="41">
      <c r="B41" s="59"/>
      <c r="D41" s="59"/>
      <c r="F41" s="59"/>
      <c r="G41" s="22"/>
      <c r="H41" s="18"/>
      <c r="J41" s="59"/>
      <c r="L41" s="59"/>
      <c r="N41" s="59"/>
      <c r="Q41" s="59"/>
      <c r="R41" s="61"/>
    </row>
    <row r="42">
      <c r="B42" s="59"/>
      <c r="D42" s="59"/>
      <c r="F42" s="59"/>
      <c r="G42" s="22"/>
      <c r="H42" s="18"/>
      <c r="J42" s="59"/>
      <c r="L42" s="59"/>
      <c r="N42" s="59"/>
      <c r="Q42" s="59"/>
      <c r="R42" s="61"/>
    </row>
    <row r="43">
      <c r="B43" s="59"/>
      <c r="D43" s="59"/>
      <c r="F43" s="59"/>
      <c r="G43" s="22"/>
      <c r="H43" s="18"/>
      <c r="J43" s="59"/>
      <c r="L43" s="59"/>
      <c r="N43" s="59"/>
      <c r="Q43" s="59"/>
      <c r="R43" s="61"/>
    </row>
    <row r="44">
      <c r="B44" s="59"/>
      <c r="D44" s="59"/>
      <c r="F44" s="59"/>
      <c r="G44" s="22"/>
      <c r="H44" s="18"/>
      <c r="J44" s="59"/>
      <c r="L44" s="59"/>
      <c r="N44" s="59"/>
      <c r="Q44" s="59"/>
      <c r="R44" s="61"/>
    </row>
    <row r="45">
      <c r="B45" s="59"/>
      <c r="D45" s="59"/>
      <c r="F45" s="59"/>
      <c r="G45" s="22"/>
      <c r="H45" s="18"/>
      <c r="J45" s="59"/>
      <c r="L45" s="59"/>
      <c r="N45" s="59"/>
      <c r="Q45" s="59"/>
      <c r="R45" s="61"/>
    </row>
    <row r="46">
      <c r="B46" s="59"/>
      <c r="D46" s="59"/>
      <c r="F46" s="59"/>
      <c r="G46" s="22"/>
      <c r="H46" s="18"/>
      <c r="J46" s="59"/>
      <c r="L46" s="59"/>
      <c r="N46" s="59"/>
      <c r="Q46" s="59"/>
      <c r="R46" s="61"/>
    </row>
    <row r="47">
      <c r="B47" s="59"/>
      <c r="D47" s="59"/>
      <c r="F47" s="59"/>
      <c r="G47" s="22"/>
      <c r="H47" s="18"/>
      <c r="J47" s="59"/>
      <c r="L47" s="59"/>
      <c r="N47" s="59"/>
      <c r="Q47" s="59"/>
      <c r="R47" s="61"/>
    </row>
    <row r="48">
      <c r="B48" s="59"/>
      <c r="D48" s="59"/>
      <c r="F48" s="59"/>
      <c r="G48" s="22"/>
      <c r="H48" s="18"/>
      <c r="J48" s="59"/>
      <c r="L48" s="59"/>
      <c r="N48" s="59"/>
      <c r="Q48" s="59"/>
      <c r="R48" s="61"/>
    </row>
    <row r="49">
      <c r="B49" s="59"/>
      <c r="D49" s="59"/>
      <c r="F49" s="59"/>
      <c r="G49" s="22"/>
      <c r="H49" s="18"/>
      <c r="J49" s="59"/>
      <c r="L49" s="59"/>
      <c r="N49" s="59"/>
      <c r="Q49" s="59"/>
      <c r="R49" s="61"/>
    </row>
    <row r="50">
      <c r="B50" s="59"/>
      <c r="D50" s="59"/>
      <c r="F50" s="59"/>
      <c r="H50" s="59"/>
      <c r="J50" s="59"/>
      <c r="L50" s="59"/>
      <c r="N50" s="59"/>
      <c r="Q50" s="59"/>
      <c r="R50" s="61"/>
    </row>
    <row r="51">
      <c r="B51" s="59"/>
      <c r="D51" s="59"/>
      <c r="F51" s="59"/>
      <c r="H51" s="59"/>
      <c r="J51" s="59"/>
      <c r="L51" s="59"/>
      <c r="N51" s="59"/>
      <c r="Q51" s="59"/>
      <c r="R51" s="61"/>
    </row>
    <row r="52">
      <c r="B52" s="59"/>
      <c r="D52" s="59"/>
      <c r="F52" s="59"/>
      <c r="H52" s="59"/>
      <c r="J52" s="59"/>
      <c r="L52" s="59"/>
      <c r="N52" s="59"/>
      <c r="Q52" s="59"/>
      <c r="R52" s="61"/>
    </row>
    <row r="53">
      <c r="B53" s="59"/>
      <c r="D53" s="59"/>
      <c r="F53" s="59"/>
      <c r="H53" s="59"/>
      <c r="J53" s="59"/>
      <c r="L53" s="59"/>
      <c r="N53" s="59"/>
      <c r="Q53" s="59"/>
      <c r="R53" s="61"/>
    </row>
    <row r="54">
      <c r="B54" s="59"/>
      <c r="D54" s="59"/>
      <c r="F54" s="59"/>
      <c r="H54" s="59"/>
      <c r="J54" s="59"/>
      <c r="L54" s="59"/>
      <c r="N54" s="59"/>
      <c r="Q54" s="59"/>
      <c r="R54" s="61"/>
    </row>
    <row r="55">
      <c r="B55" s="59"/>
      <c r="D55" s="59"/>
      <c r="F55" s="59"/>
      <c r="H55" s="59"/>
      <c r="J55" s="59"/>
      <c r="L55" s="59"/>
      <c r="N55" s="59"/>
      <c r="Q55" s="59"/>
      <c r="R55" s="61"/>
    </row>
    <row r="56">
      <c r="B56" s="59"/>
      <c r="D56" s="59"/>
      <c r="F56" s="59"/>
      <c r="H56" s="59"/>
      <c r="J56" s="59"/>
      <c r="L56" s="59"/>
      <c r="N56" s="59"/>
      <c r="Q56" s="59"/>
      <c r="R56" s="61"/>
    </row>
    <row r="57">
      <c r="B57" s="59"/>
      <c r="D57" s="59"/>
      <c r="F57" s="59"/>
      <c r="H57" s="59"/>
      <c r="J57" s="59"/>
      <c r="L57" s="59"/>
      <c r="N57" s="59"/>
      <c r="Q57" s="59"/>
      <c r="R57" s="61"/>
    </row>
    <row r="58">
      <c r="B58" s="59"/>
      <c r="D58" s="59"/>
      <c r="F58" s="59"/>
      <c r="H58" s="59"/>
      <c r="J58" s="59"/>
      <c r="L58" s="59"/>
      <c r="N58" s="59"/>
      <c r="Q58" s="59"/>
      <c r="R58" s="61"/>
    </row>
    <row r="59">
      <c r="B59" s="59"/>
      <c r="D59" s="59"/>
      <c r="F59" s="59"/>
      <c r="H59" s="59"/>
      <c r="J59" s="59"/>
      <c r="L59" s="59"/>
      <c r="N59" s="59"/>
      <c r="Q59" s="59"/>
      <c r="R59" s="61"/>
    </row>
    <row r="60">
      <c r="B60" s="59"/>
      <c r="D60" s="59"/>
      <c r="F60" s="59"/>
      <c r="H60" s="59"/>
      <c r="J60" s="59"/>
      <c r="L60" s="59"/>
      <c r="N60" s="59"/>
      <c r="Q60" s="59"/>
      <c r="R60" s="61"/>
    </row>
    <row r="61">
      <c r="B61" s="59"/>
      <c r="D61" s="59"/>
      <c r="F61" s="59"/>
      <c r="H61" s="59"/>
      <c r="J61" s="59"/>
      <c r="L61" s="59"/>
      <c r="N61" s="59"/>
      <c r="Q61" s="59"/>
      <c r="R61" s="61"/>
    </row>
    <row r="62">
      <c r="B62" s="59"/>
      <c r="D62" s="59"/>
      <c r="F62" s="59"/>
      <c r="H62" s="59"/>
      <c r="J62" s="59"/>
      <c r="L62" s="59"/>
      <c r="N62" s="59"/>
      <c r="Q62" s="59"/>
      <c r="R62" s="61"/>
    </row>
    <row r="63">
      <c r="B63" s="59"/>
      <c r="D63" s="59"/>
      <c r="F63" s="59"/>
      <c r="H63" s="59"/>
      <c r="J63" s="59"/>
      <c r="L63" s="59"/>
      <c r="N63" s="59"/>
      <c r="Q63" s="59"/>
      <c r="R63" s="61"/>
    </row>
    <row r="64">
      <c r="B64" s="59"/>
      <c r="D64" s="59"/>
      <c r="F64" s="59"/>
      <c r="H64" s="59"/>
      <c r="J64" s="59"/>
      <c r="L64" s="59"/>
      <c r="N64" s="59"/>
      <c r="Q64" s="59"/>
      <c r="R64" s="61"/>
    </row>
    <row r="65">
      <c r="B65" s="59"/>
      <c r="D65" s="59"/>
      <c r="F65" s="59"/>
      <c r="H65" s="59"/>
      <c r="J65" s="59"/>
      <c r="L65" s="59"/>
      <c r="N65" s="59"/>
      <c r="Q65" s="59"/>
      <c r="R65" s="61"/>
    </row>
    <row r="66">
      <c r="B66" s="59"/>
      <c r="D66" s="59"/>
      <c r="F66" s="59"/>
      <c r="H66" s="59"/>
      <c r="J66" s="59"/>
      <c r="L66" s="59"/>
      <c r="N66" s="59"/>
      <c r="Q66" s="59"/>
      <c r="R66" s="61"/>
    </row>
    <row r="67">
      <c r="B67" s="59"/>
      <c r="D67" s="59"/>
      <c r="F67" s="59"/>
      <c r="H67" s="59"/>
      <c r="J67" s="59"/>
      <c r="L67" s="59"/>
      <c r="N67" s="59"/>
      <c r="Q67" s="59"/>
      <c r="R67" s="61"/>
    </row>
    <row r="68">
      <c r="B68" s="59"/>
      <c r="D68" s="59"/>
      <c r="F68" s="59"/>
      <c r="H68" s="59"/>
      <c r="J68" s="59"/>
      <c r="L68" s="59"/>
      <c r="N68" s="59"/>
      <c r="Q68" s="59"/>
      <c r="R68" s="61"/>
    </row>
    <row r="69">
      <c r="B69" s="59"/>
      <c r="D69" s="59"/>
      <c r="F69" s="59"/>
      <c r="H69" s="59"/>
      <c r="J69" s="59"/>
      <c r="L69" s="59"/>
      <c r="N69" s="59"/>
      <c r="Q69" s="59"/>
      <c r="R69" s="61"/>
    </row>
    <row r="70">
      <c r="B70" s="59"/>
      <c r="D70" s="59"/>
      <c r="F70" s="59"/>
      <c r="H70" s="59"/>
      <c r="J70" s="59"/>
      <c r="L70" s="59"/>
      <c r="N70" s="59"/>
      <c r="Q70" s="59"/>
      <c r="R70" s="61"/>
    </row>
    <row r="71">
      <c r="B71" s="59"/>
      <c r="D71" s="59"/>
      <c r="F71" s="59"/>
      <c r="H71" s="59"/>
      <c r="J71" s="59"/>
      <c r="L71" s="59"/>
      <c r="N71" s="59"/>
      <c r="Q71" s="59"/>
      <c r="R71" s="61"/>
    </row>
    <row r="72">
      <c r="B72" s="59"/>
      <c r="D72" s="59"/>
      <c r="F72" s="59"/>
      <c r="H72" s="59"/>
      <c r="J72" s="59"/>
      <c r="L72" s="59"/>
      <c r="N72" s="59"/>
      <c r="Q72" s="59"/>
      <c r="R72" s="61"/>
    </row>
    <row r="73">
      <c r="B73" s="59"/>
      <c r="D73" s="59"/>
      <c r="F73" s="59"/>
      <c r="H73" s="59"/>
      <c r="J73" s="59"/>
      <c r="L73" s="59"/>
      <c r="N73" s="59"/>
      <c r="Q73" s="59"/>
      <c r="R73" s="61"/>
    </row>
    <row r="74">
      <c r="B74" s="59"/>
      <c r="D74" s="59"/>
      <c r="F74" s="59"/>
      <c r="H74" s="59"/>
      <c r="J74" s="59"/>
      <c r="L74" s="59"/>
      <c r="N74" s="59"/>
      <c r="Q74" s="59"/>
      <c r="R74" s="61"/>
    </row>
    <row r="75">
      <c r="B75" s="59"/>
      <c r="D75" s="59"/>
      <c r="F75" s="59"/>
      <c r="H75" s="59"/>
      <c r="J75" s="59"/>
      <c r="L75" s="59"/>
      <c r="N75" s="59"/>
      <c r="Q75" s="59"/>
      <c r="R75" s="61"/>
    </row>
    <row r="76">
      <c r="B76" s="59"/>
      <c r="D76" s="59"/>
      <c r="F76" s="59"/>
      <c r="H76" s="59"/>
      <c r="J76" s="59"/>
      <c r="L76" s="59"/>
      <c r="N76" s="59"/>
      <c r="Q76" s="59"/>
      <c r="R76" s="61"/>
    </row>
    <row r="77">
      <c r="B77" s="59"/>
      <c r="D77" s="59"/>
      <c r="F77" s="59"/>
      <c r="H77" s="59"/>
      <c r="J77" s="59"/>
      <c r="L77" s="59"/>
      <c r="N77" s="59"/>
      <c r="Q77" s="59"/>
      <c r="R77" s="61"/>
    </row>
    <row r="78">
      <c r="B78" s="59"/>
      <c r="D78" s="59"/>
      <c r="F78" s="59"/>
      <c r="H78" s="59"/>
      <c r="J78" s="59"/>
      <c r="L78" s="59"/>
      <c r="N78" s="59"/>
      <c r="Q78" s="59"/>
      <c r="R78" s="61"/>
    </row>
    <row r="79">
      <c r="B79" s="59"/>
      <c r="D79" s="59"/>
      <c r="F79" s="59"/>
      <c r="H79" s="59"/>
      <c r="J79" s="59"/>
      <c r="L79" s="59"/>
      <c r="N79" s="59"/>
      <c r="Q79" s="59"/>
      <c r="R79" s="61"/>
    </row>
    <row r="80">
      <c r="B80" s="59"/>
      <c r="D80" s="59"/>
      <c r="F80" s="59"/>
      <c r="H80" s="59"/>
      <c r="J80" s="59"/>
      <c r="L80" s="59"/>
      <c r="N80" s="59"/>
      <c r="Q80" s="59"/>
      <c r="R80" s="61"/>
    </row>
    <row r="81">
      <c r="B81" s="59"/>
      <c r="D81" s="59"/>
      <c r="F81" s="59"/>
      <c r="H81" s="59"/>
      <c r="J81" s="59"/>
      <c r="L81" s="59"/>
      <c r="N81" s="59"/>
      <c r="Q81" s="59"/>
      <c r="R81" s="61"/>
    </row>
    <row r="82">
      <c r="B82" s="59"/>
      <c r="D82" s="59"/>
      <c r="F82" s="59"/>
      <c r="H82" s="59"/>
      <c r="J82" s="59"/>
      <c r="L82" s="59"/>
      <c r="N82" s="59"/>
      <c r="Q82" s="59"/>
      <c r="R82" s="61"/>
    </row>
    <row r="83">
      <c r="B83" s="59"/>
      <c r="D83" s="59"/>
      <c r="F83" s="59"/>
      <c r="H83" s="59"/>
      <c r="J83" s="59"/>
      <c r="L83" s="59"/>
      <c r="N83" s="59"/>
      <c r="Q83" s="59"/>
      <c r="R83" s="61"/>
    </row>
    <row r="84">
      <c r="B84" s="59"/>
      <c r="D84" s="59"/>
      <c r="F84" s="59"/>
      <c r="H84" s="59"/>
      <c r="J84" s="59"/>
      <c r="L84" s="59"/>
      <c r="N84" s="59"/>
      <c r="Q84" s="59"/>
      <c r="R84" s="61"/>
    </row>
    <row r="85">
      <c r="B85" s="59"/>
      <c r="D85" s="59"/>
      <c r="F85" s="59"/>
      <c r="H85" s="59"/>
      <c r="J85" s="59"/>
      <c r="L85" s="59"/>
      <c r="N85" s="59"/>
      <c r="Q85" s="59"/>
      <c r="R85" s="61"/>
    </row>
    <row r="86">
      <c r="B86" s="59"/>
      <c r="D86" s="59"/>
      <c r="F86" s="59"/>
      <c r="H86" s="59"/>
      <c r="J86" s="59"/>
      <c r="L86" s="59"/>
      <c r="N86" s="59"/>
      <c r="Q86" s="59"/>
      <c r="R86" s="61"/>
    </row>
    <row r="87">
      <c r="B87" s="59"/>
      <c r="D87" s="59"/>
      <c r="F87" s="59"/>
      <c r="H87" s="59"/>
      <c r="J87" s="59"/>
      <c r="L87" s="59"/>
      <c r="N87" s="59"/>
      <c r="Q87" s="59"/>
      <c r="R87" s="61"/>
    </row>
    <row r="88">
      <c r="B88" s="59"/>
      <c r="D88" s="59"/>
      <c r="F88" s="59"/>
      <c r="H88" s="59"/>
      <c r="J88" s="59"/>
      <c r="L88" s="59"/>
      <c r="N88" s="59"/>
      <c r="Q88" s="59"/>
      <c r="R88" s="61"/>
    </row>
    <row r="89">
      <c r="B89" s="59"/>
      <c r="D89" s="59"/>
      <c r="F89" s="59"/>
      <c r="H89" s="59"/>
      <c r="J89" s="59"/>
      <c r="L89" s="59"/>
      <c r="N89" s="59"/>
      <c r="Q89" s="59"/>
      <c r="R89" s="61"/>
    </row>
    <row r="90">
      <c r="B90" s="59"/>
      <c r="D90" s="59"/>
      <c r="F90" s="59"/>
      <c r="H90" s="59"/>
      <c r="J90" s="59"/>
      <c r="L90" s="59"/>
      <c r="N90" s="59"/>
      <c r="Q90" s="59"/>
      <c r="R90" s="61"/>
    </row>
    <row r="91">
      <c r="B91" s="59"/>
      <c r="D91" s="59"/>
      <c r="F91" s="59"/>
      <c r="H91" s="59"/>
      <c r="J91" s="59"/>
      <c r="L91" s="59"/>
      <c r="N91" s="59"/>
      <c r="Q91" s="59"/>
      <c r="R91" s="61"/>
    </row>
    <row r="92">
      <c r="B92" s="59"/>
      <c r="D92" s="59"/>
      <c r="F92" s="59"/>
      <c r="H92" s="59"/>
      <c r="J92" s="59"/>
      <c r="L92" s="59"/>
      <c r="N92" s="59"/>
      <c r="Q92" s="59"/>
      <c r="R92" s="61"/>
    </row>
    <row r="93">
      <c r="B93" s="59"/>
      <c r="D93" s="59"/>
      <c r="F93" s="59"/>
      <c r="H93" s="59"/>
      <c r="J93" s="59"/>
      <c r="L93" s="59"/>
      <c r="N93" s="59"/>
      <c r="Q93" s="59"/>
      <c r="R93" s="61"/>
    </row>
    <row r="94">
      <c r="B94" s="59"/>
      <c r="D94" s="59"/>
      <c r="F94" s="59"/>
      <c r="H94" s="59"/>
      <c r="J94" s="59"/>
      <c r="L94" s="59"/>
      <c r="N94" s="59"/>
      <c r="Q94" s="59"/>
      <c r="R94" s="61"/>
    </row>
    <row r="95">
      <c r="B95" s="59"/>
      <c r="D95" s="59"/>
      <c r="F95" s="59"/>
      <c r="H95" s="59"/>
      <c r="J95" s="59"/>
      <c r="L95" s="59"/>
      <c r="N95" s="59"/>
      <c r="Q95" s="59"/>
      <c r="R95" s="61"/>
    </row>
    <row r="96">
      <c r="B96" s="59"/>
      <c r="D96" s="59"/>
      <c r="F96" s="59"/>
      <c r="H96" s="59"/>
      <c r="J96" s="59"/>
      <c r="L96" s="59"/>
      <c r="N96" s="59"/>
      <c r="Q96" s="59"/>
      <c r="R96" s="61"/>
    </row>
    <row r="97">
      <c r="B97" s="59"/>
      <c r="D97" s="59"/>
      <c r="F97" s="59"/>
      <c r="H97" s="59"/>
      <c r="J97" s="59"/>
      <c r="L97" s="59"/>
      <c r="N97" s="59"/>
      <c r="Q97" s="59"/>
      <c r="R97" s="61"/>
    </row>
    <row r="98">
      <c r="B98" s="59"/>
      <c r="D98" s="59"/>
      <c r="F98" s="59"/>
      <c r="H98" s="59"/>
      <c r="J98" s="59"/>
      <c r="L98" s="59"/>
      <c r="N98" s="59"/>
      <c r="Q98" s="59"/>
      <c r="R98" s="61"/>
    </row>
    <row r="99">
      <c r="B99" s="59"/>
      <c r="D99" s="59"/>
      <c r="F99" s="59"/>
      <c r="H99" s="59"/>
      <c r="J99" s="59"/>
      <c r="L99" s="59"/>
      <c r="N99" s="59"/>
      <c r="Q99" s="59"/>
      <c r="R99" s="61"/>
    </row>
    <row r="100">
      <c r="B100" s="59"/>
      <c r="D100" s="59"/>
      <c r="F100" s="59"/>
      <c r="H100" s="59"/>
      <c r="J100" s="59"/>
      <c r="L100" s="59"/>
      <c r="N100" s="59"/>
      <c r="Q100" s="59"/>
      <c r="R100" s="61"/>
    </row>
    <row r="101">
      <c r="B101" s="59"/>
      <c r="D101" s="59"/>
      <c r="F101" s="59"/>
      <c r="H101" s="59"/>
      <c r="J101" s="59"/>
      <c r="L101" s="59"/>
      <c r="N101" s="59"/>
      <c r="Q101" s="59"/>
      <c r="R101" s="61"/>
    </row>
    <row r="102">
      <c r="B102" s="59"/>
      <c r="D102" s="59"/>
      <c r="F102" s="59"/>
      <c r="H102" s="59"/>
      <c r="J102" s="59"/>
      <c r="L102" s="59"/>
      <c r="N102" s="59"/>
      <c r="Q102" s="59"/>
      <c r="R102" s="61"/>
    </row>
    <row r="103">
      <c r="B103" s="59"/>
      <c r="D103" s="59"/>
      <c r="F103" s="59"/>
      <c r="H103" s="59"/>
      <c r="J103" s="59"/>
      <c r="L103" s="59"/>
      <c r="N103" s="59"/>
      <c r="Q103" s="59"/>
      <c r="R103" s="61"/>
    </row>
    <row r="104">
      <c r="B104" s="59"/>
      <c r="D104" s="59"/>
      <c r="F104" s="59"/>
      <c r="H104" s="59"/>
      <c r="J104" s="59"/>
      <c r="L104" s="59"/>
      <c r="N104" s="59"/>
      <c r="Q104" s="59"/>
      <c r="R104" s="61"/>
    </row>
    <row r="105">
      <c r="B105" s="59"/>
      <c r="D105" s="59"/>
      <c r="F105" s="59"/>
      <c r="H105" s="59"/>
      <c r="J105" s="59"/>
      <c r="L105" s="59"/>
      <c r="N105" s="59"/>
      <c r="Q105" s="59"/>
      <c r="R105" s="61"/>
    </row>
    <row r="106">
      <c r="B106" s="59"/>
      <c r="D106" s="59"/>
      <c r="F106" s="59"/>
      <c r="H106" s="59"/>
      <c r="J106" s="59"/>
      <c r="L106" s="59"/>
      <c r="N106" s="59"/>
      <c r="Q106" s="59"/>
      <c r="R106" s="61"/>
    </row>
    <row r="107">
      <c r="B107" s="59"/>
      <c r="D107" s="59"/>
      <c r="F107" s="59"/>
      <c r="H107" s="59"/>
      <c r="J107" s="59"/>
      <c r="L107" s="59"/>
      <c r="N107" s="59"/>
      <c r="Q107" s="59"/>
      <c r="R107" s="61"/>
    </row>
    <row r="108">
      <c r="B108" s="59"/>
      <c r="D108" s="59"/>
      <c r="F108" s="59"/>
      <c r="H108" s="59"/>
      <c r="J108" s="59"/>
      <c r="L108" s="59"/>
      <c r="N108" s="59"/>
      <c r="Q108" s="59"/>
      <c r="R108" s="61"/>
    </row>
    <row r="109">
      <c r="B109" s="59"/>
      <c r="D109" s="59"/>
      <c r="F109" s="59"/>
      <c r="H109" s="59"/>
      <c r="J109" s="59"/>
      <c r="L109" s="59"/>
      <c r="N109" s="59"/>
      <c r="Q109" s="59"/>
      <c r="R109" s="61"/>
    </row>
    <row r="110">
      <c r="B110" s="59"/>
      <c r="D110" s="59"/>
      <c r="F110" s="59"/>
      <c r="H110" s="59"/>
      <c r="J110" s="59"/>
      <c r="L110" s="59"/>
      <c r="N110" s="59"/>
      <c r="Q110" s="59"/>
      <c r="R110" s="61"/>
    </row>
    <row r="111">
      <c r="B111" s="59"/>
      <c r="D111" s="59"/>
      <c r="F111" s="59"/>
      <c r="H111" s="59"/>
      <c r="J111" s="59"/>
      <c r="L111" s="59"/>
      <c r="N111" s="59"/>
      <c r="Q111" s="59"/>
      <c r="R111" s="61"/>
    </row>
    <row r="112">
      <c r="B112" s="59"/>
      <c r="D112" s="59"/>
      <c r="F112" s="59"/>
      <c r="H112" s="59"/>
      <c r="J112" s="59"/>
      <c r="L112" s="59"/>
      <c r="N112" s="59"/>
      <c r="Q112" s="59"/>
      <c r="R112" s="61"/>
    </row>
    <row r="113">
      <c r="B113" s="59"/>
      <c r="D113" s="59"/>
      <c r="F113" s="59"/>
      <c r="H113" s="59"/>
      <c r="J113" s="59"/>
      <c r="L113" s="59"/>
      <c r="N113" s="59"/>
      <c r="Q113" s="59"/>
      <c r="R113" s="61"/>
    </row>
    <row r="114">
      <c r="B114" s="59"/>
      <c r="D114" s="59"/>
      <c r="F114" s="59"/>
      <c r="H114" s="59"/>
      <c r="J114" s="59"/>
      <c r="L114" s="59"/>
      <c r="N114" s="59"/>
      <c r="Q114" s="59"/>
      <c r="R114" s="61"/>
    </row>
    <row r="115">
      <c r="B115" s="59"/>
      <c r="D115" s="59"/>
      <c r="F115" s="59"/>
      <c r="H115" s="59"/>
      <c r="J115" s="59"/>
      <c r="L115" s="59"/>
      <c r="N115" s="59"/>
      <c r="Q115" s="59"/>
      <c r="R115" s="61"/>
    </row>
    <row r="116">
      <c r="B116" s="59"/>
      <c r="D116" s="59"/>
      <c r="F116" s="59"/>
      <c r="H116" s="59"/>
      <c r="J116" s="59"/>
      <c r="L116" s="59"/>
      <c r="N116" s="59"/>
      <c r="Q116" s="59"/>
      <c r="R116" s="61"/>
    </row>
    <row r="117">
      <c r="B117" s="59"/>
      <c r="D117" s="59"/>
      <c r="F117" s="59"/>
      <c r="H117" s="59"/>
      <c r="J117" s="59"/>
      <c r="L117" s="59"/>
      <c r="N117" s="59"/>
      <c r="Q117" s="59"/>
      <c r="R117" s="61"/>
    </row>
    <row r="118">
      <c r="B118" s="59"/>
      <c r="D118" s="59"/>
      <c r="F118" s="59"/>
      <c r="H118" s="59"/>
      <c r="J118" s="59"/>
      <c r="L118" s="59"/>
      <c r="N118" s="59"/>
      <c r="Q118" s="59"/>
      <c r="R118" s="61"/>
    </row>
    <row r="119">
      <c r="B119" s="59"/>
      <c r="D119" s="59"/>
      <c r="F119" s="59"/>
      <c r="H119" s="59"/>
      <c r="J119" s="59"/>
      <c r="L119" s="59"/>
      <c r="N119" s="59"/>
      <c r="Q119" s="59"/>
      <c r="R119" s="61"/>
    </row>
    <row r="120">
      <c r="B120" s="59"/>
      <c r="D120" s="59"/>
      <c r="F120" s="59"/>
      <c r="H120" s="59"/>
      <c r="J120" s="59"/>
      <c r="L120" s="59"/>
      <c r="N120" s="59"/>
      <c r="Q120" s="59"/>
      <c r="R120" s="61"/>
    </row>
    <row r="121">
      <c r="B121" s="59"/>
      <c r="D121" s="59"/>
      <c r="F121" s="59"/>
      <c r="H121" s="59"/>
      <c r="J121" s="59"/>
      <c r="L121" s="59"/>
      <c r="N121" s="59"/>
      <c r="Q121" s="59"/>
      <c r="R121" s="61"/>
    </row>
    <row r="122">
      <c r="B122" s="59"/>
      <c r="D122" s="59"/>
      <c r="F122" s="59"/>
      <c r="H122" s="59"/>
      <c r="J122" s="59"/>
      <c r="L122" s="59"/>
      <c r="N122" s="59"/>
      <c r="Q122" s="59"/>
      <c r="R122" s="61"/>
    </row>
    <row r="123">
      <c r="B123" s="59"/>
      <c r="D123" s="59"/>
      <c r="F123" s="59"/>
      <c r="H123" s="59"/>
      <c r="J123" s="59"/>
      <c r="L123" s="59"/>
      <c r="N123" s="59"/>
      <c r="Q123" s="59"/>
      <c r="R123" s="61"/>
    </row>
    <row r="124">
      <c r="B124" s="59"/>
      <c r="D124" s="59"/>
      <c r="F124" s="59"/>
      <c r="H124" s="59"/>
      <c r="J124" s="59"/>
      <c r="L124" s="59"/>
      <c r="N124" s="59"/>
      <c r="Q124" s="59"/>
      <c r="R124" s="61"/>
    </row>
    <row r="125">
      <c r="B125" s="59"/>
      <c r="D125" s="59"/>
      <c r="F125" s="59"/>
      <c r="H125" s="59"/>
      <c r="J125" s="59"/>
      <c r="L125" s="59"/>
      <c r="N125" s="59"/>
      <c r="Q125" s="59"/>
      <c r="R125" s="61"/>
    </row>
    <row r="126">
      <c r="B126" s="59"/>
      <c r="D126" s="59"/>
      <c r="F126" s="59"/>
      <c r="H126" s="59"/>
      <c r="J126" s="59"/>
      <c r="L126" s="59"/>
      <c r="N126" s="59"/>
      <c r="Q126" s="59"/>
      <c r="R126" s="61"/>
    </row>
    <row r="127">
      <c r="B127" s="59"/>
      <c r="D127" s="59"/>
      <c r="F127" s="59"/>
      <c r="H127" s="59"/>
      <c r="J127" s="59"/>
      <c r="L127" s="59"/>
      <c r="N127" s="59"/>
      <c r="Q127" s="59"/>
      <c r="R127" s="61"/>
    </row>
    <row r="128">
      <c r="B128" s="59"/>
      <c r="D128" s="59"/>
      <c r="F128" s="59"/>
      <c r="H128" s="59"/>
      <c r="J128" s="59"/>
      <c r="L128" s="59"/>
      <c r="N128" s="59"/>
      <c r="Q128" s="59"/>
      <c r="R128" s="61"/>
    </row>
    <row r="129">
      <c r="B129" s="59"/>
      <c r="D129" s="59"/>
      <c r="F129" s="59"/>
      <c r="H129" s="59"/>
      <c r="J129" s="59"/>
      <c r="L129" s="59"/>
      <c r="N129" s="59"/>
      <c r="Q129" s="59"/>
      <c r="R129" s="61"/>
    </row>
    <row r="130">
      <c r="B130" s="59"/>
      <c r="D130" s="59"/>
      <c r="F130" s="59"/>
      <c r="H130" s="59"/>
      <c r="J130" s="59"/>
      <c r="L130" s="59"/>
      <c r="N130" s="59"/>
      <c r="Q130" s="59"/>
      <c r="R130" s="61"/>
    </row>
    <row r="131">
      <c r="B131" s="59"/>
      <c r="D131" s="59"/>
      <c r="F131" s="59"/>
      <c r="H131" s="59"/>
      <c r="J131" s="59"/>
      <c r="L131" s="59"/>
      <c r="N131" s="59"/>
      <c r="Q131" s="59"/>
      <c r="R131" s="61"/>
    </row>
    <row r="132">
      <c r="B132" s="59"/>
      <c r="D132" s="59"/>
      <c r="F132" s="59"/>
      <c r="H132" s="59"/>
      <c r="J132" s="59"/>
      <c r="L132" s="59"/>
      <c r="N132" s="59"/>
      <c r="Q132" s="59"/>
      <c r="R132" s="61"/>
    </row>
    <row r="133">
      <c r="B133" s="59"/>
      <c r="D133" s="59"/>
      <c r="F133" s="59"/>
      <c r="H133" s="59"/>
      <c r="J133" s="59"/>
      <c r="L133" s="59"/>
      <c r="N133" s="59"/>
      <c r="Q133" s="59"/>
      <c r="R133" s="61"/>
    </row>
    <row r="134">
      <c r="B134" s="59"/>
      <c r="D134" s="59"/>
      <c r="F134" s="59"/>
      <c r="H134" s="59"/>
      <c r="J134" s="59"/>
      <c r="L134" s="59"/>
      <c r="N134" s="59"/>
      <c r="Q134" s="59"/>
      <c r="R134" s="61"/>
    </row>
    <row r="135">
      <c r="B135" s="59"/>
      <c r="D135" s="59"/>
      <c r="F135" s="59"/>
      <c r="H135" s="59"/>
      <c r="J135" s="59"/>
      <c r="L135" s="59"/>
      <c r="N135" s="59"/>
      <c r="Q135" s="59"/>
      <c r="R135" s="61"/>
    </row>
    <row r="136">
      <c r="B136" s="59"/>
      <c r="D136" s="59"/>
      <c r="F136" s="59"/>
      <c r="H136" s="59"/>
      <c r="J136" s="59"/>
      <c r="L136" s="59"/>
      <c r="N136" s="59"/>
      <c r="Q136" s="59"/>
      <c r="R136" s="61"/>
    </row>
    <row r="137">
      <c r="B137" s="59"/>
      <c r="D137" s="59"/>
      <c r="F137" s="59"/>
      <c r="H137" s="59"/>
      <c r="J137" s="59"/>
      <c r="L137" s="59"/>
      <c r="N137" s="59"/>
      <c r="Q137" s="59"/>
      <c r="R137" s="61"/>
    </row>
    <row r="138">
      <c r="B138" s="59"/>
      <c r="D138" s="59"/>
      <c r="F138" s="59"/>
      <c r="H138" s="59"/>
      <c r="J138" s="59"/>
      <c r="L138" s="59"/>
      <c r="N138" s="59"/>
      <c r="Q138" s="59"/>
      <c r="R138" s="61"/>
    </row>
    <row r="139">
      <c r="B139" s="59"/>
      <c r="D139" s="59"/>
      <c r="F139" s="59"/>
      <c r="H139" s="59"/>
      <c r="J139" s="59"/>
      <c r="L139" s="59"/>
      <c r="N139" s="59"/>
      <c r="Q139" s="59"/>
      <c r="R139" s="61"/>
    </row>
    <row r="140">
      <c r="B140" s="59"/>
      <c r="D140" s="59"/>
      <c r="F140" s="59"/>
      <c r="H140" s="59"/>
      <c r="J140" s="59"/>
      <c r="L140" s="59"/>
      <c r="N140" s="59"/>
      <c r="Q140" s="59"/>
      <c r="R140" s="61"/>
    </row>
    <row r="141">
      <c r="B141" s="59"/>
      <c r="D141" s="59"/>
      <c r="F141" s="59"/>
      <c r="H141" s="59"/>
      <c r="J141" s="59"/>
      <c r="L141" s="59"/>
      <c r="N141" s="59"/>
      <c r="Q141" s="59"/>
      <c r="R141" s="61"/>
    </row>
    <row r="142">
      <c r="B142" s="59"/>
      <c r="D142" s="59"/>
      <c r="F142" s="59"/>
      <c r="H142" s="59"/>
      <c r="J142" s="59"/>
      <c r="L142" s="59"/>
      <c r="N142" s="59"/>
      <c r="Q142" s="59"/>
      <c r="R142" s="61"/>
    </row>
    <row r="143">
      <c r="B143" s="59"/>
      <c r="D143" s="59"/>
      <c r="F143" s="59"/>
      <c r="H143" s="59"/>
      <c r="J143" s="59"/>
      <c r="L143" s="59"/>
      <c r="N143" s="59"/>
      <c r="Q143" s="59"/>
      <c r="R143" s="61"/>
    </row>
    <row r="144">
      <c r="B144" s="59"/>
      <c r="D144" s="59"/>
      <c r="F144" s="59"/>
      <c r="H144" s="59"/>
      <c r="J144" s="59"/>
      <c r="L144" s="59"/>
      <c r="N144" s="59"/>
      <c r="Q144" s="59"/>
      <c r="R144" s="61"/>
    </row>
    <row r="145">
      <c r="B145" s="59"/>
      <c r="D145" s="59"/>
      <c r="F145" s="59"/>
      <c r="H145" s="59"/>
      <c r="J145" s="59"/>
      <c r="L145" s="59"/>
      <c r="N145" s="59"/>
      <c r="Q145" s="59"/>
      <c r="R145" s="61"/>
    </row>
    <row r="146">
      <c r="B146" s="59"/>
      <c r="D146" s="59"/>
      <c r="F146" s="59"/>
      <c r="H146" s="59"/>
      <c r="J146" s="59"/>
      <c r="L146" s="59"/>
      <c r="N146" s="59"/>
      <c r="Q146" s="59"/>
      <c r="R146" s="61"/>
    </row>
    <row r="147">
      <c r="B147" s="59"/>
      <c r="D147" s="59"/>
      <c r="F147" s="59"/>
      <c r="H147" s="59"/>
      <c r="J147" s="59"/>
      <c r="L147" s="59"/>
      <c r="N147" s="59"/>
      <c r="Q147" s="59"/>
      <c r="R147" s="61"/>
    </row>
    <row r="148">
      <c r="B148" s="59"/>
      <c r="D148" s="59"/>
      <c r="F148" s="59"/>
      <c r="H148" s="59"/>
      <c r="J148" s="59"/>
      <c r="L148" s="59"/>
      <c r="N148" s="59"/>
      <c r="Q148" s="59"/>
      <c r="R148" s="61"/>
    </row>
    <row r="149">
      <c r="B149" s="59"/>
      <c r="D149" s="59"/>
      <c r="F149" s="59"/>
      <c r="H149" s="59"/>
      <c r="J149" s="59"/>
      <c r="L149" s="59"/>
      <c r="N149" s="59"/>
      <c r="Q149" s="59"/>
      <c r="R149" s="61"/>
    </row>
    <row r="150">
      <c r="B150" s="59"/>
      <c r="D150" s="59"/>
      <c r="F150" s="59"/>
      <c r="H150" s="59"/>
      <c r="J150" s="59"/>
      <c r="L150" s="59"/>
      <c r="N150" s="59"/>
      <c r="Q150" s="59"/>
      <c r="R150" s="61"/>
    </row>
    <row r="151">
      <c r="B151" s="59"/>
      <c r="D151" s="59"/>
      <c r="F151" s="59"/>
      <c r="H151" s="59"/>
      <c r="J151" s="59"/>
      <c r="L151" s="59"/>
      <c r="N151" s="59"/>
      <c r="Q151" s="59"/>
      <c r="R151" s="61"/>
    </row>
    <row r="152">
      <c r="B152" s="59"/>
      <c r="D152" s="59"/>
      <c r="F152" s="59"/>
      <c r="H152" s="59"/>
      <c r="J152" s="59"/>
      <c r="L152" s="59"/>
      <c r="N152" s="59"/>
      <c r="Q152" s="59"/>
      <c r="R152" s="61"/>
    </row>
    <row r="153">
      <c r="B153" s="59"/>
      <c r="D153" s="59"/>
      <c r="F153" s="59"/>
      <c r="H153" s="59"/>
      <c r="J153" s="59"/>
      <c r="L153" s="59"/>
      <c r="N153" s="59"/>
      <c r="Q153" s="59"/>
      <c r="R153" s="61"/>
    </row>
    <row r="154">
      <c r="B154" s="59"/>
      <c r="D154" s="59"/>
      <c r="F154" s="59"/>
      <c r="H154" s="59"/>
      <c r="J154" s="59"/>
      <c r="L154" s="59"/>
      <c r="N154" s="59"/>
      <c r="Q154" s="59"/>
      <c r="R154" s="61"/>
    </row>
    <row r="155">
      <c r="B155" s="59"/>
      <c r="D155" s="59"/>
      <c r="F155" s="59"/>
      <c r="H155" s="59"/>
      <c r="J155" s="59"/>
      <c r="L155" s="59"/>
      <c r="N155" s="59"/>
      <c r="Q155" s="59"/>
      <c r="R155" s="61"/>
    </row>
    <row r="156">
      <c r="B156" s="59"/>
      <c r="D156" s="59"/>
      <c r="F156" s="59"/>
      <c r="H156" s="59"/>
      <c r="J156" s="59"/>
      <c r="L156" s="59"/>
      <c r="N156" s="59"/>
      <c r="Q156" s="59"/>
      <c r="R156" s="61"/>
    </row>
    <row r="157">
      <c r="B157" s="59"/>
      <c r="D157" s="59"/>
      <c r="F157" s="59"/>
      <c r="H157" s="59"/>
      <c r="J157" s="59"/>
      <c r="L157" s="59"/>
      <c r="N157" s="59"/>
      <c r="Q157" s="59"/>
      <c r="R157" s="61"/>
    </row>
    <row r="158">
      <c r="B158" s="59"/>
      <c r="D158" s="59"/>
      <c r="F158" s="59"/>
      <c r="H158" s="59"/>
      <c r="J158" s="59"/>
      <c r="L158" s="59"/>
      <c r="N158" s="59"/>
      <c r="Q158" s="59"/>
      <c r="R158" s="61"/>
    </row>
    <row r="159">
      <c r="B159" s="59"/>
      <c r="D159" s="59"/>
      <c r="F159" s="59"/>
      <c r="H159" s="59"/>
      <c r="J159" s="59"/>
      <c r="L159" s="59"/>
      <c r="N159" s="59"/>
      <c r="Q159" s="59"/>
      <c r="R159" s="61"/>
    </row>
    <row r="160">
      <c r="B160" s="59"/>
      <c r="D160" s="59"/>
      <c r="F160" s="59"/>
      <c r="H160" s="59"/>
      <c r="J160" s="59"/>
      <c r="L160" s="59"/>
      <c r="N160" s="59"/>
      <c r="Q160" s="59"/>
      <c r="R160" s="61"/>
    </row>
    <row r="161">
      <c r="B161" s="59"/>
      <c r="D161" s="59"/>
      <c r="F161" s="59"/>
      <c r="H161" s="59"/>
      <c r="J161" s="59"/>
      <c r="L161" s="59"/>
      <c r="N161" s="59"/>
      <c r="Q161" s="59"/>
      <c r="R161" s="61"/>
    </row>
    <row r="162">
      <c r="B162" s="59"/>
      <c r="D162" s="59"/>
      <c r="F162" s="59"/>
      <c r="H162" s="59"/>
      <c r="J162" s="59"/>
      <c r="L162" s="59"/>
      <c r="N162" s="59"/>
      <c r="Q162" s="59"/>
      <c r="R162" s="61"/>
    </row>
    <row r="163">
      <c r="B163" s="59"/>
      <c r="D163" s="59"/>
      <c r="F163" s="59"/>
      <c r="H163" s="59"/>
      <c r="J163" s="59"/>
      <c r="L163" s="59"/>
      <c r="N163" s="59"/>
      <c r="Q163" s="59"/>
      <c r="R163" s="61"/>
    </row>
    <row r="164">
      <c r="B164" s="59"/>
      <c r="D164" s="59"/>
      <c r="F164" s="59"/>
      <c r="H164" s="59"/>
      <c r="J164" s="59"/>
      <c r="L164" s="59"/>
      <c r="N164" s="59"/>
      <c r="Q164" s="59"/>
      <c r="R164" s="61"/>
    </row>
    <row r="165">
      <c r="B165" s="59"/>
      <c r="D165" s="59"/>
      <c r="F165" s="59"/>
      <c r="H165" s="59"/>
      <c r="J165" s="59"/>
      <c r="L165" s="59"/>
      <c r="N165" s="59"/>
      <c r="Q165" s="59"/>
      <c r="R165" s="61"/>
    </row>
    <row r="166">
      <c r="B166" s="59"/>
      <c r="D166" s="59"/>
      <c r="F166" s="59"/>
      <c r="H166" s="59"/>
      <c r="J166" s="59"/>
      <c r="L166" s="59"/>
      <c r="N166" s="59"/>
      <c r="Q166" s="59"/>
      <c r="R166" s="61"/>
    </row>
    <row r="167">
      <c r="B167" s="59"/>
      <c r="D167" s="59"/>
      <c r="F167" s="59"/>
      <c r="H167" s="59"/>
      <c r="J167" s="59"/>
      <c r="L167" s="59"/>
      <c r="N167" s="59"/>
      <c r="Q167" s="59"/>
      <c r="R167" s="61"/>
    </row>
    <row r="168">
      <c r="B168" s="59"/>
      <c r="D168" s="59"/>
      <c r="F168" s="59"/>
      <c r="H168" s="59"/>
      <c r="J168" s="59"/>
      <c r="L168" s="59"/>
      <c r="N168" s="59"/>
      <c r="Q168" s="59"/>
      <c r="R168" s="61"/>
    </row>
    <row r="169">
      <c r="B169" s="59"/>
      <c r="D169" s="59"/>
      <c r="F169" s="59"/>
      <c r="H169" s="59"/>
      <c r="J169" s="59"/>
      <c r="L169" s="59"/>
      <c r="N169" s="59"/>
      <c r="Q169" s="59"/>
      <c r="R169" s="61"/>
    </row>
    <row r="170">
      <c r="B170" s="59"/>
      <c r="D170" s="59"/>
      <c r="F170" s="59"/>
      <c r="H170" s="59"/>
      <c r="J170" s="59"/>
      <c r="L170" s="59"/>
      <c r="N170" s="59"/>
      <c r="Q170" s="59"/>
      <c r="R170" s="61"/>
    </row>
    <row r="171">
      <c r="B171" s="59"/>
      <c r="D171" s="59"/>
      <c r="F171" s="59"/>
      <c r="H171" s="59"/>
      <c r="J171" s="59"/>
      <c r="L171" s="59"/>
      <c r="N171" s="59"/>
      <c r="Q171" s="59"/>
      <c r="R171" s="61"/>
    </row>
    <row r="172">
      <c r="B172" s="59"/>
      <c r="D172" s="59"/>
      <c r="F172" s="59"/>
      <c r="H172" s="59"/>
      <c r="J172" s="59"/>
      <c r="L172" s="59"/>
      <c r="N172" s="59"/>
      <c r="Q172" s="59"/>
      <c r="R172" s="61"/>
    </row>
    <row r="173">
      <c r="B173" s="59"/>
      <c r="D173" s="59"/>
      <c r="F173" s="59"/>
      <c r="H173" s="59"/>
      <c r="J173" s="59"/>
      <c r="L173" s="59"/>
      <c r="N173" s="59"/>
      <c r="Q173" s="59"/>
      <c r="R173" s="61"/>
    </row>
    <row r="174">
      <c r="B174" s="59"/>
      <c r="D174" s="59"/>
      <c r="F174" s="59"/>
      <c r="H174" s="59"/>
      <c r="J174" s="59"/>
      <c r="L174" s="59"/>
      <c r="N174" s="59"/>
      <c r="Q174" s="59"/>
      <c r="R174" s="61"/>
    </row>
    <row r="175">
      <c r="B175" s="59"/>
      <c r="D175" s="59"/>
      <c r="F175" s="59"/>
      <c r="H175" s="59"/>
      <c r="J175" s="59"/>
      <c r="L175" s="59"/>
      <c r="N175" s="59"/>
      <c r="Q175" s="59"/>
      <c r="R175" s="61"/>
    </row>
    <row r="176">
      <c r="B176" s="59"/>
      <c r="D176" s="59"/>
      <c r="F176" s="59"/>
      <c r="H176" s="59"/>
      <c r="J176" s="59"/>
      <c r="L176" s="59"/>
      <c r="N176" s="59"/>
      <c r="Q176" s="59"/>
      <c r="R176" s="61"/>
    </row>
    <row r="177">
      <c r="B177" s="59"/>
      <c r="D177" s="59"/>
      <c r="F177" s="59"/>
      <c r="H177" s="59"/>
      <c r="J177" s="59"/>
      <c r="L177" s="59"/>
      <c r="N177" s="59"/>
      <c r="Q177" s="59"/>
      <c r="R177" s="61"/>
    </row>
    <row r="178">
      <c r="B178" s="59"/>
      <c r="D178" s="59"/>
      <c r="F178" s="59"/>
      <c r="H178" s="59"/>
      <c r="J178" s="59"/>
      <c r="L178" s="59"/>
      <c r="N178" s="59"/>
      <c r="Q178" s="59"/>
      <c r="R178" s="61"/>
    </row>
    <row r="179">
      <c r="B179" s="59"/>
      <c r="D179" s="59"/>
      <c r="F179" s="59"/>
      <c r="H179" s="59"/>
      <c r="J179" s="59"/>
      <c r="L179" s="59"/>
      <c r="N179" s="59"/>
      <c r="Q179" s="59"/>
      <c r="R179" s="61"/>
    </row>
    <row r="180">
      <c r="B180" s="59"/>
      <c r="D180" s="59"/>
      <c r="F180" s="59"/>
      <c r="H180" s="59"/>
      <c r="J180" s="59"/>
      <c r="L180" s="59"/>
      <c r="N180" s="59"/>
      <c r="Q180" s="59"/>
      <c r="R180" s="61"/>
    </row>
    <row r="181">
      <c r="B181" s="59"/>
      <c r="D181" s="59"/>
      <c r="F181" s="59"/>
      <c r="H181" s="59"/>
      <c r="J181" s="59"/>
      <c r="L181" s="59"/>
      <c r="N181" s="59"/>
      <c r="Q181" s="59"/>
      <c r="R181" s="61"/>
    </row>
    <row r="182">
      <c r="B182" s="59"/>
      <c r="D182" s="59"/>
      <c r="F182" s="59"/>
      <c r="H182" s="59"/>
      <c r="J182" s="59"/>
      <c r="L182" s="59"/>
      <c r="N182" s="59"/>
      <c r="Q182" s="59"/>
      <c r="R182" s="61"/>
    </row>
    <row r="183">
      <c r="B183" s="59"/>
      <c r="D183" s="59"/>
      <c r="F183" s="59"/>
      <c r="H183" s="59"/>
      <c r="J183" s="59"/>
      <c r="L183" s="59"/>
      <c r="N183" s="59"/>
      <c r="Q183" s="59"/>
      <c r="R183" s="61"/>
    </row>
    <row r="184">
      <c r="B184" s="59"/>
      <c r="D184" s="59"/>
      <c r="F184" s="59"/>
      <c r="H184" s="59"/>
      <c r="J184" s="59"/>
      <c r="L184" s="59"/>
      <c r="N184" s="59"/>
      <c r="Q184" s="59"/>
      <c r="R184" s="61"/>
    </row>
    <row r="185">
      <c r="B185" s="59"/>
      <c r="D185" s="59"/>
      <c r="F185" s="59"/>
      <c r="H185" s="59"/>
      <c r="J185" s="59"/>
      <c r="L185" s="59"/>
      <c r="N185" s="59"/>
      <c r="Q185" s="59"/>
      <c r="R185" s="61"/>
    </row>
    <row r="186">
      <c r="B186" s="59"/>
      <c r="D186" s="59"/>
      <c r="F186" s="59"/>
      <c r="H186" s="59"/>
      <c r="J186" s="59"/>
      <c r="L186" s="59"/>
      <c r="N186" s="59"/>
      <c r="Q186" s="59"/>
      <c r="R186" s="61"/>
    </row>
    <row r="187">
      <c r="B187" s="59"/>
      <c r="D187" s="59"/>
      <c r="F187" s="59"/>
      <c r="H187" s="59"/>
      <c r="J187" s="59"/>
      <c r="L187" s="59"/>
      <c r="N187" s="59"/>
      <c r="Q187" s="59"/>
      <c r="R187" s="61"/>
    </row>
    <row r="188">
      <c r="B188" s="59"/>
      <c r="D188" s="59"/>
      <c r="F188" s="59"/>
      <c r="H188" s="59"/>
      <c r="J188" s="59"/>
      <c r="L188" s="59"/>
      <c r="N188" s="59"/>
      <c r="Q188" s="59"/>
      <c r="R188" s="61"/>
    </row>
    <row r="189">
      <c r="B189" s="59"/>
      <c r="D189" s="59"/>
      <c r="F189" s="59"/>
      <c r="H189" s="59"/>
      <c r="J189" s="59"/>
      <c r="L189" s="59"/>
      <c r="N189" s="59"/>
      <c r="Q189" s="59"/>
      <c r="R189" s="61"/>
    </row>
    <row r="190">
      <c r="B190" s="59"/>
      <c r="D190" s="59"/>
      <c r="F190" s="59"/>
      <c r="H190" s="59"/>
      <c r="J190" s="59"/>
      <c r="L190" s="59"/>
      <c r="N190" s="59"/>
      <c r="Q190" s="59"/>
      <c r="R190" s="61"/>
    </row>
    <row r="191">
      <c r="B191" s="59"/>
      <c r="D191" s="59"/>
      <c r="F191" s="59"/>
      <c r="H191" s="59"/>
      <c r="J191" s="59"/>
      <c r="L191" s="59"/>
      <c r="N191" s="59"/>
      <c r="Q191" s="59"/>
      <c r="R191" s="61"/>
    </row>
    <row r="192">
      <c r="B192" s="59"/>
      <c r="D192" s="59"/>
      <c r="F192" s="59"/>
      <c r="H192" s="59"/>
      <c r="J192" s="59"/>
      <c r="L192" s="59"/>
      <c r="N192" s="59"/>
      <c r="Q192" s="59"/>
      <c r="R192" s="61"/>
    </row>
    <row r="193">
      <c r="B193" s="59"/>
      <c r="D193" s="59"/>
      <c r="F193" s="59"/>
      <c r="H193" s="59"/>
      <c r="J193" s="59"/>
      <c r="L193" s="59"/>
      <c r="N193" s="59"/>
      <c r="Q193" s="59"/>
      <c r="R193" s="61"/>
    </row>
    <row r="194">
      <c r="B194" s="59"/>
      <c r="D194" s="59"/>
      <c r="F194" s="59"/>
      <c r="H194" s="59"/>
      <c r="J194" s="59"/>
      <c r="L194" s="59"/>
      <c r="N194" s="59"/>
      <c r="Q194" s="59"/>
      <c r="R194" s="61"/>
    </row>
    <row r="195">
      <c r="B195" s="59"/>
      <c r="D195" s="59"/>
      <c r="F195" s="59"/>
      <c r="H195" s="59"/>
      <c r="J195" s="59"/>
      <c r="L195" s="59"/>
      <c r="N195" s="59"/>
      <c r="Q195" s="59"/>
      <c r="R195" s="61"/>
    </row>
    <row r="196">
      <c r="B196" s="59"/>
      <c r="D196" s="59"/>
      <c r="F196" s="59"/>
      <c r="H196" s="59"/>
      <c r="J196" s="59"/>
      <c r="L196" s="59"/>
      <c r="N196" s="59"/>
      <c r="Q196" s="59"/>
      <c r="R196" s="61"/>
    </row>
    <row r="197">
      <c r="B197" s="59"/>
      <c r="D197" s="59"/>
      <c r="F197" s="59"/>
      <c r="H197" s="59"/>
      <c r="J197" s="59"/>
      <c r="L197" s="59"/>
      <c r="N197" s="59"/>
      <c r="Q197" s="59"/>
      <c r="R197" s="61"/>
    </row>
    <row r="198">
      <c r="B198" s="59"/>
      <c r="D198" s="59"/>
      <c r="F198" s="59"/>
      <c r="H198" s="59"/>
      <c r="J198" s="59"/>
      <c r="L198" s="59"/>
      <c r="N198" s="59"/>
      <c r="Q198" s="59"/>
      <c r="R198" s="61"/>
    </row>
    <row r="199">
      <c r="B199" s="59"/>
      <c r="D199" s="59"/>
      <c r="F199" s="59"/>
      <c r="H199" s="59"/>
      <c r="J199" s="59"/>
      <c r="L199" s="59"/>
      <c r="N199" s="59"/>
      <c r="Q199" s="59"/>
      <c r="R199" s="61"/>
    </row>
    <row r="200">
      <c r="B200" s="59"/>
      <c r="D200" s="59"/>
      <c r="F200" s="59"/>
      <c r="H200" s="59"/>
      <c r="J200" s="59"/>
      <c r="L200" s="59"/>
      <c r="N200" s="59"/>
      <c r="Q200" s="59"/>
      <c r="R200" s="61"/>
    </row>
    <row r="201">
      <c r="B201" s="59"/>
      <c r="D201" s="59"/>
      <c r="F201" s="59"/>
      <c r="H201" s="59"/>
      <c r="J201" s="59"/>
      <c r="L201" s="59"/>
      <c r="N201" s="59"/>
      <c r="Q201" s="59"/>
      <c r="R201" s="61"/>
    </row>
    <row r="202">
      <c r="B202" s="59"/>
      <c r="D202" s="59"/>
      <c r="F202" s="59"/>
      <c r="H202" s="59"/>
      <c r="J202" s="59"/>
      <c r="L202" s="59"/>
      <c r="N202" s="59"/>
      <c r="Q202" s="59"/>
      <c r="R202" s="61"/>
    </row>
    <row r="203">
      <c r="B203" s="59"/>
      <c r="D203" s="59"/>
      <c r="F203" s="59"/>
      <c r="H203" s="59"/>
      <c r="J203" s="59"/>
      <c r="L203" s="59"/>
      <c r="N203" s="59"/>
      <c r="Q203" s="59"/>
      <c r="R203" s="61"/>
    </row>
    <row r="204">
      <c r="B204" s="59"/>
      <c r="D204" s="59"/>
      <c r="F204" s="59"/>
      <c r="H204" s="59"/>
      <c r="J204" s="59"/>
      <c r="L204" s="59"/>
      <c r="N204" s="59"/>
      <c r="Q204" s="59"/>
      <c r="R204" s="61"/>
    </row>
    <row r="205">
      <c r="B205" s="59"/>
      <c r="D205" s="59"/>
      <c r="F205" s="59"/>
      <c r="H205" s="59"/>
      <c r="J205" s="59"/>
      <c r="L205" s="59"/>
      <c r="N205" s="59"/>
      <c r="Q205" s="59"/>
      <c r="R205" s="61"/>
    </row>
    <row r="206">
      <c r="B206" s="59"/>
      <c r="D206" s="59"/>
      <c r="F206" s="59"/>
      <c r="H206" s="59"/>
      <c r="J206" s="59"/>
      <c r="L206" s="59"/>
      <c r="N206" s="59"/>
      <c r="Q206" s="59"/>
      <c r="R206" s="61"/>
    </row>
    <row r="207">
      <c r="B207" s="59"/>
      <c r="D207" s="59"/>
      <c r="F207" s="59"/>
      <c r="H207" s="59"/>
      <c r="J207" s="59"/>
      <c r="L207" s="59"/>
      <c r="N207" s="59"/>
      <c r="Q207" s="59"/>
      <c r="R207" s="61"/>
    </row>
    <row r="208">
      <c r="B208" s="59"/>
      <c r="D208" s="59"/>
      <c r="F208" s="59"/>
      <c r="H208" s="59"/>
      <c r="J208" s="59"/>
      <c r="L208" s="59"/>
      <c r="N208" s="59"/>
      <c r="Q208" s="59"/>
      <c r="R208" s="61"/>
    </row>
    <row r="209">
      <c r="B209" s="59"/>
      <c r="D209" s="59"/>
      <c r="F209" s="59"/>
      <c r="H209" s="59"/>
      <c r="J209" s="59"/>
      <c r="L209" s="59"/>
      <c r="N209" s="59"/>
      <c r="Q209" s="59"/>
      <c r="R209" s="61"/>
    </row>
    <row r="210">
      <c r="B210" s="59"/>
      <c r="D210" s="59"/>
      <c r="F210" s="59"/>
      <c r="H210" s="59"/>
      <c r="J210" s="59"/>
      <c r="L210" s="59"/>
      <c r="N210" s="59"/>
      <c r="Q210" s="59"/>
      <c r="R210" s="61"/>
    </row>
    <row r="211">
      <c r="B211" s="59"/>
      <c r="D211" s="59"/>
      <c r="F211" s="59"/>
      <c r="H211" s="59"/>
      <c r="J211" s="59"/>
      <c r="L211" s="59"/>
      <c r="N211" s="59"/>
      <c r="Q211" s="59"/>
      <c r="R211" s="61"/>
    </row>
    <row r="212">
      <c r="B212" s="59"/>
      <c r="D212" s="59"/>
      <c r="F212" s="59"/>
      <c r="H212" s="59"/>
      <c r="J212" s="59"/>
      <c r="L212" s="59"/>
      <c r="N212" s="59"/>
      <c r="Q212" s="59"/>
      <c r="R212" s="61"/>
    </row>
    <row r="213">
      <c r="B213" s="59"/>
      <c r="D213" s="59"/>
      <c r="F213" s="59"/>
      <c r="H213" s="59"/>
      <c r="J213" s="59"/>
      <c r="L213" s="59"/>
      <c r="N213" s="59"/>
      <c r="Q213" s="59"/>
      <c r="R213" s="61"/>
    </row>
    <row r="214">
      <c r="B214" s="59"/>
      <c r="D214" s="59"/>
      <c r="F214" s="59"/>
      <c r="H214" s="59"/>
      <c r="J214" s="59"/>
      <c r="L214" s="59"/>
      <c r="N214" s="59"/>
      <c r="Q214" s="59"/>
      <c r="R214" s="61"/>
    </row>
    <row r="215">
      <c r="B215" s="59"/>
      <c r="D215" s="59"/>
      <c r="F215" s="59"/>
      <c r="H215" s="59"/>
      <c r="J215" s="59"/>
      <c r="L215" s="59"/>
      <c r="N215" s="59"/>
      <c r="Q215" s="59"/>
      <c r="R215" s="61"/>
    </row>
    <row r="216">
      <c r="B216" s="59"/>
      <c r="D216" s="59"/>
      <c r="F216" s="59"/>
      <c r="H216" s="59"/>
      <c r="J216" s="59"/>
      <c r="L216" s="59"/>
      <c r="N216" s="59"/>
      <c r="Q216" s="59"/>
      <c r="R216" s="61"/>
    </row>
    <row r="217">
      <c r="B217" s="59"/>
      <c r="D217" s="59"/>
      <c r="F217" s="59"/>
      <c r="H217" s="59"/>
      <c r="J217" s="59"/>
      <c r="L217" s="59"/>
      <c r="N217" s="59"/>
      <c r="Q217" s="59"/>
      <c r="R217" s="61"/>
    </row>
    <row r="218">
      <c r="B218" s="59"/>
      <c r="D218" s="59"/>
      <c r="F218" s="59"/>
      <c r="H218" s="59"/>
      <c r="J218" s="59"/>
      <c r="L218" s="59"/>
      <c r="N218" s="59"/>
      <c r="Q218" s="59"/>
      <c r="R218" s="61"/>
    </row>
    <row r="219">
      <c r="B219" s="59"/>
      <c r="D219" s="59"/>
      <c r="F219" s="59"/>
      <c r="H219" s="59"/>
      <c r="J219" s="59"/>
      <c r="L219" s="59"/>
      <c r="N219" s="59"/>
      <c r="Q219" s="59"/>
      <c r="R219" s="61"/>
    </row>
    <row r="220">
      <c r="B220" s="59"/>
      <c r="D220" s="59"/>
      <c r="F220" s="59"/>
      <c r="H220" s="59"/>
      <c r="J220" s="59"/>
      <c r="L220" s="59"/>
      <c r="N220" s="59"/>
      <c r="Q220" s="59"/>
      <c r="R220" s="61"/>
    </row>
    <row r="221">
      <c r="B221" s="59"/>
      <c r="D221" s="59"/>
      <c r="F221" s="59"/>
      <c r="H221" s="59"/>
      <c r="J221" s="59"/>
      <c r="L221" s="59"/>
      <c r="N221" s="59"/>
      <c r="Q221" s="59"/>
      <c r="R221" s="61"/>
    </row>
    <row r="222">
      <c r="B222" s="59"/>
      <c r="D222" s="59"/>
      <c r="F222" s="59"/>
      <c r="H222" s="59"/>
      <c r="J222" s="59"/>
      <c r="L222" s="59"/>
      <c r="N222" s="59"/>
      <c r="Q222" s="59"/>
      <c r="R222" s="61"/>
    </row>
    <row r="223">
      <c r="B223" s="59"/>
      <c r="D223" s="59"/>
      <c r="F223" s="59"/>
      <c r="H223" s="59"/>
      <c r="J223" s="59"/>
      <c r="L223" s="59"/>
      <c r="N223" s="59"/>
      <c r="Q223" s="59"/>
      <c r="R223" s="61"/>
    </row>
    <row r="224">
      <c r="B224" s="59"/>
      <c r="D224" s="59"/>
      <c r="F224" s="59"/>
      <c r="H224" s="59"/>
      <c r="J224" s="59"/>
      <c r="L224" s="59"/>
      <c r="N224" s="59"/>
      <c r="Q224" s="59"/>
      <c r="R224" s="61"/>
    </row>
    <row r="225">
      <c r="B225" s="59"/>
      <c r="D225" s="59"/>
      <c r="F225" s="59"/>
      <c r="H225" s="59"/>
      <c r="J225" s="59"/>
      <c r="L225" s="59"/>
      <c r="N225" s="59"/>
      <c r="Q225" s="59"/>
      <c r="R225" s="61"/>
    </row>
    <row r="226">
      <c r="B226" s="59"/>
      <c r="D226" s="59"/>
      <c r="F226" s="59"/>
      <c r="H226" s="59"/>
      <c r="J226" s="59"/>
      <c r="L226" s="59"/>
      <c r="N226" s="59"/>
      <c r="Q226" s="59"/>
      <c r="R226" s="61"/>
    </row>
    <row r="227">
      <c r="B227" s="59"/>
      <c r="D227" s="59"/>
      <c r="F227" s="59"/>
      <c r="H227" s="59"/>
      <c r="J227" s="59"/>
      <c r="L227" s="59"/>
      <c r="N227" s="59"/>
      <c r="Q227" s="59"/>
      <c r="R227" s="61"/>
    </row>
    <row r="228">
      <c r="B228" s="59"/>
      <c r="D228" s="59"/>
      <c r="F228" s="59"/>
      <c r="H228" s="59"/>
      <c r="J228" s="59"/>
      <c r="L228" s="59"/>
      <c r="N228" s="59"/>
      <c r="Q228" s="59"/>
      <c r="R228" s="61"/>
    </row>
    <row r="229">
      <c r="B229" s="59"/>
      <c r="D229" s="59"/>
      <c r="F229" s="59"/>
      <c r="H229" s="59"/>
      <c r="J229" s="59"/>
      <c r="L229" s="59"/>
      <c r="N229" s="59"/>
      <c r="Q229" s="59"/>
      <c r="R229" s="61"/>
    </row>
    <row r="230">
      <c r="B230" s="59"/>
      <c r="D230" s="59"/>
      <c r="F230" s="59"/>
      <c r="H230" s="59"/>
      <c r="J230" s="59"/>
      <c r="L230" s="59"/>
      <c r="N230" s="59"/>
      <c r="Q230" s="59"/>
      <c r="R230" s="61"/>
    </row>
    <row r="231">
      <c r="B231" s="59"/>
      <c r="D231" s="59"/>
      <c r="F231" s="59"/>
      <c r="H231" s="59"/>
      <c r="J231" s="59"/>
      <c r="L231" s="59"/>
      <c r="N231" s="59"/>
      <c r="Q231" s="59"/>
      <c r="R231" s="61"/>
    </row>
    <row r="232">
      <c r="B232" s="59"/>
      <c r="D232" s="59"/>
      <c r="F232" s="59"/>
      <c r="H232" s="59"/>
      <c r="J232" s="59"/>
      <c r="L232" s="59"/>
      <c r="N232" s="59"/>
      <c r="Q232" s="59"/>
      <c r="R232" s="61"/>
    </row>
    <row r="233">
      <c r="B233" s="59"/>
      <c r="D233" s="59"/>
      <c r="F233" s="59"/>
      <c r="H233" s="59"/>
      <c r="J233" s="59"/>
      <c r="L233" s="59"/>
      <c r="N233" s="59"/>
      <c r="Q233" s="59"/>
      <c r="R233" s="61"/>
    </row>
    <row r="234">
      <c r="B234" s="59"/>
      <c r="D234" s="59"/>
      <c r="F234" s="59"/>
      <c r="H234" s="59"/>
      <c r="J234" s="59"/>
      <c r="L234" s="59"/>
      <c r="N234" s="59"/>
      <c r="Q234" s="59"/>
      <c r="R234" s="61"/>
    </row>
    <row r="235">
      <c r="B235" s="59"/>
      <c r="D235" s="59"/>
      <c r="F235" s="59"/>
      <c r="H235" s="59"/>
      <c r="J235" s="59"/>
      <c r="L235" s="59"/>
      <c r="N235" s="59"/>
      <c r="Q235" s="59"/>
      <c r="R235" s="61"/>
    </row>
    <row r="236">
      <c r="B236" s="59"/>
      <c r="D236" s="59"/>
      <c r="F236" s="59"/>
      <c r="H236" s="59"/>
      <c r="J236" s="59"/>
      <c r="L236" s="59"/>
      <c r="N236" s="59"/>
      <c r="Q236" s="59"/>
      <c r="R236" s="61"/>
    </row>
    <row r="237">
      <c r="B237" s="59"/>
      <c r="D237" s="59"/>
      <c r="F237" s="59"/>
      <c r="H237" s="59"/>
      <c r="J237" s="59"/>
      <c r="L237" s="59"/>
      <c r="N237" s="59"/>
      <c r="Q237" s="59"/>
      <c r="R237" s="61"/>
    </row>
    <row r="238">
      <c r="B238" s="59"/>
      <c r="D238" s="59"/>
      <c r="F238" s="59"/>
      <c r="H238" s="59"/>
      <c r="J238" s="59"/>
      <c r="L238" s="59"/>
      <c r="N238" s="59"/>
      <c r="Q238" s="59"/>
      <c r="R238" s="61"/>
    </row>
    <row r="239">
      <c r="B239" s="59"/>
      <c r="D239" s="59"/>
      <c r="F239" s="59"/>
      <c r="H239" s="59"/>
      <c r="J239" s="59"/>
      <c r="L239" s="59"/>
      <c r="N239" s="59"/>
      <c r="Q239" s="59"/>
      <c r="R239" s="61"/>
    </row>
    <row r="240">
      <c r="B240" s="59"/>
      <c r="D240" s="59"/>
      <c r="F240" s="59"/>
      <c r="H240" s="59"/>
      <c r="J240" s="59"/>
      <c r="L240" s="59"/>
      <c r="N240" s="59"/>
      <c r="Q240" s="59"/>
      <c r="R240" s="61"/>
    </row>
    <row r="241">
      <c r="B241" s="59"/>
      <c r="D241" s="59"/>
      <c r="F241" s="59"/>
      <c r="H241" s="59"/>
      <c r="J241" s="59"/>
      <c r="L241" s="59"/>
      <c r="N241" s="59"/>
      <c r="Q241" s="59"/>
      <c r="R241" s="61"/>
    </row>
    <row r="242">
      <c r="B242" s="59"/>
      <c r="D242" s="59"/>
      <c r="F242" s="59"/>
      <c r="H242" s="59"/>
      <c r="J242" s="59"/>
      <c r="L242" s="59"/>
      <c r="N242" s="59"/>
      <c r="Q242" s="59"/>
      <c r="R242" s="61"/>
    </row>
    <row r="243">
      <c r="B243" s="59"/>
      <c r="D243" s="59"/>
      <c r="F243" s="59"/>
      <c r="H243" s="59"/>
      <c r="J243" s="59"/>
      <c r="L243" s="59"/>
      <c r="N243" s="59"/>
      <c r="Q243" s="59"/>
      <c r="R243" s="61"/>
    </row>
    <row r="244">
      <c r="B244" s="59"/>
      <c r="D244" s="59"/>
      <c r="F244" s="59"/>
      <c r="H244" s="59"/>
      <c r="J244" s="59"/>
      <c r="L244" s="59"/>
      <c r="N244" s="59"/>
      <c r="Q244" s="59"/>
      <c r="R244" s="61"/>
    </row>
    <row r="245">
      <c r="B245" s="59"/>
      <c r="D245" s="59"/>
      <c r="F245" s="59"/>
      <c r="H245" s="59"/>
      <c r="J245" s="59"/>
      <c r="L245" s="59"/>
      <c r="N245" s="59"/>
      <c r="Q245" s="59"/>
      <c r="R245" s="61"/>
    </row>
    <row r="246">
      <c r="B246" s="59"/>
      <c r="D246" s="59"/>
      <c r="F246" s="59"/>
      <c r="H246" s="59"/>
      <c r="J246" s="59"/>
      <c r="L246" s="59"/>
      <c r="N246" s="59"/>
      <c r="Q246" s="59"/>
      <c r="R246" s="61"/>
    </row>
    <row r="247">
      <c r="B247" s="59"/>
      <c r="D247" s="59"/>
      <c r="F247" s="59"/>
      <c r="H247" s="59"/>
      <c r="J247" s="59"/>
      <c r="L247" s="59"/>
      <c r="N247" s="59"/>
      <c r="Q247" s="59"/>
      <c r="R247" s="61"/>
    </row>
    <row r="248">
      <c r="B248" s="59"/>
      <c r="D248" s="59"/>
      <c r="F248" s="59"/>
      <c r="H248" s="59"/>
      <c r="J248" s="59"/>
      <c r="L248" s="59"/>
      <c r="N248" s="59"/>
      <c r="Q248" s="59"/>
      <c r="R248" s="61"/>
    </row>
    <row r="249">
      <c r="B249" s="59"/>
      <c r="D249" s="59"/>
      <c r="F249" s="59"/>
      <c r="H249" s="59"/>
      <c r="J249" s="59"/>
      <c r="L249" s="59"/>
      <c r="N249" s="59"/>
      <c r="Q249" s="59"/>
      <c r="R249" s="61"/>
    </row>
    <row r="250">
      <c r="B250" s="59"/>
      <c r="D250" s="59"/>
      <c r="F250" s="59"/>
      <c r="H250" s="59"/>
      <c r="J250" s="59"/>
      <c r="L250" s="59"/>
      <c r="N250" s="59"/>
      <c r="Q250" s="59"/>
      <c r="R250" s="61"/>
    </row>
    <row r="251">
      <c r="B251" s="59"/>
      <c r="D251" s="59"/>
      <c r="F251" s="59"/>
      <c r="H251" s="59"/>
      <c r="J251" s="59"/>
      <c r="L251" s="59"/>
      <c r="N251" s="59"/>
      <c r="Q251" s="59"/>
      <c r="R251" s="61"/>
    </row>
    <row r="252">
      <c r="B252" s="59"/>
      <c r="D252" s="59"/>
      <c r="F252" s="59"/>
      <c r="H252" s="59"/>
      <c r="J252" s="59"/>
      <c r="L252" s="59"/>
      <c r="N252" s="59"/>
      <c r="Q252" s="59"/>
      <c r="R252" s="61"/>
    </row>
    <row r="253">
      <c r="B253" s="59"/>
      <c r="D253" s="59"/>
      <c r="F253" s="59"/>
      <c r="H253" s="59"/>
      <c r="J253" s="59"/>
      <c r="L253" s="59"/>
      <c r="N253" s="59"/>
      <c r="Q253" s="59"/>
      <c r="R253" s="61"/>
    </row>
    <row r="254">
      <c r="B254" s="59"/>
      <c r="D254" s="59"/>
      <c r="F254" s="59"/>
      <c r="H254" s="59"/>
      <c r="J254" s="59"/>
      <c r="L254" s="59"/>
      <c r="N254" s="59"/>
      <c r="Q254" s="59"/>
      <c r="R254" s="61"/>
    </row>
    <row r="255">
      <c r="B255" s="59"/>
      <c r="D255" s="59"/>
      <c r="F255" s="59"/>
      <c r="H255" s="59"/>
      <c r="J255" s="59"/>
      <c r="L255" s="59"/>
      <c r="N255" s="59"/>
      <c r="Q255" s="59"/>
      <c r="R255" s="61"/>
    </row>
    <row r="256">
      <c r="B256" s="59"/>
      <c r="D256" s="59"/>
      <c r="F256" s="59"/>
      <c r="H256" s="59"/>
      <c r="J256" s="59"/>
      <c r="L256" s="59"/>
      <c r="N256" s="59"/>
      <c r="Q256" s="59"/>
      <c r="R256" s="61"/>
    </row>
    <row r="257">
      <c r="B257" s="59"/>
      <c r="D257" s="59"/>
      <c r="F257" s="59"/>
      <c r="H257" s="59"/>
      <c r="J257" s="59"/>
      <c r="L257" s="59"/>
      <c r="N257" s="59"/>
      <c r="Q257" s="59"/>
      <c r="R257" s="61"/>
    </row>
    <row r="258">
      <c r="B258" s="59"/>
      <c r="D258" s="59"/>
      <c r="F258" s="59"/>
      <c r="H258" s="59"/>
      <c r="J258" s="59"/>
      <c r="L258" s="59"/>
      <c r="N258" s="59"/>
      <c r="Q258" s="59"/>
      <c r="R258" s="61"/>
    </row>
    <row r="259">
      <c r="B259" s="59"/>
      <c r="D259" s="59"/>
      <c r="F259" s="59"/>
      <c r="H259" s="59"/>
      <c r="J259" s="59"/>
      <c r="L259" s="59"/>
      <c r="N259" s="59"/>
      <c r="Q259" s="59"/>
      <c r="R259" s="61"/>
    </row>
    <row r="260">
      <c r="B260" s="59"/>
      <c r="D260" s="59"/>
      <c r="F260" s="59"/>
      <c r="H260" s="59"/>
      <c r="J260" s="59"/>
      <c r="L260" s="59"/>
      <c r="N260" s="59"/>
      <c r="Q260" s="59"/>
      <c r="R260" s="61"/>
    </row>
    <row r="261">
      <c r="B261" s="59"/>
      <c r="D261" s="59"/>
      <c r="F261" s="59"/>
      <c r="H261" s="59"/>
      <c r="J261" s="59"/>
      <c r="L261" s="59"/>
      <c r="N261" s="59"/>
      <c r="Q261" s="59"/>
      <c r="R261" s="61"/>
    </row>
    <row r="262">
      <c r="B262" s="59"/>
      <c r="D262" s="59"/>
      <c r="F262" s="59"/>
      <c r="H262" s="59"/>
      <c r="J262" s="59"/>
      <c r="L262" s="59"/>
      <c r="N262" s="59"/>
      <c r="Q262" s="59"/>
      <c r="R262" s="61"/>
    </row>
    <row r="263">
      <c r="B263" s="59"/>
      <c r="D263" s="59"/>
      <c r="F263" s="59"/>
      <c r="H263" s="59"/>
      <c r="J263" s="59"/>
      <c r="L263" s="59"/>
      <c r="N263" s="59"/>
      <c r="Q263" s="59"/>
      <c r="R263" s="61"/>
    </row>
    <row r="264">
      <c r="B264" s="59"/>
      <c r="D264" s="59"/>
      <c r="F264" s="59"/>
      <c r="H264" s="59"/>
      <c r="J264" s="59"/>
      <c r="L264" s="59"/>
      <c r="N264" s="59"/>
      <c r="Q264" s="59"/>
      <c r="R264" s="61"/>
    </row>
    <row r="265">
      <c r="B265" s="59"/>
      <c r="D265" s="59"/>
      <c r="F265" s="59"/>
      <c r="H265" s="59"/>
      <c r="J265" s="59"/>
      <c r="L265" s="59"/>
      <c r="N265" s="59"/>
      <c r="Q265" s="59"/>
      <c r="R265" s="61"/>
    </row>
    <row r="266">
      <c r="B266" s="59"/>
      <c r="D266" s="59"/>
      <c r="F266" s="59"/>
      <c r="H266" s="59"/>
      <c r="J266" s="59"/>
      <c r="L266" s="59"/>
      <c r="N266" s="59"/>
      <c r="Q266" s="59"/>
      <c r="R266" s="61"/>
    </row>
    <row r="267">
      <c r="B267" s="59"/>
      <c r="D267" s="59"/>
      <c r="F267" s="59"/>
      <c r="H267" s="59"/>
      <c r="J267" s="59"/>
      <c r="L267" s="59"/>
      <c r="N267" s="59"/>
      <c r="Q267" s="59"/>
      <c r="R267" s="61"/>
    </row>
    <row r="268">
      <c r="B268" s="59"/>
      <c r="D268" s="59"/>
      <c r="F268" s="59"/>
      <c r="H268" s="59"/>
      <c r="J268" s="59"/>
      <c r="L268" s="59"/>
      <c r="N268" s="59"/>
      <c r="Q268" s="59"/>
      <c r="R268" s="61"/>
    </row>
    <row r="269">
      <c r="B269" s="59"/>
      <c r="D269" s="59"/>
      <c r="F269" s="59"/>
      <c r="H269" s="59"/>
      <c r="J269" s="59"/>
      <c r="L269" s="59"/>
      <c r="N269" s="59"/>
      <c r="Q269" s="59"/>
      <c r="R269" s="61"/>
    </row>
    <row r="270">
      <c r="B270" s="59"/>
      <c r="D270" s="59"/>
      <c r="F270" s="59"/>
      <c r="H270" s="59"/>
      <c r="J270" s="59"/>
      <c r="L270" s="59"/>
      <c r="N270" s="59"/>
      <c r="Q270" s="59"/>
      <c r="R270" s="61"/>
    </row>
    <row r="271">
      <c r="B271" s="59"/>
      <c r="D271" s="59"/>
      <c r="F271" s="59"/>
      <c r="H271" s="59"/>
      <c r="J271" s="59"/>
      <c r="L271" s="59"/>
      <c r="N271" s="59"/>
      <c r="Q271" s="59"/>
      <c r="R271" s="61"/>
    </row>
    <row r="272">
      <c r="B272" s="59"/>
      <c r="D272" s="59"/>
      <c r="F272" s="59"/>
      <c r="H272" s="59"/>
      <c r="J272" s="59"/>
      <c r="L272" s="59"/>
      <c r="N272" s="59"/>
      <c r="Q272" s="59"/>
      <c r="R272" s="61"/>
    </row>
    <row r="273">
      <c r="B273" s="59"/>
      <c r="D273" s="59"/>
      <c r="F273" s="59"/>
      <c r="H273" s="59"/>
      <c r="J273" s="59"/>
      <c r="L273" s="59"/>
      <c r="N273" s="59"/>
      <c r="Q273" s="59"/>
      <c r="R273" s="61"/>
    </row>
    <row r="274">
      <c r="B274" s="59"/>
      <c r="D274" s="59"/>
      <c r="F274" s="59"/>
      <c r="H274" s="59"/>
      <c r="J274" s="59"/>
      <c r="L274" s="59"/>
      <c r="N274" s="59"/>
      <c r="Q274" s="59"/>
      <c r="R274" s="61"/>
    </row>
    <row r="275">
      <c r="B275" s="59"/>
      <c r="D275" s="59"/>
      <c r="F275" s="59"/>
      <c r="H275" s="59"/>
      <c r="J275" s="59"/>
      <c r="L275" s="59"/>
      <c r="N275" s="59"/>
      <c r="Q275" s="59"/>
      <c r="R275" s="61"/>
    </row>
    <row r="276">
      <c r="B276" s="59"/>
      <c r="D276" s="59"/>
      <c r="F276" s="59"/>
      <c r="H276" s="59"/>
      <c r="J276" s="59"/>
      <c r="L276" s="59"/>
      <c r="N276" s="59"/>
      <c r="Q276" s="59"/>
      <c r="R276" s="61"/>
    </row>
    <row r="277">
      <c r="B277" s="59"/>
      <c r="D277" s="59"/>
      <c r="F277" s="59"/>
      <c r="H277" s="59"/>
      <c r="J277" s="59"/>
      <c r="L277" s="59"/>
      <c r="N277" s="59"/>
      <c r="Q277" s="59"/>
      <c r="R277" s="61"/>
    </row>
    <row r="278">
      <c r="B278" s="59"/>
      <c r="D278" s="59"/>
      <c r="F278" s="59"/>
      <c r="H278" s="59"/>
      <c r="J278" s="59"/>
      <c r="L278" s="59"/>
      <c r="N278" s="59"/>
      <c r="Q278" s="59"/>
      <c r="R278" s="61"/>
    </row>
    <row r="279">
      <c r="B279" s="59"/>
      <c r="D279" s="59"/>
      <c r="F279" s="59"/>
      <c r="H279" s="59"/>
      <c r="J279" s="59"/>
      <c r="L279" s="59"/>
      <c r="N279" s="59"/>
      <c r="Q279" s="59"/>
      <c r="R279" s="61"/>
    </row>
    <row r="280">
      <c r="B280" s="59"/>
      <c r="D280" s="59"/>
      <c r="F280" s="59"/>
      <c r="H280" s="59"/>
      <c r="J280" s="59"/>
      <c r="L280" s="59"/>
      <c r="N280" s="59"/>
      <c r="Q280" s="59"/>
      <c r="R280" s="61"/>
    </row>
    <row r="281">
      <c r="B281" s="59"/>
      <c r="D281" s="59"/>
      <c r="F281" s="59"/>
      <c r="H281" s="59"/>
      <c r="J281" s="59"/>
      <c r="L281" s="59"/>
      <c r="N281" s="59"/>
      <c r="Q281" s="59"/>
      <c r="R281" s="61"/>
    </row>
    <row r="282">
      <c r="B282" s="59"/>
      <c r="D282" s="59"/>
      <c r="F282" s="59"/>
      <c r="H282" s="59"/>
      <c r="J282" s="59"/>
      <c r="L282" s="59"/>
      <c r="N282" s="59"/>
      <c r="Q282" s="59"/>
      <c r="R282" s="61"/>
    </row>
    <row r="283">
      <c r="B283" s="59"/>
      <c r="D283" s="59"/>
      <c r="F283" s="59"/>
      <c r="H283" s="59"/>
      <c r="J283" s="59"/>
      <c r="L283" s="59"/>
      <c r="N283" s="59"/>
      <c r="Q283" s="59"/>
      <c r="R283" s="61"/>
    </row>
    <row r="284">
      <c r="B284" s="59"/>
      <c r="D284" s="59"/>
      <c r="F284" s="59"/>
      <c r="H284" s="59"/>
      <c r="J284" s="59"/>
      <c r="L284" s="59"/>
      <c r="N284" s="59"/>
      <c r="Q284" s="59"/>
      <c r="R284" s="61"/>
    </row>
    <row r="285">
      <c r="B285" s="59"/>
      <c r="D285" s="59"/>
      <c r="F285" s="59"/>
      <c r="H285" s="59"/>
      <c r="J285" s="59"/>
      <c r="L285" s="59"/>
      <c r="N285" s="59"/>
      <c r="Q285" s="59"/>
      <c r="R285" s="61"/>
    </row>
    <row r="286">
      <c r="B286" s="59"/>
      <c r="D286" s="59"/>
      <c r="F286" s="59"/>
      <c r="H286" s="59"/>
      <c r="J286" s="59"/>
      <c r="L286" s="59"/>
      <c r="N286" s="59"/>
      <c r="Q286" s="59"/>
      <c r="R286" s="61"/>
    </row>
    <row r="287">
      <c r="B287" s="59"/>
      <c r="D287" s="59"/>
      <c r="F287" s="59"/>
      <c r="H287" s="59"/>
      <c r="J287" s="59"/>
      <c r="L287" s="59"/>
      <c r="N287" s="59"/>
      <c r="Q287" s="59"/>
      <c r="R287" s="61"/>
    </row>
    <row r="288">
      <c r="B288" s="59"/>
      <c r="D288" s="59"/>
      <c r="F288" s="59"/>
      <c r="H288" s="59"/>
      <c r="J288" s="59"/>
      <c r="L288" s="59"/>
      <c r="N288" s="59"/>
      <c r="Q288" s="59"/>
      <c r="R288" s="61"/>
    </row>
    <row r="289">
      <c r="B289" s="59"/>
      <c r="D289" s="59"/>
      <c r="F289" s="59"/>
      <c r="H289" s="59"/>
      <c r="J289" s="59"/>
      <c r="L289" s="59"/>
      <c r="N289" s="59"/>
      <c r="Q289" s="59"/>
      <c r="R289" s="61"/>
    </row>
    <row r="290">
      <c r="B290" s="59"/>
      <c r="D290" s="59"/>
      <c r="F290" s="59"/>
      <c r="H290" s="59"/>
      <c r="J290" s="59"/>
      <c r="L290" s="59"/>
      <c r="N290" s="59"/>
      <c r="Q290" s="59"/>
      <c r="R290" s="61"/>
    </row>
    <row r="291">
      <c r="B291" s="59"/>
      <c r="D291" s="59"/>
      <c r="F291" s="59"/>
      <c r="H291" s="59"/>
      <c r="J291" s="59"/>
      <c r="L291" s="59"/>
      <c r="N291" s="59"/>
      <c r="Q291" s="59"/>
      <c r="R291" s="61"/>
    </row>
    <row r="292">
      <c r="B292" s="59"/>
      <c r="D292" s="59"/>
      <c r="F292" s="59"/>
      <c r="H292" s="59"/>
      <c r="J292" s="59"/>
      <c r="L292" s="59"/>
      <c r="N292" s="59"/>
      <c r="Q292" s="59"/>
      <c r="R292" s="61"/>
    </row>
    <row r="293">
      <c r="B293" s="59"/>
      <c r="D293" s="59"/>
      <c r="F293" s="59"/>
      <c r="H293" s="59"/>
      <c r="J293" s="59"/>
      <c r="L293" s="59"/>
      <c r="N293" s="59"/>
      <c r="Q293" s="59"/>
      <c r="R293" s="61"/>
    </row>
    <row r="294">
      <c r="B294" s="59"/>
      <c r="D294" s="59"/>
      <c r="F294" s="59"/>
      <c r="H294" s="59"/>
      <c r="J294" s="59"/>
      <c r="L294" s="59"/>
      <c r="N294" s="59"/>
      <c r="Q294" s="59"/>
      <c r="R294" s="61"/>
    </row>
    <row r="295">
      <c r="B295" s="59"/>
      <c r="D295" s="59"/>
      <c r="F295" s="59"/>
      <c r="H295" s="59"/>
      <c r="J295" s="59"/>
      <c r="L295" s="59"/>
      <c r="N295" s="59"/>
      <c r="Q295" s="59"/>
      <c r="R295" s="61"/>
    </row>
    <row r="296">
      <c r="B296" s="59"/>
      <c r="D296" s="59"/>
      <c r="F296" s="59"/>
      <c r="H296" s="59"/>
      <c r="J296" s="59"/>
      <c r="L296" s="59"/>
      <c r="N296" s="59"/>
      <c r="Q296" s="59"/>
      <c r="R296" s="61"/>
    </row>
    <row r="297">
      <c r="B297" s="59"/>
      <c r="D297" s="59"/>
      <c r="F297" s="59"/>
      <c r="H297" s="59"/>
      <c r="J297" s="59"/>
      <c r="L297" s="59"/>
      <c r="N297" s="59"/>
      <c r="Q297" s="59"/>
      <c r="R297" s="61"/>
    </row>
    <row r="298">
      <c r="B298" s="59"/>
      <c r="D298" s="59"/>
      <c r="F298" s="59"/>
      <c r="H298" s="59"/>
      <c r="J298" s="59"/>
      <c r="L298" s="59"/>
      <c r="N298" s="59"/>
      <c r="Q298" s="59"/>
      <c r="R298" s="61"/>
    </row>
    <row r="299">
      <c r="B299" s="59"/>
      <c r="D299" s="59"/>
      <c r="F299" s="59"/>
      <c r="H299" s="59"/>
      <c r="J299" s="59"/>
      <c r="L299" s="59"/>
      <c r="N299" s="59"/>
      <c r="Q299" s="59"/>
      <c r="R299" s="61"/>
    </row>
    <row r="300">
      <c r="B300" s="59"/>
      <c r="D300" s="59"/>
      <c r="F300" s="59"/>
      <c r="H300" s="59"/>
      <c r="J300" s="59"/>
      <c r="L300" s="59"/>
      <c r="N300" s="59"/>
      <c r="Q300" s="59"/>
      <c r="R300" s="61"/>
    </row>
    <row r="301">
      <c r="B301" s="59"/>
      <c r="D301" s="59"/>
      <c r="F301" s="59"/>
      <c r="H301" s="59"/>
      <c r="J301" s="59"/>
      <c r="L301" s="59"/>
      <c r="N301" s="59"/>
      <c r="Q301" s="59"/>
      <c r="R301" s="61"/>
    </row>
    <row r="302">
      <c r="B302" s="59"/>
      <c r="D302" s="59"/>
      <c r="F302" s="59"/>
      <c r="H302" s="59"/>
      <c r="J302" s="59"/>
      <c r="L302" s="59"/>
      <c r="N302" s="59"/>
      <c r="Q302" s="59"/>
      <c r="R302" s="61"/>
    </row>
    <row r="303">
      <c r="B303" s="59"/>
      <c r="D303" s="59"/>
      <c r="F303" s="59"/>
      <c r="H303" s="59"/>
      <c r="J303" s="59"/>
      <c r="L303" s="59"/>
      <c r="N303" s="59"/>
      <c r="Q303" s="59"/>
      <c r="R303" s="61"/>
    </row>
    <row r="304">
      <c r="B304" s="59"/>
      <c r="D304" s="59"/>
      <c r="F304" s="59"/>
      <c r="H304" s="59"/>
      <c r="J304" s="59"/>
      <c r="L304" s="59"/>
      <c r="N304" s="59"/>
      <c r="Q304" s="59"/>
      <c r="R304" s="61"/>
    </row>
    <row r="305">
      <c r="B305" s="59"/>
      <c r="D305" s="59"/>
      <c r="F305" s="59"/>
      <c r="H305" s="59"/>
      <c r="J305" s="59"/>
      <c r="L305" s="59"/>
      <c r="N305" s="59"/>
      <c r="Q305" s="59"/>
      <c r="R305" s="61"/>
    </row>
    <row r="306">
      <c r="B306" s="59"/>
      <c r="D306" s="59"/>
      <c r="F306" s="59"/>
      <c r="H306" s="59"/>
      <c r="J306" s="59"/>
      <c r="L306" s="59"/>
      <c r="N306" s="59"/>
      <c r="Q306" s="59"/>
      <c r="R306" s="61"/>
    </row>
    <row r="307">
      <c r="B307" s="59"/>
      <c r="D307" s="59"/>
      <c r="F307" s="59"/>
      <c r="H307" s="59"/>
      <c r="J307" s="59"/>
      <c r="L307" s="59"/>
      <c r="N307" s="59"/>
      <c r="Q307" s="59"/>
      <c r="R307" s="61"/>
    </row>
    <row r="308">
      <c r="B308" s="59"/>
      <c r="D308" s="59"/>
      <c r="F308" s="59"/>
      <c r="H308" s="59"/>
      <c r="J308" s="59"/>
      <c r="L308" s="59"/>
      <c r="N308" s="59"/>
      <c r="Q308" s="59"/>
      <c r="R308" s="61"/>
    </row>
    <row r="309">
      <c r="B309" s="59"/>
      <c r="D309" s="59"/>
      <c r="F309" s="59"/>
      <c r="H309" s="59"/>
      <c r="J309" s="59"/>
      <c r="L309" s="59"/>
      <c r="N309" s="59"/>
      <c r="Q309" s="59"/>
      <c r="R309" s="61"/>
    </row>
    <row r="310">
      <c r="B310" s="59"/>
      <c r="D310" s="59"/>
      <c r="F310" s="59"/>
      <c r="H310" s="59"/>
      <c r="J310" s="59"/>
      <c r="L310" s="59"/>
      <c r="N310" s="59"/>
      <c r="Q310" s="59"/>
      <c r="R310" s="61"/>
    </row>
    <row r="311">
      <c r="B311" s="59"/>
      <c r="D311" s="59"/>
      <c r="F311" s="59"/>
      <c r="H311" s="59"/>
      <c r="J311" s="59"/>
      <c r="L311" s="59"/>
      <c r="N311" s="59"/>
      <c r="Q311" s="59"/>
      <c r="R311" s="61"/>
    </row>
    <row r="312">
      <c r="B312" s="59"/>
      <c r="D312" s="59"/>
      <c r="F312" s="59"/>
      <c r="H312" s="59"/>
      <c r="J312" s="59"/>
      <c r="L312" s="59"/>
      <c r="N312" s="59"/>
      <c r="Q312" s="59"/>
      <c r="R312" s="61"/>
    </row>
    <row r="313">
      <c r="B313" s="59"/>
      <c r="D313" s="59"/>
      <c r="F313" s="59"/>
      <c r="H313" s="59"/>
      <c r="J313" s="59"/>
      <c r="L313" s="59"/>
      <c r="N313" s="59"/>
      <c r="Q313" s="59"/>
      <c r="R313" s="61"/>
    </row>
    <row r="314">
      <c r="B314" s="59"/>
      <c r="D314" s="59"/>
      <c r="F314" s="59"/>
      <c r="H314" s="59"/>
      <c r="J314" s="59"/>
      <c r="L314" s="59"/>
      <c r="N314" s="59"/>
      <c r="Q314" s="59"/>
      <c r="R314" s="61"/>
    </row>
    <row r="315">
      <c r="B315" s="59"/>
      <c r="D315" s="59"/>
      <c r="F315" s="59"/>
      <c r="H315" s="59"/>
      <c r="J315" s="59"/>
      <c r="L315" s="59"/>
      <c r="N315" s="59"/>
      <c r="Q315" s="59"/>
      <c r="R315" s="61"/>
    </row>
    <row r="316">
      <c r="B316" s="59"/>
      <c r="D316" s="59"/>
      <c r="F316" s="59"/>
      <c r="H316" s="59"/>
      <c r="J316" s="59"/>
      <c r="L316" s="59"/>
      <c r="N316" s="59"/>
      <c r="Q316" s="59"/>
      <c r="R316" s="61"/>
    </row>
    <row r="317">
      <c r="B317" s="59"/>
      <c r="D317" s="59"/>
      <c r="F317" s="59"/>
      <c r="H317" s="59"/>
      <c r="J317" s="59"/>
      <c r="L317" s="59"/>
      <c r="N317" s="59"/>
      <c r="Q317" s="59"/>
      <c r="R317" s="61"/>
    </row>
    <row r="318">
      <c r="B318" s="59"/>
      <c r="D318" s="59"/>
      <c r="F318" s="59"/>
      <c r="H318" s="59"/>
      <c r="J318" s="59"/>
      <c r="L318" s="59"/>
      <c r="N318" s="59"/>
      <c r="Q318" s="59"/>
      <c r="R318" s="61"/>
    </row>
    <row r="319">
      <c r="B319" s="59"/>
      <c r="D319" s="59"/>
      <c r="F319" s="59"/>
      <c r="H319" s="59"/>
      <c r="J319" s="59"/>
      <c r="L319" s="59"/>
      <c r="N319" s="59"/>
      <c r="Q319" s="59"/>
      <c r="R319" s="61"/>
    </row>
    <row r="320">
      <c r="B320" s="59"/>
      <c r="D320" s="59"/>
      <c r="F320" s="59"/>
      <c r="H320" s="59"/>
      <c r="J320" s="59"/>
      <c r="L320" s="59"/>
      <c r="N320" s="59"/>
      <c r="Q320" s="59"/>
      <c r="R320" s="61"/>
    </row>
    <row r="321">
      <c r="B321" s="59"/>
      <c r="D321" s="59"/>
      <c r="F321" s="59"/>
      <c r="H321" s="59"/>
      <c r="J321" s="59"/>
      <c r="L321" s="59"/>
      <c r="N321" s="59"/>
      <c r="Q321" s="59"/>
      <c r="R321" s="61"/>
    </row>
    <row r="322">
      <c r="B322" s="59"/>
      <c r="D322" s="59"/>
      <c r="F322" s="59"/>
      <c r="H322" s="59"/>
      <c r="J322" s="59"/>
      <c r="L322" s="59"/>
      <c r="N322" s="59"/>
      <c r="Q322" s="59"/>
      <c r="R322" s="61"/>
    </row>
    <row r="323">
      <c r="B323" s="59"/>
      <c r="D323" s="59"/>
      <c r="F323" s="59"/>
      <c r="H323" s="59"/>
      <c r="J323" s="59"/>
      <c r="L323" s="59"/>
      <c r="N323" s="59"/>
      <c r="Q323" s="59"/>
      <c r="R323" s="61"/>
    </row>
    <row r="324">
      <c r="B324" s="59"/>
      <c r="D324" s="59"/>
      <c r="F324" s="59"/>
      <c r="H324" s="59"/>
      <c r="J324" s="59"/>
      <c r="L324" s="59"/>
      <c r="N324" s="59"/>
      <c r="Q324" s="59"/>
      <c r="R324" s="61"/>
    </row>
    <row r="325">
      <c r="B325" s="59"/>
      <c r="D325" s="59"/>
      <c r="F325" s="59"/>
      <c r="H325" s="59"/>
      <c r="J325" s="59"/>
      <c r="L325" s="59"/>
      <c r="N325" s="59"/>
      <c r="Q325" s="59"/>
      <c r="R325" s="61"/>
    </row>
    <row r="326">
      <c r="B326" s="59"/>
      <c r="D326" s="59"/>
      <c r="F326" s="59"/>
      <c r="H326" s="59"/>
      <c r="J326" s="59"/>
      <c r="L326" s="59"/>
      <c r="N326" s="59"/>
      <c r="Q326" s="59"/>
      <c r="R326" s="61"/>
    </row>
    <row r="327">
      <c r="B327" s="59"/>
      <c r="D327" s="59"/>
      <c r="F327" s="59"/>
      <c r="H327" s="59"/>
      <c r="J327" s="59"/>
      <c r="L327" s="59"/>
      <c r="N327" s="59"/>
      <c r="Q327" s="59"/>
      <c r="R327" s="61"/>
    </row>
    <row r="328">
      <c r="B328" s="59"/>
      <c r="D328" s="59"/>
      <c r="F328" s="59"/>
      <c r="H328" s="59"/>
      <c r="J328" s="59"/>
      <c r="L328" s="59"/>
      <c r="N328" s="59"/>
      <c r="Q328" s="59"/>
      <c r="R328" s="61"/>
    </row>
    <row r="329">
      <c r="B329" s="59"/>
      <c r="D329" s="59"/>
      <c r="F329" s="59"/>
      <c r="H329" s="59"/>
      <c r="J329" s="59"/>
      <c r="L329" s="59"/>
      <c r="N329" s="59"/>
      <c r="Q329" s="59"/>
      <c r="R329" s="61"/>
    </row>
    <row r="330">
      <c r="B330" s="59"/>
      <c r="D330" s="59"/>
      <c r="F330" s="59"/>
      <c r="H330" s="59"/>
      <c r="J330" s="59"/>
      <c r="L330" s="59"/>
      <c r="N330" s="59"/>
      <c r="Q330" s="59"/>
      <c r="R330" s="61"/>
    </row>
    <row r="331">
      <c r="B331" s="59"/>
      <c r="D331" s="59"/>
      <c r="F331" s="59"/>
      <c r="H331" s="59"/>
      <c r="J331" s="59"/>
      <c r="L331" s="59"/>
      <c r="N331" s="59"/>
      <c r="Q331" s="59"/>
      <c r="R331" s="61"/>
    </row>
    <row r="332">
      <c r="B332" s="59"/>
      <c r="D332" s="59"/>
      <c r="F332" s="59"/>
      <c r="H332" s="59"/>
      <c r="J332" s="59"/>
      <c r="L332" s="59"/>
      <c r="N332" s="59"/>
      <c r="Q332" s="59"/>
      <c r="R332" s="61"/>
    </row>
    <row r="333">
      <c r="B333" s="59"/>
      <c r="D333" s="59"/>
      <c r="F333" s="59"/>
      <c r="H333" s="59"/>
      <c r="J333" s="59"/>
      <c r="L333" s="59"/>
      <c r="N333" s="59"/>
      <c r="Q333" s="59"/>
      <c r="R333" s="61"/>
    </row>
    <row r="334">
      <c r="B334" s="59"/>
      <c r="D334" s="59"/>
      <c r="F334" s="59"/>
      <c r="H334" s="59"/>
      <c r="J334" s="59"/>
      <c r="L334" s="59"/>
      <c r="N334" s="59"/>
      <c r="Q334" s="59"/>
      <c r="R334" s="61"/>
    </row>
    <row r="335">
      <c r="B335" s="59"/>
      <c r="D335" s="59"/>
      <c r="F335" s="59"/>
      <c r="H335" s="59"/>
      <c r="J335" s="59"/>
      <c r="L335" s="59"/>
      <c r="N335" s="59"/>
      <c r="Q335" s="59"/>
      <c r="R335" s="61"/>
    </row>
    <row r="336">
      <c r="B336" s="59"/>
      <c r="D336" s="59"/>
      <c r="F336" s="59"/>
      <c r="H336" s="59"/>
      <c r="J336" s="59"/>
      <c r="L336" s="59"/>
      <c r="N336" s="59"/>
      <c r="Q336" s="59"/>
      <c r="R336" s="61"/>
    </row>
    <row r="337">
      <c r="B337" s="59"/>
      <c r="D337" s="59"/>
      <c r="F337" s="59"/>
      <c r="H337" s="59"/>
      <c r="J337" s="59"/>
      <c r="L337" s="59"/>
      <c r="N337" s="59"/>
      <c r="Q337" s="59"/>
      <c r="R337" s="61"/>
    </row>
    <row r="338">
      <c r="B338" s="59"/>
      <c r="D338" s="59"/>
      <c r="F338" s="59"/>
      <c r="H338" s="59"/>
      <c r="J338" s="59"/>
      <c r="L338" s="59"/>
      <c r="N338" s="59"/>
      <c r="Q338" s="59"/>
      <c r="R338" s="61"/>
    </row>
    <row r="339">
      <c r="B339" s="59"/>
      <c r="D339" s="59"/>
      <c r="F339" s="59"/>
      <c r="H339" s="59"/>
      <c r="J339" s="59"/>
      <c r="L339" s="59"/>
      <c r="N339" s="59"/>
      <c r="Q339" s="59"/>
      <c r="R339" s="61"/>
    </row>
    <row r="340">
      <c r="B340" s="59"/>
      <c r="D340" s="59"/>
      <c r="F340" s="59"/>
      <c r="H340" s="59"/>
      <c r="J340" s="59"/>
      <c r="L340" s="59"/>
      <c r="N340" s="59"/>
      <c r="Q340" s="59"/>
      <c r="R340" s="61"/>
    </row>
    <row r="341">
      <c r="B341" s="59"/>
      <c r="D341" s="59"/>
      <c r="F341" s="59"/>
      <c r="H341" s="59"/>
      <c r="J341" s="59"/>
      <c r="L341" s="59"/>
      <c r="N341" s="59"/>
      <c r="Q341" s="59"/>
      <c r="R341" s="61"/>
    </row>
    <row r="342">
      <c r="B342" s="59"/>
      <c r="D342" s="59"/>
      <c r="F342" s="59"/>
      <c r="H342" s="59"/>
      <c r="J342" s="59"/>
      <c r="L342" s="59"/>
      <c r="N342" s="59"/>
      <c r="Q342" s="59"/>
      <c r="R342" s="61"/>
    </row>
    <row r="343">
      <c r="B343" s="59"/>
      <c r="D343" s="59"/>
      <c r="F343" s="59"/>
      <c r="H343" s="59"/>
      <c r="J343" s="59"/>
      <c r="L343" s="59"/>
      <c r="N343" s="59"/>
      <c r="Q343" s="59"/>
      <c r="R343" s="61"/>
    </row>
    <row r="344">
      <c r="B344" s="59"/>
      <c r="D344" s="59"/>
      <c r="F344" s="59"/>
      <c r="H344" s="59"/>
      <c r="J344" s="59"/>
      <c r="L344" s="59"/>
      <c r="N344" s="59"/>
      <c r="Q344" s="59"/>
      <c r="R344" s="61"/>
    </row>
    <row r="345">
      <c r="B345" s="59"/>
      <c r="D345" s="59"/>
      <c r="F345" s="59"/>
      <c r="H345" s="59"/>
      <c r="J345" s="59"/>
      <c r="L345" s="59"/>
      <c r="N345" s="59"/>
      <c r="Q345" s="59"/>
      <c r="R345" s="61"/>
    </row>
    <row r="346">
      <c r="B346" s="59"/>
      <c r="D346" s="59"/>
      <c r="F346" s="59"/>
      <c r="H346" s="59"/>
      <c r="J346" s="59"/>
      <c r="L346" s="59"/>
      <c r="N346" s="59"/>
      <c r="Q346" s="59"/>
      <c r="R346" s="61"/>
    </row>
    <row r="347">
      <c r="B347" s="59"/>
      <c r="D347" s="59"/>
      <c r="F347" s="59"/>
      <c r="H347" s="59"/>
      <c r="J347" s="59"/>
      <c r="L347" s="59"/>
      <c r="N347" s="59"/>
      <c r="Q347" s="59"/>
      <c r="R347" s="61"/>
    </row>
    <row r="348">
      <c r="B348" s="59"/>
      <c r="D348" s="59"/>
      <c r="F348" s="59"/>
      <c r="H348" s="59"/>
      <c r="J348" s="59"/>
      <c r="L348" s="59"/>
      <c r="N348" s="59"/>
      <c r="Q348" s="59"/>
      <c r="R348" s="61"/>
    </row>
    <row r="349">
      <c r="B349" s="59"/>
      <c r="D349" s="59"/>
      <c r="F349" s="59"/>
      <c r="H349" s="59"/>
      <c r="J349" s="59"/>
      <c r="L349" s="59"/>
      <c r="N349" s="59"/>
      <c r="Q349" s="59"/>
      <c r="R349" s="61"/>
    </row>
    <row r="350">
      <c r="B350" s="59"/>
      <c r="D350" s="59"/>
      <c r="F350" s="59"/>
      <c r="H350" s="59"/>
      <c r="J350" s="59"/>
      <c r="L350" s="59"/>
      <c r="N350" s="59"/>
      <c r="Q350" s="59"/>
      <c r="R350" s="61"/>
    </row>
    <row r="351">
      <c r="B351" s="59"/>
      <c r="D351" s="59"/>
      <c r="F351" s="59"/>
      <c r="H351" s="59"/>
      <c r="J351" s="59"/>
      <c r="L351" s="59"/>
      <c r="N351" s="59"/>
      <c r="Q351" s="59"/>
      <c r="R351" s="61"/>
    </row>
    <row r="352">
      <c r="B352" s="59"/>
      <c r="D352" s="59"/>
      <c r="F352" s="59"/>
      <c r="H352" s="59"/>
      <c r="J352" s="59"/>
      <c r="L352" s="59"/>
      <c r="N352" s="59"/>
      <c r="Q352" s="59"/>
      <c r="R352" s="61"/>
    </row>
    <row r="353">
      <c r="B353" s="59"/>
      <c r="D353" s="59"/>
      <c r="F353" s="59"/>
      <c r="H353" s="59"/>
      <c r="J353" s="59"/>
      <c r="L353" s="59"/>
      <c r="N353" s="59"/>
      <c r="Q353" s="59"/>
      <c r="R353" s="61"/>
    </row>
    <row r="354">
      <c r="B354" s="59"/>
      <c r="D354" s="59"/>
      <c r="F354" s="59"/>
      <c r="H354" s="59"/>
      <c r="J354" s="59"/>
      <c r="L354" s="59"/>
      <c r="N354" s="59"/>
      <c r="Q354" s="59"/>
      <c r="R354" s="61"/>
    </row>
    <row r="355">
      <c r="B355" s="59"/>
      <c r="D355" s="59"/>
      <c r="F355" s="59"/>
      <c r="H355" s="59"/>
      <c r="J355" s="59"/>
      <c r="L355" s="59"/>
      <c r="N355" s="59"/>
      <c r="Q355" s="59"/>
      <c r="R355" s="61"/>
    </row>
    <row r="356">
      <c r="B356" s="59"/>
      <c r="D356" s="59"/>
      <c r="F356" s="59"/>
      <c r="H356" s="59"/>
      <c r="J356" s="59"/>
      <c r="L356" s="59"/>
      <c r="N356" s="59"/>
      <c r="Q356" s="59"/>
      <c r="R356" s="61"/>
    </row>
    <row r="357">
      <c r="B357" s="59"/>
      <c r="D357" s="59"/>
      <c r="F357" s="59"/>
      <c r="H357" s="59"/>
      <c r="J357" s="59"/>
      <c r="L357" s="59"/>
      <c r="N357" s="59"/>
      <c r="Q357" s="59"/>
      <c r="R357" s="61"/>
    </row>
    <row r="358">
      <c r="B358" s="59"/>
      <c r="D358" s="59"/>
      <c r="F358" s="59"/>
      <c r="H358" s="59"/>
      <c r="J358" s="59"/>
      <c r="L358" s="59"/>
      <c r="N358" s="59"/>
      <c r="Q358" s="59"/>
      <c r="R358" s="61"/>
    </row>
    <row r="359">
      <c r="B359" s="59"/>
      <c r="D359" s="59"/>
      <c r="F359" s="59"/>
      <c r="H359" s="59"/>
      <c r="J359" s="59"/>
      <c r="L359" s="59"/>
      <c r="N359" s="59"/>
      <c r="Q359" s="59"/>
      <c r="R359" s="61"/>
    </row>
    <row r="360">
      <c r="B360" s="59"/>
      <c r="D360" s="59"/>
      <c r="F360" s="59"/>
      <c r="H360" s="59"/>
      <c r="J360" s="59"/>
      <c r="L360" s="59"/>
      <c r="N360" s="59"/>
      <c r="Q360" s="59"/>
      <c r="R360" s="61"/>
    </row>
    <row r="361">
      <c r="B361" s="59"/>
      <c r="D361" s="59"/>
      <c r="F361" s="59"/>
      <c r="H361" s="59"/>
      <c r="J361" s="59"/>
      <c r="L361" s="59"/>
      <c r="N361" s="59"/>
      <c r="Q361" s="59"/>
      <c r="R361" s="61"/>
    </row>
    <row r="362">
      <c r="B362" s="59"/>
      <c r="D362" s="59"/>
      <c r="F362" s="59"/>
      <c r="H362" s="59"/>
      <c r="J362" s="59"/>
      <c r="L362" s="59"/>
      <c r="N362" s="59"/>
      <c r="Q362" s="59"/>
      <c r="R362" s="61"/>
    </row>
    <row r="363">
      <c r="B363" s="59"/>
      <c r="D363" s="59"/>
      <c r="F363" s="59"/>
      <c r="H363" s="59"/>
      <c r="J363" s="59"/>
      <c r="L363" s="59"/>
      <c r="N363" s="59"/>
      <c r="Q363" s="59"/>
      <c r="R363" s="61"/>
    </row>
    <row r="364">
      <c r="B364" s="59"/>
      <c r="D364" s="59"/>
      <c r="F364" s="59"/>
      <c r="H364" s="59"/>
      <c r="J364" s="59"/>
      <c r="L364" s="59"/>
      <c r="N364" s="59"/>
      <c r="Q364" s="59"/>
      <c r="R364" s="61"/>
    </row>
    <row r="365">
      <c r="B365" s="59"/>
      <c r="D365" s="59"/>
      <c r="F365" s="59"/>
      <c r="H365" s="59"/>
      <c r="J365" s="59"/>
      <c r="L365" s="59"/>
      <c r="N365" s="59"/>
      <c r="Q365" s="59"/>
      <c r="R365" s="61"/>
    </row>
    <row r="366">
      <c r="B366" s="59"/>
      <c r="D366" s="59"/>
      <c r="F366" s="59"/>
      <c r="H366" s="59"/>
      <c r="J366" s="59"/>
      <c r="L366" s="59"/>
      <c r="N366" s="59"/>
      <c r="Q366" s="59"/>
      <c r="R366" s="61"/>
    </row>
    <row r="367">
      <c r="B367" s="59"/>
      <c r="D367" s="59"/>
      <c r="F367" s="59"/>
      <c r="H367" s="59"/>
      <c r="J367" s="59"/>
      <c r="L367" s="59"/>
      <c r="N367" s="59"/>
      <c r="Q367" s="59"/>
      <c r="R367" s="61"/>
    </row>
    <row r="368">
      <c r="B368" s="59"/>
      <c r="D368" s="59"/>
      <c r="F368" s="59"/>
      <c r="H368" s="59"/>
      <c r="J368" s="59"/>
      <c r="L368" s="59"/>
      <c r="N368" s="59"/>
      <c r="Q368" s="59"/>
      <c r="R368" s="61"/>
    </row>
    <row r="369">
      <c r="B369" s="59"/>
      <c r="D369" s="59"/>
      <c r="F369" s="59"/>
      <c r="H369" s="59"/>
      <c r="J369" s="59"/>
      <c r="L369" s="59"/>
      <c r="N369" s="59"/>
      <c r="Q369" s="59"/>
      <c r="R369" s="61"/>
    </row>
    <row r="370">
      <c r="B370" s="59"/>
      <c r="D370" s="59"/>
      <c r="F370" s="59"/>
      <c r="H370" s="59"/>
      <c r="J370" s="59"/>
      <c r="L370" s="59"/>
      <c r="N370" s="59"/>
      <c r="Q370" s="59"/>
      <c r="R370" s="61"/>
    </row>
    <row r="371">
      <c r="B371" s="59"/>
      <c r="D371" s="59"/>
      <c r="F371" s="59"/>
      <c r="H371" s="59"/>
      <c r="J371" s="59"/>
      <c r="L371" s="59"/>
      <c r="N371" s="59"/>
      <c r="Q371" s="59"/>
      <c r="R371" s="61"/>
    </row>
    <row r="372">
      <c r="B372" s="59"/>
      <c r="D372" s="59"/>
      <c r="F372" s="59"/>
      <c r="H372" s="59"/>
      <c r="J372" s="59"/>
      <c r="L372" s="59"/>
      <c r="N372" s="59"/>
      <c r="Q372" s="59"/>
      <c r="R372" s="61"/>
    </row>
    <row r="373">
      <c r="B373" s="59"/>
      <c r="D373" s="59"/>
      <c r="F373" s="59"/>
      <c r="H373" s="59"/>
      <c r="J373" s="59"/>
      <c r="L373" s="59"/>
      <c r="N373" s="59"/>
      <c r="Q373" s="59"/>
      <c r="R373" s="61"/>
    </row>
    <row r="374">
      <c r="B374" s="59"/>
      <c r="D374" s="59"/>
      <c r="F374" s="59"/>
      <c r="H374" s="59"/>
      <c r="J374" s="59"/>
      <c r="L374" s="59"/>
      <c r="N374" s="59"/>
      <c r="Q374" s="59"/>
      <c r="R374" s="61"/>
    </row>
    <row r="375">
      <c r="B375" s="59"/>
      <c r="D375" s="59"/>
      <c r="F375" s="59"/>
      <c r="H375" s="59"/>
      <c r="J375" s="59"/>
      <c r="L375" s="59"/>
      <c r="N375" s="59"/>
      <c r="Q375" s="59"/>
      <c r="R375" s="61"/>
    </row>
    <row r="376">
      <c r="B376" s="59"/>
      <c r="D376" s="59"/>
      <c r="F376" s="59"/>
      <c r="H376" s="59"/>
      <c r="J376" s="59"/>
      <c r="L376" s="59"/>
      <c r="N376" s="59"/>
      <c r="Q376" s="59"/>
      <c r="R376" s="61"/>
    </row>
    <row r="377">
      <c r="B377" s="59"/>
      <c r="D377" s="59"/>
      <c r="F377" s="59"/>
      <c r="H377" s="59"/>
      <c r="J377" s="59"/>
      <c r="L377" s="59"/>
      <c r="N377" s="59"/>
      <c r="Q377" s="59"/>
      <c r="R377" s="61"/>
    </row>
    <row r="378">
      <c r="B378" s="59"/>
      <c r="D378" s="59"/>
      <c r="F378" s="59"/>
      <c r="H378" s="59"/>
      <c r="J378" s="59"/>
      <c r="L378" s="59"/>
      <c r="N378" s="59"/>
      <c r="Q378" s="59"/>
      <c r="R378" s="61"/>
    </row>
    <row r="379">
      <c r="B379" s="59"/>
      <c r="D379" s="59"/>
      <c r="F379" s="59"/>
      <c r="H379" s="59"/>
      <c r="J379" s="59"/>
      <c r="L379" s="59"/>
      <c r="N379" s="59"/>
      <c r="Q379" s="59"/>
      <c r="R379" s="61"/>
    </row>
    <row r="380">
      <c r="B380" s="59"/>
      <c r="D380" s="59"/>
      <c r="F380" s="59"/>
      <c r="H380" s="59"/>
      <c r="J380" s="59"/>
      <c r="L380" s="59"/>
      <c r="N380" s="59"/>
      <c r="Q380" s="59"/>
      <c r="R380" s="61"/>
    </row>
    <row r="381">
      <c r="B381" s="59"/>
      <c r="D381" s="59"/>
      <c r="F381" s="59"/>
      <c r="H381" s="59"/>
      <c r="J381" s="59"/>
      <c r="L381" s="59"/>
      <c r="N381" s="59"/>
      <c r="Q381" s="59"/>
      <c r="R381" s="61"/>
    </row>
    <row r="382">
      <c r="B382" s="59"/>
      <c r="D382" s="59"/>
      <c r="F382" s="59"/>
      <c r="H382" s="59"/>
      <c r="J382" s="59"/>
      <c r="L382" s="59"/>
      <c r="N382" s="59"/>
      <c r="Q382" s="59"/>
      <c r="R382" s="61"/>
    </row>
    <row r="383">
      <c r="B383" s="59"/>
      <c r="D383" s="59"/>
      <c r="F383" s="59"/>
      <c r="H383" s="59"/>
      <c r="J383" s="59"/>
      <c r="L383" s="59"/>
      <c r="N383" s="59"/>
      <c r="Q383" s="59"/>
      <c r="R383" s="61"/>
    </row>
    <row r="384">
      <c r="B384" s="59"/>
      <c r="D384" s="59"/>
      <c r="F384" s="59"/>
      <c r="H384" s="59"/>
      <c r="J384" s="59"/>
      <c r="L384" s="59"/>
      <c r="N384" s="59"/>
      <c r="Q384" s="59"/>
      <c r="R384" s="61"/>
    </row>
    <row r="385">
      <c r="B385" s="59"/>
      <c r="D385" s="59"/>
      <c r="F385" s="59"/>
      <c r="H385" s="59"/>
      <c r="J385" s="59"/>
      <c r="L385" s="59"/>
      <c r="N385" s="59"/>
      <c r="Q385" s="59"/>
      <c r="R385" s="61"/>
    </row>
    <row r="386">
      <c r="B386" s="59"/>
      <c r="D386" s="59"/>
      <c r="F386" s="59"/>
      <c r="H386" s="59"/>
      <c r="J386" s="59"/>
      <c r="L386" s="59"/>
      <c r="N386" s="59"/>
      <c r="Q386" s="59"/>
      <c r="R386" s="61"/>
    </row>
    <row r="387">
      <c r="B387" s="59"/>
      <c r="D387" s="59"/>
      <c r="F387" s="59"/>
      <c r="H387" s="59"/>
      <c r="J387" s="59"/>
      <c r="L387" s="59"/>
      <c r="N387" s="59"/>
      <c r="Q387" s="59"/>
      <c r="R387" s="61"/>
    </row>
    <row r="388">
      <c r="B388" s="59"/>
      <c r="D388" s="59"/>
      <c r="F388" s="59"/>
      <c r="H388" s="59"/>
      <c r="J388" s="59"/>
      <c r="L388" s="59"/>
      <c r="N388" s="59"/>
      <c r="Q388" s="59"/>
      <c r="R388" s="61"/>
    </row>
    <row r="389">
      <c r="B389" s="59"/>
      <c r="D389" s="59"/>
      <c r="F389" s="59"/>
      <c r="H389" s="59"/>
      <c r="J389" s="59"/>
      <c r="L389" s="59"/>
      <c r="N389" s="59"/>
      <c r="Q389" s="59"/>
      <c r="R389" s="61"/>
    </row>
    <row r="390">
      <c r="B390" s="59"/>
      <c r="D390" s="59"/>
      <c r="F390" s="59"/>
      <c r="H390" s="59"/>
      <c r="J390" s="59"/>
      <c r="L390" s="59"/>
      <c r="N390" s="59"/>
      <c r="Q390" s="59"/>
      <c r="R390" s="61"/>
    </row>
    <row r="391">
      <c r="B391" s="59"/>
      <c r="D391" s="59"/>
      <c r="F391" s="59"/>
      <c r="H391" s="59"/>
      <c r="J391" s="59"/>
      <c r="L391" s="59"/>
      <c r="N391" s="59"/>
      <c r="Q391" s="59"/>
      <c r="R391" s="61"/>
    </row>
    <row r="392">
      <c r="B392" s="59"/>
      <c r="D392" s="59"/>
      <c r="F392" s="59"/>
      <c r="H392" s="59"/>
      <c r="J392" s="59"/>
      <c r="L392" s="59"/>
      <c r="N392" s="59"/>
      <c r="Q392" s="59"/>
      <c r="R392" s="61"/>
    </row>
    <row r="393">
      <c r="B393" s="59"/>
      <c r="D393" s="59"/>
      <c r="F393" s="59"/>
      <c r="H393" s="59"/>
      <c r="J393" s="59"/>
      <c r="L393" s="59"/>
      <c r="N393" s="59"/>
      <c r="Q393" s="59"/>
      <c r="R393" s="61"/>
    </row>
    <row r="394">
      <c r="B394" s="59"/>
      <c r="D394" s="59"/>
      <c r="F394" s="59"/>
      <c r="H394" s="59"/>
      <c r="J394" s="59"/>
      <c r="L394" s="59"/>
      <c r="N394" s="59"/>
      <c r="Q394" s="59"/>
      <c r="R394" s="61"/>
    </row>
    <row r="395">
      <c r="B395" s="59"/>
      <c r="D395" s="59"/>
      <c r="F395" s="59"/>
      <c r="H395" s="59"/>
      <c r="J395" s="59"/>
      <c r="L395" s="59"/>
      <c r="N395" s="59"/>
      <c r="Q395" s="59"/>
      <c r="R395" s="61"/>
    </row>
    <row r="396">
      <c r="B396" s="59"/>
      <c r="D396" s="59"/>
      <c r="F396" s="59"/>
      <c r="H396" s="59"/>
      <c r="J396" s="59"/>
      <c r="L396" s="59"/>
      <c r="N396" s="59"/>
      <c r="Q396" s="59"/>
      <c r="R396" s="61"/>
    </row>
    <row r="397">
      <c r="B397" s="59"/>
      <c r="D397" s="59"/>
      <c r="F397" s="59"/>
      <c r="H397" s="59"/>
      <c r="J397" s="59"/>
      <c r="L397" s="59"/>
      <c r="N397" s="59"/>
      <c r="Q397" s="59"/>
      <c r="R397" s="61"/>
    </row>
    <row r="398">
      <c r="B398" s="59"/>
      <c r="D398" s="59"/>
      <c r="F398" s="59"/>
      <c r="H398" s="59"/>
      <c r="J398" s="59"/>
      <c r="L398" s="59"/>
      <c r="N398" s="59"/>
      <c r="Q398" s="59"/>
      <c r="R398" s="61"/>
    </row>
    <row r="399">
      <c r="B399" s="59"/>
      <c r="D399" s="59"/>
      <c r="F399" s="59"/>
      <c r="H399" s="59"/>
      <c r="J399" s="59"/>
      <c r="L399" s="59"/>
      <c r="N399" s="59"/>
      <c r="Q399" s="59"/>
      <c r="R399" s="61"/>
    </row>
    <row r="400">
      <c r="B400" s="59"/>
      <c r="D400" s="59"/>
      <c r="F400" s="59"/>
      <c r="H400" s="59"/>
      <c r="J400" s="59"/>
      <c r="L400" s="59"/>
      <c r="N400" s="59"/>
      <c r="Q400" s="59"/>
      <c r="R400" s="61"/>
    </row>
    <row r="401">
      <c r="B401" s="59"/>
      <c r="D401" s="59"/>
      <c r="F401" s="59"/>
      <c r="H401" s="59"/>
      <c r="J401" s="59"/>
      <c r="L401" s="59"/>
      <c r="N401" s="59"/>
      <c r="Q401" s="59"/>
      <c r="R401" s="61"/>
    </row>
    <row r="402">
      <c r="B402" s="59"/>
      <c r="D402" s="59"/>
      <c r="F402" s="59"/>
      <c r="H402" s="59"/>
      <c r="J402" s="59"/>
      <c r="L402" s="59"/>
      <c r="N402" s="59"/>
      <c r="Q402" s="59"/>
      <c r="R402" s="61"/>
    </row>
    <row r="403">
      <c r="B403" s="59"/>
      <c r="D403" s="59"/>
      <c r="F403" s="59"/>
      <c r="H403" s="59"/>
      <c r="J403" s="59"/>
      <c r="L403" s="59"/>
      <c r="N403" s="59"/>
      <c r="Q403" s="59"/>
      <c r="R403" s="61"/>
    </row>
    <row r="404">
      <c r="B404" s="59"/>
      <c r="D404" s="59"/>
      <c r="F404" s="59"/>
      <c r="H404" s="59"/>
      <c r="J404" s="59"/>
      <c r="L404" s="59"/>
      <c r="N404" s="59"/>
      <c r="Q404" s="59"/>
      <c r="R404" s="61"/>
    </row>
    <row r="405">
      <c r="B405" s="59"/>
      <c r="D405" s="59"/>
      <c r="F405" s="59"/>
      <c r="H405" s="59"/>
      <c r="J405" s="59"/>
      <c r="L405" s="59"/>
      <c r="N405" s="59"/>
      <c r="Q405" s="59"/>
      <c r="R405" s="61"/>
    </row>
    <row r="406">
      <c r="B406" s="59"/>
      <c r="D406" s="59"/>
      <c r="F406" s="59"/>
      <c r="H406" s="59"/>
      <c r="J406" s="59"/>
      <c r="L406" s="59"/>
      <c r="N406" s="59"/>
      <c r="Q406" s="59"/>
      <c r="R406" s="61"/>
    </row>
    <row r="407">
      <c r="B407" s="59"/>
      <c r="D407" s="59"/>
      <c r="F407" s="59"/>
      <c r="H407" s="59"/>
      <c r="J407" s="59"/>
      <c r="L407" s="59"/>
      <c r="N407" s="59"/>
      <c r="Q407" s="59"/>
      <c r="R407" s="61"/>
    </row>
    <row r="408">
      <c r="B408" s="59"/>
      <c r="D408" s="59"/>
      <c r="F408" s="59"/>
      <c r="H408" s="59"/>
      <c r="J408" s="59"/>
      <c r="L408" s="59"/>
      <c r="N408" s="59"/>
      <c r="Q408" s="59"/>
      <c r="R408" s="61"/>
    </row>
    <row r="409">
      <c r="B409" s="59"/>
      <c r="D409" s="59"/>
      <c r="F409" s="59"/>
      <c r="H409" s="59"/>
      <c r="J409" s="59"/>
      <c r="L409" s="59"/>
      <c r="N409" s="59"/>
      <c r="Q409" s="59"/>
      <c r="R409" s="61"/>
    </row>
    <row r="410">
      <c r="B410" s="59"/>
      <c r="D410" s="59"/>
      <c r="F410" s="59"/>
      <c r="H410" s="59"/>
      <c r="J410" s="59"/>
      <c r="L410" s="59"/>
      <c r="N410" s="59"/>
      <c r="Q410" s="59"/>
      <c r="R410" s="61"/>
    </row>
    <row r="411">
      <c r="B411" s="59"/>
      <c r="D411" s="59"/>
      <c r="F411" s="59"/>
      <c r="H411" s="59"/>
      <c r="J411" s="59"/>
      <c r="L411" s="59"/>
      <c r="N411" s="59"/>
      <c r="Q411" s="59"/>
      <c r="R411" s="61"/>
    </row>
    <row r="412">
      <c r="B412" s="59"/>
      <c r="D412" s="59"/>
      <c r="F412" s="59"/>
      <c r="H412" s="59"/>
      <c r="J412" s="59"/>
      <c r="L412" s="59"/>
      <c r="N412" s="59"/>
      <c r="Q412" s="59"/>
      <c r="R412" s="61"/>
    </row>
    <row r="413">
      <c r="B413" s="59"/>
      <c r="D413" s="59"/>
      <c r="F413" s="59"/>
      <c r="H413" s="59"/>
      <c r="J413" s="59"/>
      <c r="L413" s="59"/>
      <c r="N413" s="59"/>
      <c r="Q413" s="59"/>
      <c r="R413" s="61"/>
    </row>
    <row r="414">
      <c r="B414" s="59"/>
      <c r="D414" s="59"/>
      <c r="F414" s="59"/>
      <c r="H414" s="59"/>
      <c r="J414" s="59"/>
      <c r="L414" s="59"/>
      <c r="N414" s="59"/>
      <c r="Q414" s="59"/>
      <c r="R414" s="61"/>
    </row>
    <row r="415">
      <c r="B415" s="59"/>
      <c r="D415" s="59"/>
      <c r="F415" s="59"/>
      <c r="H415" s="59"/>
      <c r="J415" s="59"/>
      <c r="L415" s="59"/>
      <c r="N415" s="59"/>
      <c r="Q415" s="59"/>
      <c r="R415" s="61"/>
    </row>
    <row r="416">
      <c r="B416" s="59"/>
      <c r="D416" s="59"/>
      <c r="F416" s="59"/>
      <c r="H416" s="59"/>
      <c r="J416" s="59"/>
      <c r="L416" s="59"/>
      <c r="N416" s="59"/>
      <c r="Q416" s="59"/>
      <c r="R416" s="61"/>
    </row>
    <row r="417">
      <c r="B417" s="59"/>
      <c r="D417" s="59"/>
      <c r="F417" s="59"/>
      <c r="H417" s="59"/>
      <c r="J417" s="59"/>
      <c r="L417" s="59"/>
      <c r="N417" s="59"/>
      <c r="Q417" s="59"/>
      <c r="R417" s="61"/>
    </row>
    <row r="418">
      <c r="B418" s="59"/>
      <c r="D418" s="59"/>
      <c r="F418" s="59"/>
      <c r="H418" s="59"/>
      <c r="J418" s="59"/>
      <c r="L418" s="59"/>
      <c r="N418" s="59"/>
      <c r="Q418" s="59"/>
      <c r="R418" s="61"/>
    </row>
    <row r="419">
      <c r="B419" s="59"/>
      <c r="D419" s="59"/>
      <c r="F419" s="59"/>
      <c r="H419" s="59"/>
      <c r="J419" s="59"/>
      <c r="L419" s="59"/>
      <c r="N419" s="59"/>
      <c r="Q419" s="59"/>
      <c r="R419" s="61"/>
    </row>
    <row r="420">
      <c r="B420" s="59"/>
      <c r="D420" s="59"/>
      <c r="F420" s="59"/>
      <c r="H420" s="59"/>
      <c r="J420" s="59"/>
      <c r="L420" s="59"/>
      <c r="N420" s="59"/>
      <c r="Q420" s="59"/>
      <c r="R420" s="61"/>
    </row>
    <row r="421">
      <c r="B421" s="59"/>
      <c r="D421" s="59"/>
      <c r="F421" s="59"/>
      <c r="H421" s="59"/>
      <c r="J421" s="59"/>
      <c r="L421" s="59"/>
      <c r="N421" s="59"/>
      <c r="Q421" s="59"/>
      <c r="R421" s="61"/>
    </row>
    <row r="422">
      <c r="B422" s="59"/>
      <c r="D422" s="59"/>
      <c r="F422" s="59"/>
      <c r="H422" s="59"/>
      <c r="J422" s="59"/>
      <c r="L422" s="59"/>
      <c r="N422" s="59"/>
      <c r="Q422" s="59"/>
      <c r="R422" s="61"/>
    </row>
    <row r="423">
      <c r="B423" s="59"/>
      <c r="D423" s="59"/>
      <c r="F423" s="59"/>
      <c r="H423" s="59"/>
      <c r="J423" s="59"/>
      <c r="L423" s="59"/>
      <c r="N423" s="59"/>
      <c r="Q423" s="59"/>
      <c r="R423" s="61"/>
    </row>
    <row r="424">
      <c r="B424" s="59"/>
      <c r="D424" s="59"/>
      <c r="F424" s="59"/>
      <c r="H424" s="59"/>
      <c r="J424" s="59"/>
      <c r="L424" s="59"/>
      <c r="N424" s="59"/>
      <c r="Q424" s="59"/>
      <c r="R424" s="61"/>
    </row>
    <row r="425">
      <c r="B425" s="59"/>
      <c r="D425" s="59"/>
      <c r="F425" s="59"/>
      <c r="H425" s="59"/>
      <c r="J425" s="59"/>
      <c r="L425" s="59"/>
      <c r="N425" s="59"/>
      <c r="Q425" s="59"/>
      <c r="R425" s="61"/>
    </row>
    <row r="426">
      <c r="B426" s="59"/>
      <c r="D426" s="59"/>
      <c r="F426" s="59"/>
      <c r="H426" s="59"/>
      <c r="J426" s="59"/>
      <c r="L426" s="59"/>
      <c r="N426" s="59"/>
      <c r="Q426" s="59"/>
      <c r="R426" s="61"/>
    </row>
    <row r="427">
      <c r="B427" s="59"/>
      <c r="D427" s="59"/>
      <c r="F427" s="59"/>
      <c r="H427" s="59"/>
      <c r="J427" s="59"/>
      <c r="L427" s="59"/>
      <c r="N427" s="59"/>
      <c r="Q427" s="59"/>
      <c r="R427" s="61"/>
    </row>
    <row r="428">
      <c r="B428" s="59"/>
      <c r="D428" s="59"/>
      <c r="F428" s="59"/>
      <c r="H428" s="59"/>
      <c r="J428" s="59"/>
      <c r="L428" s="59"/>
      <c r="N428" s="59"/>
      <c r="Q428" s="59"/>
      <c r="R428" s="61"/>
    </row>
    <row r="429">
      <c r="B429" s="59"/>
      <c r="D429" s="59"/>
      <c r="F429" s="59"/>
      <c r="H429" s="59"/>
      <c r="J429" s="59"/>
      <c r="L429" s="59"/>
      <c r="N429" s="59"/>
      <c r="Q429" s="59"/>
      <c r="R429" s="61"/>
    </row>
    <row r="430">
      <c r="B430" s="59"/>
      <c r="D430" s="59"/>
      <c r="F430" s="59"/>
      <c r="H430" s="59"/>
      <c r="J430" s="59"/>
      <c r="L430" s="59"/>
      <c r="N430" s="59"/>
      <c r="Q430" s="59"/>
      <c r="R430" s="61"/>
    </row>
    <row r="431">
      <c r="B431" s="59"/>
      <c r="D431" s="59"/>
      <c r="F431" s="59"/>
      <c r="H431" s="59"/>
      <c r="J431" s="59"/>
      <c r="L431" s="59"/>
      <c r="N431" s="59"/>
      <c r="Q431" s="59"/>
      <c r="R431" s="61"/>
    </row>
    <row r="432">
      <c r="B432" s="59"/>
      <c r="D432" s="59"/>
      <c r="F432" s="59"/>
      <c r="H432" s="59"/>
      <c r="J432" s="59"/>
      <c r="L432" s="59"/>
      <c r="N432" s="59"/>
      <c r="Q432" s="59"/>
      <c r="R432" s="61"/>
    </row>
    <row r="433">
      <c r="B433" s="59"/>
      <c r="D433" s="59"/>
      <c r="F433" s="59"/>
      <c r="H433" s="59"/>
      <c r="J433" s="59"/>
      <c r="L433" s="59"/>
      <c r="N433" s="59"/>
      <c r="Q433" s="59"/>
      <c r="R433" s="61"/>
    </row>
    <row r="434">
      <c r="B434" s="59"/>
      <c r="D434" s="59"/>
      <c r="F434" s="59"/>
      <c r="H434" s="59"/>
      <c r="J434" s="59"/>
      <c r="L434" s="59"/>
      <c r="N434" s="59"/>
      <c r="Q434" s="59"/>
      <c r="R434" s="61"/>
    </row>
    <row r="435">
      <c r="B435" s="59"/>
      <c r="D435" s="59"/>
      <c r="F435" s="59"/>
      <c r="H435" s="59"/>
      <c r="J435" s="59"/>
      <c r="L435" s="59"/>
      <c r="N435" s="59"/>
      <c r="Q435" s="59"/>
      <c r="R435" s="61"/>
    </row>
    <row r="436">
      <c r="B436" s="59"/>
      <c r="D436" s="59"/>
      <c r="F436" s="59"/>
      <c r="H436" s="59"/>
      <c r="J436" s="59"/>
      <c r="L436" s="59"/>
      <c r="N436" s="59"/>
      <c r="Q436" s="59"/>
      <c r="R436" s="61"/>
    </row>
    <row r="437">
      <c r="B437" s="59"/>
      <c r="D437" s="59"/>
      <c r="F437" s="59"/>
      <c r="H437" s="59"/>
      <c r="J437" s="59"/>
      <c r="L437" s="59"/>
      <c r="N437" s="59"/>
      <c r="Q437" s="59"/>
      <c r="R437" s="61"/>
    </row>
    <row r="438">
      <c r="B438" s="59"/>
      <c r="D438" s="59"/>
      <c r="F438" s="59"/>
      <c r="H438" s="59"/>
      <c r="J438" s="59"/>
      <c r="L438" s="59"/>
      <c r="N438" s="59"/>
      <c r="Q438" s="59"/>
      <c r="R438" s="61"/>
    </row>
    <row r="439">
      <c r="B439" s="59"/>
      <c r="D439" s="59"/>
      <c r="F439" s="59"/>
      <c r="H439" s="59"/>
      <c r="J439" s="59"/>
      <c r="L439" s="59"/>
      <c r="N439" s="59"/>
      <c r="Q439" s="59"/>
      <c r="R439" s="61"/>
    </row>
    <row r="440">
      <c r="B440" s="59"/>
      <c r="D440" s="59"/>
      <c r="F440" s="59"/>
      <c r="H440" s="59"/>
      <c r="J440" s="59"/>
      <c r="L440" s="59"/>
      <c r="N440" s="59"/>
      <c r="Q440" s="59"/>
      <c r="R440" s="61"/>
    </row>
    <row r="441">
      <c r="B441" s="59"/>
      <c r="D441" s="59"/>
      <c r="F441" s="59"/>
      <c r="H441" s="59"/>
      <c r="J441" s="59"/>
      <c r="L441" s="59"/>
      <c r="N441" s="59"/>
      <c r="Q441" s="59"/>
      <c r="R441" s="61"/>
    </row>
    <row r="442">
      <c r="B442" s="59"/>
      <c r="D442" s="59"/>
      <c r="F442" s="59"/>
      <c r="H442" s="59"/>
      <c r="J442" s="59"/>
      <c r="L442" s="59"/>
      <c r="N442" s="59"/>
      <c r="Q442" s="59"/>
      <c r="R442" s="61"/>
    </row>
    <row r="443">
      <c r="B443" s="59"/>
      <c r="D443" s="59"/>
      <c r="F443" s="59"/>
      <c r="H443" s="59"/>
      <c r="J443" s="59"/>
      <c r="L443" s="59"/>
      <c r="N443" s="59"/>
      <c r="Q443" s="59"/>
      <c r="R443" s="61"/>
    </row>
    <row r="444">
      <c r="B444" s="59"/>
      <c r="D444" s="59"/>
      <c r="F444" s="59"/>
      <c r="H444" s="59"/>
      <c r="J444" s="59"/>
      <c r="L444" s="59"/>
      <c r="N444" s="59"/>
      <c r="Q444" s="59"/>
      <c r="R444" s="61"/>
    </row>
    <row r="445">
      <c r="B445" s="59"/>
      <c r="D445" s="59"/>
      <c r="F445" s="59"/>
      <c r="H445" s="59"/>
      <c r="J445" s="59"/>
      <c r="L445" s="59"/>
      <c r="N445" s="59"/>
      <c r="Q445" s="59"/>
      <c r="R445" s="61"/>
    </row>
    <row r="446">
      <c r="B446" s="59"/>
      <c r="D446" s="59"/>
      <c r="F446" s="59"/>
      <c r="H446" s="59"/>
      <c r="J446" s="59"/>
      <c r="L446" s="59"/>
      <c r="N446" s="59"/>
      <c r="Q446" s="59"/>
      <c r="R446" s="61"/>
    </row>
    <row r="447">
      <c r="B447" s="59"/>
      <c r="D447" s="59"/>
      <c r="F447" s="59"/>
      <c r="H447" s="59"/>
      <c r="J447" s="59"/>
      <c r="L447" s="59"/>
      <c r="N447" s="59"/>
      <c r="Q447" s="59"/>
      <c r="R447" s="61"/>
    </row>
    <row r="448">
      <c r="B448" s="59"/>
      <c r="D448" s="59"/>
      <c r="F448" s="59"/>
      <c r="H448" s="59"/>
      <c r="J448" s="59"/>
      <c r="L448" s="59"/>
      <c r="N448" s="59"/>
      <c r="Q448" s="59"/>
      <c r="R448" s="61"/>
    </row>
    <row r="449">
      <c r="B449" s="59"/>
      <c r="D449" s="59"/>
      <c r="F449" s="59"/>
      <c r="H449" s="59"/>
      <c r="J449" s="59"/>
      <c r="L449" s="59"/>
      <c r="N449" s="59"/>
      <c r="Q449" s="59"/>
      <c r="R449" s="61"/>
    </row>
    <row r="450">
      <c r="B450" s="59"/>
      <c r="D450" s="59"/>
      <c r="F450" s="59"/>
      <c r="H450" s="59"/>
      <c r="J450" s="59"/>
      <c r="L450" s="59"/>
      <c r="N450" s="59"/>
      <c r="Q450" s="59"/>
      <c r="R450" s="61"/>
    </row>
    <row r="451">
      <c r="B451" s="59"/>
      <c r="D451" s="59"/>
      <c r="F451" s="59"/>
      <c r="H451" s="59"/>
      <c r="J451" s="59"/>
      <c r="L451" s="59"/>
      <c r="N451" s="59"/>
      <c r="Q451" s="59"/>
      <c r="R451" s="61"/>
    </row>
    <row r="452">
      <c r="B452" s="59"/>
      <c r="D452" s="59"/>
      <c r="F452" s="59"/>
      <c r="H452" s="59"/>
      <c r="J452" s="59"/>
      <c r="L452" s="59"/>
      <c r="N452" s="59"/>
      <c r="Q452" s="59"/>
      <c r="R452" s="61"/>
    </row>
    <row r="453">
      <c r="B453" s="59"/>
      <c r="D453" s="59"/>
      <c r="F453" s="59"/>
      <c r="H453" s="59"/>
      <c r="J453" s="59"/>
      <c r="L453" s="59"/>
      <c r="N453" s="59"/>
      <c r="Q453" s="59"/>
      <c r="R453" s="61"/>
    </row>
    <row r="454">
      <c r="B454" s="59"/>
      <c r="D454" s="59"/>
      <c r="F454" s="59"/>
      <c r="H454" s="59"/>
      <c r="J454" s="59"/>
      <c r="L454" s="59"/>
      <c r="N454" s="59"/>
      <c r="Q454" s="59"/>
      <c r="R454" s="61"/>
    </row>
    <row r="455">
      <c r="B455" s="59"/>
      <c r="D455" s="59"/>
      <c r="F455" s="59"/>
      <c r="H455" s="59"/>
      <c r="J455" s="59"/>
      <c r="L455" s="59"/>
      <c r="N455" s="59"/>
      <c r="Q455" s="59"/>
      <c r="R455" s="61"/>
    </row>
    <row r="456">
      <c r="B456" s="59"/>
      <c r="D456" s="59"/>
      <c r="F456" s="59"/>
      <c r="H456" s="59"/>
      <c r="J456" s="59"/>
      <c r="L456" s="59"/>
      <c r="N456" s="59"/>
      <c r="Q456" s="59"/>
      <c r="R456" s="61"/>
    </row>
    <row r="457">
      <c r="B457" s="59"/>
      <c r="D457" s="59"/>
      <c r="F457" s="59"/>
      <c r="H457" s="59"/>
      <c r="J457" s="59"/>
      <c r="L457" s="59"/>
      <c r="N457" s="59"/>
      <c r="Q457" s="59"/>
      <c r="R457" s="61"/>
    </row>
    <row r="458">
      <c r="B458" s="59"/>
      <c r="D458" s="59"/>
      <c r="F458" s="59"/>
      <c r="H458" s="59"/>
      <c r="J458" s="59"/>
      <c r="L458" s="59"/>
      <c r="N458" s="59"/>
      <c r="Q458" s="59"/>
      <c r="R458" s="61"/>
    </row>
    <row r="459">
      <c r="B459" s="59"/>
      <c r="D459" s="59"/>
      <c r="F459" s="59"/>
      <c r="H459" s="59"/>
      <c r="J459" s="59"/>
      <c r="L459" s="59"/>
      <c r="N459" s="59"/>
      <c r="Q459" s="59"/>
      <c r="R459" s="61"/>
    </row>
    <row r="460">
      <c r="B460" s="59"/>
      <c r="D460" s="59"/>
      <c r="F460" s="59"/>
      <c r="H460" s="59"/>
      <c r="J460" s="59"/>
      <c r="L460" s="59"/>
      <c r="N460" s="59"/>
      <c r="Q460" s="59"/>
      <c r="R460" s="61"/>
    </row>
    <row r="461">
      <c r="B461" s="59"/>
      <c r="D461" s="59"/>
      <c r="F461" s="59"/>
      <c r="H461" s="59"/>
      <c r="J461" s="59"/>
      <c r="L461" s="59"/>
      <c r="N461" s="59"/>
      <c r="Q461" s="59"/>
      <c r="R461" s="61"/>
    </row>
    <row r="462">
      <c r="B462" s="59"/>
      <c r="D462" s="59"/>
      <c r="F462" s="59"/>
      <c r="H462" s="59"/>
      <c r="J462" s="59"/>
      <c r="L462" s="59"/>
      <c r="N462" s="59"/>
      <c r="Q462" s="59"/>
      <c r="R462" s="61"/>
    </row>
    <row r="463">
      <c r="B463" s="59"/>
      <c r="D463" s="59"/>
      <c r="F463" s="59"/>
      <c r="H463" s="59"/>
      <c r="J463" s="59"/>
      <c r="L463" s="59"/>
      <c r="N463" s="59"/>
      <c r="Q463" s="59"/>
      <c r="R463" s="61"/>
    </row>
    <row r="464">
      <c r="B464" s="59"/>
      <c r="D464" s="59"/>
      <c r="F464" s="59"/>
      <c r="H464" s="59"/>
      <c r="J464" s="59"/>
      <c r="L464" s="59"/>
      <c r="N464" s="59"/>
      <c r="Q464" s="59"/>
      <c r="R464" s="61"/>
    </row>
    <row r="465">
      <c r="B465" s="59"/>
      <c r="D465" s="59"/>
      <c r="F465" s="59"/>
      <c r="H465" s="59"/>
      <c r="J465" s="59"/>
      <c r="L465" s="59"/>
      <c r="N465" s="59"/>
      <c r="Q465" s="59"/>
      <c r="R465" s="61"/>
    </row>
    <row r="466">
      <c r="B466" s="59"/>
      <c r="D466" s="59"/>
      <c r="F466" s="59"/>
      <c r="H466" s="59"/>
      <c r="J466" s="59"/>
      <c r="L466" s="59"/>
      <c r="N466" s="59"/>
      <c r="Q466" s="59"/>
      <c r="R466" s="61"/>
    </row>
    <row r="467">
      <c r="B467" s="59"/>
      <c r="D467" s="59"/>
      <c r="F467" s="59"/>
      <c r="H467" s="59"/>
      <c r="J467" s="59"/>
      <c r="L467" s="59"/>
      <c r="N467" s="59"/>
      <c r="Q467" s="59"/>
      <c r="R467" s="61"/>
    </row>
    <row r="468">
      <c r="B468" s="59"/>
      <c r="D468" s="59"/>
      <c r="F468" s="59"/>
      <c r="H468" s="59"/>
      <c r="J468" s="59"/>
      <c r="L468" s="59"/>
      <c r="N468" s="59"/>
      <c r="Q468" s="59"/>
      <c r="R468" s="61"/>
    </row>
    <row r="469">
      <c r="B469" s="59"/>
      <c r="D469" s="59"/>
      <c r="F469" s="59"/>
      <c r="H469" s="59"/>
      <c r="J469" s="59"/>
      <c r="L469" s="59"/>
      <c r="N469" s="59"/>
      <c r="Q469" s="59"/>
      <c r="R469" s="61"/>
    </row>
    <row r="470">
      <c r="B470" s="59"/>
      <c r="D470" s="59"/>
      <c r="F470" s="59"/>
      <c r="H470" s="59"/>
      <c r="J470" s="59"/>
      <c r="L470" s="59"/>
      <c r="N470" s="59"/>
      <c r="Q470" s="59"/>
      <c r="R470" s="61"/>
    </row>
    <row r="471">
      <c r="B471" s="59"/>
      <c r="D471" s="59"/>
      <c r="F471" s="59"/>
      <c r="H471" s="59"/>
      <c r="J471" s="59"/>
      <c r="L471" s="59"/>
      <c r="N471" s="59"/>
      <c r="Q471" s="59"/>
      <c r="R471" s="61"/>
    </row>
    <row r="472">
      <c r="B472" s="59"/>
      <c r="D472" s="59"/>
      <c r="F472" s="59"/>
      <c r="H472" s="59"/>
      <c r="J472" s="59"/>
      <c r="L472" s="59"/>
      <c r="N472" s="59"/>
      <c r="Q472" s="59"/>
      <c r="R472" s="61"/>
    </row>
    <row r="473">
      <c r="B473" s="59"/>
      <c r="D473" s="59"/>
      <c r="F473" s="59"/>
      <c r="H473" s="59"/>
      <c r="J473" s="59"/>
      <c r="L473" s="59"/>
      <c r="N473" s="59"/>
      <c r="Q473" s="59"/>
      <c r="R473" s="61"/>
    </row>
    <row r="474">
      <c r="B474" s="59"/>
      <c r="D474" s="59"/>
      <c r="F474" s="59"/>
      <c r="H474" s="59"/>
      <c r="J474" s="59"/>
      <c r="L474" s="59"/>
      <c r="N474" s="59"/>
      <c r="Q474" s="59"/>
      <c r="R474" s="61"/>
    </row>
    <row r="475">
      <c r="B475" s="59"/>
      <c r="D475" s="59"/>
      <c r="F475" s="59"/>
      <c r="H475" s="59"/>
      <c r="J475" s="59"/>
      <c r="L475" s="59"/>
      <c r="N475" s="59"/>
      <c r="Q475" s="59"/>
      <c r="R475" s="61"/>
    </row>
    <row r="476">
      <c r="B476" s="59"/>
      <c r="D476" s="59"/>
      <c r="F476" s="59"/>
      <c r="H476" s="59"/>
      <c r="J476" s="59"/>
      <c r="L476" s="59"/>
      <c r="N476" s="59"/>
      <c r="Q476" s="59"/>
      <c r="R476" s="61"/>
    </row>
    <row r="477">
      <c r="B477" s="59"/>
      <c r="D477" s="59"/>
      <c r="F477" s="59"/>
      <c r="H477" s="59"/>
      <c r="J477" s="59"/>
      <c r="L477" s="59"/>
      <c r="N477" s="59"/>
      <c r="Q477" s="59"/>
      <c r="R477" s="61"/>
    </row>
    <row r="478">
      <c r="B478" s="59"/>
      <c r="D478" s="59"/>
      <c r="F478" s="59"/>
      <c r="H478" s="59"/>
      <c r="J478" s="59"/>
      <c r="L478" s="59"/>
      <c r="N478" s="59"/>
      <c r="Q478" s="59"/>
      <c r="R478" s="61"/>
    </row>
    <row r="479">
      <c r="B479" s="59"/>
      <c r="D479" s="59"/>
      <c r="F479" s="59"/>
      <c r="H479" s="59"/>
      <c r="J479" s="59"/>
      <c r="L479" s="59"/>
      <c r="N479" s="59"/>
      <c r="Q479" s="59"/>
      <c r="R479" s="61"/>
    </row>
    <row r="480">
      <c r="B480" s="59"/>
      <c r="D480" s="59"/>
      <c r="F480" s="59"/>
      <c r="H480" s="59"/>
      <c r="J480" s="59"/>
      <c r="L480" s="59"/>
      <c r="N480" s="59"/>
      <c r="Q480" s="59"/>
      <c r="R480" s="61"/>
    </row>
    <row r="481">
      <c r="B481" s="59"/>
      <c r="D481" s="59"/>
      <c r="F481" s="59"/>
      <c r="H481" s="59"/>
      <c r="J481" s="59"/>
      <c r="L481" s="59"/>
      <c r="N481" s="59"/>
      <c r="Q481" s="59"/>
      <c r="R481" s="61"/>
    </row>
    <row r="482">
      <c r="B482" s="59"/>
      <c r="D482" s="59"/>
      <c r="F482" s="59"/>
      <c r="H482" s="59"/>
      <c r="J482" s="59"/>
      <c r="L482" s="59"/>
      <c r="N482" s="59"/>
      <c r="Q482" s="59"/>
      <c r="R482" s="61"/>
    </row>
    <row r="483">
      <c r="B483" s="59"/>
      <c r="D483" s="59"/>
      <c r="F483" s="59"/>
      <c r="H483" s="59"/>
      <c r="J483" s="59"/>
      <c r="L483" s="59"/>
      <c r="N483" s="59"/>
      <c r="Q483" s="59"/>
      <c r="R483" s="61"/>
    </row>
    <row r="484">
      <c r="B484" s="59"/>
      <c r="D484" s="59"/>
      <c r="F484" s="59"/>
      <c r="H484" s="59"/>
      <c r="J484" s="59"/>
      <c r="L484" s="59"/>
      <c r="N484" s="59"/>
      <c r="Q484" s="59"/>
      <c r="R484" s="61"/>
    </row>
    <row r="485">
      <c r="B485" s="59"/>
      <c r="D485" s="59"/>
      <c r="F485" s="59"/>
      <c r="H485" s="59"/>
      <c r="J485" s="59"/>
      <c r="L485" s="59"/>
      <c r="N485" s="59"/>
      <c r="Q485" s="59"/>
      <c r="R485" s="61"/>
    </row>
    <row r="486">
      <c r="B486" s="59"/>
      <c r="D486" s="59"/>
      <c r="F486" s="59"/>
      <c r="H486" s="59"/>
      <c r="J486" s="59"/>
      <c r="L486" s="59"/>
      <c r="N486" s="59"/>
      <c r="Q486" s="59"/>
      <c r="R486" s="61"/>
    </row>
    <row r="487">
      <c r="B487" s="59"/>
      <c r="D487" s="59"/>
      <c r="F487" s="59"/>
      <c r="H487" s="59"/>
      <c r="J487" s="59"/>
      <c r="L487" s="59"/>
      <c r="N487" s="59"/>
      <c r="Q487" s="59"/>
      <c r="R487" s="61"/>
    </row>
    <row r="488">
      <c r="B488" s="59"/>
      <c r="D488" s="59"/>
      <c r="F488" s="59"/>
      <c r="H488" s="59"/>
      <c r="J488" s="59"/>
      <c r="L488" s="59"/>
      <c r="N488" s="59"/>
      <c r="Q488" s="59"/>
      <c r="R488" s="61"/>
    </row>
    <row r="489">
      <c r="B489" s="59"/>
      <c r="D489" s="59"/>
      <c r="F489" s="59"/>
      <c r="H489" s="59"/>
      <c r="J489" s="59"/>
      <c r="L489" s="59"/>
      <c r="N489" s="59"/>
      <c r="Q489" s="59"/>
      <c r="R489" s="61"/>
    </row>
    <row r="490">
      <c r="B490" s="59"/>
      <c r="D490" s="59"/>
      <c r="F490" s="59"/>
      <c r="H490" s="59"/>
      <c r="J490" s="59"/>
      <c r="L490" s="59"/>
      <c r="N490" s="59"/>
      <c r="Q490" s="59"/>
      <c r="R490" s="61"/>
    </row>
    <row r="491">
      <c r="B491" s="59"/>
      <c r="D491" s="59"/>
      <c r="F491" s="59"/>
      <c r="H491" s="59"/>
      <c r="J491" s="59"/>
      <c r="L491" s="59"/>
      <c r="N491" s="59"/>
      <c r="Q491" s="59"/>
      <c r="R491" s="61"/>
    </row>
    <row r="492">
      <c r="B492" s="59"/>
      <c r="D492" s="59"/>
      <c r="F492" s="59"/>
      <c r="H492" s="59"/>
      <c r="J492" s="59"/>
      <c r="L492" s="59"/>
      <c r="N492" s="59"/>
      <c r="Q492" s="59"/>
      <c r="R492" s="61"/>
    </row>
    <row r="493">
      <c r="B493" s="59"/>
      <c r="D493" s="59"/>
      <c r="F493" s="59"/>
      <c r="H493" s="59"/>
      <c r="J493" s="59"/>
      <c r="L493" s="59"/>
      <c r="N493" s="59"/>
      <c r="Q493" s="59"/>
      <c r="R493" s="61"/>
    </row>
    <row r="494">
      <c r="B494" s="59"/>
      <c r="D494" s="59"/>
      <c r="F494" s="59"/>
      <c r="H494" s="59"/>
      <c r="J494" s="59"/>
      <c r="L494" s="59"/>
      <c r="N494" s="59"/>
      <c r="Q494" s="59"/>
      <c r="R494" s="61"/>
    </row>
    <row r="495">
      <c r="B495" s="59"/>
      <c r="D495" s="59"/>
      <c r="F495" s="59"/>
      <c r="H495" s="59"/>
      <c r="J495" s="59"/>
      <c r="L495" s="59"/>
      <c r="N495" s="59"/>
      <c r="Q495" s="59"/>
      <c r="R495" s="61"/>
    </row>
    <row r="496">
      <c r="B496" s="59"/>
      <c r="D496" s="59"/>
      <c r="F496" s="59"/>
      <c r="H496" s="59"/>
      <c r="J496" s="59"/>
      <c r="L496" s="59"/>
      <c r="N496" s="59"/>
      <c r="Q496" s="59"/>
      <c r="R496" s="61"/>
    </row>
    <row r="497">
      <c r="B497" s="59"/>
      <c r="D497" s="59"/>
      <c r="F497" s="59"/>
      <c r="H497" s="59"/>
      <c r="J497" s="59"/>
      <c r="L497" s="59"/>
      <c r="N497" s="59"/>
      <c r="Q497" s="59"/>
      <c r="R497" s="61"/>
    </row>
    <row r="498">
      <c r="B498" s="59"/>
      <c r="D498" s="59"/>
      <c r="F498" s="59"/>
      <c r="H498" s="59"/>
      <c r="J498" s="59"/>
      <c r="L498" s="59"/>
      <c r="N498" s="59"/>
      <c r="Q498" s="59"/>
      <c r="R498" s="61"/>
    </row>
    <row r="499">
      <c r="B499" s="59"/>
      <c r="D499" s="59"/>
      <c r="F499" s="59"/>
      <c r="H499" s="59"/>
      <c r="J499" s="59"/>
      <c r="L499" s="59"/>
      <c r="N499" s="59"/>
      <c r="Q499" s="59"/>
      <c r="R499" s="61"/>
    </row>
    <row r="500">
      <c r="B500" s="59"/>
      <c r="D500" s="59"/>
      <c r="F500" s="59"/>
      <c r="H500" s="59"/>
      <c r="J500" s="59"/>
      <c r="L500" s="59"/>
      <c r="N500" s="59"/>
      <c r="Q500" s="59"/>
      <c r="R500" s="61"/>
    </row>
    <row r="501">
      <c r="B501" s="59"/>
      <c r="D501" s="59"/>
      <c r="F501" s="59"/>
      <c r="H501" s="59"/>
      <c r="J501" s="59"/>
      <c r="L501" s="59"/>
      <c r="N501" s="59"/>
      <c r="Q501" s="59"/>
      <c r="R501" s="61"/>
    </row>
    <row r="502">
      <c r="B502" s="59"/>
      <c r="D502" s="59"/>
      <c r="F502" s="59"/>
      <c r="H502" s="59"/>
      <c r="J502" s="59"/>
      <c r="L502" s="59"/>
      <c r="N502" s="59"/>
      <c r="Q502" s="59"/>
      <c r="R502" s="61"/>
    </row>
    <row r="503">
      <c r="B503" s="59"/>
      <c r="D503" s="59"/>
      <c r="F503" s="59"/>
      <c r="H503" s="59"/>
      <c r="J503" s="59"/>
      <c r="L503" s="59"/>
      <c r="N503" s="59"/>
      <c r="Q503" s="59"/>
      <c r="R503" s="61"/>
    </row>
    <row r="504">
      <c r="B504" s="59"/>
      <c r="D504" s="59"/>
      <c r="F504" s="59"/>
      <c r="H504" s="59"/>
      <c r="J504" s="59"/>
      <c r="L504" s="59"/>
      <c r="N504" s="59"/>
      <c r="Q504" s="59"/>
      <c r="R504" s="61"/>
    </row>
    <row r="505">
      <c r="B505" s="59"/>
      <c r="D505" s="59"/>
      <c r="F505" s="59"/>
      <c r="H505" s="59"/>
      <c r="J505" s="59"/>
      <c r="L505" s="59"/>
      <c r="N505" s="59"/>
      <c r="Q505" s="59"/>
      <c r="R505" s="61"/>
    </row>
    <row r="506">
      <c r="B506" s="59"/>
      <c r="D506" s="59"/>
      <c r="F506" s="59"/>
      <c r="H506" s="59"/>
      <c r="J506" s="59"/>
      <c r="L506" s="59"/>
      <c r="N506" s="59"/>
      <c r="Q506" s="59"/>
      <c r="R506" s="61"/>
    </row>
    <row r="507">
      <c r="B507" s="59"/>
      <c r="D507" s="59"/>
      <c r="F507" s="59"/>
      <c r="H507" s="59"/>
      <c r="J507" s="59"/>
      <c r="L507" s="59"/>
      <c r="N507" s="59"/>
      <c r="Q507" s="59"/>
      <c r="R507" s="61"/>
    </row>
    <row r="508">
      <c r="B508" s="59"/>
      <c r="D508" s="59"/>
      <c r="F508" s="59"/>
      <c r="H508" s="59"/>
      <c r="J508" s="59"/>
      <c r="L508" s="59"/>
      <c r="N508" s="59"/>
      <c r="Q508" s="59"/>
      <c r="R508" s="61"/>
    </row>
    <row r="509">
      <c r="B509" s="59"/>
      <c r="D509" s="59"/>
      <c r="F509" s="59"/>
      <c r="H509" s="59"/>
      <c r="J509" s="59"/>
      <c r="L509" s="59"/>
      <c r="N509" s="59"/>
      <c r="Q509" s="59"/>
      <c r="R509" s="61"/>
    </row>
    <row r="510">
      <c r="B510" s="59"/>
      <c r="D510" s="59"/>
      <c r="F510" s="59"/>
      <c r="H510" s="59"/>
      <c r="J510" s="59"/>
      <c r="L510" s="59"/>
      <c r="N510" s="59"/>
      <c r="Q510" s="59"/>
      <c r="R510" s="61"/>
    </row>
    <row r="511">
      <c r="B511" s="59"/>
      <c r="D511" s="59"/>
      <c r="F511" s="59"/>
      <c r="H511" s="59"/>
      <c r="J511" s="59"/>
      <c r="L511" s="59"/>
      <c r="N511" s="59"/>
      <c r="Q511" s="59"/>
      <c r="R511" s="61"/>
    </row>
    <row r="512">
      <c r="B512" s="59"/>
      <c r="D512" s="59"/>
      <c r="F512" s="59"/>
      <c r="H512" s="59"/>
      <c r="J512" s="59"/>
      <c r="L512" s="59"/>
      <c r="N512" s="59"/>
      <c r="Q512" s="59"/>
      <c r="R512" s="61"/>
    </row>
    <row r="513">
      <c r="B513" s="59"/>
      <c r="D513" s="59"/>
      <c r="F513" s="59"/>
      <c r="H513" s="59"/>
      <c r="J513" s="59"/>
      <c r="L513" s="59"/>
      <c r="N513" s="59"/>
      <c r="Q513" s="59"/>
      <c r="R513" s="61"/>
    </row>
    <row r="514">
      <c r="B514" s="59"/>
      <c r="D514" s="59"/>
      <c r="F514" s="59"/>
      <c r="H514" s="59"/>
      <c r="J514" s="59"/>
      <c r="L514" s="59"/>
      <c r="N514" s="59"/>
      <c r="Q514" s="59"/>
      <c r="R514" s="61"/>
    </row>
    <row r="515">
      <c r="B515" s="59"/>
      <c r="D515" s="59"/>
      <c r="F515" s="59"/>
      <c r="H515" s="59"/>
      <c r="J515" s="59"/>
      <c r="L515" s="59"/>
      <c r="N515" s="59"/>
      <c r="Q515" s="59"/>
      <c r="R515" s="61"/>
    </row>
    <row r="516">
      <c r="B516" s="59"/>
      <c r="D516" s="59"/>
      <c r="F516" s="59"/>
      <c r="H516" s="59"/>
      <c r="J516" s="59"/>
      <c r="L516" s="59"/>
      <c r="N516" s="59"/>
      <c r="Q516" s="59"/>
      <c r="R516" s="61"/>
    </row>
    <row r="517">
      <c r="B517" s="59"/>
      <c r="D517" s="59"/>
      <c r="F517" s="59"/>
      <c r="H517" s="59"/>
      <c r="J517" s="59"/>
      <c r="L517" s="59"/>
      <c r="N517" s="59"/>
      <c r="Q517" s="59"/>
      <c r="R517" s="61"/>
    </row>
    <row r="518">
      <c r="B518" s="59"/>
      <c r="D518" s="59"/>
      <c r="F518" s="59"/>
      <c r="H518" s="59"/>
      <c r="J518" s="59"/>
      <c r="L518" s="59"/>
      <c r="N518" s="59"/>
      <c r="Q518" s="59"/>
      <c r="R518" s="61"/>
    </row>
    <row r="519">
      <c r="B519" s="59"/>
      <c r="D519" s="59"/>
      <c r="F519" s="59"/>
      <c r="H519" s="59"/>
      <c r="J519" s="59"/>
      <c r="L519" s="59"/>
      <c r="N519" s="59"/>
      <c r="Q519" s="59"/>
      <c r="R519" s="61"/>
    </row>
    <row r="520">
      <c r="B520" s="59"/>
      <c r="D520" s="59"/>
      <c r="F520" s="59"/>
      <c r="H520" s="59"/>
      <c r="J520" s="59"/>
      <c r="L520" s="59"/>
      <c r="N520" s="59"/>
      <c r="Q520" s="59"/>
      <c r="R520" s="61"/>
    </row>
    <row r="521">
      <c r="B521" s="59"/>
      <c r="D521" s="59"/>
      <c r="F521" s="59"/>
      <c r="H521" s="59"/>
      <c r="J521" s="59"/>
      <c r="L521" s="59"/>
      <c r="N521" s="59"/>
      <c r="Q521" s="59"/>
      <c r="R521" s="61"/>
    </row>
    <row r="522">
      <c r="B522" s="59"/>
      <c r="D522" s="59"/>
      <c r="F522" s="59"/>
      <c r="H522" s="59"/>
      <c r="J522" s="59"/>
      <c r="L522" s="59"/>
      <c r="N522" s="59"/>
      <c r="Q522" s="59"/>
      <c r="R522" s="61"/>
    </row>
    <row r="523">
      <c r="B523" s="59"/>
      <c r="D523" s="59"/>
      <c r="F523" s="59"/>
      <c r="H523" s="59"/>
      <c r="J523" s="59"/>
      <c r="L523" s="59"/>
      <c r="N523" s="59"/>
      <c r="Q523" s="59"/>
      <c r="R523" s="61"/>
    </row>
    <row r="524">
      <c r="B524" s="59"/>
      <c r="D524" s="59"/>
      <c r="F524" s="59"/>
      <c r="H524" s="59"/>
      <c r="J524" s="59"/>
      <c r="L524" s="59"/>
      <c r="N524" s="59"/>
      <c r="Q524" s="59"/>
      <c r="R524" s="61"/>
    </row>
    <row r="525">
      <c r="B525" s="59"/>
      <c r="D525" s="59"/>
      <c r="F525" s="59"/>
      <c r="H525" s="59"/>
      <c r="J525" s="59"/>
      <c r="L525" s="59"/>
      <c r="N525" s="59"/>
      <c r="Q525" s="59"/>
      <c r="R525" s="61"/>
    </row>
    <row r="526">
      <c r="B526" s="59"/>
      <c r="D526" s="59"/>
      <c r="F526" s="59"/>
      <c r="H526" s="59"/>
      <c r="J526" s="59"/>
      <c r="L526" s="59"/>
      <c r="N526" s="59"/>
      <c r="Q526" s="59"/>
      <c r="R526" s="61"/>
    </row>
    <row r="527">
      <c r="B527" s="59"/>
      <c r="D527" s="59"/>
      <c r="F527" s="59"/>
      <c r="H527" s="59"/>
      <c r="J527" s="59"/>
      <c r="L527" s="59"/>
      <c r="N527" s="59"/>
      <c r="Q527" s="59"/>
      <c r="R527" s="61"/>
    </row>
    <row r="528">
      <c r="B528" s="59"/>
      <c r="D528" s="59"/>
      <c r="F528" s="59"/>
      <c r="H528" s="59"/>
      <c r="J528" s="59"/>
      <c r="L528" s="59"/>
      <c r="N528" s="59"/>
      <c r="Q528" s="59"/>
      <c r="R528" s="61"/>
    </row>
    <row r="529">
      <c r="B529" s="59"/>
      <c r="D529" s="59"/>
      <c r="F529" s="59"/>
      <c r="H529" s="59"/>
      <c r="J529" s="59"/>
      <c r="L529" s="59"/>
      <c r="N529" s="59"/>
      <c r="Q529" s="59"/>
      <c r="R529" s="61"/>
    </row>
    <row r="530">
      <c r="B530" s="59"/>
      <c r="D530" s="59"/>
      <c r="F530" s="59"/>
      <c r="H530" s="59"/>
      <c r="J530" s="59"/>
      <c r="L530" s="59"/>
      <c r="N530" s="59"/>
      <c r="Q530" s="59"/>
      <c r="R530" s="61"/>
    </row>
    <row r="531">
      <c r="B531" s="59"/>
      <c r="D531" s="59"/>
      <c r="F531" s="59"/>
      <c r="H531" s="59"/>
      <c r="J531" s="59"/>
      <c r="L531" s="59"/>
      <c r="N531" s="59"/>
      <c r="Q531" s="59"/>
      <c r="R531" s="61"/>
    </row>
    <row r="532">
      <c r="B532" s="59"/>
      <c r="D532" s="59"/>
      <c r="F532" s="59"/>
      <c r="H532" s="59"/>
      <c r="J532" s="59"/>
      <c r="L532" s="59"/>
      <c r="N532" s="59"/>
      <c r="Q532" s="59"/>
      <c r="R532" s="61"/>
    </row>
    <row r="533">
      <c r="B533" s="59"/>
      <c r="D533" s="59"/>
      <c r="F533" s="59"/>
      <c r="H533" s="59"/>
      <c r="J533" s="59"/>
      <c r="L533" s="59"/>
      <c r="N533" s="59"/>
      <c r="Q533" s="59"/>
      <c r="R533" s="61"/>
    </row>
    <row r="534">
      <c r="B534" s="59"/>
      <c r="D534" s="59"/>
      <c r="F534" s="59"/>
      <c r="H534" s="59"/>
      <c r="J534" s="59"/>
      <c r="L534" s="59"/>
      <c r="N534" s="59"/>
      <c r="Q534" s="59"/>
      <c r="R534" s="61"/>
    </row>
    <row r="535">
      <c r="B535" s="59"/>
      <c r="D535" s="59"/>
      <c r="F535" s="59"/>
      <c r="H535" s="59"/>
      <c r="J535" s="59"/>
      <c r="L535" s="59"/>
      <c r="N535" s="59"/>
      <c r="Q535" s="59"/>
      <c r="R535" s="61"/>
    </row>
    <row r="536">
      <c r="B536" s="59"/>
      <c r="D536" s="59"/>
      <c r="F536" s="59"/>
      <c r="H536" s="59"/>
      <c r="J536" s="59"/>
      <c r="L536" s="59"/>
      <c r="N536" s="59"/>
      <c r="Q536" s="59"/>
      <c r="R536" s="61"/>
    </row>
    <row r="537">
      <c r="B537" s="59"/>
      <c r="D537" s="59"/>
      <c r="F537" s="59"/>
      <c r="H537" s="59"/>
      <c r="J537" s="59"/>
      <c r="L537" s="59"/>
      <c r="N537" s="59"/>
      <c r="Q537" s="59"/>
      <c r="R537" s="61"/>
    </row>
    <row r="538">
      <c r="B538" s="59"/>
      <c r="D538" s="59"/>
      <c r="F538" s="59"/>
      <c r="H538" s="59"/>
      <c r="J538" s="59"/>
      <c r="L538" s="59"/>
      <c r="N538" s="59"/>
      <c r="Q538" s="59"/>
      <c r="R538" s="61"/>
    </row>
    <row r="539">
      <c r="B539" s="59"/>
      <c r="D539" s="59"/>
      <c r="F539" s="59"/>
      <c r="H539" s="59"/>
      <c r="J539" s="59"/>
      <c r="L539" s="59"/>
      <c r="N539" s="59"/>
      <c r="Q539" s="59"/>
      <c r="R539" s="61"/>
    </row>
    <row r="540">
      <c r="B540" s="59"/>
      <c r="D540" s="59"/>
      <c r="F540" s="59"/>
      <c r="H540" s="59"/>
      <c r="J540" s="59"/>
      <c r="L540" s="59"/>
      <c r="N540" s="59"/>
      <c r="Q540" s="59"/>
      <c r="R540" s="61"/>
    </row>
    <row r="541">
      <c r="B541" s="59"/>
      <c r="D541" s="59"/>
      <c r="F541" s="59"/>
      <c r="H541" s="59"/>
      <c r="J541" s="59"/>
      <c r="L541" s="59"/>
      <c r="N541" s="59"/>
      <c r="Q541" s="59"/>
      <c r="R541" s="61"/>
    </row>
    <row r="542">
      <c r="B542" s="59"/>
      <c r="D542" s="59"/>
      <c r="F542" s="59"/>
      <c r="H542" s="59"/>
      <c r="J542" s="59"/>
      <c r="L542" s="59"/>
      <c r="N542" s="59"/>
      <c r="Q542" s="59"/>
      <c r="R542" s="61"/>
    </row>
    <row r="543">
      <c r="B543" s="59"/>
      <c r="D543" s="59"/>
      <c r="F543" s="59"/>
      <c r="H543" s="59"/>
      <c r="J543" s="59"/>
      <c r="L543" s="59"/>
      <c r="N543" s="59"/>
      <c r="Q543" s="59"/>
      <c r="R543" s="61"/>
    </row>
    <row r="544">
      <c r="B544" s="59"/>
      <c r="D544" s="59"/>
      <c r="F544" s="59"/>
      <c r="H544" s="59"/>
      <c r="J544" s="59"/>
      <c r="L544" s="59"/>
      <c r="N544" s="59"/>
      <c r="Q544" s="59"/>
      <c r="R544" s="61"/>
    </row>
    <row r="545">
      <c r="B545" s="59"/>
      <c r="D545" s="59"/>
      <c r="F545" s="59"/>
      <c r="H545" s="59"/>
      <c r="J545" s="59"/>
      <c r="L545" s="59"/>
      <c r="N545" s="59"/>
      <c r="Q545" s="59"/>
      <c r="R545" s="61"/>
    </row>
    <row r="546">
      <c r="B546" s="59"/>
      <c r="D546" s="59"/>
      <c r="F546" s="59"/>
      <c r="H546" s="59"/>
      <c r="J546" s="59"/>
      <c r="L546" s="59"/>
      <c r="N546" s="59"/>
      <c r="Q546" s="59"/>
      <c r="R546" s="61"/>
    </row>
    <row r="547">
      <c r="B547" s="59"/>
      <c r="D547" s="59"/>
      <c r="F547" s="59"/>
      <c r="H547" s="59"/>
      <c r="J547" s="59"/>
      <c r="L547" s="59"/>
      <c r="N547" s="59"/>
      <c r="Q547" s="59"/>
      <c r="R547" s="61"/>
    </row>
    <row r="548">
      <c r="B548" s="59"/>
      <c r="D548" s="59"/>
      <c r="F548" s="59"/>
      <c r="H548" s="59"/>
      <c r="J548" s="59"/>
      <c r="L548" s="59"/>
      <c r="N548" s="59"/>
      <c r="Q548" s="59"/>
      <c r="R548" s="61"/>
    </row>
    <row r="549">
      <c r="B549" s="59"/>
      <c r="D549" s="59"/>
      <c r="F549" s="59"/>
      <c r="H549" s="59"/>
      <c r="J549" s="59"/>
      <c r="L549" s="59"/>
      <c r="N549" s="59"/>
      <c r="Q549" s="59"/>
      <c r="R549" s="61"/>
    </row>
    <row r="550">
      <c r="B550" s="59"/>
      <c r="D550" s="59"/>
      <c r="F550" s="59"/>
      <c r="H550" s="59"/>
      <c r="J550" s="59"/>
      <c r="L550" s="59"/>
      <c r="N550" s="59"/>
      <c r="Q550" s="59"/>
      <c r="R550" s="61"/>
    </row>
    <row r="551">
      <c r="B551" s="59"/>
      <c r="D551" s="59"/>
      <c r="F551" s="59"/>
      <c r="H551" s="59"/>
      <c r="J551" s="59"/>
      <c r="L551" s="59"/>
      <c r="N551" s="59"/>
      <c r="Q551" s="59"/>
      <c r="R551" s="61"/>
    </row>
    <row r="552">
      <c r="B552" s="59"/>
      <c r="D552" s="59"/>
      <c r="F552" s="59"/>
      <c r="H552" s="59"/>
      <c r="J552" s="59"/>
      <c r="L552" s="59"/>
      <c r="N552" s="59"/>
      <c r="Q552" s="59"/>
      <c r="R552" s="61"/>
    </row>
    <row r="553">
      <c r="B553" s="59"/>
      <c r="D553" s="59"/>
      <c r="F553" s="59"/>
      <c r="H553" s="59"/>
      <c r="J553" s="59"/>
      <c r="L553" s="59"/>
      <c r="N553" s="59"/>
      <c r="Q553" s="59"/>
      <c r="R553" s="61"/>
    </row>
    <row r="554">
      <c r="B554" s="59"/>
      <c r="D554" s="59"/>
      <c r="F554" s="59"/>
      <c r="H554" s="59"/>
      <c r="J554" s="59"/>
      <c r="L554" s="59"/>
      <c r="N554" s="59"/>
      <c r="Q554" s="59"/>
      <c r="R554" s="61"/>
    </row>
    <row r="555">
      <c r="B555" s="59"/>
      <c r="D555" s="59"/>
      <c r="F555" s="59"/>
      <c r="H555" s="59"/>
      <c r="J555" s="59"/>
      <c r="L555" s="59"/>
      <c r="N555" s="59"/>
      <c r="Q555" s="59"/>
      <c r="R555" s="61"/>
    </row>
    <row r="556">
      <c r="B556" s="59"/>
      <c r="D556" s="59"/>
      <c r="F556" s="59"/>
      <c r="H556" s="59"/>
      <c r="J556" s="59"/>
      <c r="L556" s="59"/>
      <c r="N556" s="59"/>
      <c r="Q556" s="59"/>
      <c r="R556" s="61"/>
    </row>
    <row r="557">
      <c r="B557" s="59"/>
      <c r="D557" s="59"/>
      <c r="F557" s="59"/>
      <c r="H557" s="59"/>
      <c r="J557" s="59"/>
      <c r="L557" s="59"/>
      <c r="N557" s="59"/>
      <c r="Q557" s="59"/>
      <c r="R557" s="61"/>
    </row>
    <row r="558">
      <c r="B558" s="59"/>
      <c r="D558" s="59"/>
      <c r="F558" s="59"/>
      <c r="H558" s="59"/>
      <c r="J558" s="59"/>
      <c r="L558" s="59"/>
      <c r="N558" s="59"/>
      <c r="Q558" s="59"/>
      <c r="R558" s="61"/>
    </row>
    <row r="559">
      <c r="B559" s="59"/>
      <c r="D559" s="59"/>
      <c r="F559" s="59"/>
      <c r="H559" s="59"/>
      <c r="J559" s="59"/>
      <c r="L559" s="59"/>
      <c r="N559" s="59"/>
      <c r="Q559" s="59"/>
      <c r="R559" s="61"/>
    </row>
    <row r="560">
      <c r="B560" s="59"/>
      <c r="D560" s="59"/>
      <c r="F560" s="59"/>
      <c r="H560" s="59"/>
      <c r="J560" s="59"/>
      <c r="L560" s="59"/>
      <c r="N560" s="59"/>
      <c r="Q560" s="59"/>
      <c r="R560" s="61"/>
    </row>
    <row r="561">
      <c r="B561" s="59"/>
      <c r="D561" s="59"/>
      <c r="F561" s="59"/>
      <c r="H561" s="59"/>
      <c r="J561" s="59"/>
      <c r="L561" s="59"/>
      <c r="N561" s="59"/>
      <c r="Q561" s="59"/>
      <c r="R561" s="61"/>
    </row>
    <row r="562">
      <c r="B562" s="59"/>
      <c r="D562" s="59"/>
      <c r="F562" s="59"/>
      <c r="H562" s="59"/>
      <c r="J562" s="59"/>
      <c r="L562" s="59"/>
      <c r="N562" s="59"/>
      <c r="Q562" s="59"/>
      <c r="R562" s="61"/>
    </row>
    <row r="563">
      <c r="B563" s="59"/>
      <c r="D563" s="59"/>
      <c r="F563" s="59"/>
      <c r="H563" s="59"/>
      <c r="J563" s="59"/>
      <c r="L563" s="59"/>
      <c r="N563" s="59"/>
      <c r="Q563" s="59"/>
      <c r="R563" s="61"/>
    </row>
    <row r="564">
      <c r="B564" s="59"/>
      <c r="D564" s="59"/>
      <c r="F564" s="59"/>
      <c r="H564" s="59"/>
      <c r="J564" s="59"/>
      <c r="L564" s="59"/>
      <c r="N564" s="59"/>
      <c r="Q564" s="59"/>
      <c r="R564" s="61"/>
    </row>
    <row r="565">
      <c r="B565" s="59"/>
      <c r="D565" s="59"/>
      <c r="F565" s="59"/>
      <c r="H565" s="59"/>
      <c r="J565" s="59"/>
      <c r="L565" s="59"/>
      <c r="N565" s="59"/>
      <c r="Q565" s="59"/>
      <c r="R565" s="61"/>
    </row>
    <row r="566">
      <c r="B566" s="59"/>
      <c r="D566" s="59"/>
      <c r="F566" s="59"/>
      <c r="H566" s="59"/>
      <c r="J566" s="59"/>
      <c r="L566" s="59"/>
      <c r="N566" s="59"/>
      <c r="Q566" s="59"/>
      <c r="R566" s="61"/>
    </row>
    <row r="567">
      <c r="B567" s="59"/>
      <c r="D567" s="59"/>
      <c r="F567" s="59"/>
      <c r="H567" s="59"/>
      <c r="J567" s="59"/>
      <c r="L567" s="59"/>
      <c r="N567" s="59"/>
      <c r="Q567" s="59"/>
      <c r="R567" s="61"/>
    </row>
    <row r="568">
      <c r="B568" s="59"/>
      <c r="D568" s="59"/>
      <c r="F568" s="59"/>
      <c r="H568" s="59"/>
      <c r="J568" s="59"/>
      <c r="L568" s="59"/>
      <c r="N568" s="59"/>
      <c r="Q568" s="59"/>
      <c r="R568" s="61"/>
    </row>
    <row r="569">
      <c r="B569" s="59"/>
      <c r="D569" s="59"/>
      <c r="F569" s="59"/>
      <c r="H569" s="59"/>
      <c r="J569" s="59"/>
      <c r="L569" s="59"/>
      <c r="N569" s="59"/>
      <c r="Q569" s="59"/>
      <c r="R569" s="61"/>
    </row>
    <row r="570">
      <c r="B570" s="59"/>
      <c r="D570" s="59"/>
      <c r="F570" s="59"/>
      <c r="H570" s="59"/>
      <c r="J570" s="59"/>
      <c r="L570" s="59"/>
      <c r="N570" s="59"/>
      <c r="Q570" s="59"/>
      <c r="R570" s="61"/>
    </row>
    <row r="571">
      <c r="B571" s="59"/>
      <c r="D571" s="59"/>
      <c r="F571" s="59"/>
      <c r="H571" s="59"/>
      <c r="J571" s="59"/>
      <c r="L571" s="59"/>
      <c r="N571" s="59"/>
      <c r="Q571" s="59"/>
      <c r="R571" s="61"/>
    </row>
    <row r="572">
      <c r="B572" s="59"/>
      <c r="D572" s="59"/>
      <c r="F572" s="59"/>
      <c r="H572" s="59"/>
      <c r="J572" s="59"/>
      <c r="L572" s="59"/>
      <c r="N572" s="59"/>
      <c r="Q572" s="59"/>
      <c r="R572" s="61"/>
    </row>
    <row r="573">
      <c r="B573" s="59"/>
      <c r="D573" s="59"/>
      <c r="F573" s="59"/>
      <c r="H573" s="59"/>
      <c r="J573" s="59"/>
      <c r="L573" s="59"/>
      <c r="N573" s="59"/>
      <c r="Q573" s="59"/>
      <c r="R573" s="61"/>
    </row>
    <row r="574">
      <c r="B574" s="59"/>
      <c r="D574" s="59"/>
      <c r="F574" s="59"/>
      <c r="H574" s="59"/>
      <c r="J574" s="59"/>
      <c r="L574" s="59"/>
      <c r="N574" s="59"/>
      <c r="Q574" s="59"/>
      <c r="R574" s="61"/>
    </row>
    <row r="575">
      <c r="B575" s="59"/>
      <c r="D575" s="59"/>
      <c r="F575" s="59"/>
      <c r="H575" s="59"/>
      <c r="J575" s="59"/>
      <c r="L575" s="59"/>
      <c r="N575" s="59"/>
      <c r="Q575" s="59"/>
      <c r="R575" s="61"/>
    </row>
    <row r="576">
      <c r="B576" s="59"/>
      <c r="D576" s="59"/>
      <c r="F576" s="59"/>
      <c r="H576" s="59"/>
      <c r="J576" s="59"/>
      <c r="L576" s="59"/>
      <c r="N576" s="59"/>
      <c r="Q576" s="59"/>
      <c r="R576" s="61"/>
    </row>
    <row r="577">
      <c r="B577" s="59"/>
      <c r="D577" s="59"/>
      <c r="F577" s="59"/>
      <c r="H577" s="59"/>
      <c r="J577" s="59"/>
      <c r="L577" s="59"/>
      <c r="N577" s="59"/>
      <c r="Q577" s="59"/>
      <c r="R577" s="61"/>
    </row>
    <row r="578">
      <c r="B578" s="59"/>
      <c r="D578" s="59"/>
      <c r="F578" s="59"/>
      <c r="H578" s="59"/>
      <c r="J578" s="59"/>
      <c r="L578" s="59"/>
      <c r="N578" s="59"/>
      <c r="Q578" s="59"/>
      <c r="R578" s="61"/>
    </row>
    <row r="579">
      <c r="B579" s="59"/>
      <c r="D579" s="59"/>
      <c r="F579" s="59"/>
      <c r="H579" s="59"/>
      <c r="J579" s="59"/>
      <c r="L579" s="59"/>
      <c r="N579" s="59"/>
      <c r="Q579" s="59"/>
      <c r="R579" s="61"/>
    </row>
    <row r="580">
      <c r="B580" s="59"/>
      <c r="D580" s="59"/>
      <c r="F580" s="59"/>
      <c r="H580" s="59"/>
      <c r="J580" s="59"/>
      <c r="L580" s="59"/>
      <c r="N580" s="59"/>
      <c r="Q580" s="59"/>
      <c r="R580" s="61"/>
    </row>
    <row r="581">
      <c r="B581" s="59"/>
      <c r="D581" s="59"/>
      <c r="F581" s="59"/>
      <c r="H581" s="59"/>
      <c r="J581" s="59"/>
      <c r="L581" s="59"/>
      <c r="N581" s="59"/>
      <c r="Q581" s="59"/>
      <c r="R581" s="61"/>
    </row>
    <row r="582">
      <c r="B582" s="59"/>
      <c r="D582" s="59"/>
      <c r="F582" s="59"/>
      <c r="H582" s="59"/>
      <c r="J582" s="59"/>
      <c r="L582" s="59"/>
      <c r="N582" s="59"/>
      <c r="Q582" s="59"/>
      <c r="R582" s="61"/>
    </row>
    <row r="583">
      <c r="B583" s="59"/>
      <c r="D583" s="59"/>
      <c r="F583" s="59"/>
      <c r="H583" s="59"/>
      <c r="J583" s="59"/>
      <c r="L583" s="59"/>
      <c r="N583" s="59"/>
      <c r="Q583" s="59"/>
      <c r="R583" s="61"/>
    </row>
    <row r="584">
      <c r="B584" s="59"/>
      <c r="D584" s="59"/>
      <c r="F584" s="59"/>
      <c r="H584" s="59"/>
      <c r="J584" s="59"/>
      <c r="L584" s="59"/>
      <c r="N584" s="59"/>
      <c r="Q584" s="59"/>
      <c r="R584" s="61"/>
    </row>
    <row r="585">
      <c r="B585" s="59"/>
      <c r="D585" s="59"/>
      <c r="F585" s="59"/>
      <c r="H585" s="59"/>
      <c r="J585" s="59"/>
      <c r="L585" s="59"/>
      <c r="N585" s="59"/>
      <c r="Q585" s="59"/>
      <c r="R585" s="61"/>
    </row>
    <row r="586">
      <c r="B586" s="59"/>
      <c r="D586" s="59"/>
      <c r="F586" s="59"/>
      <c r="H586" s="59"/>
      <c r="J586" s="59"/>
      <c r="L586" s="59"/>
      <c r="N586" s="59"/>
      <c r="Q586" s="59"/>
      <c r="R586" s="61"/>
    </row>
    <row r="587">
      <c r="B587" s="59"/>
      <c r="D587" s="59"/>
      <c r="F587" s="59"/>
      <c r="H587" s="59"/>
      <c r="J587" s="59"/>
      <c r="L587" s="59"/>
      <c r="N587" s="59"/>
      <c r="Q587" s="59"/>
      <c r="R587" s="61"/>
    </row>
    <row r="588">
      <c r="B588" s="59"/>
      <c r="D588" s="59"/>
      <c r="F588" s="59"/>
      <c r="H588" s="59"/>
      <c r="J588" s="59"/>
      <c r="L588" s="59"/>
      <c r="N588" s="59"/>
      <c r="Q588" s="59"/>
      <c r="R588" s="61"/>
    </row>
    <row r="589">
      <c r="B589" s="59"/>
      <c r="D589" s="59"/>
      <c r="F589" s="59"/>
      <c r="H589" s="59"/>
      <c r="J589" s="59"/>
      <c r="L589" s="59"/>
      <c r="N589" s="59"/>
      <c r="Q589" s="59"/>
      <c r="R589" s="61"/>
    </row>
    <row r="590">
      <c r="B590" s="59"/>
      <c r="D590" s="59"/>
      <c r="F590" s="59"/>
      <c r="H590" s="59"/>
      <c r="J590" s="59"/>
      <c r="L590" s="59"/>
      <c r="N590" s="59"/>
      <c r="Q590" s="59"/>
      <c r="R590" s="61"/>
    </row>
    <row r="591">
      <c r="B591" s="59"/>
      <c r="D591" s="59"/>
      <c r="F591" s="59"/>
      <c r="H591" s="59"/>
      <c r="J591" s="59"/>
      <c r="L591" s="59"/>
      <c r="N591" s="59"/>
      <c r="Q591" s="59"/>
      <c r="R591" s="61"/>
    </row>
    <row r="592">
      <c r="B592" s="59"/>
      <c r="D592" s="59"/>
      <c r="F592" s="59"/>
      <c r="H592" s="59"/>
      <c r="J592" s="59"/>
      <c r="L592" s="59"/>
      <c r="N592" s="59"/>
      <c r="Q592" s="59"/>
      <c r="R592" s="61"/>
    </row>
    <row r="593">
      <c r="B593" s="59"/>
      <c r="D593" s="59"/>
      <c r="F593" s="59"/>
      <c r="H593" s="59"/>
      <c r="J593" s="59"/>
      <c r="L593" s="59"/>
      <c r="N593" s="59"/>
      <c r="Q593" s="59"/>
      <c r="R593" s="61"/>
    </row>
    <row r="594">
      <c r="B594" s="59"/>
      <c r="D594" s="59"/>
      <c r="F594" s="59"/>
      <c r="H594" s="59"/>
      <c r="J594" s="59"/>
      <c r="L594" s="59"/>
      <c r="N594" s="59"/>
      <c r="Q594" s="59"/>
      <c r="R594" s="61"/>
    </row>
    <row r="595">
      <c r="B595" s="59"/>
      <c r="D595" s="59"/>
      <c r="F595" s="59"/>
      <c r="H595" s="59"/>
      <c r="J595" s="59"/>
      <c r="L595" s="59"/>
      <c r="N595" s="59"/>
      <c r="Q595" s="59"/>
      <c r="R595" s="61"/>
    </row>
    <row r="596">
      <c r="B596" s="59"/>
      <c r="D596" s="59"/>
      <c r="F596" s="59"/>
      <c r="H596" s="59"/>
      <c r="J596" s="59"/>
      <c r="L596" s="59"/>
      <c r="N596" s="59"/>
      <c r="Q596" s="59"/>
      <c r="R596" s="61"/>
    </row>
    <row r="597">
      <c r="B597" s="59"/>
      <c r="D597" s="59"/>
      <c r="F597" s="59"/>
      <c r="H597" s="59"/>
      <c r="J597" s="59"/>
      <c r="L597" s="59"/>
      <c r="N597" s="59"/>
      <c r="Q597" s="59"/>
      <c r="R597" s="61"/>
    </row>
    <row r="598">
      <c r="B598" s="59"/>
      <c r="D598" s="59"/>
      <c r="F598" s="59"/>
      <c r="H598" s="59"/>
      <c r="J598" s="59"/>
      <c r="L598" s="59"/>
      <c r="N598" s="59"/>
      <c r="Q598" s="59"/>
      <c r="R598" s="61"/>
    </row>
    <row r="599">
      <c r="B599" s="59"/>
      <c r="D599" s="59"/>
      <c r="F599" s="59"/>
      <c r="H599" s="59"/>
      <c r="J599" s="59"/>
      <c r="L599" s="59"/>
      <c r="N599" s="59"/>
      <c r="Q599" s="59"/>
      <c r="R599" s="61"/>
    </row>
    <row r="600">
      <c r="B600" s="59"/>
      <c r="D600" s="59"/>
      <c r="F600" s="59"/>
      <c r="H600" s="59"/>
      <c r="J600" s="59"/>
      <c r="L600" s="59"/>
      <c r="N600" s="59"/>
      <c r="Q600" s="59"/>
      <c r="R600" s="61"/>
    </row>
    <row r="601">
      <c r="B601" s="59"/>
      <c r="D601" s="59"/>
      <c r="F601" s="59"/>
      <c r="H601" s="59"/>
      <c r="J601" s="59"/>
      <c r="L601" s="59"/>
      <c r="N601" s="59"/>
      <c r="Q601" s="59"/>
      <c r="R601" s="61"/>
    </row>
    <row r="602">
      <c r="B602" s="59"/>
      <c r="D602" s="59"/>
      <c r="F602" s="59"/>
      <c r="H602" s="59"/>
      <c r="J602" s="59"/>
      <c r="L602" s="59"/>
      <c r="N602" s="59"/>
      <c r="Q602" s="59"/>
      <c r="R602" s="61"/>
    </row>
    <row r="603">
      <c r="B603" s="59"/>
      <c r="D603" s="59"/>
      <c r="F603" s="59"/>
      <c r="H603" s="59"/>
      <c r="J603" s="59"/>
      <c r="L603" s="59"/>
      <c r="N603" s="59"/>
      <c r="Q603" s="59"/>
      <c r="R603" s="61"/>
    </row>
    <row r="604">
      <c r="B604" s="59"/>
      <c r="D604" s="59"/>
      <c r="F604" s="59"/>
      <c r="H604" s="59"/>
      <c r="J604" s="59"/>
      <c r="L604" s="59"/>
      <c r="N604" s="59"/>
      <c r="Q604" s="59"/>
      <c r="R604" s="61"/>
    </row>
    <row r="605">
      <c r="B605" s="59"/>
      <c r="D605" s="59"/>
      <c r="F605" s="59"/>
      <c r="H605" s="59"/>
      <c r="J605" s="59"/>
      <c r="L605" s="59"/>
      <c r="N605" s="59"/>
      <c r="Q605" s="59"/>
      <c r="R605" s="61"/>
    </row>
    <row r="606">
      <c r="B606" s="59"/>
      <c r="D606" s="59"/>
      <c r="F606" s="59"/>
      <c r="H606" s="59"/>
      <c r="J606" s="59"/>
      <c r="L606" s="59"/>
      <c r="N606" s="59"/>
      <c r="Q606" s="59"/>
      <c r="R606" s="61"/>
    </row>
    <row r="607">
      <c r="B607" s="59"/>
      <c r="D607" s="59"/>
      <c r="F607" s="59"/>
      <c r="H607" s="59"/>
      <c r="J607" s="59"/>
      <c r="L607" s="59"/>
      <c r="N607" s="59"/>
      <c r="Q607" s="59"/>
      <c r="R607" s="61"/>
    </row>
    <row r="608">
      <c r="B608" s="59"/>
      <c r="D608" s="59"/>
      <c r="F608" s="59"/>
      <c r="H608" s="59"/>
      <c r="J608" s="59"/>
      <c r="L608" s="59"/>
      <c r="N608" s="59"/>
      <c r="Q608" s="59"/>
      <c r="R608" s="61"/>
    </row>
    <row r="609">
      <c r="B609" s="59"/>
      <c r="D609" s="59"/>
      <c r="F609" s="59"/>
      <c r="H609" s="59"/>
      <c r="J609" s="59"/>
      <c r="L609" s="59"/>
      <c r="N609" s="59"/>
      <c r="Q609" s="59"/>
      <c r="R609" s="61"/>
    </row>
    <row r="610">
      <c r="B610" s="59"/>
      <c r="D610" s="59"/>
      <c r="F610" s="59"/>
      <c r="H610" s="59"/>
      <c r="J610" s="59"/>
      <c r="L610" s="59"/>
      <c r="N610" s="59"/>
      <c r="Q610" s="59"/>
      <c r="R610" s="61"/>
    </row>
    <row r="611">
      <c r="B611" s="59"/>
      <c r="D611" s="59"/>
      <c r="F611" s="59"/>
      <c r="H611" s="59"/>
      <c r="J611" s="59"/>
      <c r="L611" s="59"/>
      <c r="N611" s="59"/>
      <c r="Q611" s="59"/>
      <c r="R611" s="61"/>
    </row>
    <row r="612">
      <c r="B612" s="59"/>
      <c r="D612" s="59"/>
      <c r="F612" s="59"/>
      <c r="H612" s="59"/>
      <c r="J612" s="59"/>
      <c r="L612" s="59"/>
      <c r="N612" s="59"/>
      <c r="Q612" s="59"/>
      <c r="R612" s="61"/>
    </row>
    <row r="613">
      <c r="B613" s="59"/>
      <c r="D613" s="59"/>
      <c r="F613" s="59"/>
      <c r="H613" s="59"/>
      <c r="J613" s="59"/>
      <c r="L613" s="59"/>
      <c r="N613" s="59"/>
      <c r="Q613" s="59"/>
      <c r="R613" s="61"/>
    </row>
    <row r="614">
      <c r="B614" s="59"/>
      <c r="D614" s="59"/>
      <c r="F614" s="59"/>
      <c r="H614" s="59"/>
      <c r="J614" s="59"/>
      <c r="L614" s="59"/>
      <c r="N614" s="59"/>
      <c r="Q614" s="59"/>
      <c r="R614" s="61"/>
    </row>
    <row r="615">
      <c r="B615" s="59"/>
      <c r="D615" s="59"/>
      <c r="F615" s="59"/>
      <c r="H615" s="59"/>
      <c r="J615" s="59"/>
      <c r="L615" s="59"/>
      <c r="N615" s="59"/>
      <c r="Q615" s="59"/>
      <c r="R615" s="61"/>
    </row>
    <row r="616">
      <c r="B616" s="59"/>
      <c r="D616" s="59"/>
      <c r="F616" s="59"/>
      <c r="H616" s="59"/>
      <c r="J616" s="59"/>
      <c r="L616" s="59"/>
      <c r="N616" s="59"/>
      <c r="Q616" s="59"/>
      <c r="R616" s="61"/>
    </row>
    <row r="617">
      <c r="B617" s="59"/>
      <c r="D617" s="59"/>
      <c r="F617" s="59"/>
      <c r="H617" s="59"/>
      <c r="J617" s="59"/>
      <c r="L617" s="59"/>
      <c r="N617" s="59"/>
      <c r="Q617" s="59"/>
      <c r="R617" s="61"/>
    </row>
    <row r="618">
      <c r="B618" s="59"/>
      <c r="D618" s="59"/>
      <c r="F618" s="59"/>
      <c r="H618" s="59"/>
      <c r="J618" s="59"/>
      <c r="L618" s="59"/>
      <c r="N618" s="59"/>
      <c r="Q618" s="59"/>
      <c r="R618" s="61"/>
    </row>
    <row r="619">
      <c r="B619" s="59"/>
      <c r="D619" s="59"/>
      <c r="F619" s="59"/>
      <c r="H619" s="59"/>
      <c r="J619" s="59"/>
      <c r="L619" s="59"/>
      <c r="N619" s="59"/>
      <c r="Q619" s="59"/>
      <c r="R619" s="61"/>
    </row>
    <row r="620">
      <c r="B620" s="59"/>
      <c r="D620" s="59"/>
      <c r="F620" s="59"/>
      <c r="H620" s="59"/>
      <c r="J620" s="59"/>
      <c r="L620" s="59"/>
      <c r="N620" s="59"/>
      <c r="Q620" s="59"/>
      <c r="R620" s="61"/>
    </row>
    <row r="621">
      <c r="B621" s="59"/>
      <c r="D621" s="59"/>
      <c r="F621" s="59"/>
      <c r="H621" s="59"/>
      <c r="J621" s="59"/>
      <c r="L621" s="59"/>
      <c r="N621" s="59"/>
      <c r="Q621" s="59"/>
      <c r="R621" s="61"/>
    </row>
    <row r="622">
      <c r="B622" s="59"/>
      <c r="D622" s="59"/>
      <c r="F622" s="59"/>
      <c r="H622" s="59"/>
      <c r="J622" s="59"/>
      <c r="L622" s="59"/>
      <c r="N622" s="59"/>
      <c r="Q622" s="59"/>
      <c r="R622" s="61"/>
    </row>
    <row r="623">
      <c r="B623" s="59"/>
      <c r="D623" s="59"/>
      <c r="F623" s="59"/>
      <c r="H623" s="59"/>
      <c r="J623" s="59"/>
      <c r="L623" s="59"/>
      <c r="N623" s="59"/>
      <c r="Q623" s="59"/>
      <c r="R623" s="61"/>
    </row>
    <row r="624">
      <c r="B624" s="59"/>
      <c r="D624" s="59"/>
      <c r="F624" s="59"/>
      <c r="H624" s="59"/>
      <c r="J624" s="59"/>
      <c r="L624" s="59"/>
      <c r="N624" s="59"/>
      <c r="Q624" s="59"/>
      <c r="R624" s="61"/>
    </row>
    <row r="625">
      <c r="B625" s="59"/>
      <c r="D625" s="59"/>
      <c r="F625" s="59"/>
      <c r="H625" s="59"/>
      <c r="J625" s="59"/>
      <c r="L625" s="59"/>
      <c r="N625" s="59"/>
      <c r="Q625" s="59"/>
      <c r="R625" s="61"/>
    </row>
    <row r="626">
      <c r="B626" s="59"/>
      <c r="D626" s="59"/>
      <c r="F626" s="59"/>
      <c r="H626" s="59"/>
      <c r="J626" s="59"/>
      <c r="L626" s="59"/>
      <c r="N626" s="59"/>
      <c r="Q626" s="59"/>
      <c r="R626" s="61"/>
    </row>
    <row r="627">
      <c r="B627" s="59"/>
      <c r="D627" s="59"/>
      <c r="F627" s="59"/>
      <c r="H627" s="59"/>
      <c r="J627" s="59"/>
      <c r="L627" s="59"/>
      <c r="N627" s="59"/>
      <c r="Q627" s="59"/>
      <c r="R627" s="61"/>
    </row>
    <row r="628">
      <c r="B628" s="59"/>
      <c r="D628" s="59"/>
      <c r="F628" s="59"/>
      <c r="H628" s="59"/>
      <c r="J628" s="59"/>
      <c r="L628" s="59"/>
      <c r="N628" s="59"/>
      <c r="Q628" s="59"/>
      <c r="R628" s="61"/>
    </row>
    <row r="629">
      <c r="B629" s="59"/>
      <c r="D629" s="59"/>
      <c r="F629" s="59"/>
      <c r="H629" s="59"/>
      <c r="J629" s="59"/>
      <c r="L629" s="59"/>
      <c r="N629" s="59"/>
      <c r="Q629" s="59"/>
      <c r="R629" s="61"/>
    </row>
    <row r="630">
      <c r="B630" s="59"/>
      <c r="D630" s="59"/>
      <c r="F630" s="59"/>
      <c r="H630" s="59"/>
      <c r="J630" s="59"/>
      <c r="L630" s="59"/>
      <c r="N630" s="59"/>
      <c r="Q630" s="59"/>
      <c r="R630" s="61"/>
    </row>
    <row r="631">
      <c r="B631" s="59"/>
      <c r="D631" s="59"/>
      <c r="F631" s="59"/>
      <c r="H631" s="59"/>
      <c r="J631" s="59"/>
      <c r="L631" s="59"/>
      <c r="N631" s="59"/>
      <c r="Q631" s="59"/>
      <c r="R631" s="61"/>
    </row>
    <row r="632">
      <c r="B632" s="59"/>
      <c r="D632" s="59"/>
      <c r="F632" s="59"/>
      <c r="H632" s="59"/>
      <c r="J632" s="59"/>
      <c r="L632" s="59"/>
      <c r="N632" s="59"/>
      <c r="Q632" s="59"/>
      <c r="R632" s="61"/>
    </row>
    <row r="633">
      <c r="B633" s="59"/>
      <c r="D633" s="59"/>
      <c r="F633" s="59"/>
      <c r="H633" s="59"/>
      <c r="J633" s="59"/>
      <c r="L633" s="59"/>
      <c r="N633" s="59"/>
      <c r="Q633" s="59"/>
      <c r="R633" s="61"/>
    </row>
    <row r="634">
      <c r="B634" s="59"/>
      <c r="D634" s="59"/>
      <c r="F634" s="59"/>
      <c r="H634" s="59"/>
      <c r="J634" s="59"/>
      <c r="L634" s="59"/>
      <c r="N634" s="59"/>
      <c r="Q634" s="59"/>
      <c r="R634" s="61"/>
    </row>
    <row r="635">
      <c r="B635" s="59"/>
      <c r="D635" s="59"/>
      <c r="F635" s="59"/>
      <c r="H635" s="59"/>
      <c r="J635" s="59"/>
      <c r="L635" s="59"/>
      <c r="N635" s="59"/>
      <c r="Q635" s="59"/>
      <c r="R635" s="61"/>
    </row>
    <row r="636">
      <c r="B636" s="59"/>
      <c r="D636" s="59"/>
      <c r="F636" s="59"/>
      <c r="H636" s="59"/>
      <c r="J636" s="59"/>
      <c r="L636" s="59"/>
      <c r="N636" s="59"/>
      <c r="Q636" s="59"/>
      <c r="R636" s="61"/>
    </row>
    <row r="637">
      <c r="B637" s="59"/>
      <c r="D637" s="59"/>
      <c r="F637" s="59"/>
      <c r="H637" s="59"/>
      <c r="J637" s="59"/>
      <c r="L637" s="59"/>
      <c r="N637" s="59"/>
      <c r="Q637" s="59"/>
      <c r="R637" s="61"/>
    </row>
    <row r="638">
      <c r="B638" s="59"/>
      <c r="D638" s="59"/>
      <c r="F638" s="59"/>
      <c r="H638" s="59"/>
      <c r="J638" s="59"/>
      <c r="L638" s="59"/>
      <c r="N638" s="59"/>
      <c r="Q638" s="59"/>
      <c r="R638" s="61"/>
    </row>
    <row r="639">
      <c r="B639" s="59"/>
      <c r="D639" s="59"/>
      <c r="F639" s="59"/>
      <c r="H639" s="59"/>
      <c r="J639" s="59"/>
      <c r="L639" s="59"/>
      <c r="N639" s="59"/>
      <c r="Q639" s="59"/>
      <c r="R639" s="61"/>
    </row>
    <row r="640">
      <c r="B640" s="59"/>
      <c r="D640" s="59"/>
      <c r="F640" s="59"/>
      <c r="H640" s="59"/>
      <c r="J640" s="59"/>
      <c r="L640" s="59"/>
      <c r="N640" s="59"/>
      <c r="Q640" s="59"/>
      <c r="R640" s="61"/>
    </row>
    <row r="641">
      <c r="B641" s="59"/>
      <c r="D641" s="59"/>
      <c r="F641" s="59"/>
      <c r="H641" s="59"/>
      <c r="J641" s="59"/>
      <c r="L641" s="59"/>
      <c r="N641" s="59"/>
      <c r="Q641" s="59"/>
      <c r="R641" s="61"/>
    </row>
    <row r="642">
      <c r="B642" s="59"/>
      <c r="D642" s="59"/>
      <c r="F642" s="59"/>
      <c r="H642" s="59"/>
      <c r="J642" s="59"/>
      <c r="L642" s="59"/>
      <c r="N642" s="59"/>
      <c r="Q642" s="59"/>
      <c r="R642" s="61"/>
    </row>
    <row r="643">
      <c r="B643" s="59"/>
      <c r="D643" s="59"/>
      <c r="F643" s="59"/>
      <c r="H643" s="59"/>
      <c r="J643" s="59"/>
      <c r="L643" s="59"/>
      <c r="N643" s="59"/>
      <c r="Q643" s="59"/>
      <c r="R643" s="61"/>
    </row>
    <row r="644">
      <c r="B644" s="59"/>
      <c r="D644" s="59"/>
      <c r="F644" s="59"/>
      <c r="H644" s="59"/>
      <c r="J644" s="59"/>
      <c r="L644" s="59"/>
      <c r="N644" s="59"/>
      <c r="Q644" s="59"/>
      <c r="R644" s="61"/>
    </row>
    <row r="645">
      <c r="B645" s="59"/>
      <c r="D645" s="59"/>
      <c r="F645" s="59"/>
      <c r="H645" s="59"/>
      <c r="J645" s="59"/>
      <c r="L645" s="59"/>
      <c r="N645" s="59"/>
      <c r="Q645" s="59"/>
      <c r="R645" s="61"/>
    </row>
    <row r="646">
      <c r="B646" s="59"/>
      <c r="D646" s="59"/>
      <c r="F646" s="59"/>
      <c r="H646" s="59"/>
      <c r="J646" s="59"/>
      <c r="L646" s="59"/>
      <c r="N646" s="59"/>
      <c r="Q646" s="59"/>
      <c r="R646" s="61"/>
    </row>
    <row r="647">
      <c r="B647" s="59"/>
      <c r="D647" s="59"/>
      <c r="F647" s="59"/>
      <c r="H647" s="59"/>
      <c r="J647" s="59"/>
      <c r="L647" s="59"/>
      <c r="N647" s="59"/>
      <c r="Q647" s="59"/>
      <c r="R647" s="61"/>
    </row>
    <row r="648">
      <c r="B648" s="59"/>
      <c r="D648" s="59"/>
      <c r="F648" s="59"/>
      <c r="H648" s="59"/>
      <c r="J648" s="59"/>
      <c r="L648" s="59"/>
      <c r="N648" s="59"/>
      <c r="Q648" s="59"/>
      <c r="R648" s="61"/>
    </row>
    <row r="649">
      <c r="B649" s="59"/>
      <c r="D649" s="59"/>
      <c r="F649" s="59"/>
      <c r="H649" s="59"/>
      <c r="J649" s="59"/>
      <c r="L649" s="59"/>
      <c r="N649" s="59"/>
      <c r="Q649" s="59"/>
      <c r="R649" s="61"/>
    </row>
    <row r="650">
      <c r="B650" s="59"/>
      <c r="D650" s="59"/>
      <c r="F650" s="59"/>
      <c r="H650" s="59"/>
      <c r="J650" s="59"/>
      <c r="L650" s="59"/>
      <c r="N650" s="59"/>
      <c r="Q650" s="59"/>
      <c r="R650" s="61"/>
    </row>
    <row r="651">
      <c r="B651" s="59"/>
      <c r="D651" s="59"/>
      <c r="F651" s="59"/>
      <c r="H651" s="59"/>
      <c r="J651" s="59"/>
      <c r="L651" s="59"/>
      <c r="N651" s="59"/>
      <c r="Q651" s="59"/>
      <c r="R651" s="61"/>
    </row>
    <row r="652">
      <c r="B652" s="59"/>
      <c r="D652" s="59"/>
      <c r="F652" s="59"/>
      <c r="H652" s="59"/>
      <c r="J652" s="59"/>
      <c r="L652" s="59"/>
      <c r="N652" s="59"/>
      <c r="Q652" s="59"/>
      <c r="R652" s="61"/>
    </row>
    <row r="653">
      <c r="B653" s="59"/>
      <c r="D653" s="59"/>
      <c r="F653" s="59"/>
      <c r="H653" s="59"/>
      <c r="J653" s="59"/>
      <c r="L653" s="59"/>
      <c r="N653" s="59"/>
      <c r="Q653" s="59"/>
      <c r="R653" s="61"/>
    </row>
    <row r="654">
      <c r="B654" s="59"/>
      <c r="D654" s="59"/>
      <c r="F654" s="59"/>
      <c r="H654" s="59"/>
      <c r="J654" s="59"/>
      <c r="L654" s="59"/>
      <c r="N654" s="59"/>
      <c r="Q654" s="59"/>
      <c r="R654" s="61"/>
    </row>
    <row r="655">
      <c r="B655" s="59"/>
      <c r="D655" s="59"/>
      <c r="F655" s="59"/>
      <c r="H655" s="59"/>
      <c r="J655" s="59"/>
      <c r="L655" s="59"/>
      <c r="N655" s="59"/>
      <c r="Q655" s="59"/>
      <c r="R655" s="61"/>
    </row>
    <row r="656">
      <c r="B656" s="59"/>
      <c r="D656" s="59"/>
      <c r="F656" s="59"/>
      <c r="H656" s="59"/>
      <c r="J656" s="59"/>
      <c r="L656" s="59"/>
      <c r="N656" s="59"/>
      <c r="Q656" s="59"/>
      <c r="R656" s="61"/>
    </row>
    <row r="657">
      <c r="B657" s="59"/>
      <c r="D657" s="59"/>
      <c r="F657" s="59"/>
      <c r="H657" s="59"/>
      <c r="J657" s="59"/>
      <c r="L657" s="59"/>
      <c r="N657" s="59"/>
      <c r="Q657" s="59"/>
      <c r="R657" s="61"/>
    </row>
    <row r="658">
      <c r="B658" s="59"/>
      <c r="D658" s="59"/>
      <c r="F658" s="59"/>
      <c r="H658" s="59"/>
      <c r="J658" s="59"/>
      <c r="L658" s="59"/>
      <c r="N658" s="59"/>
      <c r="Q658" s="59"/>
      <c r="R658" s="61"/>
    </row>
    <row r="659">
      <c r="B659" s="59"/>
      <c r="D659" s="59"/>
      <c r="F659" s="59"/>
      <c r="H659" s="59"/>
      <c r="J659" s="59"/>
      <c r="L659" s="59"/>
      <c r="N659" s="59"/>
      <c r="Q659" s="59"/>
      <c r="R659" s="61"/>
    </row>
    <row r="660">
      <c r="B660" s="59"/>
      <c r="D660" s="59"/>
      <c r="F660" s="59"/>
      <c r="H660" s="59"/>
      <c r="J660" s="59"/>
      <c r="L660" s="59"/>
      <c r="N660" s="59"/>
      <c r="Q660" s="59"/>
      <c r="R660" s="61"/>
    </row>
    <row r="661">
      <c r="B661" s="59"/>
      <c r="D661" s="59"/>
      <c r="F661" s="59"/>
      <c r="H661" s="59"/>
      <c r="J661" s="59"/>
      <c r="L661" s="59"/>
      <c r="N661" s="59"/>
      <c r="Q661" s="59"/>
      <c r="R661" s="61"/>
    </row>
    <row r="662">
      <c r="B662" s="59"/>
      <c r="D662" s="59"/>
      <c r="F662" s="59"/>
      <c r="H662" s="59"/>
      <c r="J662" s="59"/>
      <c r="L662" s="59"/>
      <c r="N662" s="59"/>
      <c r="Q662" s="59"/>
      <c r="R662" s="61"/>
    </row>
    <row r="663">
      <c r="B663" s="59"/>
      <c r="D663" s="59"/>
      <c r="F663" s="59"/>
      <c r="H663" s="59"/>
      <c r="J663" s="59"/>
      <c r="L663" s="59"/>
      <c r="N663" s="59"/>
      <c r="Q663" s="59"/>
      <c r="R663" s="61"/>
    </row>
    <row r="664">
      <c r="B664" s="59"/>
      <c r="D664" s="59"/>
      <c r="F664" s="59"/>
      <c r="H664" s="59"/>
      <c r="J664" s="59"/>
      <c r="L664" s="59"/>
      <c r="N664" s="59"/>
      <c r="Q664" s="59"/>
      <c r="R664" s="61"/>
    </row>
    <row r="665">
      <c r="B665" s="59"/>
      <c r="D665" s="59"/>
      <c r="F665" s="59"/>
      <c r="H665" s="59"/>
      <c r="J665" s="59"/>
      <c r="L665" s="59"/>
      <c r="N665" s="59"/>
      <c r="Q665" s="59"/>
      <c r="R665" s="61"/>
    </row>
    <row r="666">
      <c r="B666" s="59"/>
      <c r="D666" s="59"/>
      <c r="F666" s="59"/>
      <c r="H666" s="59"/>
      <c r="J666" s="59"/>
      <c r="L666" s="59"/>
      <c r="N666" s="59"/>
      <c r="Q666" s="59"/>
      <c r="R666" s="61"/>
    </row>
    <row r="667">
      <c r="B667" s="59"/>
      <c r="D667" s="59"/>
      <c r="F667" s="59"/>
      <c r="H667" s="59"/>
      <c r="J667" s="59"/>
      <c r="L667" s="59"/>
      <c r="N667" s="59"/>
      <c r="Q667" s="59"/>
      <c r="R667" s="61"/>
    </row>
    <row r="668">
      <c r="B668" s="59"/>
      <c r="D668" s="59"/>
      <c r="F668" s="59"/>
      <c r="H668" s="59"/>
      <c r="J668" s="59"/>
      <c r="L668" s="59"/>
      <c r="N668" s="59"/>
      <c r="Q668" s="59"/>
      <c r="R668" s="61"/>
    </row>
    <row r="669">
      <c r="B669" s="59"/>
      <c r="D669" s="59"/>
      <c r="F669" s="59"/>
      <c r="H669" s="59"/>
      <c r="J669" s="59"/>
      <c r="L669" s="59"/>
      <c r="N669" s="59"/>
      <c r="Q669" s="59"/>
      <c r="R669" s="61"/>
    </row>
    <row r="670">
      <c r="B670" s="59"/>
      <c r="D670" s="59"/>
      <c r="F670" s="59"/>
      <c r="H670" s="59"/>
      <c r="J670" s="59"/>
      <c r="L670" s="59"/>
      <c r="N670" s="59"/>
      <c r="Q670" s="59"/>
      <c r="R670" s="61"/>
    </row>
    <row r="671">
      <c r="B671" s="59"/>
      <c r="D671" s="59"/>
      <c r="F671" s="59"/>
      <c r="H671" s="59"/>
      <c r="J671" s="59"/>
      <c r="L671" s="59"/>
      <c r="N671" s="59"/>
      <c r="Q671" s="59"/>
      <c r="R671" s="61"/>
    </row>
    <row r="672">
      <c r="B672" s="59"/>
      <c r="D672" s="59"/>
      <c r="F672" s="59"/>
      <c r="H672" s="59"/>
      <c r="J672" s="59"/>
      <c r="L672" s="59"/>
      <c r="N672" s="59"/>
      <c r="Q672" s="59"/>
      <c r="R672" s="61"/>
    </row>
    <row r="673">
      <c r="B673" s="59"/>
      <c r="D673" s="59"/>
      <c r="F673" s="59"/>
      <c r="H673" s="59"/>
      <c r="J673" s="59"/>
      <c r="L673" s="59"/>
      <c r="N673" s="59"/>
      <c r="Q673" s="59"/>
      <c r="R673" s="61"/>
    </row>
    <row r="674">
      <c r="B674" s="59"/>
      <c r="D674" s="59"/>
      <c r="F674" s="59"/>
      <c r="H674" s="59"/>
      <c r="J674" s="59"/>
      <c r="L674" s="59"/>
      <c r="N674" s="59"/>
      <c r="Q674" s="59"/>
      <c r="R674" s="61"/>
    </row>
    <row r="675">
      <c r="B675" s="59"/>
      <c r="D675" s="59"/>
      <c r="F675" s="59"/>
      <c r="H675" s="59"/>
      <c r="J675" s="59"/>
      <c r="L675" s="59"/>
      <c r="N675" s="59"/>
      <c r="Q675" s="59"/>
      <c r="R675" s="61"/>
    </row>
    <row r="676">
      <c r="B676" s="59"/>
      <c r="D676" s="59"/>
      <c r="F676" s="59"/>
      <c r="H676" s="59"/>
      <c r="J676" s="59"/>
      <c r="L676" s="59"/>
      <c r="N676" s="59"/>
      <c r="Q676" s="59"/>
      <c r="R676" s="61"/>
    </row>
    <row r="677">
      <c r="B677" s="59"/>
      <c r="D677" s="59"/>
      <c r="F677" s="59"/>
      <c r="H677" s="59"/>
      <c r="J677" s="59"/>
      <c r="L677" s="59"/>
      <c r="N677" s="59"/>
      <c r="Q677" s="59"/>
      <c r="R677" s="61"/>
    </row>
    <row r="678">
      <c r="B678" s="59"/>
      <c r="D678" s="59"/>
      <c r="F678" s="59"/>
      <c r="H678" s="59"/>
      <c r="J678" s="59"/>
      <c r="L678" s="59"/>
      <c r="N678" s="59"/>
      <c r="Q678" s="59"/>
      <c r="R678" s="61"/>
    </row>
    <row r="679">
      <c r="B679" s="59"/>
      <c r="D679" s="59"/>
      <c r="F679" s="59"/>
      <c r="H679" s="59"/>
      <c r="J679" s="59"/>
      <c r="L679" s="59"/>
      <c r="N679" s="59"/>
      <c r="Q679" s="59"/>
      <c r="R679" s="61"/>
    </row>
    <row r="680">
      <c r="B680" s="59"/>
      <c r="D680" s="59"/>
      <c r="F680" s="59"/>
      <c r="H680" s="59"/>
      <c r="J680" s="59"/>
      <c r="L680" s="59"/>
      <c r="N680" s="59"/>
      <c r="Q680" s="59"/>
      <c r="R680" s="61"/>
    </row>
    <row r="681">
      <c r="B681" s="59"/>
      <c r="D681" s="59"/>
      <c r="F681" s="59"/>
      <c r="H681" s="59"/>
      <c r="J681" s="59"/>
      <c r="L681" s="59"/>
      <c r="N681" s="59"/>
      <c r="Q681" s="59"/>
      <c r="R681" s="61"/>
    </row>
    <row r="682">
      <c r="B682" s="59"/>
      <c r="D682" s="59"/>
      <c r="F682" s="59"/>
      <c r="H682" s="59"/>
      <c r="J682" s="59"/>
      <c r="L682" s="59"/>
      <c r="N682" s="59"/>
      <c r="Q682" s="59"/>
      <c r="R682" s="61"/>
    </row>
    <row r="683">
      <c r="B683" s="59"/>
      <c r="D683" s="59"/>
      <c r="F683" s="59"/>
      <c r="H683" s="59"/>
      <c r="J683" s="59"/>
      <c r="L683" s="59"/>
      <c r="N683" s="59"/>
      <c r="Q683" s="59"/>
      <c r="R683" s="61"/>
    </row>
    <row r="684">
      <c r="B684" s="59"/>
      <c r="D684" s="59"/>
      <c r="F684" s="59"/>
      <c r="H684" s="59"/>
      <c r="J684" s="59"/>
      <c r="L684" s="59"/>
      <c r="N684" s="59"/>
      <c r="Q684" s="59"/>
      <c r="R684" s="61"/>
    </row>
    <row r="685">
      <c r="B685" s="59"/>
      <c r="D685" s="59"/>
      <c r="F685" s="59"/>
      <c r="H685" s="59"/>
      <c r="J685" s="59"/>
      <c r="L685" s="59"/>
      <c r="N685" s="59"/>
      <c r="Q685" s="59"/>
      <c r="R685" s="61"/>
    </row>
    <row r="686">
      <c r="B686" s="59"/>
      <c r="D686" s="59"/>
      <c r="F686" s="59"/>
      <c r="H686" s="59"/>
      <c r="J686" s="59"/>
      <c r="L686" s="59"/>
      <c r="N686" s="59"/>
      <c r="Q686" s="59"/>
      <c r="R686" s="61"/>
    </row>
    <row r="687">
      <c r="B687" s="59"/>
      <c r="D687" s="59"/>
      <c r="F687" s="59"/>
      <c r="H687" s="59"/>
      <c r="J687" s="59"/>
      <c r="L687" s="59"/>
      <c r="N687" s="59"/>
      <c r="Q687" s="59"/>
      <c r="R687" s="61"/>
    </row>
    <row r="688">
      <c r="B688" s="59"/>
      <c r="D688" s="59"/>
      <c r="F688" s="59"/>
      <c r="H688" s="59"/>
      <c r="J688" s="59"/>
      <c r="L688" s="59"/>
      <c r="N688" s="59"/>
      <c r="Q688" s="59"/>
      <c r="R688" s="61"/>
    </row>
    <row r="689">
      <c r="B689" s="59"/>
      <c r="D689" s="59"/>
      <c r="F689" s="59"/>
      <c r="H689" s="59"/>
      <c r="J689" s="59"/>
      <c r="L689" s="59"/>
      <c r="N689" s="59"/>
      <c r="Q689" s="59"/>
      <c r="R689" s="61"/>
    </row>
    <row r="690">
      <c r="B690" s="59"/>
      <c r="D690" s="59"/>
      <c r="F690" s="59"/>
      <c r="H690" s="59"/>
      <c r="J690" s="59"/>
      <c r="L690" s="59"/>
      <c r="N690" s="59"/>
      <c r="Q690" s="59"/>
      <c r="R690" s="61"/>
    </row>
    <row r="691">
      <c r="B691" s="59"/>
      <c r="D691" s="59"/>
      <c r="F691" s="59"/>
      <c r="H691" s="59"/>
      <c r="J691" s="59"/>
      <c r="L691" s="59"/>
      <c r="N691" s="59"/>
      <c r="Q691" s="59"/>
      <c r="R691" s="61"/>
    </row>
    <row r="692">
      <c r="B692" s="59"/>
      <c r="D692" s="59"/>
      <c r="F692" s="59"/>
      <c r="H692" s="59"/>
      <c r="J692" s="59"/>
      <c r="L692" s="59"/>
      <c r="N692" s="59"/>
      <c r="Q692" s="59"/>
      <c r="R692" s="61"/>
    </row>
    <row r="693">
      <c r="B693" s="59"/>
      <c r="D693" s="59"/>
      <c r="F693" s="59"/>
      <c r="H693" s="59"/>
      <c r="J693" s="59"/>
      <c r="L693" s="59"/>
      <c r="N693" s="59"/>
      <c r="Q693" s="59"/>
      <c r="R693" s="61"/>
    </row>
    <row r="694">
      <c r="B694" s="59"/>
      <c r="D694" s="59"/>
      <c r="F694" s="59"/>
      <c r="H694" s="59"/>
      <c r="J694" s="59"/>
      <c r="L694" s="59"/>
      <c r="N694" s="59"/>
      <c r="Q694" s="59"/>
      <c r="R694" s="61"/>
    </row>
    <row r="695">
      <c r="B695" s="59"/>
      <c r="D695" s="59"/>
      <c r="F695" s="59"/>
      <c r="H695" s="59"/>
      <c r="J695" s="59"/>
      <c r="L695" s="59"/>
      <c r="N695" s="59"/>
      <c r="Q695" s="59"/>
      <c r="R695" s="61"/>
    </row>
    <row r="696">
      <c r="B696" s="59"/>
      <c r="D696" s="59"/>
      <c r="F696" s="59"/>
      <c r="H696" s="59"/>
      <c r="J696" s="59"/>
      <c r="L696" s="59"/>
      <c r="N696" s="59"/>
      <c r="Q696" s="59"/>
      <c r="R696" s="61"/>
    </row>
    <row r="697">
      <c r="B697" s="59"/>
      <c r="D697" s="59"/>
      <c r="F697" s="59"/>
      <c r="H697" s="59"/>
      <c r="J697" s="59"/>
      <c r="L697" s="59"/>
      <c r="N697" s="59"/>
      <c r="Q697" s="59"/>
      <c r="R697" s="61"/>
    </row>
    <row r="698">
      <c r="B698" s="59"/>
      <c r="D698" s="59"/>
      <c r="F698" s="59"/>
      <c r="H698" s="59"/>
      <c r="J698" s="59"/>
      <c r="L698" s="59"/>
      <c r="N698" s="59"/>
      <c r="Q698" s="59"/>
      <c r="R698" s="61"/>
    </row>
    <row r="699">
      <c r="B699" s="59"/>
      <c r="D699" s="59"/>
      <c r="F699" s="59"/>
      <c r="H699" s="59"/>
      <c r="J699" s="59"/>
      <c r="L699" s="59"/>
      <c r="N699" s="59"/>
      <c r="Q699" s="59"/>
      <c r="R699" s="61"/>
    </row>
    <row r="700">
      <c r="B700" s="59"/>
      <c r="D700" s="59"/>
      <c r="F700" s="59"/>
      <c r="H700" s="59"/>
      <c r="J700" s="59"/>
      <c r="L700" s="59"/>
      <c r="N700" s="59"/>
      <c r="Q700" s="59"/>
      <c r="R700" s="61"/>
    </row>
    <row r="701">
      <c r="B701" s="59"/>
      <c r="D701" s="59"/>
      <c r="F701" s="59"/>
      <c r="H701" s="59"/>
      <c r="J701" s="59"/>
      <c r="L701" s="59"/>
      <c r="N701" s="59"/>
      <c r="Q701" s="59"/>
      <c r="R701" s="61"/>
    </row>
    <row r="702">
      <c r="B702" s="59"/>
      <c r="D702" s="59"/>
      <c r="F702" s="59"/>
      <c r="H702" s="59"/>
      <c r="J702" s="59"/>
      <c r="L702" s="59"/>
      <c r="N702" s="59"/>
      <c r="Q702" s="59"/>
      <c r="R702" s="61"/>
    </row>
    <row r="703">
      <c r="B703" s="59"/>
      <c r="D703" s="59"/>
      <c r="F703" s="59"/>
      <c r="H703" s="59"/>
      <c r="J703" s="59"/>
      <c r="L703" s="59"/>
      <c r="N703" s="59"/>
      <c r="Q703" s="59"/>
      <c r="R703" s="61"/>
    </row>
    <row r="704">
      <c r="B704" s="59"/>
      <c r="D704" s="59"/>
      <c r="F704" s="59"/>
      <c r="H704" s="59"/>
      <c r="J704" s="59"/>
      <c r="L704" s="59"/>
      <c r="N704" s="59"/>
      <c r="Q704" s="59"/>
      <c r="R704" s="61"/>
    </row>
    <row r="705">
      <c r="B705" s="59"/>
      <c r="D705" s="59"/>
      <c r="F705" s="59"/>
      <c r="H705" s="59"/>
      <c r="J705" s="59"/>
      <c r="L705" s="59"/>
      <c r="N705" s="59"/>
      <c r="Q705" s="59"/>
      <c r="R705" s="61"/>
    </row>
    <row r="706">
      <c r="B706" s="59"/>
      <c r="D706" s="59"/>
      <c r="F706" s="59"/>
      <c r="H706" s="59"/>
      <c r="J706" s="59"/>
      <c r="L706" s="59"/>
      <c r="N706" s="59"/>
      <c r="Q706" s="59"/>
      <c r="R706" s="61"/>
    </row>
    <row r="707">
      <c r="B707" s="59"/>
      <c r="D707" s="59"/>
      <c r="F707" s="59"/>
      <c r="H707" s="59"/>
      <c r="J707" s="59"/>
      <c r="L707" s="59"/>
      <c r="N707" s="59"/>
      <c r="Q707" s="59"/>
      <c r="R707" s="61"/>
    </row>
    <row r="708">
      <c r="B708" s="59"/>
      <c r="D708" s="59"/>
      <c r="F708" s="59"/>
      <c r="H708" s="59"/>
      <c r="J708" s="59"/>
      <c r="L708" s="59"/>
      <c r="N708" s="59"/>
      <c r="Q708" s="59"/>
      <c r="R708" s="61"/>
    </row>
    <row r="709">
      <c r="B709" s="59"/>
      <c r="D709" s="59"/>
      <c r="F709" s="59"/>
      <c r="H709" s="59"/>
      <c r="J709" s="59"/>
      <c r="L709" s="59"/>
      <c r="N709" s="59"/>
      <c r="Q709" s="59"/>
      <c r="R709" s="61"/>
    </row>
    <row r="710">
      <c r="B710" s="59"/>
      <c r="D710" s="59"/>
      <c r="F710" s="59"/>
      <c r="H710" s="59"/>
      <c r="J710" s="59"/>
      <c r="L710" s="59"/>
      <c r="N710" s="59"/>
      <c r="Q710" s="59"/>
      <c r="R710" s="61"/>
    </row>
    <row r="711">
      <c r="B711" s="59"/>
      <c r="D711" s="59"/>
      <c r="F711" s="59"/>
      <c r="H711" s="59"/>
      <c r="J711" s="59"/>
      <c r="L711" s="59"/>
      <c r="N711" s="59"/>
      <c r="Q711" s="59"/>
      <c r="R711" s="61"/>
    </row>
    <row r="712">
      <c r="B712" s="59"/>
      <c r="D712" s="59"/>
      <c r="F712" s="59"/>
      <c r="H712" s="59"/>
      <c r="J712" s="59"/>
      <c r="L712" s="59"/>
      <c r="N712" s="59"/>
      <c r="Q712" s="59"/>
      <c r="R712" s="61"/>
    </row>
    <row r="713">
      <c r="B713" s="59"/>
      <c r="D713" s="59"/>
      <c r="F713" s="59"/>
      <c r="H713" s="59"/>
      <c r="J713" s="59"/>
      <c r="L713" s="59"/>
      <c r="N713" s="59"/>
      <c r="Q713" s="59"/>
      <c r="R713" s="61"/>
    </row>
    <row r="714">
      <c r="B714" s="59"/>
      <c r="D714" s="59"/>
      <c r="F714" s="59"/>
      <c r="H714" s="59"/>
      <c r="J714" s="59"/>
      <c r="L714" s="59"/>
      <c r="N714" s="59"/>
      <c r="Q714" s="59"/>
      <c r="R714" s="61"/>
    </row>
    <row r="715">
      <c r="B715" s="59"/>
      <c r="D715" s="59"/>
      <c r="F715" s="59"/>
      <c r="H715" s="59"/>
      <c r="J715" s="59"/>
      <c r="L715" s="59"/>
      <c r="N715" s="59"/>
      <c r="Q715" s="59"/>
      <c r="R715" s="61"/>
    </row>
    <row r="716">
      <c r="B716" s="59"/>
      <c r="D716" s="59"/>
      <c r="F716" s="59"/>
      <c r="H716" s="59"/>
      <c r="J716" s="59"/>
      <c r="L716" s="59"/>
      <c r="N716" s="59"/>
      <c r="Q716" s="59"/>
      <c r="R716" s="61"/>
    </row>
    <row r="717">
      <c r="B717" s="59"/>
      <c r="D717" s="59"/>
      <c r="F717" s="59"/>
      <c r="H717" s="59"/>
      <c r="J717" s="59"/>
      <c r="L717" s="59"/>
      <c r="N717" s="59"/>
      <c r="Q717" s="59"/>
      <c r="R717" s="61"/>
    </row>
    <row r="718">
      <c r="B718" s="59"/>
      <c r="D718" s="59"/>
      <c r="F718" s="59"/>
      <c r="H718" s="59"/>
      <c r="J718" s="59"/>
      <c r="L718" s="59"/>
      <c r="N718" s="59"/>
      <c r="Q718" s="59"/>
      <c r="R718" s="61"/>
    </row>
    <row r="719">
      <c r="B719" s="59"/>
      <c r="D719" s="59"/>
      <c r="F719" s="59"/>
      <c r="H719" s="59"/>
      <c r="J719" s="59"/>
      <c r="L719" s="59"/>
      <c r="N719" s="59"/>
      <c r="Q719" s="59"/>
      <c r="R719" s="61"/>
    </row>
    <row r="720">
      <c r="B720" s="59"/>
      <c r="D720" s="59"/>
      <c r="F720" s="59"/>
      <c r="H720" s="59"/>
      <c r="J720" s="59"/>
      <c r="L720" s="59"/>
      <c r="N720" s="59"/>
      <c r="Q720" s="59"/>
      <c r="R720" s="61"/>
    </row>
    <row r="721">
      <c r="B721" s="59"/>
      <c r="D721" s="59"/>
      <c r="F721" s="59"/>
      <c r="H721" s="59"/>
      <c r="J721" s="59"/>
      <c r="L721" s="59"/>
      <c r="N721" s="59"/>
      <c r="Q721" s="59"/>
      <c r="R721" s="61"/>
    </row>
    <row r="722">
      <c r="B722" s="59"/>
      <c r="D722" s="59"/>
      <c r="F722" s="59"/>
      <c r="H722" s="59"/>
      <c r="J722" s="59"/>
      <c r="L722" s="59"/>
      <c r="N722" s="59"/>
      <c r="Q722" s="59"/>
      <c r="R722" s="61"/>
    </row>
    <row r="723">
      <c r="B723" s="59"/>
      <c r="D723" s="59"/>
      <c r="F723" s="59"/>
      <c r="H723" s="59"/>
      <c r="J723" s="59"/>
      <c r="L723" s="59"/>
      <c r="N723" s="59"/>
      <c r="Q723" s="59"/>
      <c r="R723" s="61"/>
    </row>
    <row r="724">
      <c r="B724" s="59"/>
      <c r="D724" s="59"/>
      <c r="F724" s="59"/>
      <c r="H724" s="59"/>
      <c r="J724" s="59"/>
      <c r="L724" s="59"/>
      <c r="N724" s="59"/>
      <c r="Q724" s="59"/>
      <c r="R724" s="61"/>
    </row>
    <row r="725">
      <c r="B725" s="59"/>
      <c r="D725" s="59"/>
      <c r="F725" s="59"/>
      <c r="H725" s="59"/>
      <c r="J725" s="59"/>
      <c r="L725" s="59"/>
      <c r="N725" s="59"/>
      <c r="Q725" s="59"/>
      <c r="R725" s="61"/>
    </row>
    <row r="726">
      <c r="B726" s="59"/>
      <c r="D726" s="59"/>
      <c r="F726" s="59"/>
      <c r="H726" s="59"/>
      <c r="J726" s="59"/>
      <c r="L726" s="59"/>
      <c r="N726" s="59"/>
      <c r="Q726" s="59"/>
      <c r="R726" s="61"/>
    </row>
    <row r="727">
      <c r="B727" s="59"/>
      <c r="D727" s="59"/>
      <c r="F727" s="59"/>
      <c r="H727" s="59"/>
      <c r="J727" s="59"/>
      <c r="L727" s="59"/>
      <c r="N727" s="59"/>
      <c r="Q727" s="59"/>
      <c r="R727" s="61"/>
    </row>
    <row r="728">
      <c r="B728" s="59"/>
      <c r="D728" s="59"/>
      <c r="F728" s="59"/>
      <c r="H728" s="59"/>
      <c r="J728" s="59"/>
      <c r="L728" s="59"/>
      <c r="N728" s="59"/>
      <c r="Q728" s="59"/>
      <c r="R728" s="61"/>
    </row>
    <row r="729">
      <c r="B729" s="59"/>
      <c r="D729" s="59"/>
      <c r="F729" s="59"/>
      <c r="H729" s="59"/>
      <c r="J729" s="59"/>
      <c r="L729" s="59"/>
      <c r="N729" s="59"/>
      <c r="Q729" s="59"/>
      <c r="R729" s="61"/>
    </row>
    <row r="730">
      <c r="B730" s="59"/>
      <c r="D730" s="59"/>
      <c r="F730" s="59"/>
      <c r="H730" s="59"/>
      <c r="J730" s="59"/>
      <c r="L730" s="59"/>
      <c r="N730" s="59"/>
      <c r="Q730" s="59"/>
      <c r="R730" s="61"/>
    </row>
    <row r="731">
      <c r="B731" s="59"/>
      <c r="D731" s="59"/>
      <c r="F731" s="59"/>
      <c r="H731" s="59"/>
      <c r="J731" s="59"/>
      <c r="L731" s="59"/>
      <c r="N731" s="59"/>
      <c r="Q731" s="59"/>
      <c r="R731" s="61"/>
    </row>
    <row r="732">
      <c r="B732" s="59"/>
      <c r="D732" s="59"/>
      <c r="F732" s="59"/>
      <c r="H732" s="59"/>
      <c r="J732" s="59"/>
      <c r="L732" s="59"/>
      <c r="N732" s="59"/>
      <c r="Q732" s="59"/>
      <c r="R732" s="61"/>
    </row>
    <row r="733">
      <c r="B733" s="59"/>
      <c r="D733" s="59"/>
      <c r="F733" s="59"/>
      <c r="H733" s="59"/>
      <c r="J733" s="59"/>
      <c r="L733" s="59"/>
      <c r="N733" s="59"/>
      <c r="Q733" s="59"/>
      <c r="R733" s="61"/>
    </row>
    <row r="734">
      <c r="B734" s="59"/>
      <c r="D734" s="59"/>
      <c r="F734" s="59"/>
      <c r="H734" s="59"/>
      <c r="J734" s="59"/>
      <c r="L734" s="59"/>
      <c r="N734" s="59"/>
      <c r="Q734" s="59"/>
      <c r="R734" s="61"/>
    </row>
    <row r="735">
      <c r="B735" s="59"/>
      <c r="D735" s="59"/>
      <c r="F735" s="59"/>
      <c r="H735" s="59"/>
      <c r="J735" s="59"/>
      <c r="L735" s="59"/>
      <c r="N735" s="59"/>
      <c r="Q735" s="59"/>
      <c r="R735" s="61"/>
    </row>
    <row r="736">
      <c r="B736" s="59"/>
      <c r="D736" s="59"/>
      <c r="F736" s="59"/>
      <c r="H736" s="59"/>
      <c r="J736" s="59"/>
      <c r="L736" s="59"/>
      <c r="N736" s="59"/>
      <c r="Q736" s="59"/>
      <c r="R736" s="61"/>
    </row>
    <row r="737">
      <c r="B737" s="59"/>
      <c r="D737" s="59"/>
      <c r="F737" s="59"/>
      <c r="H737" s="59"/>
      <c r="J737" s="59"/>
      <c r="L737" s="59"/>
      <c r="N737" s="59"/>
      <c r="Q737" s="59"/>
      <c r="R737" s="61"/>
    </row>
    <row r="738">
      <c r="B738" s="59"/>
      <c r="D738" s="59"/>
      <c r="F738" s="59"/>
      <c r="H738" s="59"/>
      <c r="J738" s="59"/>
      <c r="L738" s="59"/>
      <c r="N738" s="59"/>
      <c r="Q738" s="59"/>
      <c r="R738" s="61"/>
    </row>
    <row r="739">
      <c r="B739" s="59"/>
      <c r="D739" s="59"/>
      <c r="F739" s="59"/>
      <c r="H739" s="59"/>
      <c r="J739" s="59"/>
      <c r="L739" s="59"/>
      <c r="N739" s="59"/>
      <c r="Q739" s="59"/>
      <c r="R739" s="61"/>
    </row>
    <row r="740">
      <c r="B740" s="59"/>
      <c r="D740" s="59"/>
      <c r="F740" s="59"/>
      <c r="H740" s="59"/>
      <c r="J740" s="59"/>
      <c r="L740" s="59"/>
      <c r="N740" s="59"/>
      <c r="Q740" s="59"/>
      <c r="R740" s="61"/>
    </row>
    <row r="741">
      <c r="B741" s="59"/>
      <c r="D741" s="59"/>
      <c r="F741" s="59"/>
      <c r="H741" s="59"/>
      <c r="J741" s="59"/>
      <c r="L741" s="59"/>
      <c r="N741" s="59"/>
      <c r="Q741" s="59"/>
      <c r="R741" s="61"/>
    </row>
    <row r="742">
      <c r="B742" s="59"/>
      <c r="D742" s="59"/>
      <c r="F742" s="59"/>
      <c r="H742" s="59"/>
      <c r="J742" s="59"/>
      <c r="L742" s="59"/>
      <c r="N742" s="59"/>
      <c r="Q742" s="59"/>
      <c r="R742" s="61"/>
    </row>
    <row r="743">
      <c r="B743" s="59"/>
      <c r="D743" s="59"/>
      <c r="F743" s="59"/>
      <c r="H743" s="59"/>
      <c r="J743" s="59"/>
      <c r="L743" s="59"/>
      <c r="N743" s="59"/>
      <c r="Q743" s="59"/>
      <c r="R743" s="61"/>
    </row>
    <row r="744">
      <c r="B744" s="59"/>
      <c r="D744" s="59"/>
      <c r="F744" s="59"/>
      <c r="H744" s="59"/>
      <c r="J744" s="59"/>
      <c r="L744" s="59"/>
      <c r="N744" s="59"/>
      <c r="Q744" s="59"/>
      <c r="R744" s="61"/>
    </row>
    <row r="745">
      <c r="B745" s="59"/>
      <c r="D745" s="59"/>
      <c r="F745" s="59"/>
      <c r="H745" s="59"/>
      <c r="J745" s="59"/>
      <c r="L745" s="59"/>
      <c r="N745" s="59"/>
      <c r="Q745" s="59"/>
      <c r="R745" s="61"/>
    </row>
    <row r="746">
      <c r="B746" s="59"/>
      <c r="D746" s="59"/>
      <c r="F746" s="59"/>
      <c r="H746" s="59"/>
      <c r="J746" s="59"/>
      <c r="L746" s="59"/>
      <c r="N746" s="59"/>
      <c r="Q746" s="59"/>
      <c r="R746" s="61"/>
    </row>
    <row r="747">
      <c r="B747" s="59"/>
      <c r="D747" s="59"/>
      <c r="F747" s="59"/>
      <c r="H747" s="59"/>
      <c r="J747" s="59"/>
      <c r="L747" s="59"/>
      <c r="N747" s="59"/>
      <c r="Q747" s="59"/>
      <c r="R747" s="61"/>
    </row>
    <row r="748">
      <c r="B748" s="59"/>
      <c r="D748" s="59"/>
      <c r="F748" s="59"/>
      <c r="H748" s="59"/>
      <c r="J748" s="59"/>
      <c r="L748" s="59"/>
      <c r="N748" s="59"/>
      <c r="Q748" s="59"/>
      <c r="R748" s="61"/>
    </row>
    <row r="749">
      <c r="B749" s="59"/>
      <c r="D749" s="59"/>
      <c r="F749" s="59"/>
      <c r="H749" s="59"/>
      <c r="J749" s="59"/>
      <c r="L749" s="59"/>
      <c r="N749" s="59"/>
      <c r="Q749" s="59"/>
      <c r="R749" s="61"/>
    </row>
    <row r="750">
      <c r="B750" s="59"/>
      <c r="D750" s="59"/>
      <c r="F750" s="59"/>
      <c r="H750" s="59"/>
      <c r="J750" s="59"/>
      <c r="L750" s="59"/>
      <c r="N750" s="59"/>
      <c r="Q750" s="59"/>
      <c r="R750" s="61"/>
    </row>
    <row r="751">
      <c r="B751" s="59"/>
      <c r="D751" s="59"/>
      <c r="F751" s="59"/>
      <c r="H751" s="59"/>
      <c r="J751" s="59"/>
      <c r="L751" s="59"/>
      <c r="N751" s="59"/>
      <c r="Q751" s="59"/>
      <c r="R751" s="61"/>
    </row>
    <row r="752">
      <c r="B752" s="59"/>
      <c r="D752" s="59"/>
      <c r="F752" s="59"/>
      <c r="H752" s="59"/>
      <c r="J752" s="59"/>
      <c r="L752" s="59"/>
      <c r="N752" s="59"/>
      <c r="Q752" s="59"/>
      <c r="R752" s="61"/>
    </row>
    <row r="753">
      <c r="B753" s="59"/>
      <c r="D753" s="59"/>
      <c r="F753" s="59"/>
      <c r="H753" s="59"/>
      <c r="J753" s="59"/>
      <c r="L753" s="59"/>
      <c r="N753" s="59"/>
      <c r="Q753" s="59"/>
      <c r="R753" s="61"/>
    </row>
    <row r="754">
      <c r="B754" s="59"/>
      <c r="D754" s="59"/>
      <c r="F754" s="59"/>
      <c r="H754" s="59"/>
      <c r="J754" s="59"/>
      <c r="L754" s="59"/>
      <c r="N754" s="59"/>
      <c r="Q754" s="59"/>
      <c r="R754" s="61"/>
    </row>
    <row r="755">
      <c r="B755" s="59"/>
      <c r="D755" s="59"/>
      <c r="F755" s="59"/>
      <c r="H755" s="59"/>
      <c r="J755" s="59"/>
      <c r="L755" s="59"/>
      <c r="N755" s="59"/>
      <c r="Q755" s="59"/>
      <c r="R755" s="61"/>
    </row>
    <row r="756">
      <c r="B756" s="59"/>
      <c r="D756" s="59"/>
      <c r="F756" s="59"/>
      <c r="H756" s="59"/>
      <c r="J756" s="59"/>
      <c r="L756" s="59"/>
      <c r="N756" s="59"/>
      <c r="Q756" s="59"/>
      <c r="R756" s="61"/>
    </row>
    <row r="757">
      <c r="B757" s="59"/>
      <c r="D757" s="59"/>
      <c r="F757" s="59"/>
      <c r="H757" s="59"/>
      <c r="J757" s="59"/>
      <c r="L757" s="59"/>
      <c r="N757" s="59"/>
      <c r="Q757" s="59"/>
      <c r="R757" s="61"/>
    </row>
    <row r="758">
      <c r="B758" s="59"/>
      <c r="D758" s="59"/>
      <c r="F758" s="59"/>
      <c r="H758" s="59"/>
      <c r="J758" s="59"/>
      <c r="L758" s="59"/>
      <c r="N758" s="59"/>
      <c r="Q758" s="59"/>
      <c r="R758" s="61"/>
    </row>
    <row r="759">
      <c r="B759" s="59"/>
      <c r="D759" s="59"/>
      <c r="F759" s="59"/>
      <c r="H759" s="59"/>
      <c r="J759" s="59"/>
      <c r="L759" s="59"/>
      <c r="N759" s="59"/>
      <c r="Q759" s="59"/>
      <c r="R759" s="61"/>
    </row>
    <row r="760">
      <c r="B760" s="59"/>
      <c r="D760" s="59"/>
      <c r="F760" s="59"/>
      <c r="H760" s="59"/>
      <c r="J760" s="59"/>
      <c r="L760" s="59"/>
      <c r="N760" s="59"/>
      <c r="Q760" s="59"/>
      <c r="R760" s="61"/>
    </row>
    <row r="761">
      <c r="B761" s="59"/>
      <c r="D761" s="59"/>
      <c r="F761" s="59"/>
      <c r="H761" s="59"/>
      <c r="J761" s="59"/>
      <c r="L761" s="59"/>
      <c r="N761" s="59"/>
      <c r="Q761" s="59"/>
      <c r="R761" s="61"/>
    </row>
    <row r="762">
      <c r="B762" s="59"/>
      <c r="D762" s="59"/>
      <c r="F762" s="59"/>
      <c r="H762" s="59"/>
      <c r="J762" s="59"/>
      <c r="L762" s="59"/>
      <c r="N762" s="59"/>
      <c r="Q762" s="59"/>
      <c r="R762" s="61"/>
    </row>
    <row r="763">
      <c r="B763" s="59"/>
      <c r="D763" s="59"/>
      <c r="F763" s="59"/>
      <c r="H763" s="59"/>
      <c r="J763" s="59"/>
      <c r="L763" s="59"/>
      <c r="N763" s="59"/>
      <c r="Q763" s="59"/>
      <c r="R763" s="61"/>
    </row>
    <row r="764">
      <c r="B764" s="59"/>
      <c r="D764" s="59"/>
      <c r="F764" s="59"/>
      <c r="H764" s="59"/>
      <c r="J764" s="59"/>
      <c r="L764" s="59"/>
      <c r="N764" s="59"/>
      <c r="Q764" s="59"/>
      <c r="R764" s="61"/>
    </row>
    <row r="765">
      <c r="B765" s="59"/>
      <c r="D765" s="59"/>
      <c r="F765" s="59"/>
      <c r="H765" s="59"/>
      <c r="J765" s="59"/>
      <c r="L765" s="59"/>
      <c r="N765" s="59"/>
      <c r="Q765" s="59"/>
      <c r="R765" s="61"/>
    </row>
    <row r="766">
      <c r="B766" s="59"/>
      <c r="D766" s="59"/>
      <c r="F766" s="59"/>
      <c r="H766" s="59"/>
      <c r="J766" s="59"/>
      <c r="L766" s="59"/>
      <c r="N766" s="59"/>
      <c r="Q766" s="59"/>
      <c r="R766" s="61"/>
    </row>
    <row r="767">
      <c r="B767" s="59"/>
      <c r="D767" s="59"/>
      <c r="F767" s="59"/>
      <c r="H767" s="59"/>
      <c r="J767" s="59"/>
      <c r="L767" s="59"/>
      <c r="N767" s="59"/>
      <c r="Q767" s="59"/>
      <c r="R767" s="61"/>
    </row>
    <row r="768">
      <c r="B768" s="59"/>
      <c r="D768" s="59"/>
      <c r="F768" s="59"/>
      <c r="H768" s="59"/>
      <c r="J768" s="59"/>
      <c r="L768" s="59"/>
      <c r="N768" s="59"/>
      <c r="Q768" s="59"/>
      <c r="R768" s="61"/>
    </row>
    <row r="769">
      <c r="B769" s="59"/>
      <c r="D769" s="59"/>
      <c r="F769" s="59"/>
      <c r="H769" s="59"/>
      <c r="J769" s="59"/>
      <c r="L769" s="59"/>
      <c r="N769" s="59"/>
      <c r="Q769" s="59"/>
      <c r="R769" s="61"/>
    </row>
    <row r="770">
      <c r="B770" s="59"/>
      <c r="D770" s="59"/>
      <c r="F770" s="59"/>
      <c r="H770" s="59"/>
      <c r="J770" s="59"/>
      <c r="L770" s="59"/>
      <c r="N770" s="59"/>
      <c r="Q770" s="59"/>
      <c r="R770" s="61"/>
    </row>
    <row r="771">
      <c r="B771" s="59"/>
      <c r="D771" s="59"/>
      <c r="F771" s="59"/>
      <c r="H771" s="59"/>
      <c r="J771" s="59"/>
      <c r="L771" s="59"/>
      <c r="N771" s="59"/>
      <c r="Q771" s="59"/>
      <c r="R771" s="61"/>
    </row>
    <row r="772">
      <c r="B772" s="59"/>
      <c r="D772" s="59"/>
      <c r="F772" s="59"/>
      <c r="H772" s="59"/>
      <c r="J772" s="59"/>
      <c r="L772" s="59"/>
      <c r="N772" s="59"/>
      <c r="Q772" s="59"/>
      <c r="R772" s="61"/>
    </row>
    <row r="773">
      <c r="B773" s="59"/>
      <c r="D773" s="59"/>
      <c r="F773" s="59"/>
      <c r="H773" s="59"/>
      <c r="J773" s="59"/>
      <c r="L773" s="59"/>
      <c r="N773" s="59"/>
      <c r="Q773" s="59"/>
      <c r="R773" s="61"/>
    </row>
    <row r="774">
      <c r="B774" s="59"/>
      <c r="D774" s="59"/>
      <c r="F774" s="59"/>
      <c r="H774" s="59"/>
      <c r="J774" s="59"/>
      <c r="L774" s="59"/>
      <c r="N774" s="59"/>
      <c r="Q774" s="59"/>
      <c r="R774" s="61"/>
    </row>
    <row r="775">
      <c r="B775" s="59"/>
      <c r="D775" s="59"/>
      <c r="F775" s="59"/>
      <c r="H775" s="59"/>
      <c r="J775" s="59"/>
      <c r="L775" s="59"/>
      <c r="N775" s="59"/>
      <c r="Q775" s="59"/>
      <c r="R775" s="61"/>
    </row>
    <row r="776">
      <c r="B776" s="59"/>
      <c r="D776" s="59"/>
      <c r="F776" s="59"/>
      <c r="H776" s="59"/>
      <c r="J776" s="59"/>
      <c r="L776" s="59"/>
      <c r="N776" s="59"/>
      <c r="Q776" s="59"/>
      <c r="R776" s="61"/>
    </row>
    <row r="777">
      <c r="B777" s="59"/>
      <c r="D777" s="59"/>
      <c r="F777" s="59"/>
      <c r="H777" s="59"/>
      <c r="J777" s="59"/>
      <c r="L777" s="59"/>
      <c r="N777" s="59"/>
      <c r="Q777" s="59"/>
      <c r="R777" s="61"/>
    </row>
    <row r="778">
      <c r="B778" s="59"/>
      <c r="D778" s="59"/>
      <c r="F778" s="59"/>
      <c r="H778" s="59"/>
      <c r="J778" s="59"/>
      <c r="L778" s="59"/>
      <c r="N778" s="59"/>
      <c r="Q778" s="59"/>
      <c r="R778" s="61"/>
    </row>
    <row r="779">
      <c r="B779" s="59"/>
      <c r="D779" s="59"/>
      <c r="F779" s="59"/>
      <c r="H779" s="59"/>
      <c r="J779" s="59"/>
      <c r="L779" s="59"/>
      <c r="N779" s="59"/>
      <c r="Q779" s="59"/>
      <c r="R779" s="61"/>
    </row>
    <row r="780">
      <c r="B780" s="59"/>
      <c r="D780" s="59"/>
      <c r="F780" s="59"/>
      <c r="H780" s="59"/>
      <c r="J780" s="59"/>
      <c r="L780" s="59"/>
      <c r="N780" s="59"/>
      <c r="Q780" s="59"/>
      <c r="R780" s="61"/>
    </row>
    <row r="781">
      <c r="B781" s="59"/>
      <c r="D781" s="59"/>
      <c r="F781" s="59"/>
      <c r="H781" s="59"/>
      <c r="J781" s="59"/>
      <c r="L781" s="59"/>
      <c r="N781" s="59"/>
      <c r="Q781" s="59"/>
      <c r="R781" s="61"/>
    </row>
    <row r="782">
      <c r="B782" s="59"/>
      <c r="D782" s="59"/>
      <c r="F782" s="59"/>
      <c r="H782" s="59"/>
      <c r="J782" s="59"/>
      <c r="L782" s="59"/>
      <c r="N782" s="59"/>
      <c r="Q782" s="59"/>
      <c r="R782" s="61"/>
    </row>
    <row r="783">
      <c r="B783" s="59"/>
      <c r="D783" s="59"/>
      <c r="F783" s="59"/>
      <c r="H783" s="59"/>
      <c r="J783" s="59"/>
      <c r="L783" s="59"/>
      <c r="N783" s="59"/>
      <c r="Q783" s="59"/>
      <c r="R783" s="61"/>
    </row>
    <row r="784">
      <c r="B784" s="59"/>
      <c r="D784" s="59"/>
      <c r="F784" s="59"/>
      <c r="H784" s="59"/>
      <c r="J784" s="59"/>
      <c r="L784" s="59"/>
      <c r="N784" s="59"/>
      <c r="Q784" s="59"/>
      <c r="R784" s="61"/>
    </row>
    <row r="785">
      <c r="B785" s="59"/>
      <c r="D785" s="59"/>
      <c r="F785" s="59"/>
      <c r="H785" s="59"/>
      <c r="J785" s="59"/>
      <c r="L785" s="59"/>
      <c r="N785" s="59"/>
      <c r="Q785" s="59"/>
      <c r="R785" s="61"/>
    </row>
    <row r="786">
      <c r="B786" s="59"/>
      <c r="D786" s="59"/>
      <c r="F786" s="59"/>
      <c r="H786" s="59"/>
      <c r="J786" s="59"/>
      <c r="L786" s="59"/>
      <c r="N786" s="59"/>
      <c r="Q786" s="59"/>
      <c r="R786" s="61"/>
    </row>
    <row r="787">
      <c r="B787" s="59"/>
      <c r="D787" s="59"/>
      <c r="F787" s="59"/>
      <c r="H787" s="59"/>
      <c r="J787" s="59"/>
      <c r="L787" s="59"/>
      <c r="N787" s="59"/>
      <c r="Q787" s="59"/>
      <c r="R787" s="61"/>
    </row>
    <row r="788">
      <c r="B788" s="59"/>
      <c r="D788" s="59"/>
      <c r="F788" s="59"/>
      <c r="H788" s="59"/>
      <c r="J788" s="59"/>
      <c r="L788" s="59"/>
      <c r="N788" s="59"/>
      <c r="Q788" s="59"/>
      <c r="R788" s="61"/>
    </row>
    <row r="789">
      <c r="B789" s="59"/>
      <c r="D789" s="59"/>
      <c r="F789" s="59"/>
      <c r="H789" s="59"/>
      <c r="J789" s="59"/>
      <c r="L789" s="59"/>
      <c r="N789" s="59"/>
      <c r="Q789" s="59"/>
      <c r="R789" s="61"/>
    </row>
    <row r="790">
      <c r="B790" s="59"/>
      <c r="D790" s="59"/>
      <c r="F790" s="59"/>
      <c r="H790" s="59"/>
      <c r="J790" s="59"/>
      <c r="L790" s="59"/>
      <c r="N790" s="59"/>
      <c r="Q790" s="59"/>
      <c r="R790" s="61"/>
    </row>
    <row r="791">
      <c r="B791" s="59"/>
      <c r="D791" s="59"/>
      <c r="F791" s="59"/>
      <c r="H791" s="59"/>
      <c r="J791" s="59"/>
      <c r="L791" s="59"/>
      <c r="N791" s="59"/>
      <c r="Q791" s="59"/>
      <c r="R791" s="61"/>
    </row>
    <row r="792">
      <c r="B792" s="59"/>
      <c r="D792" s="59"/>
      <c r="F792" s="59"/>
      <c r="H792" s="59"/>
      <c r="J792" s="59"/>
      <c r="L792" s="59"/>
      <c r="N792" s="59"/>
      <c r="Q792" s="59"/>
      <c r="R792" s="61"/>
    </row>
    <row r="793">
      <c r="B793" s="59"/>
      <c r="D793" s="59"/>
      <c r="F793" s="59"/>
      <c r="H793" s="59"/>
      <c r="J793" s="59"/>
      <c r="L793" s="59"/>
      <c r="N793" s="59"/>
      <c r="Q793" s="59"/>
      <c r="R793" s="61"/>
    </row>
    <row r="794">
      <c r="B794" s="59"/>
      <c r="D794" s="59"/>
      <c r="F794" s="59"/>
      <c r="H794" s="59"/>
      <c r="J794" s="59"/>
      <c r="L794" s="59"/>
      <c r="N794" s="59"/>
      <c r="Q794" s="59"/>
      <c r="R794" s="61"/>
    </row>
    <row r="795">
      <c r="B795" s="59"/>
      <c r="D795" s="59"/>
      <c r="F795" s="59"/>
      <c r="H795" s="59"/>
      <c r="J795" s="59"/>
      <c r="L795" s="59"/>
      <c r="N795" s="59"/>
      <c r="Q795" s="59"/>
      <c r="R795" s="61"/>
    </row>
    <row r="796">
      <c r="B796" s="59"/>
      <c r="D796" s="59"/>
      <c r="F796" s="59"/>
      <c r="H796" s="59"/>
      <c r="J796" s="59"/>
      <c r="L796" s="59"/>
      <c r="N796" s="59"/>
      <c r="Q796" s="59"/>
      <c r="R796" s="61"/>
    </row>
    <row r="797">
      <c r="B797" s="59"/>
      <c r="D797" s="59"/>
      <c r="F797" s="59"/>
      <c r="H797" s="59"/>
      <c r="J797" s="59"/>
      <c r="L797" s="59"/>
      <c r="N797" s="59"/>
      <c r="Q797" s="59"/>
      <c r="R797" s="61"/>
    </row>
    <row r="798">
      <c r="B798" s="59"/>
      <c r="D798" s="59"/>
      <c r="F798" s="59"/>
      <c r="H798" s="59"/>
      <c r="J798" s="59"/>
      <c r="L798" s="59"/>
      <c r="N798" s="59"/>
      <c r="Q798" s="59"/>
      <c r="R798" s="61"/>
    </row>
    <row r="799">
      <c r="B799" s="59"/>
      <c r="D799" s="59"/>
      <c r="F799" s="59"/>
      <c r="H799" s="59"/>
      <c r="J799" s="59"/>
      <c r="L799" s="59"/>
      <c r="N799" s="59"/>
      <c r="Q799" s="59"/>
      <c r="R799" s="61"/>
    </row>
    <row r="800">
      <c r="B800" s="59"/>
      <c r="D800" s="59"/>
      <c r="F800" s="59"/>
      <c r="H800" s="59"/>
      <c r="J800" s="59"/>
      <c r="L800" s="59"/>
      <c r="N800" s="59"/>
      <c r="Q800" s="59"/>
      <c r="R800" s="61"/>
    </row>
    <row r="801">
      <c r="B801" s="59"/>
      <c r="D801" s="59"/>
      <c r="F801" s="59"/>
      <c r="H801" s="59"/>
      <c r="J801" s="59"/>
      <c r="L801" s="59"/>
      <c r="N801" s="59"/>
      <c r="Q801" s="59"/>
      <c r="R801" s="61"/>
    </row>
    <row r="802">
      <c r="B802" s="59"/>
      <c r="D802" s="59"/>
      <c r="F802" s="59"/>
      <c r="H802" s="59"/>
      <c r="J802" s="59"/>
      <c r="L802" s="59"/>
      <c r="N802" s="59"/>
      <c r="Q802" s="59"/>
      <c r="R802" s="61"/>
    </row>
    <row r="803">
      <c r="B803" s="59"/>
      <c r="D803" s="59"/>
      <c r="F803" s="59"/>
      <c r="H803" s="59"/>
      <c r="J803" s="59"/>
      <c r="L803" s="59"/>
      <c r="N803" s="59"/>
      <c r="Q803" s="59"/>
      <c r="R803" s="61"/>
    </row>
    <row r="804">
      <c r="B804" s="59"/>
      <c r="D804" s="59"/>
      <c r="F804" s="59"/>
      <c r="H804" s="59"/>
      <c r="J804" s="59"/>
      <c r="L804" s="59"/>
      <c r="N804" s="59"/>
      <c r="Q804" s="59"/>
      <c r="R804" s="61"/>
    </row>
    <row r="805">
      <c r="B805" s="59"/>
      <c r="D805" s="59"/>
      <c r="F805" s="59"/>
      <c r="H805" s="59"/>
      <c r="J805" s="59"/>
      <c r="L805" s="59"/>
      <c r="N805" s="59"/>
      <c r="Q805" s="59"/>
      <c r="R805" s="61"/>
    </row>
    <row r="806">
      <c r="B806" s="59"/>
      <c r="D806" s="59"/>
      <c r="F806" s="59"/>
      <c r="H806" s="59"/>
      <c r="J806" s="59"/>
      <c r="L806" s="59"/>
      <c r="N806" s="59"/>
      <c r="Q806" s="59"/>
      <c r="R806" s="61"/>
    </row>
    <row r="807">
      <c r="B807" s="59"/>
      <c r="D807" s="59"/>
      <c r="F807" s="59"/>
      <c r="H807" s="59"/>
      <c r="J807" s="59"/>
      <c r="L807" s="59"/>
      <c r="N807" s="59"/>
      <c r="Q807" s="59"/>
      <c r="R807" s="61"/>
    </row>
    <row r="808">
      <c r="B808" s="59"/>
      <c r="D808" s="59"/>
      <c r="F808" s="59"/>
      <c r="H808" s="59"/>
      <c r="J808" s="59"/>
      <c r="L808" s="59"/>
      <c r="N808" s="59"/>
      <c r="Q808" s="59"/>
      <c r="R808" s="61"/>
    </row>
    <row r="809">
      <c r="B809" s="59"/>
      <c r="D809" s="59"/>
      <c r="F809" s="59"/>
      <c r="H809" s="59"/>
      <c r="J809" s="59"/>
      <c r="L809" s="59"/>
      <c r="N809" s="59"/>
      <c r="Q809" s="59"/>
      <c r="R809" s="61"/>
    </row>
    <row r="810">
      <c r="B810" s="59"/>
      <c r="D810" s="59"/>
      <c r="F810" s="59"/>
      <c r="H810" s="59"/>
      <c r="J810" s="59"/>
      <c r="L810" s="59"/>
      <c r="N810" s="59"/>
      <c r="Q810" s="59"/>
      <c r="R810" s="61"/>
    </row>
    <row r="811">
      <c r="B811" s="59"/>
      <c r="D811" s="59"/>
      <c r="F811" s="59"/>
      <c r="H811" s="59"/>
      <c r="J811" s="59"/>
      <c r="L811" s="59"/>
      <c r="N811" s="59"/>
      <c r="Q811" s="59"/>
      <c r="R811" s="61"/>
    </row>
    <row r="812">
      <c r="B812" s="59"/>
      <c r="D812" s="59"/>
      <c r="F812" s="59"/>
      <c r="H812" s="59"/>
      <c r="J812" s="59"/>
      <c r="L812" s="59"/>
      <c r="N812" s="59"/>
      <c r="Q812" s="59"/>
      <c r="R812" s="61"/>
    </row>
    <row r="813">
      <c r="B813" s="59"/>
      <c r="D813" s="59"/>
      <c r="F813" s="59"/>
      <c r="H813" s="59"/>
      <c r="J813" s="59"/>
      <c r="L813" s="59"/>
      <c r="N813" s="59"/>
      <c r="Q813" s="59"/>
      <c r="R813" s="61"/>
    </row>
    <row r="814">
      <c r="B814" s="59"/>
      <c r="D814" s="59"/>
      <c r="F814" s="59"/>
      <c r="H814" s="59"/>
      <c r="J814" s="59"/>
      <c r="L814" s="59"/>
      <c r="N814" s="59"/>
      <c r="Q814" s="59"/>
      <c r="R814" s="61"/>
    </row>
    <row r="815">
      <c r="B815" s="59"/>
      <c r="D815" s="59"/>
      <c r="F815" s="59"/>
      <c r="H815" s="59"/>
      <c r="J815" s="59"/>
      <c r="L815" s="59"/>
      <c r="N815" s="59"/>
      <c r="Q815" s="59"/>
      <c r="R815" s="61"/>
    </row>
    <row r="816">
      <c r="B816" s="59"/>
      <c r="D816" s="59"/>
      <c r="F816" s="59"/>
      <c r="H816" s="59"/>
      <c r="J816" s="59"/>
      <c r="L816" s="59"/>
      <c r="N816" s="59"/>
      <c r="Q816" s="59"/>
      <c r="R816" s="61"/>
    </row>
    <row r="817">
      <c r="B817" s="59"/>
      <c r="D817" s="59"/>
      <c r="F817" s="59"/>
      <c r="H817" s="59"/>
      <c r="J817" s="59"/>
      <c r="L817" s="59"/>
      <c r="N817" s="59"/>
      <c r="Q817" s="59"/>
      <c r="R817" s="61"/>
    </row>
    <row r="818">
      <c r="B818" s="59"/>
      <c r="D818" s="59"/>
      <c r="F818" s="59"/>
      <c r="H818" s="59"/>
      <c r="J818" s="59"/>
      <c r="L818" s="59"/>
      <c r="N818" s="59"/>
      <c r="Q818" s="59"/>
      <c r="R818" s="61"/>
    </row>
    <row r="819">
      <c r="B819" s="59"/>
      <c r="D819" s="59"/>
      <c r="F819" s="59"/>
      <c r="H819" s="59"/>
      <c r="J819" s="59"/>
      <c r="L819" s="59"/>
      <c r="N819" s="59"/>
      <c r="Q819" s="59"/>
      <c r="R819" s="61"/>
    </row>
    <row r="820">
      <c r="B820" s="59"/>
      <c r="D820" s="59"/>
      <c r="F820" s="59"/>
      <c r="H820" s="59"/>
      <c r="J820" s="59"/>
      <c r="L820" s="59"/>
      <c r="N820" s="59"/>
      <c r="Q820" s="59"/>
      <c r="R820" s="61"/>
    </row>
    <row r="821">
      <c r="B821" s="59"/>
      <c r="D821" s="59"/>
      <c r="F821" s="59"/>
      <c r="H821" s="59"/>
      <c r="J821" s="59"/>
      <c r="L821" s="59"/>
      <c r="N821" s="59"/>
      <c r="Q821" s="59"/>
      <c r="R821" s="61"/>
    </row>
    <row r="822">
      <c r="B822" s="59"/>
      <c r="D822" s="59"/>
      <c r="F822" s="59"/>
      <c r="H822" s="59"/>
      <c r="J822" s="59"/>
      <c r="L822" s="59"/>
      <c r="N822" s="59"/>
      <c r="Q822" s="59"/>
      <c r="R822" s="61"/>
    </row>
    <row r="823">
      <c r="B823" s="59"/>
      <c r="D823" s="59"/>
      <c r="F823" s="59"/>
      <c r="H823" s="59"/>
      <c r="J823" s="59"/>
      <c r="L823" s="59"/>
      <c r="N823" s="59"/>
      <c r="Q823" s="59"/>
      <c r="R823" s="61"/>
    </row>
    <row r="824">
      <c r="B824" s="59"/>
      <c r="D824" s="59"/>
      <c r="F824" s="59"/>
      <c r="H824" s="59"/>
      <c r="J824" s="59"/>
      <c r="L824" s="59"/>
      <c r="N824" s="59"/>
      <c r="Q824" s="59"/>
      <c r="R824" s="61"/>
    </row>
    <row r="825">
      <c r="B825" s="59"/>
      <c r="D825" s="59"/>
      <c r="F825" s="59"/>
      <c r="H825" s="59"/>
      <c r="J825" s="59"/>
      <c r="L825" s="59"/>
      <c r="N825" s="59"/>
      <c r="Q825" s="59"/>
      <c r="R825" s="61"/>
    </row>
    <row r="826">
      <c r="B826" s="59"/>
      <c r="D826" s="59"/>
      <c r="F826" s="59"/>
      <c r="H826" s="59"/>
      <c r="J826" s="59"/>
      <c r="L826" s="59"/>
      <c r="N826" s="59"/>
      <c r="Q826" s="59"/>
      <c r="R826" s="61"/>
    </row>
    <row r="827">
      <c r="B827" s="59"/>
      <c r="D827" s="59"/>
      <c r="F827" s="59"/>
      <c r="H827" s="59"/>
      <c r="J827" s="59"/>
      <c r="L827" s="59"/>
      <c r="N827" s="59"/>
      <c r="Q827" s="59"/>
      <c r="R827" s="61"/>
    </row>
    <row r="828">
      <c r="B828" s="59"/>
      <c r="D828" s="59"/>
      <c r="F828" s="59"/>
      <c r="H828" s="59"/>
      <c r="J828" s="59"/>
      <c r="L828" s="59"/>
      <c r="N828" s="59"/>
      <c r="Q828" s="59"/>
      <c r="R828" s="61"/>
    </row>
    <row r="829">
      <c r="B829" s="59"/>
      <c r="D829" s="59"/>
      <c r="F829" s="59"/>
      <c r="H829" s="59"/>
      <c r="J829" s="59"/>
      <c r="L829" s="59"/>
      <c r="N829" s="59"/>
      <c r="Q829" s="59"/>
      <c r="R829" s="61"/>
    </row>
    <row r="830">
      <c r="B830" s="59"/>
      <c r="D830" s="59"/>
      <c r="F830" s="59"/>
      <c r="H830" s="59"/>
      <c r="J830" s="59"/>
      <c r="L830" s="59"/>
      <c r="N830" s="59"/>
      <c r="Q830" s="59"/>
      <c r="R830" s="61"/>
    </row>
    <row r="831">
      <c r="B831" s="59"/>
      <c r="D831" s="59"/>
      <c r="F831" s="59"/>
      <c r="H831" s="59"/>
      <c r="J831" s="59"/>
      <c r="L831" s="59"/>
      <c r="N831" s="59"/>
      <c r="Q831" s="59"/>
      <c r="R831" s="61"/>
    </row>
    <row r="832">
      <c r="B832" s="59"/>
      <c r="D832" s="59"/>
      <c r="F832" s="59"/>
      <c r="H832" s="59"/>
      <c r="J832" s="59"/>
      <c r="L832" s="59"/>
      <c r="N832" s="59"/>
      <c r="Q832" s="59"/>
      <c r="R832" s="61"/>
    </row>
    <row r="833">
      <c r="B833" s="59"/>
      <c r="D833" s="59"/>
      <c r="F833" s="59"/>
      <c r="H833" s="59"/>
      <c r="J833" s="59"/>
      <c r="L833" s="59"/>
      <c r="N833" s="59"/>
      <c r="Q833" s="59"/>
      <c r="R833" s="61"/>
    </row>
    <row r="834">
      <c r="B834" s="59"/>
      <c r="D834" s="59"/>
      <c r="F834" s="59"/>
      <c r="H834" s="59"/>
      <c r="J834" s="59"/>
      <c r="L834" s="59"/>
      <c r="N834" s="59"/>
      <c r="Q834" s="59"/>
      <c r="R834" s="61"/>
    </row>
    <row r="835">
      <c r="B835" s="59"/>
      <c r="D835" s="59"/>
      <c r="F835" s="59"/>
      <c r="H835" s="59"/>
      <c r="J835" s="59"/>
      <c r="L835" s="59"/>
      <c r="N835" s="59"/>
      <c r="Q835" s="59"/>
      <c r="R835" s="61"/>
    </row>
    <row r="836">
      <c r="B836" s="59"/>
      <c r="D836" s="59"/>
      <c r="F836" s="59"/>
      <c r="H836" s="59"/>
      <c r="J836" s="59"/>
      <c r="L836" s="59"/>
      <c r="N836" s="59"/>
      <c r="Q836" s="59"/>
      <c r="R836" s="61"/>
    </row>
    <row r="837">
      <c r="B837" s="59"/>
      <c r="D837" s="59"/>
      <c r="F837" s="59"/>
      <c r="H837" s="59"/>
      <c r="J837" s="59"/>
      <c r="L837" s="59"/>
      <c r="N837" s="59"/>
      <c r="Q837" s="59"/>
      <c r="R837" s="61"/>
    </row>
    <row r="838">
      <c r="B838" s="59"/>
      <c r="D838" s="59"/>
      <c r="F838" s="59"/>
      <c r="H838" s="59"/>
      <c r="J838" s="59"/>
      <c r="L838" s="59"/>
      <c r="N838" s="59"/>
      <c r="Q838" s="59"/>
      <c r="R838" s="61"/>
    </row>
    <row r="839">
      <c r="B839" s="59"/>
      <c r="D839" s="59"/>
      <c r="F839" s="59"/>
      <c r="H839" s="59"/>
      <c r="J839" s="59"/>
      <c r="L839" s="59"/>
      <c r="N839" s="59"/>
      <c r="Q839" s="59"/>
      <c r="R839" s="61"/>
    </row>
    <row r="840">
      <c r="B840" s="59"/>
      <c r="D840" s="59"/>
      <c r="F840" s="59"/>
      <c r="H840" s="59"/>
      <c r="J840" s="59"/>
      <c r="L840" s="59"/>
      <c r="N840" s="59"/>
      <c r="Q840" s="59"/>
      <c r="R840" s="61"/>
    </row>
    <row r="841">
      <c r="B841" s="59"/>
      <c r="D841" s="59"/>
      <c r="F841" s="59"/>
      <c r="H841" s="59"/>
      <c r="J841" s="59"/>
      <c r="L841" s="59"/>
      <c r="N841" s="59"/>
      <c r="Q841" s="59"/>
      <c r="R841" s="61"/>
    </row>
    <row r="842">
      <c r="B842" s="59"/>
      <c r="D842" s="59"/>
      <c r="F842" s="59"/>
      <c r="H842" s="59"/>
      <c r="J842" s="59"/>
      <c r="L842" s="59"/>
      <c r="N842" s="59"/>
      <c r="Q842" s="59"/>
      <c r="R842" s="61"/>
    </row>
    <row r="843">
      <c r="B843" s="59"/>
      <c r="D843" s="59"/>
      <c r="F843" s="59"/>
      <c r="H843" s="59"/>
      <c r="J843" s="59"/>
      <c r="L843" s="59"/>
      <c r="N843" s="59"/>
      <c r="Q843" s="59"/>
      <c r="R843" s="61"/>
    </row>
    <row r="844">
      <c r="B844" s="59"/>
      <c r="D844" s="59"/>
      <c r="F844" s="59"/>
      <c r="H844" s="59"/>
      <c r="J844" s="59"/>
      <c r="L844" s="59"/>
      <c r="N844" s="59"/>
      <c r="Q844" s="59"/>
      <c r="R844" s="61"/>
    </row>
    <row r="845">
      <c r="B845" s="59"/>
      <c r="D845" s="59"/>
      <c r="F845" s="59"/>
      <c r="H845" s="59"/>
      <c r="J845" s="59"/>
      <c r="L845" s="59"/>
      <c r="N845" s="59"/>
      <c r="Q845" s="59"/>
      <c r="R845" s="61"/>
    </row>
    <row r="846">
      <c r="B846" s="59"/>
      <c r="D846" s="59"/>
      <c r="F846" s="59"/>
      <c r="H846" s="59"/>
      <c r="J846" s="59"/>
      <c r="L846" s="59"/>
      <c r="N846" s="59"/>
      <c r="Q846" s="59"/>
      <c r="R846" s="61"/>
    </row>
    <row r="847">
      <c r="B847" s="59"/>
      <c r="D847" s="59"/>
      <c r="F847" s="59"/>
      <c r="H847" s="59"/>
      <c r="J847" s="59"/>
      <c r="L847" s="59"/>
      <c r="N847" s="59"/>
      <c r="Q847" s="59"/>
      <c r="R847" s="61"/>
    </row>
    <row r="848">
      <c r="B848" s="59"/>
      <c r="D848" s="59"/>
      <c r="F848" s="59"/>
      <c r="H848" s="59"/>
      <c r="J848" s="59"/>
      <c r="L848" s="59"/>
      <c r="N848" s="59"/>
      <c r="Q848" s="59"/>
      <c r="R848" s="61"/>
    </row>
    <row r="849">
      <c r="B849" s="59"/>
      <c r="D849" s="59"/>
      <c r="F849" s="59"/>
      <c r="H849" s="59"/>
      <c r="J849" s="59"/>
      <c r="L849" s="59"/>
      <c r="N849" s="59"/>
      <c r="Q849" s="59"/>
      <c r="R849" s="61"/>
    </row>
    <row r="850">
      <c r="B850" s="59"/>
      <c r="D850" s="59"/>
      <c r="F850" s="59"/>
      <c r="H850" s="59"/>
      <c r="J850" s="59"/>
      <c r="L850" s="59"/>
      <c r="N850" s="59"/>
      <c r="Q850" s="59"/>
      <c r="R850" s="61"/>
    </row>
    <row r="851">
      <c r="B851" s="59"/>
      <c r="D851" s="59"/>
      <c r="F851" s="59"/>
      <c r="H851" s="59"/>
      <c r="J851" s="59"/>
      <c r="L851" s="59"/>
      <c r="N851" s="59"/>
      <c r="Q851" s="59"/>
      <c r="R851" s="61"/>
    </row>
    <row r="852">
      <c r="B852" s="59"/>
      <c r="D852" s="59"/>
      <c r="F852" s="59"/>
      <c r="H852" s="59"/>
      <c r="J852" s="59"/>
      <c r="L852" s="59"/>
      <c r="N852" s="59"/>
      <c r="Q852" s="59"/>
      <c r="R852" s="61"/>
    </row>
    <row r="853">
      <c r="B853" s="59"/>
      <c r="D853" s="59"/>
      <c r="F853" s="59"/>
      <c r="H853" s="59"/>
      <c r="J853" s="59"/>
      <c r="L853" s="59"/>
      <c r="N853" s="59"/>
      <c r="Q853" s="59"/>
      <c r="R853" s="61"/>
    </row>
    <row r="854">
      <c r="B854" s="59"/>
      <c r="D854" s="59"/>
      <c r="F854" s="59"/>
      <c r="H854" s="59"/>
      <c r="J854" s="59"/>
      <c r="L854" s="59"/>
      <c r="N854" s="59"/>
      <c r="Q854" s="59"/>
      <c r="R854" s="61"/>
    </row>
    <row r="855">
      <c r="B855" s="59"/>
      <c r="D855" s="59"/>
      <c r="F855" s="59"/>
      <c r="H855" s="59"/>
      <c r="J855" s="59"/>
      <c r="L855" s="59"/>
      <c r="N855" s="59"/>
      <c r="Q855" s="59"/>
      <c r="R855" s="61"/>
    </row>
    <row r="856">
      <c r="B856" s="59"/>
      <c r="D856" s="59"/>
      <c r="F856" s="59"/>
      <c r="H856" s="59"/>
      <c r="J856" s="59"/>
      <c r="L856" s="59"/>
      <c r="N856" s="59"/>
      <c r="Q856" s="59"/>
      <c r="R856" s="61"/>
    </row>
    <row r="857">
      <c r="B857" s="59"/>
      <c r="D857" s="59"/>
      <c r="F857" s="59"/>
      <c r="H857" s="59"/>
      <c r="J857" s="59"/>
      <c r="L857" s="59"/>
      <c r="N857" s="59"/>
      <c r="Q857" s="59"/>
      <c r="R857" s="61"/>
    </row>
    <row r="858">
      <c r="B858" s="59"/>
      <c r="D858" s="59"/>
      <c r="F858" s="59"/>
      <c r="H858" s="59"/>
      <c r="J858" s="59"/>
      <c r="L858" s="59"/>
      <c r="N858" s="59"/>
      <c r="Q858" s="59"/>
      <c r="R858" s="61"/>
    </row>
    <row r="859">
      <c r="B859" s="59"/>
      <c r="D859" s="59"/>
      <c r="F859" s="59"/>
      <c r="H859" s="59"/>
      <c r="J859" s="59"/>
      <c r="L859" s="59"/>
      <c r="N859" s="59"/>
      <c r="Q859" s="59"/>
      <c r="R859" s="61"/>
    </row>
    <row r="860">
      <c r="B860" s="59"/>
      <c r="D860" s="59"/>
      <c r="F860" s="59"/>
      <c r="H860" s="59"/>
      <c r="J860" s="59"/>
      <c r="L860" s="59"/>
      <c r="N860" s="59"/>
      <c r="Q860" s="59"/>
      <c r="R860" s="61"/>
    </row>
    <row r="861">
      <c r="B861" s="59"/>
      <c r="D861" s="59"/>
      <c r="F861" s="59"/>
      <c r="H861" s="59"/>
      <c r="J861" s="59"/>
      <c r="L861" s="59"/>
      <c r="N861" s="59"/>
      <c r="Q861" s="59"/>
      <c r="R861" s="61"/>
    </row>
    <row r="862">
      <c r="B862" s="59"/>
      <c r="D862" s="59"/>
      <c r="F862" s="59"/>
      <c r="H862" s="59"/>
      <c r="J862" s="59"/>
      <c r="L862" s="59"/>
      <c r="N862" s="59"/>
      <c r="Q862" s="59"/>
      <c r="R862" s="61"/>
    </row>
    <row r="863">
      <c r="B863" s="59"/>
      <c r="D863" s="59"/>
      <c r="F863" s="59"/>
      <c r="H863" s="59"/>
      <c r="J863" s="59"/>
      <c r="L863" s="59"/>
      <c r="N863" s="59"/>
      <c r="Q863" s="59"/>
      <c r="R863" s="61"/>
    </row>
    <row r="864">
      <c r="B864" s="59"/>
      <c r="D864" s="59"/>
      <c r="F864" s="59"/>
      <c r="H864" s="59"/>
      <c r="J864" s="59"/>
      <c r="L864" s="59"/>
      <c r="N864" s="59"/>
      <c r="Q864" s="59"/>
      <c r="R864" s="61"/>
    </row>
    <row r="865">
      <c r="B865" s="59"/>
      <c r="D865" s="59"/>
      <c r="F865" s="59"/>
      <c r="H865" s="59"/>
      <c r="J865" s="59"/>
      <c r="L865" s="59"/>
      <c r="N865" s="59"/>
      <c r="Q865" s="59"/>
      <c r="R865" s="61"/>
    </row>
    <row r="866">
      <c r="B866" s="59"/>
      <c r="D866" s="59"/>
      <c r="F866" s="59"/>
      <c r="H866" s="59"/>
      <c r="J866" s="59"/>
      <c r="L866" s="59"/>
      <c r="N866" s="59"/>
      <c r="Q866" s="59"/>
      <c r="R866" s="61"/>
    </row>
    <row r="867">
      <c r="B867" s="59"/>
      <c r="D867" s="59"/>
      <c r="F867" s="59"/>
      <c r="H867" s="59"/>
      <c r="J867" s="59"/>
      <c r="L867" s="59"/>
      <c r="N867" s="59"/>
      <c r="Q867" s="59"/>
      <c r="R867" s="61"/>
    </row>
    <row r="868">
      <c r="B868" s="59"/>
      <c r="D868" s="59"/>
      <c r="F868" s="59"/>
      <c r="H868" s="59"/>
      <c r="J868" s="59"/>
      <c r="L868" s="59"/>
      <c r="N868" s="59"/>
      <c r="Q868" s="59"/>
      <c r="R868" s="61"/>
    </row>
    <row r="869">
      <c r="B869" s="59"/>
      <c r="D869" s="59"/>
      <c r="F869" s="59"/>
      <c r="H869" s="59"/>
      <c r="J869" s="59"/>
      <c r="L869" s="59"/>
      <c r="N869" s="59"/>
      <c r="Q869" s="59"/>
      <c r="R869" s="61"/>
    </row>
    <row r="870">
      <c r="B870" s="59"/>
      <c r="D870" s="59"/>
      <c r="F870" s="59"/>
      <c r="H870" s="59"/>
      <c r="J870" s="59"/>
      <c r="L870" s="59"/>
      <c r="N870" s="59"/>
      <c r="Q870" s="59"/>
      <c r="R870" s="61"/>
    </row>
    <row r="871">
      <c r="B871" s="59"/>
      <c r="D871" s="59"/>
      <c r="F871" s="59"/>
      <c r="H871" s="59"/>
      <c r="J871" s="59"/>
      <c r="L871" s="59"/>
      <c r="N871" s="59"/>
      <c r="Q871" s="59"/>
      <c r="R871" s="61"/>
    </row>
    <row r="872">
      <c r="B872" s="59"/>
      <c r="D872" s="59"/>
      <c r="F872" s="59"/>
      <c r="H872" s="59"/>
      <c r="J872" s="59"/>
      <c r="L872" s="59"/>
      <c r="N872" s="59"/>
      <c r="Q872" s="59"/>
      <c r="R872" s="61"/>
    </row>
    <row r="873">
      <c r="B873" s="59"/>
      <c r="D873" s="59"/>
      <c r="F873" s="59"/>
      <c r="H873" s="59"/>
      <c r="J873" s="59"/>
      <c r="L873" s="59"/>
      <c r="N873" s="59"/>
      <c r="Q873" s="59"/>
      <c r="R873" s="61"/>
    </row>
    <row r="874">
      <c r="B874" s="59"/>
      <c r="D874" s="59"/>
      <c r="F874" s="59"/>
      <c r="H874" s="59"/>
      <c r="J874" s="59"/>
      <c r="L874" s="59"/>
      <c r="N874" s="59"/>
      <c r="Q874" s="59"/>
      <c r="R874" s="61"/>
    </row>
    <row r="875">
      <c r="B875" s="59"/>
      <c r="D875" s="59"/>
      <c r="F875" s="59"/>
      <c r="H875" s="59"/>
      <c r="J875" s="59"/>
      <c r="L875" s="59"/>
      <c r="N875" s="59"/>
      <c r="Q875" s="59"/>
      <c r="R875" s="61"/>
    </row>
    <row r="876">
      <c r="B876" s="59"/>
      <c r="D876" s="59"/>
      <c r="F876" s="59"/>
      <c r="H876" s="59"/>
      <c r="J876" s="59"/>
      <c r="L876" s="59"/>
      <c r="N876" s="59"/>
      <c r="Q876" s="59"/>
      <c r="R876" s="61"/>
    </row>
    <row r="877">
      <c r="B877" s="59"/>
      <c r="D877" s="59"/>
      <c r="F877" s="59"/>
      <c r="H877" s="59"/>
      <c r="J877" s="59"/>
      <c r="L877" s="59"/>
      <c r="N877" s="59"/>
      <c r="Q877" s="59"/>
      <c r="R877" s="61"/>
    </row>
    <row r="878">
      <c r="B878" s="59"/>
      <c r="D878" s="59"/>
      <c r="F878" s="59"/>
      <c r="H878" s="59"/>
      <c r="J878" s="59"/>
      <c r="L878" s="59"/>
      <c r="N878" s="59"/>
      <c r="Q878" s="59"/>
      <c r="R878" s="61"/>
    </row>
    <row r="879">
      <c r="B879" s="59"/>
      <c r="D879" s="59"/>
      <c r="F879" s="59"/>
      <c r="H879" s="59"/>
      <c r="J879" s="59"/>
      <c r="L879" s="59"/>
      <c r="N879" s="59"/>
      <c r="Q879" s="59"/>
      <c r="R879" s="61"/>
    </row>
    <row r="880">
      <c r="B880" s="59"/>
      <c r="D880" s="59"/>
      <c r="F880" s="59"/>
      <c r="H880" s="59"/>
      <c r="J880" s="59"/>
      <c r="L880" s="59"/>
      <c r="N880" s="59"/>
      <c r="Q880" s="59"/>
      <c r="R880" s="61"/>
    </row>
    <row r="881">
      <c r="B881" s="59"/>
      <c r="D881" s="59"/>
      <c r="F881" s="59"/>
      <c r="H881" s="59"/>
      <c r="J881" s="59"/>
      <c r="L881" s="59"/>
      <c r="N881" s="59"/>
      <c r="Q881" s="59"/>
      <c r="R881" s="61"/>
    </row>
    <row r="882">
      <c r="B882" s="59"/>
      <c r="D882" s="59"/>
      <c r="F882" s="59"/>
      <c r="H882" s="59"/>
      <c r="J882" s="59"/>
      <c r="L882" s="59"/>
      <c r="N882" s="59"/>
      <c r="Q882" s="59"/>
      <c r="R882" s="61"/>
    </row>
    <row r="883">
      <c r="B883" s="59"/>
      <c r="D883" s="59"/>
      <c r="F883" s="59"/>
      <c r="H883" s="59"/>
      <c r="J883" s="59"/>
      <c r="L883" s="59"/>
      <c r="N883" s="59"/>
      <c r="Q883" s="59"/>
      <c r="R883" s="61"/>
    </row>
    <row r="884">
      <c r="B884" s="59"/>
      <c r="D884" s="59"/>
      <c r="F884" s="59"/>
      <c r="H884" s="59"/>
      <c r="J884" s="59"/>
      <c r="L884" s="59"/>
      <c r="N884" s="59"/>
      <c r="Q884" s="59"/>
      <c r="R884" s="61"/>
    </row>
    <row r="885">
      <c r="B885" s="59"/>
      <c r="D885" s="59"/>
      <c r="F885" s="59"/>
      <c r="H885" s="59"/>
      <c r="J885" s="59"/>
      <c r="L885" s="59"/>
      <c r="N885" s="59"/>
      <c r="Q885" s="59"/>
      <c r="R885" s="61"/>
    </row>
    <row r="886">
      <c r="B886" s="59"/>
      <c r="D886" s="59"/>
      <c r="F886" s="59"/>
      <c r="H886" s="59"/>
      <c r="J886" s="59"/>
      <c r="L886" s="59"/>
      <c r="N886" s="59"/>
      <c r="Q886" s="59"/>
      <c r="R886" s="61"/>
    </row>
    <row r="887">
      <c r="B887" s="59"/>
      <c r="D887" s="59"/>
      <c r="F887" s="59"/>
      <c r="H887" s="59"/>
      <c r="J887" s="59"/>
      <c r="L887" s="59"/>
      <c r="N887" s="59"/>
      <c r="Q887" s="59"/>
      <c r="R887" s="61"/>
    </row>
    <row r="888">
      <c r="B888" s="59"/>
      <c r="D888" s="59"/>
      <c r="F888" s="59"/>
      <c r="H888" s="59"/>
      <c r="J888" s="59"/>
      <c r="L888" s="59"/>
      <c r="N888" s="59"/>
      <c r="Q888" s="59"/>
      <c r="R888" s="61"/>
    </row>
    <row r="889">
      <c r="B889" s="59"/>
      <c r="D889" s="59"/>
      <c r="F889" s="59"/>
      <c r="H889" s="59"/>
      <c r="J889" s="59"/>
      <c r="L889" s="59"/>
      <c r="N889" s="59"/>
      <c r="Q889" s="59"/>
      <c r="R889" s="61"/>
    </row>
    <row r="890">
      <c r="B890" s="59"/>
      <c r="D890" s="59"/>
      <c r="F890" s="59"/>
      <c r="H890" s="59"/>
      <c r="J890" s="59"/>
      <c r="L890" s="59"/>
      <c r="N890" s="59"/>
      <c r="Q890" s="59"/>
      <c r="R890" s="61"/>
    </row>
    <row r="891">
      <c r="B891" s="59"/>
      <c r="D891" s="59"/>
      <c r="F891" s="59"/>
      <c r="H891" s="59"/>
      <c r="J891" s="59"/>
      <c r="L891" s="59"/>
      <c r="N891" s="59"/>
      <c r="Q891" s="59"/>
      <c r="R891" s="61"/>
    </row>
    <row r="892">
      <c r="B892" s="59"/>
      <c r="D892" s="59"/>
      <c r="F892" s="59"/>
      <c r="H892" s="59"/>
      <c r="J892" s="59"/>
      <c r="L892" s="59"/>
      <c r="N892" s="59"/>
      <c r="Q892" s="59"/>
      <c r="R892" s="61"/>
    </row>
    <row r="893">
      <c r="B893" s="59"/>
      <c r="D893" s="59"/>
      <c r="F893" s="59"/>
      <c r="H893" s="59"/>
      <c r="J893" s="59"/>
      <c r="L893" s="59"/>
      <c r="N893" s="59"/>
      <c r="Q893" s="59"/>
      <c r="R893" s="61"/>
    </row>
    <row r="894">
      <c r="B894" s="59"/>
      <c r="D894" s="59"/>
      <c r="F894" s="59"/>
      <c r="H894" s="59"/>
      <c r="J894" s="59"/>
      <c r="L894" s="59"/>
      <c r="N894" s="59"/>
      <c r="Q894" s="59"/>
      <c r="R894" s="61"/>
    </row>
    <row r="895">
      <c r="B895" s="59"/>
      <c r="D895" s="59"/>
      <c r="F895" s="59"/>
      <c r="H895" s="59"/>
      <c r="J895" s="59"/>
      <c r="L895" s="59"/>
      <c r="N895" s="59"/>
      <c r="Q895" s="59"/>
      <c r="R895" s="61"/>
    </row>
    <row r="896">
      <c r="B896" s="59"/>
      <c r="D896" s="59"/>
      <c r="F896" s="59"/>
      <c r="H896" s="59"/>
      <c r="J896" s="59"/>
      <c r="L896" s="59"/>
      <c r="N896" s="59"/>
      <c r="Q896" s="59"/>
      <c r="R896" s="61"/>
    </row>
    <row r="897">
      <c r="B897" s="59"/>
      <c r="D897" s="59"/>
      <c r="F897" s="59"/>
      <c r="H897" s="59"/>
      <c r="J897" s="59"/>
      <c r="L897" s="59"/>
      <c r="N897" s="59"/>
      <c r="Q897" s="59"/>
      <c r="R897" s="61"/>
    </row>
    <row r="898">
      <c r="B898" s="59"/>
      <c r="D898" s="59"/>
      <c r="F898" s="59"/>
      <c r="H898" s="59"/>
      <c r="J898" s="59"/>
      <c r="L898" s="59"/>
      <c r="N898" s="59"/>
      <c r="Q898" s="59"/>
      <c r="R898" s="61"/>
    </row>
    <row r="899">
      <c r="B899" s="59"/>
      <c r="D899" s="59"/>
      <c r="F899" s="59"/>
      <c r="H899" s="59"/>
      <c r="J899" s="59"/>
      <c r="L899" s="59"/>
      <c r="N899" s="59"/>
      <c r="Q899" s="59"/>
      <c r="R899" s="61"/>
    </row>
    <row r="900">
      <c r="B900" s="59"/>
      <c r="D900" s="59"/>
      <c r="F900" s="59"/>
      <c r="H900" s="59"/>
      <c r="J900" s="59"/>
      <c r="L900" s="59"/>
      <c r="N900" s="59"/>
      <c r="Q900" s="59"/>
      <c r="R900" s="61"/>
    </row>
    <row r="901">
      <c r="B901" s="59"/>
      <c r="D901" s="59"/>
      <c r="F901" s="59"/>
      <c r="H901" s="59"/>
      <c r="J901" s="59"/>
      <c r="L901" s="59"/>
      <c r="N901" s="59"/>
      <c r="Q901" s="59"/>
      <c r="R901" s="61"/>
    </row>
    <row r="902">
      <c r="B902" s="59"/>
      <c r="D902" s="59"/>
      <c r="F902" s="59"/>
      <c r="H902" s="59"/>
      <c r="J902" s="59"/>
      <c r="L902" s="59"/>
      <c r="N902" s="59"/>
      <c r="Q902" s="59"/>
      <c r="R902" s="61"/>
    </row>
    <row r="903">
      <c r="B903" s="59"/>
      <c r="D903" s="59"/>
      <c r="F903" s="59"/>
      <c r="H903" s="59"/>
      <c r="J903" s="59"/>
      <c r="L903" s="59"/>
      <c r="N903" s="59"/>
      <c r="Q903" s="59"/>
      <c r="R903" s="61"/>
    </row>
    <row r="904">
      <c r="B904" s="59"/>
      <c r="D904" s="59"/>
      <c r="F904" s="59"/>
      <c r="H904" s="59"/>
      <c r="J904" s="59"/>
      <c r="L904" s="59"/>
      <c r="N904" s="59"/>
      <c r="Q904" s="59"/>
      <c r="R904" s="61"/>
    </row>
    <row r="905">
      <c r="B905" s="59"/>
      <c r="D905" s="59"/>
      <c r="F905" s="59"/>
      <c r="H905" s="59"/>
      <c r="J905" s="59"/>
      <c r="L905" s="59"/>
      <c r="N905" s="59"/>
      <c r="Q905" s="59"/>
      <c r="R905" s="61"/>
    </row>
    <row r="906">
      <c r="B906" s="59"/>
      <c r="D906" s="59"/>
      <c r="F906" s="59"/>
      <c r="H906" s="59"/>
      <c r="J906" s="59"/>
      <c r="L906" s="59"/>
      <c r="N906" s="59"/>
      <c r="Q906" s="59"/>
      <c r="R906" s="61"/>
    </row>
    <row r="907">
      <c r="B907" s="59"/>
      <c r="D907" s="59"/>
      <c r="F907" s="59"/>
      <c r="H907" s="59"/>
      <c r="J907" s="59"/>
      <c r="L907" s="59"/>
      <c r="N907" s="59"/>
      <c r="Q907" s="59"/>
      <c r="R907" s="61"/>
    </row>
    <row r="908">
      <c r="B908" s="59"/>
      <c r="D908" s="59"/>
      <c r="F908" s="59"/>
      <c r="H908" s="59"/>
      <c r="J908" s="59"/>
      <c r="L908" s="59"/>
      <c r="N908" s="59"/>
      <c r="Q908" s="59"/>
      <c r="R908" s="61"/>
    </row>
    <row r="909">
      <c r="B909" s="59"/>
      <c r="D909" s="59"/>
      <c r="F909" s="59"/>
      <c r="H909" s="59"/>
      <c r="J909" s="59"/>
      <c r="L909" s="59"/>
      <c r="N909" s="59"/>
      <c r="Q909" s="59"/>
      <c r="R909" s="61"/>
    </row>
    <row r="910">
      <c r="B910" s="59"/>
      <c r="D910" s="59"/>
      <c r="F910" s="59"/>
      <c r="H910" s="59"/>
      <c r="J910" s="59"/>
      <c r="L910" s="59"/>
      <c r="N910" s="59"/>
      <c r="Q910" s="59"/>
      <c r="R910" s="61"/>
    </row>
    <row r="911">
      <c r="B911" s="59"/>
      <c r="D911" s="59"/>
      <c r="F911" s="59"/>
      <c r="H911" s="59"/>
      <c r="J911" s="59"/>
      <c r="L911" s="59"/>
      <c r="N911" s="59"/>
      <c r="Q911" s="59"/>
      <c r="R911" s="61"/>
    </row>
    <row r="912">
      <c r="B912" s="59"/>
      <c r="D912" s="59"/>
      <c r="F912" s="59"/>
      <c r="H912" s="59"/>
      <c r="J912" s="59"/>
      <c r="L912" s="59"/>
      <c r="N912" s="59"/>
      <c r="Q912" s="59"/>
      <c r="R912" s="61"/>
    </row>
    <row r="913">
      <c r="B913" s="59"/>
      <c r="D913" s="59"/>
      <c r="F913" s="59"/>
      <c r="H913" s="59"/>
      <c r="J913" s="59"/>
      <c r="L913" s="59"/>
      <c r="N913" s="59"/>
      <c r="Q913" s="59"/>
      <c r="R913" s="61"/>
    </row>
    <row r="914">
      <c r="B914" s="59"/>
      <c r="D914" s="59"/>
      <c r="F914" s="59"/>
      <c r="H914" s="59"/>
      <c r="J914" s="59"/>
      <c r="L914" s="59"/>
      <c r="N914" s="59"/>
      <c r="Q914" s="59"/>
      <c r="R914" s="61"/>
    </row>
    <row r="915">
      <c r="B915" s="59"/>
      <c r="D915" s="59"/>
      <c r="F915" s="59"/>
      <c r="H915" s="59"/>
      <c r="J915" s="59"/>
      <c r="L915" s="59"/>
      <c r="N915" s="59"/>
      <c r="Q915" s="59"/>
      <c r="R915" s="61"/>
    </row>
    <row r="916">
      <c r="B916" s="59"/>
      <c r="D916" s="59"/>
      <c r="F916" s="59"/>
      <c r="H916" s="59"/>
      <c r="J916" s="59"/>
      <c r="L916" s="59"/>
      <c r="N916" s="59"/>
      <c r="Q916" s="59"/>
      <c r="R916" s="61"/>
    </row>
    <row r="917">
      <c r="B917" s="59"/>
      <c r="D917" s="59"/>
      <c r="F917" s="59"/>
      <c r="H917" s="59"/>
      <c r="J917" s="59"/>
      <c r="L917" s="59"/>
      <c r="N917" s="59"/>
      <c r="Q917" s="59"/>
      <c r="R917" s="61"/>
    </row>
    <row r="918">
      <c r="B918" s="59"/>
      <c r="D918" s="59"/>
      <c r="F918" s="59"/>
      <c r="H918" s="59"/>
      <c r="J918" s="59"/>
      <c r="L918" s="59"/>
      <c r="N918" s="59"/>
      <c r="Q918" s="59"/>
      <c r="R918" s="61"/>
    </row>
    <row r="919">
      <c r="B919" s="59"/>
      <c r="D919" s="59"/>
      <c r="F919" s="59"/>
      <c r="H919" s="59"/>
      <c r="J919" s="59"/>
      <c r="L919" s="59"/>
      <c r="N919" s="59"/>
      <c r="Q919" s="59"/>
      <c r="R919" s="61"/>
    </row>
    <row r="920">
      <c r="B920" s="59"/>
      <c r="D920" s="59"/>
      <c r="F920" s="59"/>
      <c r="H920" s="59"/>
      <c r="J920" s="59"/>
      <c r="L920" s="59"/>
      <c r="N920" s="59"/>
      <c r="Q920" s="59"/>
      <c r="R920" s="61"/>
    </row>
    <row r="921">
      <c r="B921" s="59"/>
      <c r="D921" s="59"/>
      <c r="F921" s="59"/>
      <c r="H921" s="59"/>
      <c r="J921" s="59"/>
      <c r="L921" s="59"/>
      <c r="N921" s="59"/>
      <c r="Q921" s="59"/>
      <c r="R921" s="61"/>
    </row>
    <row r="922">
      <c r="B922" s="59"/>
      <c r="D922" s="59"/>
      <c r="F922" s="59"/>
      <c r="H922" s="59"/>
      <c r="J922" s="59"/>
      <c r="L922" s="59"/>
      <c r="N922" s="59"/>
      <c r="Q922" s="59"/>
      <c r="R922" s="61"/>
    </row>
    <row r="923">
      <c r="B923" s="59"/>
      <c r="D923" s="59"/>
      <c r="F923" s="59"/>
      <c r="H923" s="59"/>
      <c r="J923" s="59"/>
      <c r="L923" s="59"/>
      <c r="N923" s="59"/>
      <c r="Q923" s="59"/>
      <c r="R923" s="61"/>
    </row>
    <row r="924">
      <c r="B924" s="59"/>
      <c r="D924" s="59"/>
      <c r="F924" s="59"/>
      <c r="H924" s="59"/>
      <c r="J924" s="59"/>
      <c r="L924" s="59"/>
      <c r="N924" s="59"/>
      <c r="Q924" s="59"/>
      <c r="R924" s="61"/>
    </row>
    <row r="925">
      <c r="B925" s="59"/>
      <c r="D925" s="59"/>
      <c r="F925" s="59"/>
      <c r="H925" s="59"/>
      <c r="J925" s="59"/>
      <c r="L925" s="59"/>
      <c r="N925" s="59"/>
      <c r="Q925" s="59"/>
      <c r="R925" s="61"/>
    </row>
    <row r="926">
      <c r="B926" s="59"/>
      <c r="D926" s="59"/>
      <c r="F926" s="59"/>
      <c r="H926" s="59"/>
      <c r="J926" s="59"/>
      <c r="L926" s="59"/>
      <c r="N926" s="59"/>
      <c r="Q926" s="59"/>
      <c r="R926" s="61"/>
    </row>
    <row r="927">
      <c r="B927" s="59"/>
      <c r="D927" s="59"/>
      <c r="F927" s="59"/>
      <c r="H927" s="59"/>
      <c r="J927" s="59"/>
      <c r="L927" s="59"/>
      <c r="N927" s="59"/>
      <c r="Q927" s="59"/>
      <c r="R927" s="61"/>
    </row>
    <row r="928">
      <c r="B928" s="59"/>
      <c r="D928" s="59"/>
      <c r="F928" s="59"/>
      <c r="H928" s="59"/>
      <c r="J928" s="59"/>
      <c r="L928" s="59"/>
      <c r="N928" s="59"/>
      <c r="Q928" s="59"/>
      <c r="R928" s="61"/>
    </row>
    <row r="929">
      <c r="B929" s="59"/>
      <c r="D929" s="59"/>
      <c r="F929" s="59"/>
      <c r="H929" s="59"/>
      <c r="J929" s="59"/>
      <c r="L929" s="59"/>
      <c r="N929" s="59"/>
      <c r="Q929" s="59"/>
      <c r="R929" s="61"/>
    </row>
    <row r="930">
      <c r="B930" s="59"/>
      <c r="D930" s="59"/>
      <c r="F930" s="59"/>
      <c r="H930" s="59"/>
      <c r="J930" s="59"/>
      <c r="L930" s="59"/>
      <c r="N930" s="59"/>
      <c r="Q930" s="59"/>
      <c r="R930" s="61"/>
    </row>
    <row r="931">
      <c r="B931" s="59"/>
      <c r="D931" s="59"/>
      <c r="F931" s="59"/>
      <c r="H931" s="59"/>
      <c r="J931" s="59"/>
      <c r="L931" s="59"/>
      <c r="N931" s="59"/>
      <c r="Q931" s="59"/>
      <c r="R931" s="61"/>
    </row>
    <row r="932">
      <c r="B932" s="59"/>
      <c r="D932" s="59"/>
      <c r="F932" s="59"/>
      <c r="H932" s="59"/>
      <c r="J932" s="59"/>
      <c r="L932" s="59"/>
      <c r="N932" s="59"/>
      <c r="Q932" s="59"/>
      <c r="R932" s="61"/>
    </row>
    <row r="933">
      <c r="B933" s="59"/>
      <c r="D933" s="59"/>
      <c r="F933" s="59"/>
      <c r="H933" s="59"/>
      <c r="J933" s="59"/>
      <c r="L933" s="59"/>
      <c r="N933" s="59"/>
      <c r="Q933" s="59"/>
      <c r="R933" s="61"/>
    </row>
    <row r="934">
      <c r="B934" s="59"/>
      <c r="D934" s="59"/>
      <c r="F934" s="59"/>
      <c r="H934" s="59"/>
      <c r="J934" s="59"/>
      <c r="L934" s="59"/>
      <c r="N934" s="59"/>
      <c r="Q934" s="59"/>
      <c r="R934" s="61"/>
    </row>
    <row r="935">
      <c r="B935" s="59"/>
      <c r="D935" s="59"/>
      <c r="F935" s="59"/>
      <c r="H935" s="59"/>
      <c r="J935" s="59"/>
      <c r="L935" s="59"/>
      <c r="N935" s="59"/>
      <c r="Q935" s="59"/>
      <c r="R935" s="61"/>
    </row>
    <row r="936">
      <c r="B936" s="59"/>
      <c r="D936" s="59"/>
      <c r="F936" s="59"/>
      <c r="H936" s="59"/>
      <c r="J936" s="59"/>
      <c r="L936" s="59"/>
      <c r="N936" s="59"/>
      <c r="Q936" s="59"/>
      <c r="R936" s="61"/>
    </row>
    <row r="937">
      <c r="B937" s="59"/>
      <c r="D937" s="59"/>
      <c r="F937" s="59"/>
      <c r="H937" s="59"/>
      <c r="J937" s="59"/>
      <c r="L937" s="59"/>
      <c r="N937" s="59"/>
      <c r="Q937" s="59"/>
      <c r="R937" s="61"/>
    </row>
    <row r="938">
      <c r="B938" s="59"/>
      <c r="D938" s="59"/>
      <c r="F938" s="59"/>
      <c r="H938" s="59"/>
      <c r="J938" s="59"/>
      <c r="L938" s="59"/>
      <c r="N938" s="59"/>
      <c r="Q938" s="59"/>
      <c r="R938" s="61"/>
    </row>
    <row r="939">
      <c r="B939" s="59"/>
      <c r="D939" s="59"/>
      <c r="F939" s="59"/>
      <c r="H939" s="59"/>
      <c r="J939" s="59"/>
      <c r="L939" s="59"/>
      <c r="N939" s="59"/>
      <c r="Q939" s="59"/>
      <c r="R939" s="61"/>
    </row>
    <row r="940">
      <c r="B940" s="59"/>
      <c r="D940" s="59"/>
      <c r="F940" s="59"/>
      <c r="H940" s="59"/>
      <c r="J940" s="59"/>
      <c r="L940" s="59"/>
      <c r="N940" s="59"/>
      <c r="Q940" s="59"/>
      <c r="R940" s="61"/>
    </row>
    <row r="941">
      <c r="B941" s="59"/>
      <c r="D941" s="59"/>
      <c r="F941" s="59"/>
      <c r="H941" s="59"/>
      <c r="J941" s="59"/>
      <c r="L941" s="59"/>
      <c r="N941" s="59"/>
      <c r="Q941" s="59"/>
      <c r="R941" s="61"/>
    </row>
    <row r="942">
      <c r="B942" s="59"/>
      <c r="D942" s="59"/>
      <c r="F942" s="59"/>
      <c r="H942" s="59"/>
      <c r="J942" s="59"/>
      <c r="L942" s="59"/>
      <c r="N942" s="59"/>
      <c r="Q942" s="59"/>
      <c r="R942" s="61"/>
    </row>
    <row r="943">
      <c r="B943" s="59"/>
      <c r="D943" s="59"/>
      <c r="F943" s="59"/>
      <c r="H943" s="59"/>
      <c r="J943" s="59"/>
      <c r="L943" s="59"/>
      <c r="N943" s="59"/>
      <c r="Q943" s="59"/>
      <c r="R943" s="61"/>
    </row>
    <row r="944">
      <c r="B944" s="59"/>
      <c r="D944" s="59"/>
      <c r="F944" s="59"/>
      <c r="H944" s="59"/>
      <c r="J944" s="59"/>
      <c r="L944" s="59"/>
      <c r="N944" s="59"/>
      <c r="Q944" s="59"/>
      <c r="R944" s="61"/>
    </row>
    <row r="945">
      <c r="B945" s="59"/>
      <c r="D945" s="59"/>
      <c r="F945" s="59"/>
      <c r="H945" s="59"/>
      <c r="J945" s="59"/>
      <c r="L945" s="59"/>
      <c r="N945" s="59"/>
      <c r="Q945" s="59"/>
      <c r="R945" s="61"/>
    </row>
    <row r="946">
      <c r="B946" s="59"/>
      <c r="D946" s="59"/>
      <c r="F946" s="59"/>
      <c r="H946" s="59"/>
      <c r="J946" s="59"/>
      <c r="L946" s="59"/>
      <c r="N946" s="59"/>
      <c r="Q946" s="59"/>
      <c r="R946" s="61"/>
    </row>
    <row r="947">
      <c r="B947" s="59"/>
      <c r="D947" s="59"/>
      <c r="F947" s="59"/>
      <c r="H947" s="59"/>
      <c r="J947" s="59"/>
      <c r="L947" s="59"/>
      <c r="N947" s="59"/>
      <c r="Q947" s="59"/>
      <c r="R947" s="61"/>
    </row>
    <row r="948">
      <c r="B948" s="59"/>
      <c r="D948" s="59"/>
      <c r="F948" s="59"/>
      <c r="H948" s="59"/>
      <c r="J948" s="59"/>
      <c r="L948" s="59"/>
      <c r="N948" s="59"/>
      <c r="Q948" s="59"/>
      <c r="R948" s="61"/>
    </row>
    <row r="949">
      <c r="B949" s="59"/>
      <c r="D949" s="59"/>
      <c r="F949" s="59"/>
      <c r="H949" s="59"/>
      <c r="J949" s="59"/>
      <c r="L949" s="59"/>
      <c r="N949" s="59"/>
      <c r="Q949" s="59"/>
      <c r="R949" s="61"/>
    </row>
    <row r="950">
      <c r="B950" s="59"/>
      <c r="D950" s="59"/>
      <c r="F950" s="59"/>
      <c r="H950" s="59"/>
      <c r="J950" s="59"/>
      <c r="L950" s="59"/>
      <c r="N950" s="59"/>
      <c r="Q950" s="59"/>
      <c r="R950" s="61"/>
    </row>
    <row r="951">
      <c r="B951" s="59"/>
      <c r="D951" s="59"/>
      <c r="F951" s="59"/>
      <c r="H951" s="59"/>
      <c r="J951" s="59"/>
      <c r="L951" s="59"/>
      <c r="N951" s="59"/>
      <c r="Q951" s="59"/>
      <c r="R951" s="61"/>
    </row>
    <row r="952">
      <c r="B952" s="59"/>
      <c r="D952" s="59"/>
      <c r="F952" s="59"/>
      <c r="H952" s="59"/>
      <c r="J952" s="59"/>
      <c r="L952" s="59"/>
      <c r="N952" s="59"/>
      <c r="Q952" s="59"/>
      <c r="R952" s="61"/>
    </row>
    <row r="953">
      <c r="B953" s="59"/>
      <c r="D953" s="59"/>
      <c r="F953" s="59"/>
      <c r="H953" s="59"/>
      <c r="J953" s="59"/>
      <c r="L953" s="59"/>
      <c r="N953" s="59"/>
      <c r="Q953" s="59"/>
      <c r="R953" s="61"/>
    </row>
    <row r="954">
      <c r="B954" s="59"/>
      <c r="D954" s="59"/>
      <c r="F954" s="59"/>
      <c r="H954" s="59"/>
      <c r="J954" s="59"/>
      <c r="L954" s="59"/>
      <c r="N954" s="59"/>
      <c r="Q954" s="59"/>
      <c r="R954" s="61"/>
    </row>
    <row r="955">
      <c r="B955" s="59"/>
      <c r="D955" s="59"/>
      <c r="F955" s="59"/>
      <c r="H955" s="59"/>
      <c r="J955" s="59"/>
      <c r="L955" s="59"/>
      <c r="N955" s="59"/>
      <c r="Q955" s="59"/>
      <c r="R955" s="61"/>
    </row>
    <row r="956">
      <c r="B956" s="59"/>
      <c r="D956" s="59"/>
      <c r="F956" s="59"/>
      <c r="H956" s="59"/>
      <c r="J956" s="59"/>
      <c r="L956" s="59"/>
      <c r="N956" s="59"/>
      <c r="Q956" s="59"/>
      <c r="R956" s="61"/>
    </row>
    <row r="957">
      <c r="B957" s="59"/>
      <c r="D957" s="59"/>
      <c r="F957" s="59"/>
      <c r="H957" s="59"/>
      <c r="J957" s="59"/>
      <c r="L957" s="59"/>
      <c r="N957" s="59"/>
      <c r="Q957" s="59"/>
      <c r="R957" s="61"/>
    </row>
    <row r="958">
      <c r="B958" s="59"/>
      <c r="D958" s="59"/>
      <c r="F958" s="59"/>
      <c r="H958" s="59"/>
      <c r="J958" s="59"/>
      <c r="L958" s="59"/>
      <c r="N958" s="59"/>
      <c r="Q958" s="59"/>
      <c r="R958" s="61"/>
    </row>
    <row r="959">
      <c r="B959" s="59"/>
      <c r="D959" s="59"/>
      <c r="F959" s="59"/>
      <c r="H959" s="59"/>
      <c r="J959" s="59"/>
      <c r="L959" s="59"/>
      <c r="N959" s="59"/>
      <c r="Q959" s="59"/>
      <c r="R959" s="61"/>
    </row>
    <row r="960">
      <c r="B960" s="59"/>
      <c r="D960" s="59"/>
      <c r="F960" s="59"/>
      <c r="H960" s="59"/>
      <c r="J960" s="59"/>
      <c r="L960" s="59"/>
      <c r="N960" s="59"/>
      <c r="Q960" s="59"/>
      <c r="R960" s="61"/>
    </row>
    <row r="961">
      <c r="B961" s="59"/>
      <c r="D961" s="59"/>
      <c r="F961" s="59"/>
      <c r="H961" s="59"/>
      <c r="J961" s="59"/>
      <c r="L961" s="59"/>
      <c r="N961" s="59"/>
      <c r="Q961" s="59"/>
      <c r="R961" s="61"/>
    </row>
    <row r="962">
      <c r="B962" s="59"/>
      <c r="D962" s="59"/>
      <c r="F962" s="59"/>
      <c r="H962" s="59"/>
      <c r="J962" s="59"/>
      <c r="L962" s="59"/>
      <c r="N962" s="59"/>
      <c r="Q962" s="59"/>
      <c r="R962" s="61"/>
    </row>
    <row r="963">
      <c r="B963" s="59"/>
      <c r="D963" s="59"/>
      <c r="F963" s="59"/>
      <c r="H963" s="59"/>
      <c r="J963" s="59"/>
      <c r="L963" s="59"/>
      <c r="N963" s="59"/>
      <c r="Q963" s="59"/>
      <c r="R963" s="61"/>
    </row>
    <row r="964">
      <c r="B964" s="59"/>
      <c r="D964" s="59"/>
      <c r="F964" s="59"/>
      <c r="H964" s="59"/>
      <c r="J964" s="59"/>
      <c r="L964" s="59"/>
      <c r="N964" s="59"/>
      <c r="Q964" s="59"/>
      <c r="R964" s="61"/>
    </row>
    <row r="965">
      <c r="B965" s="59"/>
      <c r="D965" s="59"/>
      <c r="F965" s="59"/>
      <c r="H965" s="59"/>
      <c r="J965" s="59"/>
      <c r="L965" s="59"/>
      <c r="N965" s="59"/>
      <c r="Q965" s="59"/>
      <c r="R965" s="61"/>
    </row>
    <row r="966">
      <c r="B966" s="59"/>
      <c r="D966" s="59"/>
      <c r="F966" s="59"/>
      <c r="H966" s="59"/>
      <c r="J966" s="59"/>
      <c r="L966" s="59"/>
      <c r="N966" s="59"/>
      <c r="Q966" s="59"/>
      <c r="R966" s="61"/>
    </row>
    <row r="967">
      <c r="B967" s="59"/>
      <c r="D967" s="59"/>
      <c r="F967" s="59"/>
      <c r="H967" s="59"/>
      <c r="J967" s="59"/>
      <c r="L967" s="59"/>
      <c r="N967" s="59"/>
      <c r="Q967" s="59"/>
      <c r="R967" s="61"/>
    </row>
    <row r="968">
      <c r="B968" s="59"/>
      <c r="D968" s="59"/>
      <c r="F968" s="59"/>
      <c r="H968" s="59"/>
      <c r="J968" s="59"/>
      <c r="L968" s="59"/>
      <c r="N968" s="59"/>
      <c r="Q968" s="59"/>
      <c r="R968" s="61"/>
    </row>
    <row r="969">
      <c r="B969" s="59"/>
      <c r="D969" s="59"/>
      <c r="F969" s="59"/>
      <c r="H969" s="59"/>
      <c r="J969" s="59"/>
      <c r="L969" s="59"/>
      <c r="N969" s="59"/>
      <c r="Q969" s="59"/>
      <c r="R969" s="61"/>
    </row>
    <row r="970">
      <c r="B970" s="59"/>
      <c r="D970" s="59"/>
      <c r="F970" s="59"/>
      <c r="H970" s="59"/>
      <c r="J970" s="59"/>
      <c r="L970" s="59"/>
      <c r="N970" s="59"/>
      <c r="Q970" s="59"/>
      <c r="R970" s="61"/>
    </row>
    <row r="971">
      <c r="B971" s="59"/>
      <c r="D971" s="59"/>
      <c r="F971" s="59"/>
      <c r="H971" s="59"/>
      <c r="J971" s="59"/>
      <c r="L971" s="59"/>
      <c r="N971" s="59"/>
      <c r="Q971" s="59"/>
      <c r="R971" s="61"/>
    </row>
    <row r="972">
      <c r="B972" s="59"/>
      <c r="D972" s="59"/>
      <c r="F972" s="59"/>
      <c r="H972" s="59"/>
      <c r="J972" s="59"/>
      <c r="L972" s="59"/>
      <c r="N972" s="59"/>
      <c r="Q972" s="59"/>
      <c r="R972" s="61"/>
    </row>
    <row r="973">
      <c r="B973" s="59"/>
      <c r="D973" s="59"/>
      <c r="F973" s="59"/>
      <c r="H973" s="59"/>
      <c r="J973" s="59"/>
      <c r="L973" s="59"/>
      <c r="N973" s="59"/>
      <c r="Q973" s="59"/>
      <c r="R973" s="61"/>
    </row>
    <row r="974">
      <c r="B974" s="59"/>
      <c r="D974" s="59"/>
      <c r="F974" s="59"/>
      <c r="H974" s="59"/>
      <c r="J974" s="59"/>
      <c r="L974" s="59"/>
      <c r="N974" s="59"/>
      <c r="Q974" s="59"/>
      <c r="R974" s="61"/>
    </row>
    <row r="975">
      <c r="B975" s="59"/>
      <c r="D975" s="59"/>
      <c r="F975" s="59"/>
      <c r="H975" s="59"/>
      <c r="J975" s="59"/>
      <c r="L975" s="59"/>
      <c r="N975" s="59"/>
      <c r="Q975" s="59"/>
      <c r="R975" s="61"/>
    </row>
    <row r="976">
      <c r="B976" s="59"/>
      <c r="D976" s="59"/>
      <c r="F976" s="59"/>
      <c r="H976" s="59"/>
      <c r="J976" s="59"/>
      <c r="L976" s="59"/>
      <c r="N976" s="59"/>
      <c r="Q976" s="59"/>
      <c r="R976" s="61"/>
    </row>
    <row r="977">
      <c r="B977" s="59"/>
      <c r="D977" s="59"/>
      <c r="F977" s="59"/>
      <c r="H977" s="59"/>
      <c r="J977" s="59"/>
      <c r="L977" s="59"/>
      <c r="N977" s="59"/>
      <c r="Q977" s="59"/>
      <c r="R977" s="61"/>
    </row>
    <row r="978">
      <c r="B978" s="59"/>
      <c r="D978" s="59"/>
      <c r="F978" s="59"/>
      <c r="H978" s="59"/>
      <c r="J978" s="59"/>
      <c r="L978" s="59"/>
      <c r="N978" s="59"/>
      <c r="Q978" s="59"/>
      <c r="R978" s="61"/>
    </row>
    <row r="979">
      <c r="B979" s="59"/>
      <c r="D979" s="59"/>
      <c r="F979" s="59"/>
      <c r="H979" s="59"/>
      <c r="J979" s="59"/>
      <c r="L979" s="59"/>
      <c r="N979" s="59"/>
      <c r="Q979" s="59"/>
      <c r="R979" s="61"/>
    </row>
    <row r="980">
      <c r="B980" s="59"/>
      <c r="D980" s="59"/>
      <c r="F980" s="59"/>
      <c r="H980" s="59"/>
      <c r="J980" s="59"/>
      <c r="L980" s="59"/>
      <c r="N980" s="59"/>
      <c r="Q980" s="59"/>
      <c r="R980" s="61"/>
    </row>
    <row r="981">
      <c r="B981" s="59"/>
      <c r="D981" s="59"/>
      <c r="F981" s="59"/>
      <c r="H981" s="59"/>
      <c r="J981" s="59"/>
      <c r="L981" s="59"/>
      <c r="N981" s="59"/>
      <c r="Q981" s="59"/>
      <c r="R981" s="61"/>
    </row>
    <row r="982">
      <c r="B982" s="59"/>
      <c r="D982" s="59"/>
      <c r="F982" s="59"/>
      <c r="H982" s="59"/>
      <c r="J982" s="59"/>
      <c r="L982" s="59"/>
      <c r="N982" s="59"/>
      <c r="Q982" s="59"/>
      <c r="R982" s="61"/>
    </row>
    <row r="983">
      <c r="B983" s="59"/>
      <c r="D983" s="59"/>
      <c r="F983" s="59"/>
      <c r="H983" s="59"/>
      <c r="J983" s="59"/>
      <c r="L983" s="59"/>
      <c r="N983" s="59"/>
      <c r="Q983" s="59"/>
      <c r="R983" s="61"/>
    </row>
    <row r="984">
      <c r="B984" s="59"/>
      <c r="D984" s="59"/>
      <c r="F984" s="59"/>
      <c r="H984" s="59"/>
      <c r="J984" s="59"/>
      <c r="L984" s="59"/>
      <c r="N984" s="59"/>
      <c r="Q984" s="59"/>
      <c r="R984" s="61"/>
    </row>
    <row r="985">
      <c r="B985" s="59"/>
      <c r="D985" s="59"/>
      <c r="F985" s="59"/>
      <c r="H985" s="59"/>
      <c r="J985" s="59"/>
      <c r="L985" s="59"/>
      <c r="N985" s="59"/>
      <c r="Q985" s="59"/>
      <c r="R985" s="61"/>
    </row>
    <row r="986">
      <c r="B986" s="59"/>
      <c r="D986" s="59"/>
      <c r="F986" s="59"/>
      <c r="H986" s="59"/>
      <c r="J986" s="59"/>
      <c r="L986" s="59"/>
      <c r="N986" s="59"/>
      <c r="Q986" s="59"/>
      <c r="R986" s="61"/>
    </row>
    <row r="987">
      <c r="B987" s="59"/>
      <c r="D987" s="59"/>
      <c r="F987" s="59"/>
      <c r="H987" s="59"/>
      <c r="J987" s="59"/>
      <c r="L987" s="59"/>
      <c r="N987" s="59"/>
      <c r="Q987" s="59"/>
      <c r="R987" s="61"/>
    </row>
    <row r="988">
      <c r="B988" s="59"/>
      <c r="D988" s="59"/>
      <c r="F988" s="59"/>
      <c r="H988" s="59"/>
      <c r="J988" s="59"/>
      <c r="L988" s="59"/>
      <c r="N988" s="59"/>
      <c r="Q988" s="59"/>
      <c r="R988" s="61"/>
    </row>
    <row r="989">
      <c r="B989" s="59"/>
      <c r="D989" s="59"/>
      <c r="F989" s="59"/>
      <c r="H989" s="59"/>
      <c r="J989" s="59"/>
      <c r="L989" s="59"/>
      <c r="N989" s="59"/>
      <c r="Q989" s="59"/>
      <c r="R989" s="61"/>
    </row>
    <row r="990">
      <c r="B990" s="59"/>
      <c r="D990" s="59"/>
      <c r="F990" s="59"/>
      <c r="H990" s="59"/>
      <c r="J990" s="59"/>
      <c r="L990" s="59"/>
      <c r="N990" s="59"/>
      <c r="Q990" s="59"/>
      <c r="R990" s="61"/>
    </row>
    <row r="991">
      <c r="B991" s="59"/>
      <c r="D991" s="59"/>
      <c r="F991" s="59"/>
      <c r="H991" s="59"/>
      <c r="J991" s="59"/>
      <c r="L991" s="59"/>
      <c r="N991" s="59"/>
      <c r="Q991" s="59"/>
      <c r="R991" s="61"/>
    </row>
    <row r="992">
      <c r="B992" s="59"/>
      <c r="D992" s="59"/>
      <c r="F992" s="59"/>
      <c r="H992" s="59"/>
      <c r="J992" s="59"/>
      <c r="L992" s="59"/>
      <c r="N992" s="59"/>
      <c r="Q992" s="59"/>
      <c r="R992" s="61"/>
    </row>
    <row r="993">
      <c r="B993" s="59"/>
      <c r="D993" s="59"/>
      <c r="F993" s="59"/>
      <c r="H993" s="59"/>
      <c r="J993" s="59"/>
      <c r="L993" s="59"/>
      <c r="N993" s="59"/>
      <c r="Q993" s="59"/>
      <c r="R993" s="61"/>
    </row>
    <row r="994">
      <c r="B994" s="59"/>
      <c r="D994" s="59"/>
      <c r="F994" s="59"/>
      <c r="H994" s="59"/>
      <c r="J994" s="59"/>
      <c r="L994" s="59"/>
      <c r="N994" s="59"/>
      <c r="Q994" s="59"/>
      <c r="R994" s="61"/>
    </row>
    <row r="995">
      <c r="B995" s="59"/>
      <c r="D995" s="59"/>
      <c r="F995" s="59"/>
      <c r="H995" s="59"/>
      <c r="J995" s="59"/>
      <c r="L995" s="59"/>
      <c r="N995" s="59"/>
      <c r="Q995" s="59"/>
      <c r="R995" s="61"/>
    </row>
    <row r="996">
      <c r="B996" s="59"/>
      <c r="D996" s="59"/>
      <c r="F996" s="59"/>
      <c r="H996" s="59"/>
      <c r="J996" s="59"/>
      <c r="L996" s="59"/>
      <c r="N996" s="59"/>
      <c r="Q996" s="59"/>
      <c r="R996" s="61"/>
    </row>
    <row r="997">
      <c r="B997" s="59"/>
      <c r="D997" s="59"/>
      <c r="F997" s="59"/>
      <c r="H997" s="59"/>
      <c r="J997" s="59"/>
      <c r="L997" s="59"/>
      <c r="N997" s="59"/>
      <c r="Q997" s="59"/>
      <c r="R997" s="61"/>
    </row>
    <row r="998">
      <c r="B998" s="59"/>
      <c r="D998" s="59"/>
      <c r="F998" s="59"/>
      <c r="H998" s="59"/>
      <c r="J998" s="59"/>
      <c r="L998" s="59"/>
      <c r="N998" s="59"/>
      <c r="Q998" s="59"/>
      <c r="R998" s="61"/>
    </row>
    <row r="999">
      <c r="B999" s="59"/>
      <c r="D999" s="59"/>
      <c r="F999" s="59"/>
      <c r="H999" s="59"/>
      <c r="J999" s="59"/>
      <c r="L999" s="59"/>
      <c r="N999" s="59"/>
      <c r="Q999" s="59"/>
      <c r="R999" s="61"/>
    </row>
    <row r="1000">
      <c r="B1000" s="59"/>
      <c r="D1000" s="59"/>
      <c r="F1000" s="59"/>
      <c r="H1000" s="59"/>
      <c r="J1000" s="59"/>
      <c r="L1000" s="59"/>
      <c r="N1000" s="59"/>
      <c r="Q1000" s="59"/>
      <c r="R1000" s="61"/>
    </row>
    <row r="1001">
      <c r="B1001" s="59"/>
      <c r="D1001" s="59"/>
      <c r="F1001" s="59"/>
      <c r="H1001" s="59"/>
      <c r="J1001" s="59"/>
      <c r="L1001" s="59"/>
      <c r="N1001" s="59"/>
      <c r="Q1001" s="59"/>
      <c r="R1001" s="61"/>
    </row>
    <row r="1002">
      <c r="B1002" s="59"/>
      <c r="D1002" s="59"/>
      <c r="F1002" s="59"/>
      <c r="H1002" s="59"/>
      <c r="J1002" s="59"/>
      <c r="L1002" s="59"/>
      <c r="N1002" s="59"/>
      <c r="Q1002" s="59"/>
      <c r="R1002" s="61"/>
    </row>
    <row r="1003">
      <c r="B1003" s="59"/>
      <c r="D1003" s="59"/>
      <c r="F1003" s="59"/>
      <c r="H1003" s="59"/>
      <c r="J1003" s="59"/>
      <c r="L1003" s="59"/>
      <c r="N1003" s="59"/>
      <c r="Q1003" s="59"/>
      <c r="R1003" s="61"/>
    </row>
  </sheetData>
  <drawing r:id="rId1"/>
</worksheet>
</file>