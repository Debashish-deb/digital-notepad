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2021" sheetId="1" r:id="rId5"/>
    <sheet state="visible" name="JANUARY 2021" sheetId="2" r:id="rId6"/>
    <sheet state="visible" name="FEBRUARY 2021" sheetId="3" r:id="rId7"/>
    <sheet state="visible" name="MARCH 2021" sheetId="4" r:id="rId8"/>
    <sheet state="visible" name="APRIL 2021" sheetId="5" r:id="rId9"/>
    <sheet state="visible" name="MAY 2021" sheetId="6" r:id="rId10"/>
    <sheet state="visible" name="JUNE 2021" sheetId="7" r:id="rId11"/>
    <sheet state="visible" name="JULY 2021" sheetId="8" r:id="rId12"/>
    <sheet state="visible" name="AUGUST 2021" sheetId="9" r:id="rId13"/>
    <sheet state="visible" name="SEPTEMBER 2021" sheetId="10" r:id="rId14"/>
    <sheet state="visible" name="OCTOBER 2021" sheetId="11" r:id="rId15"/>
    <sheet state="visible" name="NOVEMBER 2021" sheetId="12" r:id="rId16"/>
    <sheet state="visible" name="DECEMBER 2021"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tc={11786607-4876-4cfd-a54f-ec93a44402b6}</author>
    <author>tc={66bebe9e-3095-4bb6-8e8f-a6b5ec127f37}</author>
    <author>tc={87a4aef2-820b-4535-8e2e-972ab0928cf9}</author>
    <author>tc={a99b69fd-74fa-43ea-bba5-ca7dc2b9c2bb}</author>
    <author>tc={af45d5ab-a479-4705-ac9b-4ff5dc19c28d}</author>
    <author>tc={d5e8c566-8d3d-4698-bc30-e27ce9e821fa}</author>
    <author>tc={d8b96746-cb32-40e9-b120-2252493a84e7}</author>
    <author>tc={ebff5b4e-72fd-4ee2-82a3-e5c77093281a}</author>
  </authors>
  <commentList>
    <comment authorId="0" xr:uid="{11786607-4876-4cfd-a54f-ec93a44402b6}" ref="D3">
      <text>
        <t xml:space="preserve">[Threaded comment]
 Your version of Excel allows you to read this threaded comment; however, any edits to it will get removed if the file is opened in a newer version of Excel. Learn more: https://go.microsoft.com/fwlink/?linkid=870924
Comment:
	VAT-free
</t>
      </text>
    </comment>
    <comment authorId="1" xr:uid="{66bebe9e-3095-4bb6-8e8f-a6b5ec127f37}" ref="D8">
      <text>
        <t xml:space="preserve">[Threaded comment]
 Your version of Excel allows you to read this threaded comment; however, any edits to it will get removed if the file is opened in a newer version of Excel. Learn more: https://go.microsoft.com/fwlink/?linkid=870924
Comment:
	all, basic profiling
</t>
      </text>
    </comment>
    <comment authorId="2" xr:uid="{87a4aef2-820b-4535-8e2e-972ab0928cf9}" ref="B3">
      <text>
        <t xml:space="preserve">[Threaded comment]
 Your version of Excel allows you to read this threaded comment; however, any edits to it will get removed if the file is opened in a newer version of Excel. Learn more: https://go.microsoft.com/fwlink/?linkid=870924
Comment:
	sums here include VAT 24%
</t>
      </text>
    </comment>
    <comment authorId="3" xr:uid="{a99b69fd-74fa-43ea-bba5-ca7dc2b9c2bb}" ref="E3">
      <text>
        <t xml:space="preserve">[Threaded comment]
 Your version of Excel allows you to read this threaded comment; however, any edits to it will get removed if the file is opened in a newer version of Excel. Learn more: https://go.microsoft.com/fwlink/?linkid=870924
Comment:
	VAT 24% added
</t>
      </text>
    </comment>
    <comment authorId="4" xr:uid="{af45d5ab-a479-4705-ac9b-4ff5dc19c28d}" ref="C3">
      <text>
        <t xml:space="preserve">[Threaded comment]
 Your version of Excel allows you to read this threaded comment; however, any edits to it will get removed if the file is opened in a newer version of Excel. Learn more: https://go.microsoft.com/fwlink/?linkid=870924
Comment:
	VAT-free
</t>
      </text>
    </comment>
    <comment authorId="5" xr:uid="{d5e8c566-8d3d-4698-bc30-e27ce9e821fa}" ref="C11">
      <text>
        <t xml:space="preserve">[Threaded comment]
 Your version of Excel allows you to read this threaded comment; however, any edits to it will get removed if the file is opened in a newer version of Excel. Learn more: https://go.microsoft.com/fwlink/?linkid=870924
Comment:
	plus Immunotools abs, will add the price
</t>
      </text>
    </comment>
    <comment authorId="6" xr:uid="{d8b96746-cb32-40e9-b120-2252493a84e7}" ref="G3">
      <text>
        <t xml:space="preserve">[Threaded comment]
 Your version of Excel allows you to read this threaded comment; however, any edits to it will get removed if the file is opened in a newer version of Excel. Learn more: https://go.microsoft.com/fwlink/?linkid=870924
Comment:
	VAT we do not need to include
</t>
      </text>
    </comment>
    <comment authorId="7" xr:uid="{ebff5b4e-72fd-4ee2-82a3-e5c77093281a}" ref="F3">
      <text>
        <t xml:space="preserve">[Threaded comment]
 Your version of Excel allows you to read this threaded comment; however, any edits to it will get removed if the file is opened in a newer version of Excel. Learn more: https://go.microsoft.com/fwlink/?linkid=870924
Comment:
	VAT we do not need to include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tc={17420436-8e30-4a0f-943c-698bae2378e0}</author>
    <author>tc={5ddd6669-4ecc-4c44-aaa2-8e00303f06f1}</author>
    <author>tc={d6bc3091-8b86-4f38-93f1-49ad32263567}</author>
    <author>tc={e49115a3-29cc-4a7a-a136-25f1477d5716}</author>
  </authors>
  <commentList>
    <comment authorId="0" xr:uid="{17420436-8e30-4a0f-943c-698bae2378e0}" ref="I8">
      <text>
        <t xml:space="preserve">[Threaded comment]
 Your version of Excel allows you to read this threaded comment; however, any edits to it will get removed if the file is opened in a newer version of Excel. Learn more: https://go.microsoft.com/fwlink/?linkid=870924
Comment:
	Internal bill arrived to SAP Talous 11.1.2021. one bill with the next Imaging bill
</t>
      </text>
    </comment>
    <comment authorId="1" xr:uid="{5ddd6669-4ecc-4c44-aaa2-8e00303f06f1}" ref="I10">
      <text>
        <t xml:space="preserve">[Threaded comment]
 Your version of Excel allows you to read this threaded comment; however, any edits to it will get removed if the file is opened in a newer version of Excel. Learn more: https://go.microsoft.com/fwlink/?linkid=870924
Comment:
	The bill arrived to SAP Talous 11.1.2021, same bill as two lower rows.
</t>
      </text>
    </comment>
    <comment authorId="2" xr:uid="{d6bc3091-8b86-4f38-93f1-49ad32263567}" ref="A13">
      <text>
        <t xml:space="preserve">[Threaded comment]
 Your version of Excel allows you to read this threaded comment; however, any edits to it will get removed if the file is opened in a newer version of Excel. Learn more: https://go.microsoft.com/fwlink/?linkid=870924
Comment:
	add to cat numbers file if it is a right product
</t>
      </text>
    </comment>
    <comment authorId="3" xr:uid="{e49115a3-29cc-4a7a-a136-25f1477d5716}" ref="G6">
      <text>
        <t xml:space="preserve">[Threaded comment]
 Your version of Excel allows you to read this threaded comment; however, any edits to it will get removed if the file is opened in a newer version of Excel. Learn more: https://go.microsoft.com/fwlink/?linkid=870924
Comment:
	I asked Merck to send citric acif for free, as we received a notice number CCNS-1000085 from Merck saying that Lot SLCB8580 is possibly substituted with Tricine T5816.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tc={3959b700-1c38-4bb1-8994-7798a108e307}</author>
    <author>tc={d8c940fb-2b80-4a0c-a4e7-e78d71872843}</author>
  </authors>
  <commentList>
    <comment authorId="0" xr:uid="{3959b700-1c38-4bb1-8994-7798a108e307}" ref="I2">
      <text>
        <t xml:space="preserve">[Threaded comment]
 Your version of Excel allows you to read this threaded comment; however, any edits to it will get removed if the file is opened in a newer version of Excel. Learn more: https://go.microsoft.com/fwlink/?linkid=870924
Comment:
	date of Eurocard bill approval, NC
</t>
      </text>
    </comment>
    <comment authorId="1" xr:uid="{d8c940fb-2b80-4a0c-a4e7-e78d71872843}" ref="I5">
      <text>
        <t xml:space="preserve">[Threaded comment]
 Your version of Excel allows you to read this threaded comment; however, any edits to it will get removed if the file is opened in a newer version of Excel. Learn more: https://go.microsoft.com/fwlink/?linkid=870924
Comment:
	bill arrived to SAP Talous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tc={19559c82-b97e-4a72-a2bd-cd896ca49de2}</author>
    <author>tc={3747c96f-ac64-4d92-86f4-55d84dc81e88}</author>
    <author>tc={54faee7c-30b4-4711-a021-4236936f0647}</author>
    <author>tc={68d187f3-342b-4975-b9a9-5ad556758d56}</author>
    <author>tc={6a59bfd7-624b-4f36-805e-ccde6b83ab61}</author>
    <author>tc={7ef271bf-e5ce-4830-bd7a-c2f6d7a8a561}</author>
    <author>tc={cc18dfb8-fd27-4b2a-ad08-03177e822f84}</author>
  </authors>
  <commentList>
    <comment authorId="0" xr:uid="{19559c82-b97e-4a72-a2bd-cd896ca49de2}" ref="K4">
      <text>
        <t xml:space="preserve">[Threaded comment]
 Your version of Excel allows you to read this threaded comment; however, any edits to it will get removed if the file is opened in a newer version of Excel. Learn more: https://go.microsoft.com/fwlink/?linkid=870924
Comment:
	date of bill arrival
</t>
      </text>
    </comment>
    <comment authorId="1" xr:uid="{3747c96f-ac64-4d92-86f4-55d84dc81e88}" ref="I3">
      <text>
        <t xml:space="preserve">[Threaded comment]
 Your version of Excel allows you to read this threaded comment; however, any edits to it will get removed if the file is opened in a newer version of Excel. Learn more: https://go.microsoft.com/fwlink/?linkid=870924
Comment:
	bill arrived to SAP Talous
</t>
      </text>
    </comment>
    <comment authorId="2" xr:uid="{54faee7c-30b4-4711-a021-4236936f0647}" ref="K10">
      <text>
        <t xml:space="preserve">[Threaded comment]
 Your version of Excel allows you to read this threaded comment; however, any edits to it will get removed if the file is opened in a newer version of Excel. Learn more: https://go.microsoft.com/fwlink/?linkid=870924
Comment:
	one box arrived with a crack, VWR should send us a free substitute
</t>
      </text>
    </comment>
    <comment authorId="3" xr:uid="{68d187f3-342b-4975-b9a9-5ad556758d56}" ref="I2">
      <text>
        <t xml:space="preserve">[Threaded comment]
 Your version of Excel allows you to read this threaded comment; however, any edits to it will get removed if the file is opened in a newer version of Excel. Learn more: https://go.microsoft.com/fwlink/?linkid=870924
Comment:
	bill arrived to SAP Talous
</t>
      </text>
    </comment>
    <comment authorId="4" xr:uid="{6a59bfd7-624b-4f36-805e-ccde6b83ab61}" ref="I13">
      <text>
        <t xml:space="preserve">[Threaded comment]
 Your version of Excel allows you to read this threaded comment; however, any edits to it will get removed if the file is opened in a newer version of Excel. Learn more: https://go.microsoft.com/fwlink/?linkid=870924
Comment:
	installation date
</t>
      </text>
    </comment>
    <comment authorId="5" xr:uid="{7ef271bf-e5ce-4830-bd7a-c2f6d7a8a561}" ref="G5">
      <text>
        <t xml:space="preserve">[Threaded comment]
 Your version of Excel allows you to read this threaded comment; however, any edits to it will get removed if the file is opened in a newer version of Excel. Learn more: https://go.microsoft.com/fwlink/?linkid=870924
Comment:
	bill arrived 23.4.2021
</t>
      </text>
    </comment>
    <comment authorId="6" xr:uid="{cc18dfb8-fd27-4b2a-ad08-03177e822f84}" ref="I11">
      <text>
        <t xml:space="preserve">[Threaded comment]
 Your version of Excel allows you to read this threaded comment; however, any edits to it will get removed if the file is opened in a newer version of Excel. Learn more: https://go.microsoft.com/fwlink/?linkid=870924
Comment:
	bill arrived to SAP Talous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tc={e4c06cac-c36b-4bc5-810a-9d47c2b7d4e4}</author>
  </authors>
  <commentList>
    <comment authorId="0" xr:uid="{e4c06cac-c36b-4bc5-810a-9d47c2b7d4e4}" ref="K9">
      <text>
        <t xml:space="preserve">[Threaded comment]
 Your version of Excel allows you to read this threaded comment; however, any edits to it will get removed if the file is opened in a newer version of Excel. Learn more: https://go.microsoft.com/fwlink/?linkid=870924
Comment:
	bill arrived to SAP Talous 20.5.2021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tc={c141b1c1-0f28-434b-8c31-e85f3662bad0}</author>
  </authors>
  <commentList>
    <comment authorId="0" xr:uid="{c141b1c1-0f28-434b-8c31-e85f3662bad0}" ref="A11">
      <text>
        <t xml:space="preserve">[Threaded comment]
 Your version of Excel allows you to read this threaded comment; however, any edits to it will get removed if the file is opened in a newer version of Excel. Learn more: https://go.microsoft.com/fwlink/?linkid=870924
Comment:
	Anniina returned it in SAP Talous, we double checked with Kati, it is our bill, paid from AstraZeneca money 11.6.21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tc={4911ec02-0ce5-4ea6-bc9f-d7ced1731a1b}</author>
    <author>tc={a67fbca7-f5a9-41b0-8e64-7a2bcbd8941a}</author>
    <author>tc={fd2d600d-6023-461c-bbf8-fa0490dbaa75}</author>
  </authors>
  <commentList>
    <comment authorId="0" xr:uid="{4911ec02-0ce5-4ea6-bc9f-d7ced1731a1b}" ref="M17">
      <text>
        <t xml:space="preserve">[Threaded comment]
 Your version of Excel allows you to read this threaded comment; however, any edits to it will get removed if the file is opened in a newer version of Excel. Learn more: https://go.microsoft.com/fwlink/?linkid=870924
Comment:
	projektinumero on: 11131 kustannuspaikka 8TO7
</t>
      </text>
    </comment>
    <comment authorId="1" xr:uid="{a67fbca7-f5a9-41b0-8e64-7a2bcbd8941a}" ref="I12">
      <text>
        <t xml:space="preserve">[Threaded comment]
 Your version of Excel allows you to read this threaded comment; however, any edits to it will get removed if the file is opened in a newer version of Excel. Learn more: https://go.microsoft.com/fwlink/?linkid=870924
Comment:
	bill arrived to SAP Talous
</t>
      </text>
    </comment>
    <comment authorId="2" xr:uid="{fd2d600d-6023-461c-bbf8-fa0490dbaa75}" ref="M18">
      <text>
        <t xml:space="preserve">[Threaded comment]
 Your version of Excel allows you to read this threaded comment; however, any edits to it will get removed if the file is opened in a newer version of Excel. Learn more: https://go.microsoft.com/fwlink/?linkid=870924
Comment:
	Helsinki University, Sampsa Hautaniemi
H30492 WBS 73044507/Anni Virtanen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tc={953a3e3f-50b3-43cc-ae03-da5376934f93}</author>
    <author>tc={ec373283-1d60-4bb9-986d-25c1ea0b2537}</author>
  </authors>
  <commentList>
    <comment authorId="0" xr:uid="{953a3e3f-50b3-43cc-ae03-da5376934f93}" ref="M3">
      <text>
        <t xml:space="preserve">[Threaded comment]
 Your version of Excel allows you to read this threaded comment; however, any edits to it will get removed if the file is opened in a newer version of Excel. Learn more: https://go.microsoft.com/fwlink/?linkid=870924
Comment:
	iCAN TA-code 333023; WBS 7300333/H300
</t>
      </text>
    </comment>
    <comment authorId="1" xr:uid="{ec373283-1d60-4bb9-986d-25c1ea0b2537}" ref="K3">
      <text>
        <t xml:space="preserve">[Threaded comment]
 Your version of Excel allows you to read this threaded comment; however, any edits to it will get removed if the file is opened in a newer version of Excel. Learn more: https://go.microsoft.com/fwlink/?linkid=870924
Comment:
	bill arrived to SAP Talous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tc={9cd82cf1-d447-48c3-a5e1-cc0f51e822c1}</author>
    <author>tc={e19c5f90-101c-411f-be46-514ab1661187}</author>
  </authors>
  <commentList>
    <comment authorId="0" xr:uid="{9cd82cf1-d447-48c3-a5e1-cc0f51e822c1}" ref="N25">
      <text>
        <t xml:space="preserve">[Threaded comment]
 Your version of Excel allows you to read this threaded comment; however, any edits to it will get removed if the file is opened in a newer version of Excel. Learn more: https://go.microsoft.com/fwlink/?linkid=870924
Comment:
	When you order the it-equipments it is possible to give only one wbs number. So you have to correct the wbs numbers when you receive the bill for checking. Send it back to the book keeper and ask she/he to divide the payment in two wbs number. The computer 1009€ to h3040/wbs3040001 and the other equipments to H30492/wbs4706188.
</t>
      </text>
    </comment>
    <comment authorId="1" xr:uid="{e19c5f90-101c-411f-be46-514ab1661187}" ref="I3">
      <text>
        <t xml:space="preserve">[Threaded comment]
 Your version of Excel allows you to read this threaded comment; however, any edits to it will get removed if the file is opened in a newer version of Excel. Learn more: https://go.microsoft.com/fwlink/?linkid=870924
Comment:
	bill arrived to SAP Talous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tc={2e9d4e00-0361-4478-9f72-9c8568e95b21}</author>
  </authors>
  <commentList>
    <comment authorId="0" xr:uid="{2e9d4e00-0361-4478-9f72-9c8568e95b21}" ref="A9">
      <text>
        <t xml:space="preserve">[Threaded comment]
 Your version of Excel allows you to read this threaded comment; however, any edits to it will get removed if the file is opened in a newer version of Excel. Learn more: https://go.microsoft.com/fwlink/?linkid=870924
Comment:
	split 50-50 w Kauppi lab, this is AF lab share
</t>
      </text>
    </comment>
  </commentList>
</comments>
</file>

<file path=xl/sharedStrings.xml><?xml version="1.0" encoding="utf-8"?>
<sst xmlns="http://schemas.openxmlformats.org/spreadsheetml/2006/main" count="1802" uniqueCount="668">
  <si>
    <t>WBS</t>
  </si>
  <si>
    <t>Totals</t>
  </si>
  <si>
    <t>Month</t>
  </si>
  <si>
    <t>Kulttuurirahasto</t>
  </si>
  <si>
    <t>Early career</t>
  </si>
  <si>
    <t>iCAN</t>
  </si>
  <si>
    <t>AstraZeneca</t>
  </si>
  <si>
    <t>HUS, Anniina</t>
  </si>
  <si>
    <t>HUS, Ullis</t>
  </si>
  <si>
    <t>Jan</t>
  </si>
  <si>
    <t>Feb</t>
  </si>
  <si>
    <t>Mar</t>
  </si>
  <si>
    <t>Apr</t>
  </si>
  <si>
    <t>May</t>
  </si>
  <si>
    <t>Jun</t>
  </si>
  <si>
    <t>Jul</t>
  </si>
  <si>
    <t>Aug</t>
  </si>
  <si>
    <t>Sep</t>
  </si>
  <si>
    <t>Oct</t>
  </si>
  <si>
    <t>Nov</t>
  </si>
  <si>
    <t>Dec</t>
  </si>
  <si>
    <t>PRODUCT</t>
  </si>
  <si>
    <t>CATALOG #</t>
  </si>
  <si>
    <t>UNIT SIZE</t>
  </si>
  <si>
    <t>AMOUNT</t>
  </si>
  <si>
    <t>MANUFACTURER</t>
  </si>
  <si>
    <t>SUPPLIER</t>
  </si>
  <si>
    <t>UNIT PRICE (alv 0%)</t>
  </si>
  <si>
    <t>TOTAL PRICE (alv 0%)</t>
  </si>
  <si>
    <t>ORDER DATE</t>
  </si>
  <si>
    <t>WHO</t>
  </si>
  <si>
    <t>ARRIVAL DATE</t>
  </si>
  <si>
    <t>OREDERED FROM</t>
  </si>
  <si>
    <t>LOCATION</t>
  </si>
  <si>
    <t>ADDITIONAL INFO</t>
  </si>
  <si>
    <t>Total</t>
  </si>
  <si>
    <t>Tissue Services, 7.-14.12.2020, Ashwini</t>
  </si>
  <si>
    <t>UH Tissue Services</t>
  </si>
  <si>
    <t>bill arrived 1.1.2021</t>
  </si>
  <si>
    <t>NC</t>
  </si>
  <si>
    <t>1.1.2021</t>
  </si>
  <si>
    <t>Early Career grant</t>
  </si>
  <si>
    <t>3x8 rack for 30mm tubes (50ml falcons), green</t>
  </si>
  <si>
    <t>5970-0430/10602971</t>
  </si>
  <si>
    <t>Nalgene</t>
  </si>
  <si>
    <t>Fisher/City-Lab</t>
  </si>
  <si>
    <t>5.1.2021</t>
  </si>
  <si>
    <t>12.1.2021</t>
  </si>
  <si>
    <t>Aprotinin from bovine lung</t>
  </si>
  <si>
    <t>A1153-25MG</t>
  </si>
  <si>
    <t>25mg</t>
  </si>
  <si>
    <t>Sigma/Merck</t>
  </si>
  <si>
    <t>1.2.2021</t>
  </si>
  <si>
    <t>plus 4, lab fridge</t>
  </si>
  <si>
    <t>Cisplatin (crystalline, cis-Diammineplatinum(II) dichloride)</t>
  </si>
  <si>
    <t>P4394-100MG</t>
  </si>
  <si>
    <t>100mg</t>
  </si>
  <si>
    <t>RT, reagents closet</t>
  </si>
  <si>
    <t>Citric acid Monohydrate</t>
  </si>
  <si>
    <t>C1909-2.5KG</t>
  </si>
  <si>
    <t>2.5 KG</t>
  </si>
  <si>
    <t>Sigma</t>
  </si>
  <si>
    <t>4.2.2021</t>
  </si>
  <si>
    <t>free</t>
  </si>
  <si>
    <t>Safe-lock micro test tubes 1.5ml PCR-clean (RNase-free), colourless</t>
  </si>
  <si>
    <t>Eppendorf</t>
  </si>
  <si>
    <t>Labnet/City-Lab</t>
  </si>
  <si>
    <t>7.1.2021</t>
  </si>
  <si>
    <t>26.1.2021</t>
  </si>
  <si>
    <t>HiLIFE-FIMM, PE Opera Phenix reservation (33 krt), 22e per time, 1.10.-15.12.2020</t>
  </si>
  <si>
    <t>FIMM High Content Imaging and Analysis unit</t>
  </si>
  <si>
    <t>11.1.2021</t>
  </si>
  <si>
    <t>Imaging service</t>
  </si>
  <si>
    <t>HiLIFE-FIMM, PE Opera Phenix reservation (22.5 krt), 22e per time, 1.7.-30.9.2020</t>
  </si>
  <si>
    <t>PE CellCarrier Ultra plates, 5kpl, 7e a piece</t>
  </si>
  <si>
    <t>VWR® Chemical-Resistant Laboratory Marker, for IHC</t>
  </si>
  <si>
    <t>811-0065</t>
  </si>
  <si>
    <t>VWR</t>
  </si>
  <si>
    <t>pending</t>
  </si>
  <si>
    <t>Abs Ethanol</t>
  </si>
  <si>
    <t>13110124A</t>
  </si>
  <si>
    <t>0.5L</t>
  </si>
  <si>
    <t>Berner Oy</t>
  </si>
  <si>
    <t>14.1.2020</t>
  </si>
  <si>
    <t xml:space="preserve">
19.1.2021</t>
  </si>
  <si>
    <t>unit's basic funding</t>
  </si>
  <si>
    <t>Abs EtOH 99.5%</t>
  </si>
  <si>
    <t>5L</t>
  </si>
  <si>
    <t>19.1.2021</t>
  </si>
  <si>
    <t>plus 25e delivery</t>
  </si>
  <si>
    <t>Write-on marker pen, black, for IHC, xylene-resistant (TO TEST!)</t>
  </si>
  <si>
    <t>SIMP495-12BK</t>
  </si>
  <si>
    <t>Simport</t>
  </si>
  <si>
    <t>18.1.2021</t>
  </si>
  <si>
    <t>27.5.2021</t>
  </si>
  <si>
    <t>Grey plastic slide boxes, for 100 places</t>
  </si>
  <si>
    <t>10586191/278</t>
  </si>
  <si>
    <t>Kartell</t>
  </si>
  <si>
    <t>11.2.2021</t>
  </si>
  <si>
    <r>
      <rPr>
        <rFont val="Calibri"/>
        <color theme="1"/>
        <sz val="11.0"/>
      </rPr>
      <t xml:space="preserve">Tacta 10-100ul mechanical single-channel LAB, Ser.No. </t>
    </r>
    <r>
      <rPr>
        <rFont val="Calibri"/>
        <b/>
        <color theme="1"/>
        <sz val="11.0"/>
      </rPr>
      <t>39485194</t>
    </r>
  </si>
  <si>
    <t>LH-729050</t>
  </si>
  <si>
    <t>Sartorius</t>
  </si>
  <si>
    <t>27.1.2021</t>
  </si>
  <si>
    <t>offer, list price was 297e</t>
  </si>
  <si>
    <r>
      <rPr>
        <rFont val="Calibri"/>
        <color theme="1"/>
        <sz val="11.0"/>
      </rPr>
      <t xml:space="preserve">Tacta 20-200ul mechanical single-channel LAB, Ser.No. </t>
    </r>
    <r>
      <rPr>
        <rFont val="Calibri"/>
        <b/>
        <color theme="1"/>
        <sz val="11.0"/>
      </rPr>
      <t>39584704</t>
    </r>
  </si>
  <si>
    <t>LH-729060</t>
  </si>
  <si>
    <t>also a linear pipette stand for free</t>
  </si>
  <si>
    <r>
      <rPr>
        <rFont val="Calibri"/>
        <color theme="1"/>
        <sz val="11.0"/>
      </rPr>
      <t xml:space="preserve">Tacta 2-20ul mechanical single-channel LAB, Ser.No. </t>
    </r>
    <r>
      <rPr>
        <rFont val="Calibri"/>
        <b/>
        <color theme="1"/>
        <sz val="11.0"/>
      </rPr>
      <t>39586927</t>
    </r>
  </si>
  <si>
    <t>LH-729030</t>
  </si>
  <si>
    <t>ProLong Gold</t>
  </si>
  <si>
    <t>P36930</t>
  </si>
  <si>
    <t>10ml</t>
  </si>
  <si>
    <t>MolecularProbes/Thermo</t>
  </si>
  <si>
    <t>Thermo/City-Lab</t>
  </si>
  <si>
    <t>21.1.2021</t>
  </si>
  <si>
    <t>https://www.thermofisher.com/order/catalog/product/P36930#/P36930</t>
  </si>
  <si>
    <t>1ml sterile filtered pipette tips</t>
  </si>
  <si>
    <t>70-S1126-7810</t>
  </si>
  <si>
    <t>10x96</t>
  </si>
  <si>
    <t>TipOne, StarLab</t>
  </si>
  <si>
    <t>VingLab</t>
  </si>
  <si>
    <t>22.1.2021</t>
  </si>
  <si>
    <t>10.3.2021</t>
  </si>
  <si>
    <t>SafetySpace™ Filter Tip 0.5-20ul Sterile-Racked 10x96</t>
  </si>
  <si>
    <t>790021F</t>
  </si>
  <si>
    <t>City-Lab</t>
  </si>
  <si>
    <t>19.2.2021</t>
  </si>
  <si>
    <t>QIAshredder (50)</t>
  </si>
  <si>
    <t>Qiagen</t>
  </si>
  <si>
    <t>28.1.2021</t>
  </si>
  <si>
    <t>plus 36e delivery</t>
  </si>
  <si>
    <t>RNeasy Plus Mini Kit (50)</t>
  </si>
  <si>
    <t>Protein Transport Inhibitor (Containing Brefeldin A) BD GolgiPlug™</t>
  </si>
  <si>
    <t>1ml</t>
  </si>
  <si>
    <t>BD</t>
  </si>
  <si>
    <t>3.2.2021</t>
  </si>
  <si>
    <t>RQ1 RNase-Free DNase</t>
  </si>
  <si>
    <t>M6101</t>
  </si>
  <si>
    <t>1000U</t>
  </si>
  <si>
    <t>Promega</t>
  </si>
  <si>
    <t>LabNet/City-Lab</t>
  </si>
  <si>
    <t>AACR reigstration fee, Anniina</t>
  </si>
  <si>
    <t>AACR</t>
  </si>
  <si>
    <t>3.1.2021</t>
  </si>
  <si>
    <t>AACR reigstration fee, Inga-Maria</t>
  </si>
  <si>
    <t>Slack upgrade</t>
  </si>
  <si>
    <t>Slack</t>
  </si>
  <si>
    <t>Technical work, cutting of FFPE sections at Hki Biobank</t>
  </si>
  <si>
    <t>HUS</t>
  </si>
  <si>
    <t>18.2.2021</t>
  </si>
  <si>
    <t>PAX8 antibody, unconjugated</t>
  </si>
  <si>
    <t>ab191870</t>
  </si>
  <si>
    <t>100 ul</t>
  </si>
  <si>
    <t>Abcam</t>
  </si>
  <si>
    <t>22.2.2021</t>
  </si>
  <si>
    <t>23.2.2021</t>
  </si>
  <si>
    <t>4oC fridge</t>
  </si>
  <si>
    <r>
      <rPr>
        <rFont val="Calibri"/>
        <color theme="1"/>
        <sz val="11.0"/>
      </rPr>
      <t xml:space="preserve">orders@abcam.com, plus </t>
    </r>
    <r>
      <rPr>
        <rFont val="Calibri"/>
        <b/>
        <color theme="1"/>
        <sz val="11.0"/>
      </rPr>
      <t>42e shipment</t>
    </r>
  </si>
  <si>
    <t>Fisherbrand SureOne Filter Tip 0.1-10μl, clear</t>
  </si>
  <si>
    <t>11903466/TFA104-10-FIS</t>
  </si>
  <si>
    <t>10x97</t>
  </si>
  <si>
    <t>Fisherbrand</t>
  </si>
  <si>
    <t>24.2.2021</t>
  </si>
  <si>
    <t>2.3.2012</t>
  </si>
  <si>
    <t>AACR registration fee, Fernando, 225 USD</t>
  </si>
  <si>
    <t>AACR/Eurocard bill</t>
  </si>
  <si>
    <t>3.3.2021</t>
  </si>
  <si>
    <t>ASANA, 1125 USD</t>
  </si>
  <si>
    <t>ASANA.com</t>
  </si>
  <si>
    <t>ASANA/Eurocard bill</t>
  </si>
  <si>
    <t>FedEx shipment to US, 10 slides</t>
  </si>
  <si>
    <t>FedEx</t>
  </si>
  <si>
    <t>31.3.2021</t>
  </si>
  <si>
    <t>FedEx shipment to Copenhagen, 15 DNA samples</t>
  </si>
  <si>
    <t>8.3.2021</t>
  </si>
  <si>
    <t>FFP2 Disposable Respirator Face Mask</t>
  </si>
  <si>
    <t>FisherScientific</t>
  </si>
  <si>
    <t>15.3.2021</t>
  </si>
  <si>
    <t>18.3.2021</t>
  </si>
  <si>
    <t>RPU basic funds</t>
  </si>
  <si>
    <t>3x3 rack for 30mm tubes (50ml falcons), green</t>
  </si>
  <si>
    <t>5972-0430/10360291</t>
  </si>
  <si>
    <t>16.3.2021</t>
  </si>
  <si>
    <t>three arrived 23.3.21, 1 more to came on 8.4.21</t>
  </si>
  <si>
    <t>5 ml pipettes</t>
  </si>
  <si>
    <t>612-1013</t>
  </si>
  <si>
    <t>Greiner Bio-One</t>
  </si>
  <si>
    <t>8.4.2021</t>
  </si>
  <si>
    <t>Slide box with transparent lid, for 25 slides, 105×88×32 mm</t>
  </si>
  <si>
    <t>631-9710</t>
  </si>
  <si>
    <t>1 box,  for 25 slides</t>
  </si>
  <si>
    <t>24.3.2021</t>
  </si>
  <si>
    <t>Slide box with transparent lid, for 50 slides, 200×88×32 mm</t>
  </si>
  <si>
    <t>631-9711</t>
  </si>
  <si>
    <t>1 box,  for 50 slides</t>
  </si>
  <si>
    <t>Envelope from Connor Jacobson, Harvard Medical School</t>
  </si>
  <si>
    <t>19.3.2021</t>
  </si>
  <si>
    <t>MARKER PERMANENT EXTRAFINE BLACK, Solvent-resistant, for IHC - to TEST!</t>
  </si>
  <si>
    <t>VWRI631-1136/631-1136P</t>
  </si>
  <si>
    <t>22.3.2021</t>
  </si>
  <si>
    <t>16.4.2021</t>
  </si>
  <si>
    <t>https://fi.vwr.com/store/product?keyword=631-1136</t>
  </si>
  <si>
    <t>Back-up power socket installation (for -80oC Revco)</t>
  </si>
  <si>
    <t>Sähköpare</t>
  </si>
  <si>
    <t>29.3.2021</t>
  </si>
  <si>
    <t>done on week  14</t>
  </si>
  <si>
    <t>johan.storgards@sahkopare.fi</t>
  </si>
  <si>
    <t>50-50 shared the cost of 250e with Kauppi lab. When bill arrives to SAP Talous - split the sum between two wbs! Ask Kauppi wbs!</t>
  </si>
  <si>
    <t>TapeStation High SensitivityD5000, 24Anni's FFPE DNAs, 2 ours FFPE DNA</t>
  </si>
  <si>
    <t>26 samples</t>
  </si>
  <si>
    <t>FUGU</t>
  </si>
  <si>
    <t>15.4.2021</t>
  </si>
  <si>
    <t>23.4.2021</t>
  </si>
  <si>
    <t>30.27e basic fee plus 6.45e per sample</t>
  </si>
  <si>
    <t>Mekasoft, 40x50m</t>
  </si>
  <si>
    <t>50m</t>
  </si>
  <si>
    <t>Mekalasi</t>
  </si>
  <si>
    <t>20.4.2021</t>
  </si>
  <si>
    <t>Ordered from mekalasi@mekalasi.fi</t>
  </si>
  <si>
    <t>Red Spirit Filled Total Immersion Thermometer</t>
  </si>
  <si>
    <t>Fisher</t>
  </si>
  <si>
    <t>20.4.2021, 7.5.2021</t>
  </si>
  <si>
    <t>https://www.fishersci.fi/shop/products/liquid-filled-total-immersion-thermometer-1/11597273?searchHijack=true&amp;searchTerm=11597273&amp;searchType=RAPID&amp;matchedCatNo=11597273</t>
  </si>
  <si>
    <t>Ziritaxestat Autotaxin inhibitor GLPG1690</t>
  </si>
  <si>
    <t>HY-101772</t>
  </si>
  <si>
    <t>1mg</t>
  </si>
  <si>
    <t>Medchemexpress</t>
  </si>
  <si>
    <t>Bio-Mediator Ky</t>
  </si>
  <si>
    <t>FREE Sample</t>
  </si>
  <si>
    <t>25.5.2021</t>
  </si>
  <si>
    <t>https://www.medchemexpress.com/GLPG1690.html</t>
  </si>
  <si>
    <t>PLUS delivery 35e</t>
  </si>
  <si>
    <t xml:space="preserve">AMG PERK 44 PERK inhibitor </t>
  </si>
  <si>
    <t>HY-12661A</t>
  </si>
  <si>
    <t>1ug</t>
  </si>
  <si>
    <t>https://www.medchemexpress.com/amg-perk-44.html</t>
  </si>
  <si>
    <t>info@bio.fi</t>
  </si>
  <si>
    <t>B-27 supplement 50x</t>
  </si>
  <si>
    <t>10 ml</t>
  </si>
  <si>
    <t>ThermoFischer</t>
  </si>
  <si>
    <t>26.4.2021</t>
  </si>
  <si>
    <t>29.4.2021</t>
  </si>
  <si>
    <t>HBSS, no calcium, no magnesium, no phenol red</t>
  </si>
  <si>
    <t>500ml</t>
  </si>
  <si>
    <t>Thermo Scientific</t>
  </si>
  <si>
    <t>3.5.2021</t>
  </si>
  <si>
    <t>FedEx shipment to Denmark, 2x DNAs on dry ice</t>
  </si>
  <si>
    <t>28.4.2021</t>
  </si>
  <si>
    <t>TapeStation High SensitivityD5000, 62Anni's FFPE DNAs, 1 our FFPE DNA S030</t>
  </si>
  <si>
    <t>63 samples</t>
  </si>
  <si>
    <t>27.4.2021</t>
  </si>
  <si>
    <t>bill arrived 17.5.2021</t>
  </si>
  <si>
    <t>Organoid Harvesting Solution, Cultrex</t>
  </si>
  <si>
    <t>3700-100-01</t>
  </si>
  <si>
    <t>100 ml</t>
  </si>
  <si>
    <t>R&amp;D Systems</t>
  </si>
  <si>
    <t>4.5.2021</t>
  </si>
  <si>
    <t>7.5.2021</t>
  </si>
  <si>
    <t>DNeasy Blood and Tissue kit (50), mini-columns</t>
  </si>
  <si>
    <t>5.5.2021</t>
  </si>
  <si>
    <t>6.5.2021</t>
  </si>
  <si>
    <t>iCAN Basic profiling other costs, ican-finance@helsinki.fi, TA-code 333023; WBS 7300333/H300</t>
  </si>
  <si>
    <t>plus 36e shipment</t>
  </si>
  <si>
    <t>RNase A</t>
  </si>
  <si>
    <t>2.5ml, 100mg/ml, 17,500U, 7000U/ml</t>
  </si>
  <si>
    <t>EB buffer (Elution buffer: 10mMTris-Cl, pH 8.5)</t>
  </si>
  <si>
    <t>250ml</t>
  </si>
  <si>
    <t>20.5.2021</t>
  </si>
  <si>
    <t>Safety Space Filter Tip 2-120ul Sterile-Racked 10x96</t>
  </si>
  <si>
    <t>790101F</t>
  </si>
  <si>
    <t>Sartorius/City-Lab</t>
  </si>
  <si>
    <t>12.5.2021</t>
  </si>
  <si>
    <t>10.8.2021</t>
  </si>
  <si>
    <t>Recombinant Human IL-7</t>
  </si>
  <si>
    <t>200-07</t>
  </si>
  <si>
    <t>10ug</t>
  </si>
  <si>
    <t>Peprotech</t>
  </si>
  <si>
    <t>info@peprotech.se</t>
  </si>
  <si>
    <t>14.5.2021</t>
  </si>
  <si>
    <t>18.5.2021</t>
  </si>
  <si>
    <t>Recombinant Human IL-15</t>
  </si>
  <si>
    <t>200-15</t>
  </si>
  <si>
    <t>RBC lysis buffer</t>
  </si>
  <si>
    <t>100ml</t>
  </si>
  <si>
    <t>Roche</t>
  </si>
  <si>
    <t>Sigma/Merk</t>
  </si>
  <si>
    <t>19.5.2021</t>
  </si>
  <si>
    <t>via Sigma web shop, plus 23e shipment</t>
  </si>
  <si>
    <t>HighSensitivity D5000 TapeStation run, 14 samples , 13 on plate and 1 in a tube (sample 167, repetition)</t>
  </si>
  <si>
    <t>14 samples</t>
  </si>
  <si>
    <t>bill arrived 17.5.21</t>
  </si>
  <si>
    <t>SNP array at FiMM, 24 ONCOSYS-Ova samples, 4.3.2021 submitted to FiMM</t>
  </si>
  <si>
    <t>24 samples</t>
  </si>
  <si>
    <t>FiMM</t>
  </si>
  <si>
    <t>12.3.2021</t>
  </si>
  <si>
    <t>Sections cutting for Myriad, 13.1.2021. Anatomy, Tissue services</t>
  </si>
  <si>
    <t>4.1h x 40e/h</t>
  </si>
  <si>
    <t>Tissue services</t>
  </si>
  <si>
    <t>bill arrived 18.5.2021</t>
  </si>
  <si>
    <t xml:space="preserve">12.1.2021-22.2.2021 tissue services, blocks making and cutting </t>
  </si>
  <si>
    <t>(kudoskäsittely: 3x45e, kudosvalu 33x1e (itsetehtynä), leikkaus 2.25x40e)</t>
  </si>
  <si>
    <t>bill arrived 20.5.2021</t>
  </si>
  <si>
    <t>Tissue services, 8-9.3.2021</t>
  </si>
  <si>
    <t>21.5.2021</t>
  </si>
  <si>
    <t>bill arrived 21.5.2021</t>
  </si>
  <si>
    <t>HEPA filter for cell culture incubator Forma Steri-cycle i160 CO2 Incubator, Thermo, order code 51030534</t>
  </si>
  <si>
    <t>15363022/50141920</t>
  </si>
  <si>
    <t>Thermo</t>
  </si>
  <si>
    <t>26.5.2021</t>
  </si>
  <si>
    <t>1.6.2021</t>
  </si>
  <si>
    <t>TapeStation run for one sample - PTEN patient, FFPE (30.27e basic fee and 6.45e per sample)</t>
  </si>
  <si>
    <t>FuGU</t>
  </si>
  <si>
    <t>Nicotinamide</t>
  </si>
  <si>
    <t>N0636-500G</t>
  </si>
  <si>
    <t>500 G</t>
  </si>
  <si>
    <t>7.6.2021</t>
  </si>
  <si>
    <t>Dispase II</t>
  </si>
  <si>
    <t>D4693-1G</t>
  </si>
  <si>
    <t>1g</t>
  </si>
  <si>
    <t>4.6.2021</t>
  </si>
  <si>
    <t>HEPES solution</t>
  </si>
  <si>
    <t>H0887-100ML</t>
  </si>
  <si>
    <t>STEM-CELLBANKER® DMSO Free - GMP grade</t>
  </si>
  <si>
    <t>11890F</t>
  </si>
  <si>
    <t>Amsbio</t>
  </si>
  <si>
    <t>info@amsbio.com</t>
  </si>
  <si>
    <t>one bottle put to -20 in the lab, another to +4,CC room</t>
  </si>
  <si>
    <t>plus 40e shipment</t>
  </si>
  <si>
    <t>Microtom blade MX35 ultra low profile</t>
  </si>
  <si>
    <t>12191830/3053835</t>
  </si>
  <si>
    <t>50pcs</t>
  </si>
  <si>
    <t>3.6.2021</t>
  </si>
  <si>
    <t>15.6.2021</t>
  </si>
  <si>
    <t>blades and slides drawer in the lab</t>
  </si>
  <si>
    <t>8.6.2021</t>
  </si>
  <si>
    <t>Slides scanning at GBU, Jan-March 2021</t>
  </si>
  <si>
    <t>GBU</t>
  </si>
  <si>
    <t>TapeStation, one sample, PTEN patient FFPE DNA (30.27e basic fee+6.45e per sample)</t>
  </si>
  <si>
    <t>96% Ethanol</t>
  </si>
  <si>
    <t>11.6.2021</t>
  </si>
  <si>
    <t>pro.tilaukset@berner.fi</t>
  </si>
  <si>
    <t>SNP array, 24 ONCOSYS samples, submitted 5.3.21</t>
  </si>
  <si>
    <t>FedEx shipment to Denmark, sample S052_pOva</t>
  </si>
  <si>
    <t>Safety Space Filter Tip 5-200ul Sterile-Racked 10x96</t>
  </si>
  <si>
    <t>790201F</t>
  </si>
  <si>
    <t>14.1.2022</t>
  </si>
  <si>
    <t>Myriad test bill for 15 samples</t>
  </si>
  <si>
    <t>OÜ LLC GenextEst</t>
  </si>
  <si>
    <t>17.6.2021</t>
  </si>
  <si>
    <t>Bel-Art SP Scienceware Cleanware Self-adhesive waste bags (25.4 x 20.32cm)</t>
  </si>
  <si>
    <t>11372144/F13174-1008</t>
  </si>
  <si>
    <t>50pieces</t>
  </si>
  <si>
    <t>22.6.2021</t>
  </si>
  <si>
    <t>12.7.2021</t>
  </si>
  <si>
    <t>JD</t>
  </si>
  <si>
    <t>23.6.2021</t>
  </si>
  <si>
    <t>minus 20oC, top drawer</t>
  </si>
  <si>
    <t>SNP array bill, Auria FF DNA samples</t>
  </si>
  <si>
    <t>48 samples, 2 chips</t>
  </si>
  <si>
    <t>FiMM/Kati Donner</t>
  </si>
  <si>
    <t>bill in SAP end of June</t>
  </si>
  <si>
    <t>Sakari Hietanen, Turku</t>
  </si>
  <si>
    <t>SNP array bill, Anni Virtanen Helsinki Ov Ca FFPE samples</t>
  </si>
  <si>
    <t>Anni Virtanen/Sampsa Hautaniemi billing address</t>
  </si>
  <si>
    <t>GBU, slides scanning, April-June 2021</t>
  </si>
  <si>
    <t>20.7.2021</t>
  </si>
  <si>
    <t>96-well plates, U-bottom, with lid, Ultra Low Attachment, Polystyrene</t>
  </si>
  <si>
    <t>24/case</t>
  </si>
  <si>
    <t>Costar</t>
  </si>
  <si>
    <t>16.8.2021</t>
  </si>
  <si>
    <t>19.8.2021</t>
  </si>
  <si>
    <t>10 were given back to AV lab, I borrowed, NC</t>
  </si>
  <si>
    <t>Qubit DNA/RNA assay (21-40 samples)</t>
  </si>
  <si>
    <t>25 samples</t>
  </si>
  <si>
    <t>FuFU</t>
  </si>
  <si>
    <t>17.8.2021</t>
  </si>
  <si>
    <t>16.9.2021</t>
  </si>
  <si>
    <t>iCAN: 7300333, 333106, Chernenko</t>
  </si>
  <si>
    <t>23.9.2021</t>
  </si>
  <si>
    <t>Virkon, Rely+On Virkon (Day Impex™ Virkon™ Disinfectant Virucidal Tablets)</t>
  </si>
  <si>
    <t>12328667/330012</t>
  </si>
  <si>
    <t>20x10x5g, 200tabl</t>
  </si>
  <si>
    <t>Fischer Scientific</t>
  </si>
  <si>
    <t>24.8.2021</t>
  </si>
  <si>
    <t>CD56-FITC conjugate for Flow</t>
  </si>
  <si>
    <t>500ul</t>
  </si>
  <si>
    <t>ImmunoTools</t>
  </si>
  <si>
    <t>Immunotools</t>
  </si>
  <si>
    <t>25.8.2021</t>
  </si>
  <si>
    <t>2.9.2021</t>
  </si>
  <si>
    <t>plus4, Box2</t>
  </si>
  <si>
    <t>info@immunotools.de, plus 21e shipment</t>
  </si>
  <si>
    <t>CD4-PE-CF594 conjugate for Flow, Hu CD4 PE-CF594 RPA-T4</t>
  </si>
  <si>
    <t>100 tests, 500ug</t>
  </si>
  <si>
    <t>BD Biosciences</t>
  </si>
  <si>
    <t>27.8.2021</t>
  </si>
  <si>
    <t>ki67-PE-Cy7  conjugate for Flow</t>
  </si>
  <si>
    <t>50 tests</t>
  </si>
  <si>
    <t>GrzB-APC conjugate for Flow, Granzyme B Mouse Anti-Human
mAb (clone GB11), APC</t>
  </si>
  <si>
    <t>GRB05</t>
  </si>
  <si>
    <t>Invitrogen</t>
  </si>
  <si>
    <t>plus4</t>
  </si>
  <si>
    <t>IFNy-AF700 conjugate for Flow</t>
  </si>
  <si>
    <t>100ug</t>
  </si>
  <si>
    <t>CD8-BV605 conjugate for Flow</t>
  </si>
  <si>
    <t>100 tests</t>
  </si>
  <si>
    <t>DCM aqua - Invitrogen for Flow, LIVE/DEAD Fixable Aqua Dead
Cell Stain Kit</t>
  </si>
  <si>
    <t>L34965</t>
  </si>
  <si>
    <t>80assays</t>
  </si>
  <si>
    <t>AF freezer, top drawer</t>
  </si>
  <si>
    <t>eBioscience™ Intracellular Fixation &amp; Permeabilization Buffer Set</t>
  </si>
  <si>
    <t>88-8824-00</t>
  </si>
  <si>
    <t>26.8.2021</t>
  </si>
  <si>
    <t>AF fridge</t>
  </si>
  <si>
    <t>TissueServices UH, Anatomy, bill, 19.4.-22.6.2021</t>
  </si>
  <si>
    <t>TissueServices, UH, Anatomy</t>
  </si>
  <si>
    <t>FiMM Tissue Services bill,  Sectioning and H&amp;E, June-July, 2021</t>
  </si>
  <si>
    <t>TissueServices, FiMM</t>
  </si>
  <si>
    <t>Digital Microscopy And Molecular Pathology Unit</t>
  </si>
  <si>
    <t>Brilliant Stain Buffer, for FACS</t>
  </si>
  <si>
    <t>31.8.2021</t>
  </si>
  <si>
    <t>7.9.2021</t>
  </si>
  <si>
    <t>plus 4</t>
  </si>
  <si>
    <t>Bio-Techne/City-Lab</t>
  </si>
  <si>
    <t>CC fridge</t>
  </si>
  <si>
    <t>PRIMOCIN 500 MG</t>
  </si>
  <si>
    <t>ANTPM1</t>
  </si>
  <si>
    <t>500mg, 10x1ml</t>
  </si>
  <si>
    <t>Invivogen</t>
  </si>
  <si>
    <t>info.eu@invivogen.com,  delivery 28e</t>
  </si>
  <si>
    <t>10x Permeabilization Buffer, for FACS</t>
  </si>
  <si>
    <t>00-8333-56</t>
  </si>
  <si>
    <t>3.9.2021</t>
  </si>
  <si>
    <t>Adhesive PCR plate seals</t>
  </si>
  <si>
    <t>4ti-0500</t>
  </si>
  <si>
    <t>100 sheets</t>
  </si>
  <si>
    <t>4titude</t>
  </si>
  <si>
    <t>Biotop/City-Lab</t>
  </si>
  <si>
    <t>3.9.20221</t>
  </si>
  <si>
    <t>AACR registration fee, Fernando</t>
  </si>
  <si>
    <t>EuroCard</t>
  </si>
  <si>
    <t>P3-Topax 990 disinfecting solution, for suction bottles (substitute for P3-Triquart)</t>
  </si>
  <si>
    <t>20kg</t>
  </si>
  <si>
    <t>Ecolab</t>
  </si>
  <si>
    <t>17.9.2021</t>
  </si>
  <si>
    <t>https://www.pamark.fi/p3-topax-990-desinfioiva-vaahtopesuaine-20kg</t>
  </si>
  <si>
    <t>marko.jalopaasi@ecolab.com</t>
  </si>
  <si>
    <t xml:space="preserve">
fi-tilaukset@ecolab.com</t>
  </si>
  <si>
    <t>Cover glass square, 22x22mm, thickness #1 (0.13-0.16mm)</t>
  </si>
  <si>
    <t>Epredia (former Menzel)/Fisher</t>
  </si>
  <si>
    <t>20.9.2021</t>
  </si>
  <si>
    <t>https://www.fishersci.fi/shop/products/x1000-coverslip-22x22mm-1-0-13-0-16mm-/17214904?searchHijack=true&amp;searchTerm=17214904&amp;searchType=RAPID&amp;matchedCatNo=17214904</t>
  </si>
  <si>
    <t>Cover glass, 24x60mm, thickness #1  (0.13-0.16mm)</t>
  </si>
  <si>
    <t>15356429/235503601</t>
  </si>
  <si>
    <t>10x100pcs</t>
  </si>
  <si>
    <t>8.10.2021</t>
  </si>
  <si>
    <t>-20oC, lab freezer, top drawer</t>
  </si>
  <si>
    <t>Cover glass, 22x50mm, thickness #1 (0.13-0.16mm)</t>
  </si>
  <si>
    <t>9.11.2021</t>
  </si>
  <si>
    <t>https://www.fishersci.fi/shop/products/x1000-coverslip-22x50mm-1-0-13-0-16mm-/17274904?searchHijack=true&amp;searchTerm=17274904&amp;searchType=RAPID&amp;matchedCatNo=17274904</t>
  </si>
  <si>
    <t>Round cover slips, 9mm, Menzel-Gläser</t>
  </si>
  <si>
    <t>1000pcs</t>
  </si>
  <si>
    <t>KECK assembly set, with plastic hose connection, screw and seals 12.38, 9mm , for Suction bottles in cell culture</t>
  </si>
  <si>
    <t>12313896/292585407</t>
  </si>
  <si>
    <t>10pcs</t>
  </si>
  <si>
    <t>Duran</t>
  </si>
  <si>
    <t>24.9.2021</t>
  </si>
  <si>
    <t>15.10.2021</t>
  </si>
  <si>
    <t>offer price</t>
  </si>
  <si>
    <t>Live-or-Dye™ 488/515</t>
  </si>
  <si>
    <t>1 kit</t>
  </si>
  <si>
    <t>Biotium</t>
  </si>
  <si>
    <t>BioNordika/City-Lab</t>
  </si>
  <si>
    <t>28.9.2021</t>
  </si>
  <si>
    <t>21.10.2021</t>
  </si>
  <si>
    <t>Bax-488, clone 2D2</t>
  </si>
  <si>
    <t>BioLegend</t>
  </si>
  <si>
    <t>Nordic BioSite</t>
  </si>
  <si>
    <t>1.10.2021</t>
  </si>
  <si>
    <t>1 week delivery</t>
  </si>
  <si>
    <t>info@nordicbiosite.com</t>
  </si>
  <si>
    <t>Iba1 488; Abcam</t>
  </si>
  <si>
    <t>ab195031</t>
  </si>
  <si>
    <t>100ul</t>
  </si>
  <si>
    <t>29.9.2021</t>
  </si>
  <si>
    <t>temporarily at +4oC, to be aliq.</t>
  </si>
  <si>
    <t>orders@abcam.com, plus 42e shipment</t>
  </si>
  <si>
    <t>CD8a eFluor 660</t>
  </si>
  <si>
    <t>50-0008-80</t>
  </si>
  <si>
    <t>25ug</t>
  </si>
  <si>
    <t>eBioscience</t>
  </si>
  <si>
    <t>Invitrogen/City-Lab</t>
  </si>
  <si>
    <t>E-cadherin 488</t>
  </si>
  <si>
    <t>CST3199</t>
  </si>
  <si>
    <t>CST</t>
  </si>
  <si>
    <t>HUS, Ulla-Maija</t>
  </si>
  <si>
    <t>Foxp3 eFluor570</t>
  </si>
  <si>
    <t>41-4777-80</t>
  </si>
  <si>
    <t>cleaved PARP (asp214)</t>
  </si>
  <si>
    <t>CST6987S</t>
  </si>
  <si>
    <r>
      <rPr>
        <rFont val="Calibri"/>
        <color rgb="FF222222"/>
        <sz val="11.0"/>
      </rPr>
      <t xml:space="preserve">Seagate One Touch HDD -ulkoinen kovalevy 4 Tt… </t>
    </r>
    <r>
      <rPr>
        <rFont val="Calibri"/>
        <b/>
        <color rgb="FF222222"/>
        <sz val="11.0"/>
      </rPr>
      <t>For Angela and Ella</t>
    </r>
  </si>
  <si>
    <t>Seagate</t>
  </si>
  <si>
    <t>Verkkokauppa</t>
  </si>
  <si>
    <t>Oct.2021</t>
  </si>
  <si>
    <t>JC</t>
  </si>
  <si>
    <t>ErgoWork X1 -jalusta kannettavalle tietokonee…</t>
  </si>
  <si>
    <t>Samsung F24T354 24" -näyttö</t>
  </si>
  <si>
    <t>Samsung</t>
  </si>
  <si>
    <t>Logitech M190 -langaton hiiri, musta</t>
  </si>
  <si>
    <t>Logitech</t>
  </si>
  <si>
    <t>Lenovo ThinkPad Hybrid USB-C with USB-A Dock USB-C Telakointiasema</t>
  </si>
  <si>
    <t>Lenovo</t>
  </si>
  <si>
    <t>Dustin/via UH</t>
  </si>
  <si>
    <t>Prokord Displayport &gt; HDMI 2m kaapeli musta - Kultapinnoite 2m DisplayPort Uros HDMI Uros</t>
  </si>
  <si>
    <t>Sandberg Rannetuki Hiirialusta jossa pehmustettu rannetuki</t>
  </si>
  <si>
    <t>Sandberg</t>
  </si>
  <si>
    <t>Logitech M90 1,000dpi Hiiri Langallinen</t>
  </si>
  <si>
    <t>Lenovo T14s G2 I5/16/256 +4Y+ea+toim #Hy_pkt-b</t>
  </si>
  <si>
    <t>RPU basic funds, will be paid in full</t>
  </si>
  <si>
    <t>SEE COMMENT!</t>
  </si>
  <si>
    <t>LLG-cryobox 133 X 133 X 50 mm</t>
  </si>
  <si>
    <t>LLG</t>
  </si>
  <si>
    <t>LLG-Grid divider 12x12, 0,5ml tube</t>
  </si>
  <si>
    <t>13.10.2021</t>
  </si>
  <si>
    <t>Adobe license, 12kk, Ashwini</t>
  </si>
  <si>
    <t>12 months</t>
  </si>
  <si>
    <t>Creative Cloud Teams</t>
  </si>
  <si>
    <t>Ilona IT Oy</t>
  </si>
  <si>
    <t>5.10.2021</t>
  </si>
  <si>
    <t>Adobe license, 12kk, Anniina</t>
  </si>
  <si>
    <t>Scalpels disposable with No. 10 blade (blade is more rounded shape)</t>
  </si>
  <si>
    <t>11798343/0501</t>
  </si>
  <si>
    <t>12.10.2021</t>
  </si>
  <si>
    <t>3 arr.13.10.21, 7 arr. 21.10.21</t>
  </si>
  <si>
    <t>Tissue sectioning (2hx26e), H&amp;E staining (2hx26e), reagents (10x2e),  at FIMM, Annabrita Schoonenberg</t>
  </si>
  <si>
    <t>FIMM</t>
  </si>
  <si>
    <t>Slides scanning at GBU, July-Sept., 2021</t>
  </si>
  <si>
    <t>25.10.2021</t>
  </si>
  <si>
    <t>Sensire bill, -80oC Revco alarm system service fee, 12kk</t>
  </si>
  <si>
    <t>Sensire</t>
  </si>
  <si>
    <t>28.10.2021</t>
  </si>
  <si>
    <t>Cablexpert High Speed with Ethernet -HDMI-kaapeli, 1 m, musta</t>
  </si>
  <si>
    <t>Cablexpert DisplayPort to HDMI -adapterikaapeli</t>
  </si>
  <si>
    <t>Location</t>
  </si>
  <si>
    <t>Jabra Speak 510 UC -USB/BT-konferenssikaiutin, Anniina</t>
  </si>
  <si>
    <t>Jabra</t>
  </si>
  <si>
    <t>Verkkokauppa.com</t>
  </si>
  <si>
    <t>8.11.2021</t>
  </si>
  <si>
    <t>11.11.2021</t>
  </si>
  <si>
    <t>https://www.verkkokauppa.com/fi/product/48443/fbnqg/Jabra-Speak-510-UC-USB-BT-konferenssikaiutin?gclid=Cj0KCQjw8eOLBhC1ARIsAOzx5cHrTeMWfJ-KiVzQLZZI0g9mMs08xZctlqvUlQHNL_jJPb8YLEcXktkaAptREALw_wcB</t>
  </si>
  <si>
    <t>with lab card</t>
  </si>
  <si>
    <t>Seagate One Touch HDD -ulkoinen kovalevy 4 Tt, musta, Elina, S.N.:NABN8RLY</t>
  </si>
  <si>
    <t>https://www.verkkokauppa.com/fi/product/15806/qkgqs/Seagate-One-Touch-HDD-ulkoinen-kovalevy-4-Tt-musta?utm_source=productlink&amp;utm_medium=orderemail&amp;utm_campaign=order_pickupreserved</t>
  </si>
  <si>
    <t>Anti-NCAM/CD56  mouse mAb</t>
  </si>
  <si>
    <t>sc-7326</t>
  </si>
  <si>
    <t>SantaCruz</t>
  </si>
  <si>
    <t>free sample</t>
  </si>
  <si>
    <t>1.11.2021</t>
  </si>
  <si>
    <t>17.11.2021</t>
  </si>
  <si>
    <t>https://www.scbt.com/p/ncam-antibody-123c3</t>
  </si>
  <si>
    <t>Anti-NKp46 Antibody (9E2) mouse mAb</t>
  </si>
  <si>
    <t>sc-53599</t>
  </si>
  <si>
    <t>https://www.scbt.com/p/nkp46-antibody-9e2</t>
  </si>
  <si>
    <t>Qubit dsDNA HS Assay Kit (High Sensitivity)</t>
  </si>
  <si>
    <t>Q32851</t>
  </si>
  <si>
    <t>100 assays</t>
  </si>
  <si>
    <t>3.11.2021</t>
  </si>
  <si>
    <t>10.11.2021</t>
  </si>
  <si>
    <t>iCAN: H300/7300333/ TA333106, Chernenko</t>
  </si>
  <si>
    <t>Qubit dsDNA BR Assay Kit (Broad Range)</t>
  </si>
  <si>
    <t>Q32850</t>
  </si>
  <si>
    <t>Qubit dsDNA HS analysis, 12 samples + 4 re-measured+11final dil., WES set, at FuGU</t>
  </si>
  <si>
    <t>Anti-mouse Ig, K/ Negative Control compensation particles set</t>
  </si>
  <si>
    <t>5.11.2021</t>
  </si>
  <si>
    <t>plus 4oC, AF lab fridge</t>
  </si>
  <si>
    <t>https://www.bdbiosciences.com/en-us/products/reagents/flow-cytometry-reagents/research-reagents/panels-multicolor-cocktails-ruo/anti-mouse-ig-negative-control-compensation-particles-set.552843</t>
  </si>
  <si>
    <t>Falcon 5 mL tubes: 12 x 75mm, Sterile Polystyrene Round Bottom Test Tubes With Snap Cap</t>
  </si>
  <si>
    <t>500pcs</t>
  </si>
  <si>
    <t>Falcon/Corning Brand</t>
  </si>
  <si>
    <t>cancelled this order 9.12.2021, reordered from Fisher</t>
  </si>
  <si>
    <t>Cell Counting Slides for LUNA cell counter</t>
  </si>
  <si>
    <t>L12001</t>
  </si>
  <si>
    <t>50 slides-100 counts</t>
  </si>
  <si>
    <t>Logos Biosystems</t>
  </si>
  <si>
    <t>CC room, next to cell counter</t>
  </si>
  <si>
    <t>https://www.selleckchem.com</t>
  </si>
  <si>
    <r>
      <rPr>
        <rFont val="Calibri, Arial"/>
        <color theme="1"/>
        <sz val="11.0"/>
      </rPr>
      <t xml:space="preserve">free shipment for orders over </t>
    </r>
    <r>
      <rPr>
        <rFont val="Calibri, Arial"/>
        <b/>
        <color theme="1"/>
        <sz val="11.0"/>
      </rPr>
      <t>500e</t>
    </r>
  </si>
  <si>
    <t>Pembrolizumab (anti-PD-1)</t>
  </si>
  <si>
    <t>A2005</t>
  </si>
  <si>
    <t>5mg</t>
  </si>
  <si>
    <t>Selleckchem</t>
  </si>
  <si>
    <t>23.11.2021</t>
  </si>
  <si>
    <t>plus 4oC, lab fridge, drawer, white box</t>
  </si>
  <si>
    <t>15.11.2021</t>
  </si>
  <si>
    <t>Paper poster, A2, Lab values, Matilda ordered</t>
  </si>
  <si>
    <t>PSWFOLDERS OY</t>
  </si>
  <si>
    <t>16.11.2021</t>
  </si>
  <si>
    <t>PowerUp™ SYBR™ Green Master Mix</t>
  </si>
  <si>
    <t>A25742</t>
  </si>
  <si>
    <t>5ml</t>
  </si>
  <si>
    <t>ThermoFisher</t>
  </si>
  <si>
    <t>19.11.2021</t>
  </si>
  <si>
    <t>384-well plates for qPCR: Hard-Shell PCR Plates, 384-well, thin-wall</t>
  </si>
  <si>
    <t>HSP3801</t>
  </si>
  <si>
    <t>50 pcs</t>
  </si>
  <si>
    <t>Bio-Rad</t>
  </si>
  <si>
    <t>22.11.2021</t>
  </si>
  <si>
    <t xml:space="preserve">lab, shelf above Anastasiya's bench </t>
  </si>
  <si>
    <t>Reagent reservoirs, 25ml capacity, Polystyrene, Sterile</t>
  </si>
  <si>
    <t>100pcs, 25ml</t>
  </si>
  <si>
    <t>lab, shelf on the right</t>
  </si>
  <si>
    <t>Adhesive cover for 384-well plate, qPCR seals: Optically clear adhesive film, 140x77mm</t>
  </si>
  <si>
    <t>4ti-0560</t>
  </si>
  <si>
    <t>BioTop/City-Lab</t>
  </si>
  <si>
    <t>iScript cDNA Synthesis Kit</t>
  </si>
  <si>
    <t xml:space="preserve">100x20u rxns </t>
  </si>
  <si>
    <t>-20oC, top drawer, lab</t>
  </si>
  <si>
    <t>OFFER PRICE</t>
  </si>
  <si>
    <t>0.2ml 8-strip tubes+flat caps</t>
  </si>
  <si>
    <t>FG-016FC</t>
  </si>
  <si>
    <t>120strips</t>
  </si>
  <si>
    <t>NipponGenetics</t>
  </si>
  <si>
    <t>Picus 8-channel electronic pipette, vol. 10-300ul</t>
  </si>
  <si>
    <t>26.11.2021</t>
  </si>
  <si>
    <t>SN: 42282917</t>
  </si>
  <si>
    <t>Sharging stand for Picus pipette</t>
  </si>
  <si>
    <t>SN: 4541605605</t>
  </si>
  <si>
    <t>18.11.2021</t>
  </si>
  <si>
    <t>lab card</t>
  </si>
  <si>
    <t>free shipment to Posti pakettiautomaatti S-market Tullinpuomi</t>
  </si>
  <si>
    <t>5-300ul filtered tips for Picus 8-channel pipette, SafetySpace Filter Tip 5-300 ul, Sterile Racked</t>
  </si>
  <si>
    <t>790301F</t>
  </si>
  <si>
    <t>30.11.2021</t>
  </si>
  <si>
    <t>24.3.2022</t>
  </si>
  <si>
    <t>Anniina's phone</t>
  </si>
  <si>
    <t>28.11.2021</t>
  </si>
  <si>
    <t>AF</t>
  </si>
  <si>
    <t>300e -from RPU basic funds, rest-Kulttuurirahasto</t>
  </si>
  <si>
    <t>Anniina's phone accessories</t>
  </si>
  <si>
    <t>Online course, Julia, Containers and workflows in bioinformatics, 23.-26.11.2021</t>
  </si>
  <si>
    <t>Nov.2021</t>
  </si>
  <si>
    <t>1.12.2021</t>
  </si>
  <si>
    <t>2.12.2021</t>
  </si>
  <si>
    <t>Tissue services, 6.9-13.10.2021</t>
  </si>
  <si>
    <t>QIAamp Fast DNA Tissue Kit</t>
  </si>
  <si>
    <t>7.12.2021</t>
  </si>
  <si>
    <t>iCAN deep profiling H300/WBS 7300333/TA333106</t>
  </si>
  <si>
    <t>lab, RT, above Anastasiya's bench</t>
  </si>
  <si>
    <t>ordered from qiagen.com</t>
  </si>
  <si>
    <t>96-well PCR plate, skirted, low profile, clear</t>
  </si>
  <si>
    <t>4ti-0740</t>
  </si>
  <si>
    <t>8.12.2021</t>
  </si>
  <si>
    <t>14.12.2021</t>
  </si>
  <si>
    <t>352058/10100151</t>
  </si>
  <si>
    <t>9.12.2021</t>
  </si>
  <si>
    <t>PE Opera Phenix reservation, 27,5x 22e and Imaging service, 6x 28e</t>
  </si>
  <si>
    <t>High Content Imaging and Analysis unit, FIMM</t>
  </si>
  <si>
    <t>15.12.2021</t>
  </si>
  <si>
    <t>Tissue sectioning, 2x26e</t>
  </si>
  <si>
    <t>21.12.2021</t>
  </si>
  <si>
    <t>H&amp;E staining, 3x26e</t>
  </si>
  <si>
    <t>H&amp;E staining reagents, 2x27e</t>
  </si>
  <si>
    <t>Scanning of the samples, GBU, Oct.-Nov. 2021</t>
  </si>
  <si>
    <t>29.12.2021</t>
  </si>
  <si>
    <t>Tissue services bill for tissue processing, 15.11-15.12.2021</t>
  </si>
  <si>
    <t>UH</t>
  </si>
  <si>
    <t>30.12.2021</t>
  </si>
  <si>
    <r>
      <rPr>
        <rFont val="Calibri"/>
        <color theme="1"/>
        <sz val="11.0"/>
      </rPr>
      <t xml:space="preserve">31.17e - remainder of the </t>
    </r>
    <r>
      <rPr>
        <rFont val="Calibri"/>
        <b/>
        <color theme="1"/>
        <sz val="11.0"/>
      </rPr>
      <t>Astra Zeneca</t>
    </r>
    <r>
      <rPr>
        <rFont val="Calibri"/>
        <color theme="1"/>
        <sz val="11.0"/>
      </rPr>
      <t xml:space="preserve"> funding from WBS 4721381, 69.83e - Early Career</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</si>
</sst>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4">
    <font>
      <sz val="10.0"/>
      <color rgb="FF000000"/>
      <name val="Arial"/>
      <scheme val="minor"/>
    </font>
    <font>
      <sz val="11.0"/>
      <color theme="1"/>
      <name val="Calibri"/>
    </font>
    <font>
      <b/>
      <sz val="11.0"/>
      <color theme="1"/>
      <name val="Calibri"/>
    </font>
    <font>
      <color theme="1"/>
      <name val="Arial"/>
      <scheme val="minor"/>
    </font>
    <font>
      <b/>
      <color theme="1"/>
      <name val="Arial"/>
      <scheme val="minor"/>
    </font>
    <font>
      <b/>
      <color rgb="FFFF0000"/>
      <name val="Arial"/>
      <scheme val="minor"/>
    </font>
    <font>
      <color rgb="FFFF0000"/>
      <name val="Arial"/>
      <scheme val="minor"/>
    </font>
    <font>
      <b/>
      <sz val="14.0"/>
      <color theme="1"/>
      <name val="Calibri"/>
    </font>
    <font>
      <b/>
      <sz val="14.0"/>
      <color rgb="FF000000"/>
      <name val="Calibri"/>
    </font>
    <font>
      <b/>
      <sz val="14.0"/>
      <color theme="1"/>
      <name val="Arial"/>
      <scheme val="minor"/>
    </font>
    <font>
      <sz val="11.0"/>
      <color rgb="FF000000"/>
      <name val="Calibri"/>
    </font>
    <font>
      <color theme="1"/>
      <name val="Arial"/>
    </font>
    <font>
      <color theme="1"/>
      <name val="Calibri"/>
    </font>
    <font>
      <sz val="9.0"/>
      <color theme="1"/>
      <name val="Arial"/>
    </font>
    <font>
      <strike/>
      <sz val="11.0"/>
      <color rgb="FFFF0000"/>
      <name val="Calibri"/>
    </font>
    <font>
      <strike/>
      <sz val="11.0"/>
      <color theme="1"/>
      <name val="Calibri"/>
    </font>
    <font>
      <u/>
      <sz val="11.0"/>
      <color rgb="FF0000FF"/>
      <name val="Calibri"/>
    </font>
    <font>
      <u/>
      <sz val="11.0"/>
      <color rgb="FF1155CC"/>
      <name val="Calibri"/>
    </font>
    <font>
      <sz val="11.0"/>
      <color rgb="FFFF0000"/>
      <name val="Calibri"/>
    </font>
    <font>
      <sz val="11.0"/>
      <color rgb="FF444444"/>
      <name val="Calibri"/>
    </font>
    <font>
      <u/>
      <sz val="11.0"/>
      <color rgb="FF1155CC"/>
      <name val="Calibri"/>
    </font>
    <font>
      <u/>
      <sz val="11.0"/>
      <color rgb="FF1155CC"/>
      <name val="Calibri"/>
    </font>
    <font>
      <sz val="11.0"/>
      <color rgb="FF212121"/>
      <name val="Calibri"/>
    </font>
    <font>
      <u/>
      <sz val="11.0"/>
      <color rgb="FF800080"/>
      <name val="Calibri"/>
    </font>
    <font>
      <u/>
      <sz val="11.0"/>
      <color rgb="FF800080"/>
      <name val="Calibri"/>
    </font>
    <font>
      <sz val="11.0"/>
      <color rgb="FF333333"/>
      <name val="Calibri"/>
    </font>
    <font>
      <b/>
      <sz val="11.0"/>
      <color rgb="FF1F497D"/>
      <name val="Calibri"/>
    </font>
    <font>
      <sz val="11.0"/>
      <color rgb="FF4D4D4D"/>
      <name val="Calibri"/>
    </font>
    <font>
      <b/>
      <strike/>
      <sz val="11.0"/>
      <color theme="1"/>
      <name val="Calibri"/>
    </font>
    <font>
      <strike/>
      <sz val="11.0"/>
      <color rgb="FF000000"/>
      <name val="Calibri"/>
    </font>
    <font>
      <b/>
      <sz val="11.0"/>
      <color rgb="FF0000FF"/>
      <name val="Calibri"/>
    </font>
    <font>
      <u/>
      <sz val="11.0"/>
      <color rgb="FF000000"/>
      <name val="Calibri"/>
    </font>
    <font>
      <b/>
      <sz val="11.0"/>
      <color rgb="FF000000"/>
      <name val="Calibri"/>
    </font>
    <font>
      <b/>
      <sz val="11.0"/>
      <color rgb="FFFF0000"/>
      <name val="Calibri"/>
    </font>
    <font>
      <color rgb="FF000000"/>
      <name val="Arial"/>
    </font>
    <font>
      <sz val="11.0"/>
      <color rgb="FF222222"/>
      <name val="Calibri"/>
    </font>
    <font>
      <sz val="11.0"/>
      <color rgb="FF2B2B2B"/>
      <name val="Calibri"/>
    </font>
    <font>
      <u/>
      <sz val="11.0"/>
      <color rgb="FF0000FF"/>
      <name val="Calibri"/>
    </font>
    <font>
      <u/>
      <sz val="11.0"/>
      <color rgb="FF007AC9"/>
      <name val="Calibri"/>
    </font>
    <font>
      <u/>
      <sz val="11.0"/>
      <color rgb="FF0000FF"/>
      <name val="Calibri"/>
    </font>
    <font>
      <u/>
      <sz val="11.0"/>
      <color theme="1"/>
      <name val="Calibri"/>
    </font>
    <font>
      <u/>
      <sz val="11.0"/>
      <color theme="1"/>
      <name val="Calibri"/>
    </font>
    <font>
      <u/>
      <sz val="11.0"/>
      <color rgb="FF000000"/>
      <name val="Calibri"/>
    </font>
    <font>
      <u/>
      <sz val="11.0"/>
      <color rgb="FF1155CC"/>
      <name val="Calibri"/>
    </font>
    <font>
      <u/>
      <sz val="11.0"/>
      <color rgb="FF0000FF"/>
      <name val="Calibri"/>
    </font>
    <font>
      <u/>
      <sz val="11.0"/>
      <color rgb="FF1155CC"/>
      <name val="Calibri"/>
    </font>
    <font>
      <u/>
      <color rgb="FF0000FF"/>
    </font>
    <font>
      <sz val="11.0"/>
      <color rgb="FF404041"/>
      <name val="Calibri"/>
    </font>
    <font>
      <u/>
      <color rgb="FF0000FF"/>
    </font>
    <font>
      <u/>
      <sz val="11.0"/>
      <color rgb="FF1155CC"/>
      <name val="Calibri"/>
    </font>
    <font>
      <u/>
      <sz val="11.0"/>
      <color rgb="FF0000FF"/>
      <name val="Calibri"/>
    </font>
    <font>
      <u/>
      <sz val="11.0"/>
      <color rgb="FF0000FF"/>
      <name val="Calibri"/>
    </font>
    <font>
      <u/>
      <sz val="11.0"/>
      <color rgb="FF0000FF"/>
      <name val="Calibri"/>
    </font>
    <font>
      <color rgb="FF000000"/>
      <name val="Arial"/>
      <scheme val="minor"/>
    </font>
  </fonts>
  <fills count="14">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B4A7D6"/>
        <bgColor rgb="FFB4A7D6"/>
      </patternFill>
    </fill>
    <fill>
      <patternFill patternType="solid">
        <fgColor rgb="FF00FFFF"/>
        <bgColor rgb="FF00FFFF"/>
      </patternFill>
    </fill>
    <fill>
      <patternFill patternType="solid">
        <fgColor rgb="FFD9EAD3"/>
        <bgColor rgb="FFD9EAD3"/>
      </patternFill>
    </fill>
    <fill>
      <patternFill patternType="solid">
        <fgColor rgb="FFC9DAF8"/>
        <bgColor rgb="FFC9DAF8"/>
      </patternFill>
    </fill>
    <fill>
      <patternFill patternType="solid">
        <fgColor rgb="FFCFE2F3"/>
        <bgColor rgb="FFCFE2F3"/>
      </patternFill>
    </fill>
    <fill>
      <patternFill patternType="solid">
        <fgColor rgb="FFFF0000"/>
        <bgColor rgb="FFFF0000"/>
      </patternFill>
    </fill>
    <fill>
      <patternFill patternType="solid">
        <fgColor rgb="FF6AA84F"/>
        <bgColor rgb="FF6AA84F"/>
      </patternFill>
    </fill>
    <fill>
      <patternFill patternType="solid">
        <fgColor rgb="FFF4CCCC"/>
        <bgColor rgb="FFF4CCCC"/>
      </patternFill>
    </fill>
    <fill>
      <patternFill patternType="solid">
        <fgColor rgb="FFFCE5CD"/>
        <bgColor rgb="FFFCE5CD"/>
      </patternFill>
    </fill>
    <fill>
      <patternFill patternType="solid">
        <fgColor theme="0"/>
        <bgColor theme="0"/>
      </patternFill>
    </fill>
  </fills>
  <borders count="13">
    <border/>
    <border>
      <bottom style="thin">
        <color rgb="FF000000"/>
      </bottom>
    </border>
    <border>
      <left style="thin">
        <color rgb="FF000000"/>
      </left>
      <right style="thin">
        <color rgb="FF000000"/>
      </right>
      <top style="thin">
        <color rgb="FF000000"/>
      </top>
    </border>
    <border>
      <top style="thin">
        <color rgb="FF000000"/>
      </top>
      <bottom style="thin">
        <color rgb="FF000000"/>
      </bottom>
    </border>
    <border>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border>
    <border>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413">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Border="1" applyFont="1"/>
    <xf borderId="2" fillId="0" fontId="1" numFmtId="0" xfId="0" applyBorder="1" applyFont="1"/>
    <xf borderId="3" fillId="0" fontId="2" numFmtId="0" xfId="0" applyAlignment="1" applyBorder="1" applyFont="1">
      <alignment horizontal="center" readingOrder="0"/>
    </xf>
    <xf borderId="3" fillId="0" fontId="1" numFmtId="0" xfId="0" applyBorder="1" applyFont="1"/>
    <xf borderId="4" fillId="0" fontId="2" numFmtId="0" xfId="0" applyBorder="1" applyFont="1"/>
    <xf borderId="4" fillId="0" fontId="3" numFmtId="0" xfId="0" applyBorder="1" applyFont="1"/>
    <xf borderId="2" fillId="0" fontId="2" numFmtId="0" xfId="0" applyAlignment="1" applyBorder="1" applyFont="1">
      <alignment horizontal="center" readingOrder="0"/>
    </xf>
    <xf borderId="5" fillId="0" fontId="2" numFmtId="0" xfId="0" applyAlignment="1" applyBorder="1" applyFont="1">
      <alignment readingOrder="0"/>
    </xf>
    <xf borderId="6" fillId="0" fontId="2" numFmtId="0" xfId="0" applyAlignment="1" applyBorder="1" applyFont="1">
      <alignment readingOrder="0"/>
    </xf>
    <xf borderId="1" fillId="0" fontId="2" numFmtId="0" xfId="0" applyAlignment="1" applyBorder="1" applyFont="1">
      <alignment readingOrder="0"/>
    </xf>
    <xf borderId="7" fillId="0" fontId="2" numFmtId="0" xfId="0" applyAlignment="1" applyBorder="1" applyFont="1">
      <alignment readingOrder="0"/>
    </xf>
    <xf borderId="7" fillId="0" fontId="4" numFmtId="0" xfId="0" applyAlignment="1" applyBorder="1" applyFont="1">
      <alignment readingOrder="0"/>
    </xf>
    <xf borderId="5" fillId="0" fontId="1" numFmtId="0" xfId="0" applyBorder="1" applyFont="1"/>
    <xf borderId="0" fillId="0" fontId="1" numFmtId="0" xfId="0" applyAlignment="1" applyFont="1">
      <alignment readingOrder="0"/>
    </xf>
    <xf borderId="8" fillId="0" fontId="1" numFmtId="0" xfId="0" applyAlignment="1" applyBorder="1" applyFont="1">
      <alignment readingOrder="0"/>
    </xf>
    <xf borderId="9" fillId="0" fontId="1" numFmtId="0" xfId="0" applyAlignment="1" applyBorder="1" applyFont="1">
      <alignment readingOrder="0"/>
    </xf>
    <xf borderId="10" fillId="0" fontId="1" numFmtId="0" xfId="0" applyBorder="1" applyFont="1"/>
    <xf borderId="10" fillId="0" fontId="3" numFmtId="0" xfId="0" applyBorder="1" applyFont="1"/>
    <xf borderId="8" fillId="0" fontId="1" numFmtId="0" xfId="0" applyBorder="1" applyFont="1"/>
    <xf borderId="8" fillId="0" fontId="1" numFmtId="0" xfId="0" applyAlignment="1" applyBorder="1" applyFont="1">
      <alignment horizontal="right" readingOrder="0"/>
    </xf>
    <xf borderId="10" fillId="0" fontId="1" numFmtId="0" xfId="0" applyAlignment="1" applyBorder="1" applyFont="1">
      <alignment readingOrder="0"/>
    </xf>
    <xf borderId="10" fillId="0" fontId="3" numFmtId="0" xfId="0" applyAlignment="1" applyBorder="1" applyFont="1">
      <alignment readingOrder="0"/>
    </xf>
    <xf borderId="9" fillId="0" fontId="1" numFmtId="0" xfId="0" applyBorder="1" applyFont="1"/>
    <xf borderId="8" fillId="0" fontId="3" numFmtId="0" xfId="0" applyAlignment="1" applyBorder="1" applyFont="1">
      <alignment readingOrder="0"/>
    </xf>
    <xf borderId="0" fillId="0" fontId="2" numFmtId="0" xfId="0" applyAlignment="1" applyFont="1">
      <alignment readingOrder="0"/>
    </xf>
    <xf borderId="8" fillId="0" fontId="2" numFmtId="0" xfId="0" applyBorder="1" applyFont="1"/>
    <xf borderId="9" fillId="0" fontId="2" numFmtId="0" xfId="0" applyBorder="1" applyFont="1"/>
    <xf borderId="10" fillId="0" fontId="2" numFmtId="0" xfId="0" applyBorder="1" applyFont="1"/>
    <xf borderId="10" fillId="0" fontId="4" numFmtId="0" xfId="0" applyBorder="1" applyFont="1"/>
    <xf borderId="7" fillId="0" fontId="2" numFmtId="0" xfId="0" applyBorder="1" applyFont="1"/>
    <xf borderId="0" fillId="0" fontId="4" numFmtId="0" xfId="0" applyFont="1"/>
    <xf borderId="0" fillId="0" fontId="5" numFmtId="0" xfId="0" applyAlignment="1" applyFont="1">
      <alignment readingOrder="0"/>
    </xf>
    <xf borderId="0" fillId="0" fontId="6" numFmtId="0" xfId="0" applyFont="1"/>
    <xf borderId="0" fillId="0" fontId="4" numFmtId="0" xfId="0" applyAlignment="1" applyFont="1">
      <alignment readingOrder="0"/>
    </xf>
    <xf borderId="0" fillId="0" fontId="3" numFmtId="0" xfId="0" applyAlignment="1" applyFont="1">
      <alignment readingOrder="0"/>
    </xf>
    <xf borderId="5" fillId="0" fontId="7" numFmtId="49" xfId="0" applyAlignment="1" applyBorder="1" applyFont="1" applyNumberFormat="1">
      <alignment shrinkToFit="0" vertical="bottom" wrapText="1"/>
    </xf>
    <xf borderId="5" fillId="0" fontId="7" numFmtId="49" xfId="0" applyAlignment="1" applyBorder="1" applyFont="1" applyNumberFormat="1">
      <alignment horizontal="center" shrinkToFit="0" vertical="bottom" wrapText="1"/>
    </xf>
    <xf borderId="6" fillId="0" fontId="7" numFmtId="49" xfId="0" applyAlignment="1" applyBorder="1" applyFont="1" applyNumberFormat="1">
      <alignment horizontal="center" shrinkToFit="0" vertical="bottom" wrapText="1"/>
    </xf>
    <xf borderId="5" fillId="0" fontId="7" numFmtId="1" xfId="0" applyAlignment="1" applyBorder="1" applyFont="1" applyNumberFormat="1">
      <alignment horizontal="center" shrinkToFit="0" vertical="bottom" wrapText="1"/>
    </xf>
    <xf borderId="6" fillId="0" fontId="7" numFmtId="14" xfId="0" applyAlignment="1" applyBorder="1" applyFont="1" applyNumberFormat="1">
      <alignment horizontal="center" shrinkToFit="0" vertical="bottom" wrapText="1"/>
    </xf>
    <xf borderId="5" fillId="0" fontId="8" numFmtId="49" xfId="0" applyAlignment="1" applyBorder="1" applyFont="1" applyNumberFormat="1">
      <alignment horizontal="center" shrinkToFit="0" vertical="bottom" wrapText="1"/>
    </xf>
    <xf borderId="10" fillId="2" fontId="9" numFmtId="0" xfId="0" applyAlignment="1" applyBorder="1" applyFill="1" applyFont="1">
      <alignment readingOrder="0"/>
    </xf>
    <xf borderId="0" fillId="2" fontId="9" numFmtId="0" xfId="0" applyFont="1"/>
    <xf borderId="9" fillId="3" fontId="1" numFmtId="0" xfId="0" applyAlignment="1" applyBorder="1" applyFill="1" applyFont="1">
      <alignment readingOrder="0" vertical="bottom"/>
    </xf>
    <xf borderId="8" fillId="0" fontId="1" numFmtId="0" xfId="0" applyAlignment="1" applyBorder="1" applyFont="1">
      <alignment horizontal="right" readingOrder="0" vertical="bottom"/>
    </xf>
    <xf borderId="9" fillId="0" fontId="1" numFmtId="0" xfId="0" applyAlignment="1" applyBorder="1" applyFont="1">
      <alignment horizontal="center" readingOrder="0" vertical="bottom"/>
    </xf>
    <xf borderId="8" fillId="0" fontId="1" numFmtId="0" xfId="0" applyAlignment="1" applyBorder="1" applyFont="1">
      <alignment horizontal="center" readingOrder="0" vertical="bottom"/>
    </xf>
    <xf borderId="9" fillId="0" fontId="1" numFmtId="0" xfId="0" applyAlignment="1" applyBorder="1" applyFont="1">
      <alignment horizontal="right" readingOrder="0" vertical="bottom"/>
    </xf>
    <xf borderId="8" fillId="0" fontId="1" numFmtId="0" xfId="0" applyAlignment="1" applyBorder="1" applyFont="1">
      <alignment horizontal="right" vertical="bottom"/>
    </xf>
    <xf borderId="9" fillId="3" fontId="1" numFmtId="0" xfId="0" applyAlignment="1" applyBorder="1" applyFont="1">
      <alignment horizontal="center" readingOrder="0" vertical="bottom"/>
    </xf>
    <xf borderId="8" fillId="3" fontId="1" numFmtId="0" xfId="0" applyAlignment="1" applyBorder="1" applyFont="1">
      <alignment horizontal="center" readingOrder="0" vertical="bottom"/>
    </xf>
    <xf borderId="9" fillId="4" fontId="1" numFmtId="0" xfId="0" applyAlignment="1" applyBorder="1" applyFill="1" applyFont="1">
      <alignment readingOrder="0" vertical="bottom"/>
    </xf>
    <xf borderId="8" fillId="3" fontId="1" numFmtId="0" xfId="0" applyAlignment="1" applyBorder="1" applyFont="1">
      <alignment vertical="bottom"/>
    </xf>
    <xf borderId="9" fillId="3" fontId="1" numFmtId="0" xfId="0" applyAlignment="1" applyBorder="1" applyFont="1">
      <alignment vertical="bottom"/>
    </xf>
    <xf borderId="0" fillId="3" fontId="10" numFmtId="0" xfId="0" applyAlignment="1" applyFont="1">
      <alignment vertical="bottom"/>
    </xf>
    <xf borderId="8" fillId="3" fontId="1" numFmtId="0" xfId="0" applyAlignment="1" applyBorder="1" applyFont="1">
      <alignment horizontal="right" vertical="bottom"/>
    </xf>
    <xf borderId="0" fillId="3" fontId="1" numFmtId="0" xfId="0" applyAlignment="1" applyFont="1">
      <alignment horizontal="center" vertical="bottom"/>
    </xf>
    <xf borderId="8" fillId="3" fontId="1" numFmtId="0" xfId="0" applyAlignment="1" applyBorder="1" applyFont="1">
      <alignment horizontal="center" vertical="bottom"/>
    </xf>
    <xf borderId="9" fillId="5" fontId="1" numFmtId="0" xfId="0" applyAlignment="1" applyBorder="1" applyFill="1" applyFont="1">
      <alignment readingOrder="0" vertical="bottom"/>
    </xf>
    <xf borderId="8" fillId="3" fontId="1" numFmtId="0" xfId="0" applyAlignment="1" applyBorder="1" applyFont="1">
      <alignment readingOrder="0" vertical="bottom"/>
    </xf>
    <xf borderId="10" fillId="0" fontId="1" numFmtId="0" xfId="0" applyAlignment="1" applyBorder="1" applyFont="1">
      <alignment readingOrder="0" vertical="bottom"/>
    </xf>
    <xf borderId="10" fillId="3" fontId="10" numFmtId="0" xfId="0" applyAlignment="1" applyBorder="1" applyFont="1">
      <alignment horizontal="center" vertical="bottom"/>
    </xf>
    <xf borderId="8" fillId="0" fontId="10" numFmtId="0" xfId="0" applyAlignment="1" applyBorder="1" applyFont="1">
      <alignment horizontal="center" vertical="bottom"/>
    </xf>
    <xf borderId="10" fillId="3" fontId="10" numFmtId="0" xfId="0" applyAlignment="1" applyBorder="1" applyFont="1">
      <alignment horizontal="center" readingOrder="0" vertical="bottom"/>
    </xf>
    <xf borderId="8" fillId="3" fontId="10" numFmtId="0" xfId="0" applyAlignment="1" applyBorder="1" applyFont="1">
      <alignment horizontal="center" vertical="bottom"/>
    </xf>
    <xf borderId="9" fillId="0" fontId="10" numFmtId="0" xfId="0" applyAlignment="1" applyBorder="1" applyFont="1">
      <alignment horizontal="right" vertical="bottom"/>
    </xf>
    <xf borderId="9" fillId="0" fontId="11" numFmtId="0" xfId="0" applyAlignment="1" applyBorder="1" applyFont="1">
      <alignment horizontal="right" vertical="bottom"/>
    </xf>
    <xf borderId="9" fillId="3" fontId="11" numFmtId="0" xfId="0" applyAlignment="1" applyBorder="1" applyFont="1">
      <alignment vertical="bottom"/>
    </xf>
    <xf borderId="8" fillId="0" fontId="1" numFmtId="0" xfId="0" applyAlignment="1" applyBorder="1" applyFont="1">
      <alignment horizontal="center" readingOrder="0"/>
    </xf>
    <xf borderId="0" fillId="0" fontId="1" numFmtId="0" xfId="0" applyAlignment="1" applyFont="1">
      <alignment horizontal="center" readingOrder="0" vertical="bottom"/>
    </xf>
    <xf borderId="8" fillId="3" fontId="1" numFmtId="0" xfId="0" applyAlignment="1" applyBorder="1" applyFont="1">
      <alignment horizontal="right" readingOrder="0" vertical="bottom"/>
    </xf>
    <xf borderId="8" fillId="0" fontId="11" numFmtId="0" xfId="0" applyAlignment="1" applyBorder="1" applyFont="1">
      <alignment horizontal="right" vertical="bottom"/>
    </xf>
    <xf borderId="10" fillId="0" fontId="10" numFmtId="0" xfId="0" applyAlignment="1" applyBorder="1" applyFont="1">
      <alignment vertical="bottom"/>
    </xf>
    <xf borderId="9" fillId="0" fontId="10" numFmtId="0" xfId="0" applyAlignment="1" applyBorder="1" applyFont="1">
      <alignment horizontal="center" vertical="bottom"/>
    </xf>
    <xf borderId="0" fillId="3" fontId="10" numFmtId="0" xfId="0" applyAlignment="1" applyFont="1">
      <alignment horizontal="center" readingOrder="0" vertical="bottom"/>
    </xf>
    <xf borderId="10" fillId="0" fontId="10" numFmtId="0" xfId="0" applyAlignment="1" applyBorder="1" applyFont="1">
      <alignment horizontal="center" vertical="bottom"/>
    </xf>
    <xf borderId="8" fillId="0" fontId="10" numFmtId="0" xfId="0" applyAlignment="1" applyBorder="1" applyFont="1">
      <alignment horizontal="center" vertical="bottom"/>
    </xf>
    <xf borderId="8" fillId="0" fontId="10" numFmtId="0" xfId="0" applyAlignment="1" applyBorder="1" applyFont="1">
      <alignment horizontal="right" readingOrder="0" vertical="bottom"/>
    </xf>
    <xf borderId="9" fillId="3" fontId="10" numFmtId="0" xfId="0" applyAlignment="1" applyBorder="1" applyFont="1">
      <alignment horizontal="center" readingOrder="0" vertical="bottom"/>
    </xf>
    <xf borderId="10" fillId="0" fontId="1" numFmtId="0" xfId="0" applyAlignment="1" applyBorder="1" applyFont="1">
      <alignment vertical="bottom"/>
    </xf>
    <xf borderId="8" fillId="0" fontId="1" numFmtId="0" xfId="0" applyAlignment="1" applyBorder="1" applyFont="1">
      <alignment horizontal="center" vertical="bottom"/>
    </xf>
    <xf borderId="9" fillId="0" fontId="1" numFmtId="0" xfId="0" applyAlignment="1" applyBorder="1" applyFont="1">
      <alignment horizontal="center" vertical="bottom"/>
    </xf>
    <xf borderId="10" fillId="0" fontId="1" numFmtId="0" xfId="0" applyAlignment="1" applyBorder="1" applyFont="1">
      <alignment horizontal="center" vertical="bottom"/>
    </xf>
    <xf borderId="8" fillId="0" fontId="1" numFmtId="0" xfId="0" applyAlignment="1" applyBorder="1" applyFont="1">
      <alignment horizontal="right" vertical="bottom"/>
    </xf>
    <xf borderId="9" fillId="0" fontId="12" numFmtId="0" xfId="0" applyAlignment="1" applyBorder="1" applyFont="1">
      <alignment horizontal="right" vertical="bottom"/>
    </xf>
    <xf borderId="9" fillId="3" fontId="2" numFmtId="0" xfId="0" applyAlignment="1" applyBorder="1" applyFont="1">
      <alignment readingOrder="0" vertical="bottom"/>
    </xf>
    <xf borderId="2" fillId="6" fontId="1" numFmtId="0" xfId="0" applyAlignment="1" applyBorder="1" applyFill="1" applyFont="1">
      <alignment readingOrder="0" vertical="bottom"/>
    </xf>
    <xf borderId="10" fillId="0" fontId="1" numFmtId="0" xfId="0" applyAlignment="1" applyBorder="1" applyFont="1">
      <alignment horizontal="right" readingOrder="0" vertical="bottom"/>
    </xf>
    <xf borderId="8" fillId="0" fontId="1" numFmtId="0" xfId="0" applyAlignment="1" applyBorder="1" applyFont="1">
      <alignment horizontal="center" vertical="bottom"/>
    </xf>
    <xf borderId="2" fillId="6" fontId="1" numFmtId="0" xfId="0" applyAlignment="1" applyBorder="1" applyFont="1">
      <alignment horizontal="right" readingOrder="0" vertical="bottom"/>
    </xf>
    <xf borderId="10" fillId="0" fontId="1" numFmtId="0" xfId="0" applyAlignment="1" applyBorder="1" applyFont="1">
      <alignment horizontal="center" readingOrder="0" vertical="bottom"/>
    </xf>
    <xf borderId="8" fillId="4" fontId="1" numFmtId="0" xfId="0" applyAlignment="1" applyBorder="1" applyFont="1">
      <alignment readingOrder="0" vertical="bottom"/>
    </xf>
    <xf borderId="5" fillId="6" fontId="1" numFmtId="0" xfId="0" applyAlignment="1" applyBorder="1" applyFont="1">
      <alignment readingOrder="0" vertical="bottom"/>
    </xf>
    <xf borderId="8" fillId="0" fontId="1" numFmtId="0" xfId="0" applyAlignment="1" applyBorder="1" applyFont="1">
      <alignment readingOrder="0" vertical="bottom"/>
    </xf>
    <xf borderId="2" fillId="7" fontId="3" numFmtId="0" xfId="0" applyAlignment="1" applyBorder="1" applyFill="1" applyFont="1">
      <alignment readingOrder="0"/>
    </xf>
    <xf borderId="9" fillId="0" fontId="1" numFmtId="0" xfId="0" applyAlignment="1" applyBorder="1" applyFont="1">
      <alignment horizontal="center" readingOrder="0"/>
    </xf>
    <xf borderId="2" fillId="7" fontId="1" numFmtId="0" xfId="0" applyAlignment="1" applyBorder="1" applyFont="1">
      <alignment readingOrder="0" vertical="bottom"/>
    </xf>
    <xf borderId="10" fillId="3" fontId="1" numFmtId="0" xfId="0" applyAlignment="1" applyBorder="1" applyFont="1">
      <alignment vertical="bottom"/>
    </xf>
    <xf borderId="8" fillId="7" fontId="1" numFmtId="0" xfId="0" applyAlignment="1" applyBorder="1" applyFont="1">
      <alignment readingOrder="0" vertical="bottom"/>
    </xf>
    <xf borderId="5" fillId="7" fontId="13" numFmtId="0" xfId="0" applyAlignment="1" applyBorder="1" applyFont="1">
      <alignment readingOrder="0"/>
    </xf>
    <xf borderId="5" fillId="7" fontId="1" numFmtId="0" xfId="0" applyAlignment="1" applyBorder="1" applyFont="1">
      <alignment readingOrder="0" vertical="bottom"/>
    </xf>
    <xf borderId="9" fillId="0" fontId="14" numFmtId="0" xfId="0" applyAlignment="1" applyBorder="1" applyFont="1">
      <alignment readingOrder="0"/>
    </xf>
    <xf borderId="9" fillId="0" fontId="15" numFmtId="0" xfId="0" applyAlignment="1" applyBorder="1" applyFont="1">
      <alignment horizontal="center" readingOrder="0"/>
    </xf>
    <xf borderId="9" fillId="3" fontId="15" numFmtId="0" xfId="0" applyAlignment="1" applyBorder="1" applyFont="1">
      <alignment horizontal="center" readingOrder="0" vertical="bottom"/>
    </xf>
    <xf borderId="8" fillId="3" fontId="15" numFmtId="0" xfId="0" applyAlignment="1" applyBorder="1" applyFont="1">
      <alignment horizontal="center" readingOrder="0" vertical="bottom"/>
    </xf>
    <xf borderId="0" fillId="0" fontId="15" numFmtId="2" xfId="0" applyAlignment="1" applyFont="1" applyNumberFormat="1">
      <alignment readingOrder="0"/>
    </xf>
    <xf borderId="8" fillId="0" fontId="15" numFmtId="0" xfId="0" applyAlignment="1" applyBorder="1" applyFont="1">
      <alignment horizontal="right" vertical="bottom"/>
    </xf>
    <xf borderId="8" fillId="0" fontId="15" numFmtId="0" xfId="0" applyAlignment="1" applyBorder="1" applyFont="1">
      <alignment horizontal="center" readingOrder="0" vertical="bottom"/>
    </xf>
    <xf borderId="9" fillId="5" fontId="15" numFmtId="0" xfId="0" applyAlignment="1" applyBorder="1" applyFont="1">
      <alignment readingOrder="0" vertical="bottom"/>
    </xf>
    <xf borderId="0" fillId="3" fontId="15" numFmtId="0" xfId="0" applyAlignment="1" applyFont="1">
      <alignment readingOrder="0" vertical="bottom"/>
    </xf>
    <xf borderId="8" fillId="3" fontId="15" numFmtId="0" xfId="0" applyAlignment="1" applyBorder="1" applyFont="1">
      <alignment vertical="bottom"/>
    </xf>
    <xf borderId="0" fillId="0" fontId="15" numFmtId="0" xfId="0" applyFont="1"/>
    <xf borderId="2" fillId="0" fontId="1" numFmtId="0" xfId="0" applyAlignment="1" applyBorder="1" applyFont="1">
      <alignment vertical="bottom"/>
    </xf>
    <xf borderId="0" fillId="0" fontId="1" numFmtId="0" xfId="0" applyAlignment="1" applyFont="1">
      <alignment horizontal="center" vertical="bottom"/>
    </xf>
    <xf borderId="9" fillId="3" fontId="1" numFmtId="0" xfId="0" applyAlignment="1" applyBorder="1" applyFont="1">
      <alignment horizontal="right" vertical="bottom"/>
    </xf>
    <xf borderId="5" fillId="0" fontId="1" numFmtId="0" xfId="0" applyAlignment="1" applyBorder="1" applyFont="1">
      <alignment vertical="bottom"/>
    </xf>
    <xf borderId="9" fillId="0" fontId="1" numFmtId="0" xfId="0" applyAlignment="1" applyBorder="1" applyFont="1">
      <alignment horizontal="right" vertical="bottom"/>
    </xf>
    <xf borderId="0" fillId="3" fontId="1" numFmtId="0" xfId="0" applyAlignment="1" applyFont="1">
      <alignment horizontal="center" readingOrder="0"/>
    </xf>
    <xf borderId="9" fillId="3" fontId="10" numFmtId="0" xfId="0" applyAlignment="1" applyBorder="1" applyFont="1">
      <alignment readingOrder="0" vertical="bottom"/>
    </xf>
    <xf borderId="8" fillId="3" fontId="10" numFmtId="0" xfId="0" applyAlignment="1" applyBorder="1" applyFont="1">
      <alignment horizontal="center" readingOrder="0" vertical="bottom"/>
    </xf>
    <xf borderId="9" fillId="3" fontId="10" numFmtId="0" xfId="0" applyAlignment="1" applyBorder="1" applyFont="1">
      <alignment horizontal="right" readingOrder="0" vertical="bottom"/>
    </xf>
    <xf borderId="10" fillId="3" fontId="10" numFmtId="0" xfId="0" applyAlignment="1" applyBorder="1" applyFont="1">
      <alignment horizontal="left" vertical="bottom"/>
    </xf>
    <xf borderId="8" fillId="3" fontId="1" numFmtId="0" xfId="0" applyAlignment="1" applyBorder="1" applyFont="1">
      <alignment horizontal="center" vertical="bottom"/>
    </xf>
    <xf borderId="0" fillId="3" fontId="1" numFmtId="0" xfId="0" applyAlignment="1" applyFont="1">
      <alignment horizontal="center" vertical="bottom"/>
    </xf>
    <xf borderId="9" fillId="3" fontId="1" numFmtId="0" xfId="0" applyAlignment="1" applyBorder="1" applyFont="1">
      <alignment horizontal="right" readingOrder="0" vertical="bottom"/>
    </xf>
    <xf borderId="9" fillId="0" fontId="1" numFmtId="0" xfId="0" applyAlignment="1" applyBorder="1" applyFont="1">
      <alignment horizontal="right" vertical="bottom"/>
    </xf>
    <xf borderId="0" fillId="0" fontId="1" numFmtId="0" xfId="0" applyAlignment="1" applyFont="1">
      <alignment readingOrder="0" vertical="bottom"/>
    </xf>
    <xf borderId="0" fillId="3" fontId="1" numFmtId="0" xfId="0" applyAlignment="1" applyFont="1">
      <alignment readingOrder="0" vertical="bottom"/>
    </xf>
    <xf borderId="10" fillId="4" fontId="1" numFmtId="0" xfId="0" applyAlignment="1" applyBorder="1" applyFont="1">
      <alignment readingOrder="0" vertical="bottom"/>
    </xf>
    <xf borderId="8" fillId="3" fontId="10" numFmtId="0" xfId="0" applyAlignment="1" applyBorder="1" applyFont="1">
      <alignment readingOrder="0" vertical="bottom"/>
    </xf>
    <xf borderId="11" fillId="3" fontId="10" numFmtId="0" xfId="0" applyAlignment="1" applyBorder="1" applyFont="1">
      <alignment readingOrder="0" vertical="bottom"/>
    </xf>
    <xf borderId="10" fillId="0" fontId="10" numFmtId="0" xfId="0" applyAlignment="1" applyBorder="1" applyFont="1">
      <alignment readingOrder="0"/>
    </xf>
    <xf borderId="0" fillId="0" fontId="10" numFmtId="0" xfId="0" applyFont="1"/>
    <xf borderId="6" fillId="3" fontId="1" numFmtId="0" xfId="0" applyAlignment="1" applyBorder="1" applyFont="1">
      <alignment vertical="bottom"/>
    </xf>
    <xf borderId="9" fillId="0" fontId="1" numFmtId="0" xfId="0" applyAlignment="1" applyBorder="1" applyFont="1">
      <alignment readingOrder="0" vertical="bottom"/>
    </xf>
    <xf borderId="0" fillId="0" fontId="16" numFmtId="0" xfId="0" applyAlignment="1" applyFont="1">
      <alignment readingOrder="0"/>
    </xf>
    <xf borderId="0" fillId="0" fontId="1" numFmtId="0" xfId="0" applyAlignment="1" applyFont="1">
      <alignment vertical="bottom"/>
    </xf>
    <xf borderId="8" fillId="3" fontId="1" numFmtId="0" xfId="0" applyAlignment="1" applyBorder="1" applyFont="1">
      <alignment horizontal="right" vertical="bottom"/>
    </xf>
    <xf borderId="9" fillId="0" fontId="1" numFmtId="0" xfId="0" applyAlignment="1" applyBorder="1" applyFont="1">
      <alignment vertical="bottom"/>
    </xf>
    <xf borderId="0" fillId="0" fontId="10" numFmtId="0" xfId="0" applyAlignment="1" applyFont="1">
      <alignment horizontal="center" vertical="bottom"/>
    </xf>
    <xf borderId="10" fillId="0" fontId="10" numFmtId="0" xfId="0" applyAlignment="1" applyBorder="1" applyFont="1">
      <alignment horizontal="center" readingOrder="0" vertical="bottom"/>
    </xf>
    <xf borderId="10" fillId="0" fontId="10" numFmtId="0" xfId="0" applyAlignment="1" applyBorder="1" applyFont="1">
      <alignment horizontal="center" vertical="bottom"/>
    </xf>
    <xf borderId="0" fillId="0" fontId="17" numFmtId="0" xfId="0" applyAlignment="1" applyFont="1">
      <alignment vertical="bottom"/>
    </xf>
    <xf borderId="2" fillId="3" fontId="10" numFmtId="0" xfId="0" applyAlignment="1" applyBorder="1" applyFont="1">
      <alignment readingOrder="0" vertical="bottom"/>
    </xf>
    <xf borderId="10" fillId="0" fontId="10" numFmtId="0" xfId="0" applyBorder="1" applyFont="1"/>
    <xf borderId="10" fillId="0" fontId="1" numFmtId="0" xfId="0" applyAlignment="1" applyBorder="1" applyFont="1">
      <alignment horizontal="center" vertical="bottom"/>
    </xf>
    <xf borderId="9" fillId="0" fontId="1" numFmtId="0" xfId="0" applyAlignment="1" applyBorder="1" applyFont="1">
      <alignment horizontal="center" vertical="bottom"/>
    </xf>
    <xf borderId="5" fillId="3" fontId="18" numFmtId="0" xfId="0" applyAlignment="1" applyBorder="1" applyFont="1">
      <alignment vertical="bottom"/>
    </xf>
    <xf borderId="10" fillId="0" fontId="18" numFmtId="0" xfId="0" applyBorder="1" applyFont="1"/>
    <xf borderId="0" fillId="0" fontId="18" numFmtId="0" xfId="0" applyFont="1"/>
    <xf borderId="0" fillId="0" fontId="19" numFmtId="0" xfId="0" applyAlignment="1" applyFont="1">
      <alignment readingOrder="0"/>
    </xf>
    <xf borderId="8" fillId="0" fontId="10" numFmtId="0" xfId="0" applyAlignment="1" applyBorder="1" applyFont="1">
      <alignment horizontal="center" readingOrder="0"/>
    </xf>
    <xf borderId="0" fillId="3" fontId="1" numFmtId="0" xfId="0" applyAlignment="1" applyFont="1">
      <alignment vertical="bottom"/>
    </xf>
    <xf borderId="8" fillId="3" fontId="11" numFmtId="0" xfId="0" applyAlignment="1" applyBorder="1" applyFont="1">
      <alignment vertical="bottom"/>
    </xf>
    <xf borderId="9" fillId="3" fontId="11" numFmtId="0" xfId="0" applyAlignment="1" applyBorder="1" applyFont="1">
      <alignment readingOrder="0" vertical="bottom"/>
    </xf>
    <xf borderId="8" fillId="0" fontId="3" numFmtId="0" xfId="0" applyBorder="1" applyFont="1"/>
    <xf borderId="0" fillId="3" fontId="3" numFmtId="0" xfId="0" applyFont="1"/>
    <xf borderId="8" fillId="3" fontId="3" numFmtId="0" xfId="0" applyBorder="1" applyFont="1"/>
    <xf borderId="9" fillId="3" fontId="3" numFmtId="0" xfId="0" applyBorder="1" applyFont="1"/>
    <xf borderId="9" fillId="0" fontId="3" numFmtId="0" xfId="0" applyBorder="1" applyFont="1"/>
    <xf borderId="9" fillId="0" fontId="11" numFmtId="0" xfId="0" applyAlignment="1" applyBorder="1" applyFont="1">
      <alignment vertical="bottom"/>
    </xf>
    <xf borderId="8" fillId="0" fontId="11" numFmtId="0" xfId="0" applyAlignment="1" applyBorder="1" applyFont="1">
      <alignment vertical="bottom"/>
    </xf>
    <xf borderId="1" fillId="0" fontId="7" numFmtId="49" xfId="0" applyAlignment="1" applyBorder="1" applyFont="1" applyNumberFormat="1">
      <alignment horizontal="center" shrinkToFit="0" vertical="bottom" wrapText="1"/>
    </xf>
    <xf borderId="7" fillId="3" fontId="9" numFmtId="0" xfId="0" applyAlignment="1" applyBorder="1" applyFont="1">
      <alignment readingOrder="0"/>
    </xf>
    <xf borderId="0" fillId="2" fontId="9" numFmtId="0" xfId="0" applyAlignment="1" applyFont="1">
      <alignment readingOrder="0"/>
    </xf>
    <xf borderId="8" fillId="0" fontId="12" numFmtId="0" xfId="0" applyAlignment="1" applyBorder="1" applyFont="1">
      <alignment horizontal="right" vertical="bottom"/>
    </xf>
    <xf borderId="8" fillId="0" fontId="1" numFmtId="0" xfId="0" applyAlignment="1" applyBorder="1" applyFont="1">
      <alignment vertical="bottom"/>
    </xf>
    <xf borderId="0" fillId="0" fontId="1" numFmtId="0" xfId="0" applyAlignment="1" applyFont="1">
      <alignment vertical="bottom"/>
    </xf>
    <xf borderId="8" fillId="3" fontId="1" numFmtId="0" xfId="0" applyBorder="1" applyFont="1"/>
    <xf borderId="10" fillId="0" fontId="1" numFmtId="0" xfId="0" applyAlignment="1" applyBorder="1" applyFont="1">
      <alignment vertical="bottom"/>
    </xf>
    <xf borderId="9" fillId="3" fontId="1" numFmtId="0" xfId="0" applyAlignment="1" applyBorder="1" applyFont="1">
      <alignment horizontal="left" readingOrder="0" vertical="bottom"/>
    </xf>
    <xf borderId="10" fillId="3" fontId="10" numFmtId="0" xfId="0" applyAlignment="1" applyBorder="1" applyFont="1">
      <alignment readingOrder="0" vertical="bottom"/>
    </xf>
    <xf borderId="8" fillId="0" fontId="10" numFmtId="0" xfId="0" applyAlignment="1" applyBorder="1" applyFont="1">
      <alignment horizontal="right" vertical="bottom"/>
    </xf>
    <xf borderId="10" fillId="0" fontId="10" numFmtId="0" xfId="0" applyAlignment="1" applyBorder="1" applyFont="1">
      <alignment readingOrder="0" vertical="bottom"/>
    </xf>
    <xf borderId="8" fillId="0" fontId="1" numFmtId="0" xfId="0" applyAlignment="1" applyBorder="1" applyFont="1">
      <alignment vertical="bottom"/>
    </xf>
    <xf borderId="0" fillId="0" fontId="10" numFmtId="0" xfId="0" applyAlignment="1" applyFont="1">
      <alignment vertical="bottom"/>
    </xf>
    <xf borderId="8" fillId="0" fontId="12" numFmtId="0" xfId="0" applyAlignment="1" applyBorder="1" applyFont="1">
      <alignment horizontal="right" vertical="bottom"/>
    </xf>
    <xf borderId="0" fillId="0" fontId="1" numFmtId="0" xfId="0" applyAlignment="1" applyFont="1">
      <alignment horizontal="right" readingOrder="0"/>
    </xf>
    <xf borderId="9" fillId="0" fontId="1" numFmtId="0" xfId="0" applyAlignment="1" applyBorder="1" applyFont="1">
      <alignment vertical="bottom"/>
    </xf>
    <xf borderId="9" fillId="3" fontId="10" numFmtId="0" xfId="0" applyAlignment="1" applyBorder="1" applyFont="1">
      <alignment horizontal="center" vertical="bottom"/>
    </xf>
    <xf borderId="9" fillId="0" fontId="20" numFmtId="0" xfId="0" applyAlignment="1" applyBorder="1" applyFont="1">
      <alignment readingOrder="0" vertical="bottom"/>
    </xf>
    <xf borderId="0" fillId="0" fontId="1" numFmtId="0" xfId="0" applyAlignment="1" applyFont="1">
      <alignment horizontal="right" vertical="bottom"/>
    </xf>
    <xf borderId="8" fillId="0" fontId="1" numFmtId="0" xfId="0" applyAlignment="1" applyBorder="1" applyFont="1">
      <alignment horizontal="left" readingOrder="0" vertical="bottom"/>
    </xf>
    <xf borderId="8" fillId="3" fontId="10" numFmtId="0" xfId="0" applyAlignment="1" applyBorder="1" applyFont="1">
      <alignment horizontal="right" vertical="bottom"/>
    </xf>
    <xf borderId="0" fillId="3" fontId="10" numFmtId="0" xfId="0" applyAlignment="1" applyFont="1">
      <alignment horizontal="center" vertical="bottom"/>
    </xf>
    <xf borderId="8" fillId="0" fontId="1" numFmtId="0" xfId="0" applyAlignment="1" applyBorder="1" applyFont="1">
      <alignment horizontal="left" vertical="bottom"/>
    </xf>
    <xf borderId="0" fillId="0" fontId="10" numFmtId="0" xfId="0" applyAlignment="1" applyFont="1">
      <alignment horizontal="right" vertical="bottom"/>
    </xf>
    <xf borderId="0" fillId="3" fontId="1" numFmtId="0" xfId="0" applyAlignment="1" applyFont="1">
      <alignment horizontal="center" readingOrder="0" vertical="bottom"/>
    </xf>
    <xf borderId="9" fillId="3" fontId="1" numFmtId="0" xfId="0" applyAlignment="1" applyBorder="1" applyFont="1">
      <alignment vertical="bottom"/>
    </xf>
    <xf borderId="8" fillId="3" fontId="1" numFmtId="0" xfId="0" applyAlignment="1" applyBorder="1" applyFont="1">
      <alignment horizontal="left" vertical="bottom"/>
    </xf>
    <xf borderId="0" fillId="3" fontId="10" numFmtId="0" xfId="0" applyAlignment="1" applyFont="1">
      <alignment readingOrder="0" vertical="bottom"/>
    </xf>
    <xf borderId="8" fillId="3" fontId="1" numFmtId="0" xfId="0" applyAlignment="1" applyBorder="1" applyFont="1">
      <alignment vertical="bottom"/>
    </xf>
    <xf borderId="9" fillId="0" fontId="10" numFmtId="0" xfId="0" applyAlignment="1" applyBorder="1" applyFont="1">
      <alignment horizontal="right" readingOrder="0" vertical="bottom"/>
    </xf>
    <xf borderId="9" fillId="0" fontId="2" numFmtId="0" xfId="0" applyAlignment="1" applyBorder="1" applyFont="1">
      <alignment vertical="bottom"/>
    </xf>
    <xf borderId="0" fillId="0" fontId="21" numFmtId="0" xfId="0" applyAlignment="1" applyFont="1">
      <alignment readingOrder="0"/>
    </xf>
    <xf borderId="0" fillId="3" fontId="10" numFmtId="0" xfId="0" applyAlignment="1" applyFont="1">
      <alignment readingOrder="0"/>
    </xf>
    <xf borderId="10" fillId="3" fontId="10" numFmtId="0" xfId="0" applyAlignment="1" applyBorder="1" applyFont="1">
      <alignment horizontal="center" readingOrder="0"/>
    </xf>
    <xf borderId="8" fillId="0" fontId="10" numFmtId="0" xfId="0" applyAlignment="1" applyBorder="1" applyFont="1">
      <alignment horizontal="center" readingOrder="0" vertical="bottom"/>
    </xf>
    <xf borderId="0" fillId="3" fontId="10" numFmtId="0" xfId="0" applyAlignment="1" applyFont="1">
      <alignment horizontal="left" readingOrder="0"/>
    </xf>
    <xf borderId="8" fillId="3" fontId="10" numFmtId="0" xfId="0" applyAlignment="1" applyBorder="1" applyFont="1">
      <alignment horizontal="left" readingOrder="0"/>
    </xf>
    <xf borderId="9" fillId="0" fontId="10" numFmtId="0" xfId="0" applyAlignment="1" applyBorder="1" applyFont="1">
      <alignment readingOrder="0" vertical="bottom"/>
    </xf>
    <xf borderId="8" fillId="0" fontId="18" numFmtId="0" xfId="0" applyAlignment="1" applyBorder="1" applyFont="1">
      <alignment readingOrder="0" vertical="bottom"/>
    </xf>
    <xf borderId="0" fillId="0" fontId="18" numFmtId="0" xfId="0" applyAlignment="1" applyFont="1">
      <alignment readingOrder="0"/>
    </xf>
    <xf borderId="8" fillId="0" fontId="10" numFmtId="0" xfId="0" applyAlignment="1" applyBorder="1" applyFont="1">
      <alignment vertical="bottom"/>
    </xf>
    <xf borderId="0" fillId="0" fontId="22" numFmtId="0" xfId="0" applyAlignment="1" applyFont="1">
      <alignment horizontal="left" readingOrder="0"/>
    </xf>
    <xf borderId="0" fillId="0" fontId="1" numFmtId="0" xfId="0" applyAlignment="1" applyFont="1">
      <alignment horizontal="center" readingOrder="0"/>
    </xf>
    <xf borderId="9" fillId="0" fontId="1" numFmtId="0" xfId="0" applyAlignment="1" applyBorder="1" applyFont="1">
      <alignment horizontal="left" readingOrder="0" vertical="bottom"/>
    </xf>
    <xf borderId="8" fillId="0" fontId="2" numFmtId="0" xfId="0" applyAlignment="1" applyBorder="1" applyFont="1">
      <alignment horizontal="left" readingOrder="0" vertical="bottom"/>
    </xf>
    <xf borderId="10" fillId="0" fontId="1" numFmtId="0" xfId="0" applyAlignment="1" applyBorder="1" applyFont="1">
      <alignment horizontal="center"/>
    </xf>
    <xf borderId="0" fillId="0" fontId="1" numFmtId="0" xfId="0" applyAlignment="1" applyFont="1">
      <alignment horizontal="center"/>
    </xf>
    <xf borderId="0" fillId="0" fontId="10" numFmtId="0" xfId="0" applyAlignment="1" applyFont="1">
      <alignment readingOrder="0" vertical="bottom"/>
    </xf>
    <xf borderId="0" fillId="3" fontId="9" numFmtId="0" xfId="0" applyAlignment="1" applyFont="1">
      <alignment readingOrder="0"/>
    </xf>
    <xf borderId="9" fillId="3" fontId="10" numFmtId="0" xfId="0" applyAlignment="1" applyBorder="1" applyFont="1">
      <alignment horizontal="left" readingOrder="0"/>
    </xf>
    <xf borderId="9" fillId="0" fontId="10" numFmtId="0" xfId="0" applyAlignment="1" applyBorder="1" applyFont="1">
      <alignment horizontal="center" readingOrder="0" vertical="bottom"/>
    </xf>
    <xf borderId="0" fillId="0" fontId="10" numFmtId="0" xfId="0" applyAlignment="1" applyFont="1">
      <alignment readingOrder="0"/>
    </xf>
    <xf borderId="0" fillId="0" fontId="10" numFmtId="0" xfId="0" applyAlignment="1" applyFont="1">
      <alignment horizontal="center" readingOrder="0" vertical="bottom"/>
    </xf>
    <xf borderId="7" fillId="0" fontId="1" numFmtId="0" xfId="0" applyAlignment="1" applyBorder="1" applyFont="1">
      <alignment vertical="bottom"/>
    </xf>
    <xf borderId="0" fillId="7" fontId="1" numFmtId="0" xfId="0" applyAlignment="1" applyFont="1">
      <alignment readingOrder="0"/>
    </xf>
    <xf borderId="8" fillId="0" fontId="1" numFmtId="0" xfId="0" applyAlignment="1" applyBorder="1" applyFont="1">
      <alignment horizontal="left" vertical="bottom"/>
    </xf>
    <xf borderId="0" fillId="0" fontId="23" numFmtId="0" xfId="0" applyAlignment="1" applyFont="1">
      <alignment readingOrder="0"/>
    </xf>
    <xf borderId="10" fillId="0" fontId="2" numFmtId="0" xfId="0" applyAlignment="1" applyBorder="1" applyFont="1">
      <alignment readingOrder="0"/>
    </xf>
    <xf borderId="0" fillId="0" fontId="24" numFmtId="0" xfId="0" applyAlignment="1" applyFont="1">
      <alignment readingOrder="0"/>
    </xf>
    <xf borderId="8" fillId="3" fontId="25" numFmtId="0" xfId="0" applyAlignment="1" applyBorder="1" applyFont="1">
      <alignment horizontal="right" vertical="bottom"/>
    </xf>
    <xf borderId="0" fillId="0" fontId="10" numFmtId="0" xfId="0" applyAlignment="1" applyFont="1">
      <alignment vertical="bottom"/>
    </xf>
    <xf borderId="8" fillId="0" fontId="7" numFmtId="49" xfId="0" applyAlignment="1" applyBorder="1" applyFont="1" applyNumberFormat="1">
      <alignment horizontal="center" shrinkToFit="0" vertical="bottom" wrapText="1"/>
    </xf>
    <xf borderId="9" fillId="0" fontId="7" numFmtId="49" xfId="0" applyAlignment="1" applyBorder="1" applyFont="1" applyNumberFormat="1">
      <alignment horizontal="center" shrinkToFit="0" vertical="bottom" wrapText="1"/>
    </xf>
    <xf borderId="12" fillId="0" fontId="10" numFmtId="0" xfId="0" applyAlignment="1" applyBorder="1" applyFont="1">
      <alignment vertical="bottom"/>
    </xf>
    <xf borderId="2" fillId="3" fontId="10" numFmtId="0" xfId="0" applyAlignment="1" applyBorder="1" applyFont="1">
      <alignment horizontal="center" vertical="bottom"/>
    </xf>
    <xf borderId="4" fillId="0" fontId="10" numFmtId="0" xfId="0" applyAlignment="1" applyBorder="1" applyFont="1">
      <alignment horizontal="center" vertical="bottom"/>
    </xf>
    <xf borderId="2" fillId="0" fontId="1" numFmtId="0" xfId="0" applyAlignment="1" applyBorder="1" applyFont="1">
      <alignment horizontal="center" readingOrder="0"/>
    </xf>
    <xf borderId="4" fillId="0" fontId="10" numFmtId="0" xfId="0" applyAlignment="1" applyBorder="1" applyFont="1">
      <alignment horizontal="center" vertical="bottom"/>
    </xf>
    <xf borderId="2" fillId="0" fontId="1" numFmtId="0" xfId="0" applyAlignment="1" applyBorder="1" applyFont="1">
      <alignment horizontal="center" vertical="bottom"/>
    </xf>
    <xf borderId="11" fillId="3" fontId="1" numFmtId="0" xfId="0" applyAlignment="1" applyBorder="1" applyFont="1">
      <alignment horizontal="center" vertical="bottom"/>
    </xf>
    <xf borderId="9" fillId="3" fontId="10" numFmtId="0" xfId="0" applyAlignment="1" applyBorder="1" applyFont="1">
      <alignment horizontal="left" readingOrder="0" vertical="bottom"/>
    </xf>
    <xf borderId="0" fillId="0" fontId="26" numFmtId="0" xfId="0" applyAlignment="1" applyFont="1">
      <alignment readingOrder="0"/>
    </xf>
    <xf borderId="2" fillId="0" fontId="1" numFmtId="0" xfId="0" applyAlignment="1" applyBorder="1" applyFont="1">
      <alignment readingOrder="0" vertical="bottom"/>
    </xf>
    <xf borderId="10" fillId="3" fontId="1" numFmtId="0" xfId="0" applyAlignment="1" applyBorder="1" applyFont="1">
      <alignment horizontal="center" readingOrder="0" vertical="bottom"/>
    </xf>
    <xf borderId="5" fillId="0" fontId="1" numFmtId="0" xfId="0" applyAlignment="1" applyBorder="1" applyFont="1">
      <alignment vertical="bottom"/>
    </xf>
    <xf borderId="0" fillId="0" fontId="1" numFmtId="0" xfId="0" applyAlignment="1" applyFont="1">
      <alignment horizontal="center" vertical="bottom"/>
    </xf>
    <xf borderId="8" fillId="3" fontId="27" numFmtId="0" xfId="0" applyAlignment="1" applyBorder="1" applyFont="1">
      <alignment horizontal="center" vertical="bottom"/>
    </xf>
    <xf borderId="9" fillId="3" fontId="1" numFmtId="0" xfId="0" applyAlignment="1" applyBorder="1" applyFont="1">
      <alignment horizontal="center" vertical="bottom"/>
    </xf>
    <xf borderId="10" fillId="3" fontId="1" numFmtId="0" xfId="0" applyAlignment="1" applyBorder="1" applyFont="1">
      <alignment horizontal="center" vertical="bottom"/>
    </xf>
    <xf borderId="0" fillId="3" fontId="1" numFmtId="2" xfId="0" applyAlignment="1" applyFont="1" applyNumberFormat="1">
      <alignment horizontal="center" readingOrder="0" vertical="bottom"/>
    </xf>
    <xf borderId="9" fillId="0" fontId="15" numFmtId="0" xfId="0" applyAlignment="1" applyBorder="1" applyFont="1">
      <alignment readingOrder="0" vertical="bottom"/>
    </xf>
    <xf borderId="9" fillId="0" fontId="15" numFmtId="0" xfId="0" applyAlignment="1" applyBorder="1" applyFont="1">
      <alignment horizontal="center" readingOrder="0" vertical="bottom"/>
    </xf>
    <xf borderId="9" fillId="3" fontId="28" numFmtId="0" xfId="0" applyAlignment="1" applyBorder="1" applyFont="1">
      <alignment horizontal="center" readingOrder="0" vertical="bottom"/>
    </xf>
    <xf borderId="8" fillId="0" fontId="29" numFmtId="0" xfId="0" applyAlignment="1" applyBorder="1" applyFont="1">
      <alignment horizontal="center" readingOrder="0" vertical="bottom"/>
    </xf>
    <xf borderId="10" fillId="3" fontId="15" numFmtId="0" xfId="0" applyAlignment="1" applyBorder="1" applyFont="1">
      <alignment readingOrder="0" vertical="bottom"/>
    </xf>
    <xf borderId="8" fillId="0" fontId="15" numFmtId="0" xfId="0" applyAlignment="1" applyBorder="1" applyFont="1">
      <alignment vertical="bottom"/>
    </xf>
    <xf borderId="9" fillId="0" fontId="15" numFmtId="0" xfId="0" applyAlignment="1" applyBorder="1" applyFont="1">
      <alignment vertical="bottom"/>
    </xf>
    <xf borderId="10" fillId="0" fontId="15" numFmtId="0" xfId="0" applyBorder="1" applyFont="1"/>
    <xf borderId="10" fillId="3" fontId="1" numFmtId="0" xfId="0" applyAlignment="1" applyBorder="1" applyFont="1">
      <alignment readingOrder="0" vertical="bottom"/>
    </xf>
    <xf borderId="9" fillId="0" fontId="11" numFmtId="0" xfId="0" applyAlignment="1" applyBorder="1" applyFont="1">
      <alignment readingOrder="0" vertical="bottom"/>
    </xf>
    <xf borderId="8" fillId="0" fontId="11" numFmtId="0" xfId="0" applyAlignment="1" applyBorder="1" applyFont="1">
      <alignment horizontal="center" vertical="bottom"/>
    </xf>
    <xf borderId="9" fillId="0" fontId="11" numFmtId="0" xfId="0" applyAlignment="1" applyBorder="1" applyFont="1">
      <alignment horizontal="center" readingOrder="0" vertical="bottom"/>
    </xf>
    <xf borderId="10" fillId="0" fontId="1" numFmtId="0" xfId="0" applyAlignment="1" applyBorder="1" applyFont="1">
      <alignment horizontal="right" vertical="bottom"/>
    </xf>
    <xf borderId="10" fillId="2" fontId="1" numFmtId="0" xfId="0" applyAlignment="1" applyBorder="1" applyFont="1">
      <alignment vertical="bottom"/>
    </xf>
    <xf borderId="8" fillId="2" fontId="1" numFmtId="0" xfId="0" applyAlignment="1" applyBorder="1" applyFont="1">
      <alignment vertical="bottom"/>
    </xf>
    <xf borderId="8" fillId="0" fontId="3" numFmtId="0" xfId="0" applyAlignment="1" applyBorder="1" applyFont="1">
      <alignment horizontal="center"/>
    </xf>
    <xf borderId="0" fillId="0" fontId="1" numFmtId="0" xfId="0" applyAlignment="1" applyFont="1">
      <alignment horizontal="left" readingOrder="0" vertical="bottom"/>
    </xf>
    <xf borderId="2" fillId="0" fontId="27" numFmtId="0" xfId="0" applyAlignment="1" applyBorder="1" applyFont="1">
      <alignment horizontal="center" readingOrder="0" vertical="bottom"/>
    </xf>
    <xf borderId="12" fillId="0" fontId="10" numFmtId="0" xfId="0" applyAlignment="1" applyBorder="1" applyFont="1">
      <alignment horizontal="center" readingOrder="0" vertical="bottom"/>
    </xf>
    <xf borderId="2" fillId="0" fontId="1" numFmtId="0" xfId="0" applyAlignment="1" applyBorder="1" applyFont="1">
      <alignment horizontal="center" readingOrder="0" vertical="bottom"/>
    </xf>
    <xf borderId="11" fillId="0" fontId="1" numFmtId="0" xfId="0" applyAlignment="1" applyBorder="1" applyFont="1">
      <alignment horizontal="right" readingOrder="0" vertical="bottom"/>
    </xf>
    <xf borderId="11" fillId="3" fontId="1" numFmtId="0" xfId="0" applyAlignment="1" applyBorder="1" applyFont="1">
      <alignment horizontal="center" readingOrder="0" vertical="bottom"/>
    </xf>
    <xf borderId="2" fillId="3" fontId="1" numFmtId="0" xfId="0" applyAlignment="1" applyBorder="1" applyFont="1">
      <alignment horizontal="center" readingOrder="0" vertical="bottom"/>
    </xf>
    <xf borderId="0" fillId="0" fontId="10" numFmtId="0" xfId="0" applyAlignment="1" applyFont="1">
      <alignment horizontal="left" readingOrder="0" vertical="bottom"/>
    </xf>
    <xf borderId="10" fillId="0" fontId="27" numFmtId="0" xfId="0" applyAlignment="1" applyBorder="1" applyFont="1">
      <alignment horizontal="center" readingOrder="0" vertical="bottom"/>
    </xf>
    <xf borderId="0" fillId="0" fontId="10" numFmtId="0" xfId="0" applyAlignment="1" applyFont="1">
      <alignment horizontal="center" vertical="bottom"/>
    </xf>
    <xf borderId="10" fillId="3" fontId="1" numFmtId="0" xfId="0" applyAlignment="1" applyBorder="1" applyFont="1">
      <alignment horizontal="center" vertical="bottom"/>
    </xf>
    <xf borderId="0" fillId="3" fontId="1" numFmtId="0" xfId="0" applyAlignment="1" applyFont="1">
      <alignment horizontal="right" vertical="bottom"/>
    </xf>
    <xf borderId="8" fillId="0" fontId="30" numFmtId="0" xfId="0" applyAlignment="1" applyBorder="1" applyFont="1">
      <alignment horizontal="right" vertical="bottom"/>
    </xf>
    <xf borderId="9" fillId="8" fontId="2" numFmtId="0" xfId="0" applyAlignment="1" applyBorder="1" applyFill="1" applyFont="1">
      <alignment readingOrder="0" vertical="bottom"/>
    </xf>
    <xf borderId="8" fillId="3" fontId="1" numFmtId="0" xfId="0" applyAlignment="1" applyBorder="1" applyFont="1">
      <alignment horizontal="center" readingOrder="0"/>
    </xf>
    <xf borderId="9" fillId="3" fontId="2" numFmtId="0" xfId="0" applyAlignment="1" applyBorder="1" applyFont="1">
      <alignment horizontal="center" readingOrder="0" vertical="bottom"/>
    </xf>
    <xf borderId="9" fillId="3" fontId="1" numFmtId="2" xfId="0" applyAlignment="1" applyBorder="1" applyFont="1" applyNumberFormat="1">
      <alignment horizontal="right" readingOrder="0" vertical="bottom"/>
    </xf>
    <xf borderId="0" fillId="3" fontId="31" numFmtId="0" xfId="0" applyAlignment="1" applyFont="1">
      <alignment horizontal="center" vertical="bottom"/>
    </xf>
    <xf borderId="0" fillId="3" fontId="10" numFmtId="0" xfId="0" applyAlignment="1" applyFont="1">
      <alignment horizontal="center" readingOrder="0"/>
    </xf>
    <xf borderId="9" fillId="3" fontId="25" numFmtId="0" xfId="0" applyAlignment="1" applyBorder="1" applyFont="1">
      <alignment horizontal="center" vertical="bottom"/>
    </xf>
    <xf borderId="9" fillId="3" fontId="10" numFmtId="0" xfId="0" applyAlignment="1" applyBorder="1" applyFont="1">
      <alignment vertical="bottom"/>
    </xf>
    <xf borderId="8" fillId="3" fontId="10" numFmtId="0" xfId="0" applyAlignment="1" applyBorder="1" applyFont="1">
      <alignment horizontal="left" vertical="bottom"/>
    </xf>
    <xf borderId="8" fillId="3" fontId="10" numFmtId="0" xfId="0" applyAlignment="1" applyBorder="1" applyFont="1">
      <alignment horizontal="right" readingOrder="0" vertical="bottom"/>
    </xf>
    <xf borderId="9" fillId="0" fontId="12" numFmtId="0" xfId="0" applyAlignment="1" applyBorder="1" applyFont="1">
      <alignment horizontal="center" readingOrder="0" vertical="bottom"/>
    </xf>
    <xf borderId="9" fillId="0" fontId="12" numFmtId="0" xfId="0" applyAlignment="1" applyBorder="1" applyFont="1">
      <alignment vertical="bottom"/>
    </xf>
    <xf borderId="10" fillId="0" fontId="12" numFmtId="0" xfId="0" applyBorder="1" applyFont="1"/>
    <xf borderId="0" fillId="0" fontId="12" numFmtId="0" xfId="0" applyFont="1"/>
    <xf borderId="9" fillId="3" fontId="11" numFmtId="0" xfId="0" applyAlignment="1" applyBorder="1" applyFont="1">
      <alignment vertical="bottom"/>
    </xf>
    <xf borderId="10" fillId="3" fontId="1" numFmtId="0" xfId="0" applyAlignment="1" applyBorder="1" applyFont="1">
      <alignment horizontal="right" vertical="bottom"/>
    </xf>
    <xf borderId="0" fillId="3" fontId="11" numFmtId="0" xfId="0" applyAlignment="1" applyFont="1">
      <alignment vertical="bottom"/>
    </xf>
    <xf borderId="8" fillId="3" fontId="11" numFmtId="0" xfId="0" applyAlignment="1" applyBorder="1" applyFont="1">
      <alignment vertical="bottom"/>
    </xf>
    <xf borderId="0" fillId="9" fontId="11" numFmtId="0" xfId="0" applyAlignment="1" applyFill="1" applyFont="1">
      <alignment vertical="bottom"/>
    </xf>
    <xf borderId="0" fillId="3" fontId="1" numFmtId="0" xfId="0" applyAlignment="1" applyFont="1">
      <alignment readingOrder="0"/>
    </xf>
    <xf borderId="8" fillId="3" fontId="1" numFmtId="0" xfId="0" applyAlignment="1" applyBorder="1" applyFont="1">
      <alignment readingOrder="0"/>
    </xf>
    <xf borderId="8" fillId="3" fontId="1" numFmtId="0" xfId="0" applyAlignment="1" applyBorder="1" applyFont="1">
      <alignment horizontal="left" readingOrder="0"/>
    </xf>
    <xf borderId="8" fillId="0" fontId="7" numFmtId="49" xfId="0" applyAlignment="1" applyBorder="1" applyFont="1" applyNumberFormat="1">
      <alignment shrinkToFit="0" vertical="bottom" wrapText="1"/>
    </xf>
    <xf borderId="9" fillId="0" fontId="7" numFmtId="14" xfId="0" applyAlignment="1" applyBorder="1" applyFont="1" applyNumberFormat="1">
      <alignment horizontal="center" shrinkToFit="0" vertical="bottom" wrapText="1"/>
    </xf>
    <xf borderId="11" fillId="0" fontId="1" numFmtId="0" xfId="0" applyAlignment="1" applyBorder="1" applyFont="1">
      <alignment readingOrder="0" vertical="bottom"/>
    </xf>
    <xf borderId="12" fillId="3" fontId="1" numFmtId="0" xfId="0" applyAlignment="1" applyBorder="1" applyFont="1">
      <alignment horizontal="center" readingOrder="0" vertical="bottom"/>
    </xf>
    <xf borderId="2" fillId="3" fontId="1" numFmtId="0" xfId="0" applyAlignment="1" applyBorder="1" applyFont="1">
      <alignment horizontal="right" readingOrder="0" vertical="bottom"/>
    </xf>
    <xf borderId="9" fillId="0" fontId="10" numFmtId="0" xfId="0" applyAlignment="1" applyBorder="1" applyFont="1">
      <alignment horizontal="center" readingOrder="0"/>
    </xf>
    <xf borderId="0" fillId="0" fontId="10" numFmtId="0" xfId="0" applyAlignment="1" applyFont="1">
      <alignment horizontal="center" readingOrder="0"/>
    </xf>
    <xf borderId="0" fillId="0" fontId="32" numFmtId="0" xfId="0" applyAlignment="1" applyFont="1">
      <alignment readingOrder="0"/>
    </xf>
    <xf borderId="8" fillId="0" fontId="33" numFmtId="0" xfId="0" applyAlignment="1" applyBorder="1" applyFont="1">
      <alignment readingOrder="0" vertical="bottom"/>
    </xf>
    <xf borderId="10" fillId="0" fontId="1" numFmtId="0" xfId="0" applyAlignment="1" applyBorder="1" applyFont="1">
      <alignment horizontal="left" vertical="bottom"/>
    </xf>
    <xf borderId="8" fillId="0" fontId="34" numFmtId="0" xfId="0" applyAlignment="1" applyBorder="1" applyFont="1">
      <alignment vertical="bottom"/>
    </xf>
    <xf borderId="9" fillId="0" fontId="11" numFmtId="0" xfId="0" applyAlignment="1" applyBorder="1" applyFont="1">
      <alignment vertical="bottom"/>
    </xf>
    <xf borderId="9" fillId="0" fontId="11" numFmtId="0" xfId="0" applyAlignment="1" applyBorder="1" applyFont="1">
      <alignment vertical="bottom"/>
    </xf>
    <xf borderId="0" fillId="0" fontId="35" numFmtId="0" xfId="0" applyAlignment="1" applyFont="1">
      <alignment readingOrder="0" vertical="bottom"/>
    </xf>
    <xf borderId="9" fillId="10" fontId="1" numFmtId="0" xfId="0" applyAlignment="1" applyBorder="1" applyFill="1" applyFont="1">
      <alignment readingOrder="0" vertical="bottom"/>
    </xf>
    <xf borderId="8" fillId="0" fontId="10" numFmtId="0" xfId="0" applyAlignment="1" applyBorder="1" applyFont="1">
      <alignment horizontal="right" readingOrder="0"/>
    </xf>
    <xf borderId="10" fillId="0" fontId="36" numFmtId="0" xfId="0" applyAlignment="1" applyBorder="1" applyFont="1">
      <alignment horizontal="right" readingOrder="0"/>
    </xf>
    <xf borderId="2" fillId="3" fontId="10" numFmtId="0" xfId="0" applyAlignment="1" applyBorder="1" applyFont="1">
      <alignment horizontal="center" readingOrder="0" vertical="bottom"/>
    </xf>
    <xf borderId="12" fillId="3" fontId="10" numFmtId="0" xfId="0" applyAlignment="1" applyBorder="1" applyFont="1">
      <alignment horizontal="center" readingOrder="0" vertical="bottom"/>
    </xf>
    <xf borderId="2" fillId="3" fontId="1" numFmtId="0" xfId="0" applyAlignment="1" applyBorder="1" applyFont="1">
      <alignment readingOrder="0" vertical="bottom"/>
    </xf>
    <xf borderId="10" fillId="3" fontId="3" numFmtId="0" xfId="0" applyBorder="1" applyFont="1"/>
    <xf borderId="9" fillId="3" fontId="37" numFmtId="0" xfId="0" applyAlignment="1" applyBorder="1" applyFont="1">
      <alignment readingOrder="0" vertical="bottom"/>
    </xf>
    <xf borderId="0" fillId="0" fontId="38" numFmtId="0" xfId="0" applyAlignment="1" applyFont="1">
      <alignment readingOrder="0"/>
    </xf>
    <xf borderId="9" fillId="2" fontId="1" numFmtId="0" xfId="0" applyAlignment="1" applyBorder="1" applyFont="1">
      <alignment horizontal="center" readingOrder="0" vertical="bottom"/>
    </xf>
    <xf borderId="8" fillId="2" fontId="1" numFmtId="0" xfId="0" applyAlignment="1" applyBorder="1" applyFont="1">
      <alignment horizontal="center" readingOrder="0" vertical="bottom"/>
    </xf>
    <xf borderId="9" fillId="0" fontId="39" numFmtId="0" xfId="0" applyAlignment="1" applyBorder="1" applyFont="1">
      <alignment readingOrder="0" vertical="bottom"/>
    </xf>
    <xf borderId="0" fillId="0" fontId="3" numFmtId="0" xfId="0" applyAlignment="1" applyFont="1">
      <alignment horizontal="center" readingOrder="0"/>
    </xf>
    <xf borderId="2" fillId="11" fontId="1" numFmtId="0" xfId="0" applyAlignment="1" applyBorder="1" applyFill="1" applyFont="1">
      <alignment readingOrder="0"/>
    </xf>
    <xf borderId="8" fillId="3" fontId="40" numFmtId="0" xfId="0" applyAlignment="1" applyBorder="1" applyFont="1">
      <alignment readingOrder="0"/>
    </xf>
    <xf borderId="8" fillId="0" fontId="41" numFmtId="0" xfId="0" applyAlignment="1" applyBorder="1" applyFont="1">
      <alignment readingOrder="0"/>
    </xf>
    <xf borderId="8" fillId="11" fontId="1" numFmtId="0" xfId="0" applyAlignment="1" applyBorder="1" applyFont="1">
      <alignment readingOrder="0"/>
    </xf>
    <xf borderId="0" fillId="3" fontId="3" numFmtId="0" xfId="0" applyAlignment="1" applyFont="1">
      <alignment horizontal="center" readingOrder="0"/>
    </xf>
    <xf borderId="9" fillId="12" fontId="1" numFmtId="0" xfId="0" applyAlignment="1" applyBorder="1" applyFill="1" applyFont="1">
      <alignment readingOrder="0" vertical="bottom"/>
    </xf>
    <xf borderId="5" fillId="11" fontId="1" numFmtId="0" xfId="0" applyAlignment="1" applyBorder="1" applyFont="1">
      <alignment readingOrder="0"/>
    </xf>
    <xf borderId="0" fillId="0" fontId="35" numFmtId="0" xfId="0" applyAlignment="1" applyFont="1">
      <alignment readingOrder="0"/>
    </xf>
    <xf borderId="8" fillId="0" fontId="42" numFmtId="0" xfId="0" applyAlignment="1" applyBorder="1" applyFont="1">
      <alignment horizontal="center" readingOrder="0"/>
    </xf>
    <xf borderId="8" fillId="0" fontId="2" numFmtId="0" xfId="0" applyAlignment="1" applyBorder="1" applyFont="1">
      <alignment horizontal="center" readingOrder="0" vertical="bottom"/>
    </xf>
    <xf borderId="8" fillId="5" fontId="1" numFmtId="0" xfId="0" applyAlignment="1" applyBorder="1" applyFont="1">
      <alignment readingOrder="0" vertical="bottom"/>
    </xf>
    <xf borderId="5" fillId="5" fontId="1" numFmtId="0" xfId="0" applyAlignment="1" applyBorder="1" applyFont="1">
      <alignment readingOrder="0" vertical="bottom"/>
    </xf>
    <xf borderId="2" fillId="0" fontId="1" numFmtId="0" xfId="0" applyAlignment="1" applyBorder="1" applyFont="1">
      <alignment readingOrder="0"/>
    </xf>
    <xf borderId="2" fillId="11" fontId="1" numFmtId="0" xfId="0" applyAlignment="1" applyBorder="1" applyFont="1">
      <alignment vertical="bottom"/>
    </xf>
    <xf borderId="8" fillId="11" fontId="1" numFmtId="0" xfId="0" applyAlignment="1" applyBorder="1" applyFont="1">
      <alignment vertical="bottom"/>
    </xf>
    <xf borderId="5" fillId="0" fontId="1" numFmtId="0" xfId="0" applyAlignment="1" applyBorder="1" applyFont="1">
      <alignment readingOrder="0"/>
    </xf>
    <xf borderId="5" fillId="11" fontId="33" numFmtId="0" xfId="0" applyAlignment="1" applyBorder="1" applyFont="1">
      <alignment readingOrder="0" vertical="bottom"/>
    </xf>
    <xf borderId="2" fillId="0" fontId="1" numFmtId="0" xfId="0" applyAlignment="1" applyBorder="1" applyFont="1">
      <alignment horizontal="right" readingOrder="0" vertical="bottom"/>
    </xf>
    <xf borderId="10" fillId="3" fontId="1" numFmtId="0" xfId="0" applyBorder="1" applyFont="1"/>
    <xf borderId="10" fillId="3" fontId="10" numFmtId="0" xfId="0" applyAlignment="1" applyBorder="1" applyFont="1">
      <alignment horizontal="left" readingOrder="0" vertical="bottom"/>
    </xf>
    <xf borderId="8" fillId="3" fontId="10" numFmtId="0" xfId="0" applyAlignment="1" applyBorder="1" applyFont="1">
      <alignment horizontal="left" readingOrder="0" vertical="bottom"/>
    </xf>
    <xf borderId="9" fillId="3" fontId="1" numFmtId="0" xfId="0" applyAlignment="1" applyBorder="1" applyFont="1">
      <alignment readingOrder="0"/>
    </xf>
    <xf borderId="8" fillId="3" fontId="1" numFmtId="0" xfId="0" applyAlignment="1" applyBorder="1" applyFont="1">
      <alignment horizontal="center" readingOrder="0" shrinkToFit="0" wrapText="0"/>
    </xf>
    <xf borderId="0" fillId="3" fontId="1" numFmtId="0" xfId="0" applyAlignment="1" applyFont="1">
      <alignment horizontal="right" readingOrder="0" vertical="bottom"/>
    </xf>
    <xf borderId="8" fillId="0" fontId="7" numFmtId="1" xfId="0" applyAlignment="1" applyBorder="1" applyFont="1" applyNumberFormat="1">
      <alignment horizontal="center" shrinkToFit="0" vertical="bottom" wrapText="1"/>
    </xf>
    <xf borderId="8" fillId="0" fontId="8" numFmtId="49" xfId="0" applyAlignment="1" applyBorder="1" applyFont="1" applyNumberFormat="1">
      <alignment horizontal="center" shrinkToFit="0" vertical="bottom" wrapText="1"/>
    </xf>
    <xf borderId="5" fillId="0" fontId="7" numFmtId="49" xfId="0" applyAlignment="1" applyBorder="1" applyFont="1" applyNumberFormat="1">
      <alignment horizontal="center" readingOrder="0" shrinkToFit="0" vertical="bottom" wrapText="1"/>
    </xf>
    <xf borderId="4" fillId="0" fontId="1" numFmtId="0" xfId="0" applyAlignment="1" applyBorder="1" applyFont="1">
      <alignment readingOrder="0"/>
    </xf>
    <xf borderId="12" fillId="0" fontId="1" numFmtId="0" xfId="0" applyAlignment="1" applyBorder="1" applyFont="1">
      <alignment horizontal="center" readingOrder="0"/>
    </xf>
    <xf borderId="11" fillId="0" fontId="1" numFmtId="0" xfId="0" applyAlignment="1" applyBorder="1" applyFont="1">
      <alignment readingOrder="0"/>
    </xf>
    <xf borderId="11" fillId="0" fontId="43" numFmtId="0" xfId="0" applyAlignment="1" applyBorder="1" applyFont="1">
      <alignment readingOrder="0" vertical="bottom"/>
    </xf>
    <xf borderId="11" fillId="0" fontId="1" numFmtId="0" xfId="0" applyAlignment="1" applyBorder="1" applyFont="1">
      <alignment horizontal="center" readingOrder="0" vertical="bottom"/>
    </xf>
    <xf borderId="2" fillId="0" fontId="1" numFmtId="0" xfId="0" applyAlignment="1" applyBorder="1" applyFont="1">
      <alignment horizontal="right" vertical="bottom"/>
    </xf>
    <xf borderId="2" fillId="5" fontId="1" numFmtId="0" xfId="0" applyAlignment="1" applyBorder="1" applyFont="1">
      <alignment readingOrder="0" vertical="bottom"/>
    </xf>
    <xf borderId="0" fillId="3" fontId="44" numFmtId="0" xfId="0" applyAlignment="1" applyFont="1">
      <alignment readingOrder="0"/>
    </xf>
    <xf borderId="10" fillId="3" fontId="1" numFmtId="0" xfId="0" applyAlignment="1" applyBorder="1" applyFont="1">
      <alignment readingOrder="0"/>
    </xf>
    <xf borderId="8" fillId="0" fontId="45" numFmtId="0" xfId="0" applyAlignment="1" applyBorder="1" applyFont="1">
      <alignment readingOrder="0" vertical="bottom"/>
    </xf>
    <xf borderId="2" fillId="0" fontId="3" numFmtId="0" xfId="0" applyAlignment="1" applyBorder="1" applyFont="1">
      <alignment readingOrder="0"/>
    </xf>
    <xf borderId="8" fillId="0" fontId="46" numFmtId="0" xfId="0" applyAlignment="1" applyBorder="1" applyFont="1">
      <alignment horizontal="center" readingOrder="0"/>
    </xf>
    <xf borderId="9" fillId="13" fontId="10" numFmtId="0" xfId="0" applyAlignment="1" applyBorder="1" applyFill="1" applyFont="1">
      <alignment horizontal="center" readingOrder="0" vertical="bottom"/>
    </xf>
    <xf borderId="5" fillId="0" fontId="3" numFmtId="0" xfId="0" applyAlignment="1" applyBorder="1" applyFont="1">
      <alignment readingOrder="0"/>
    </xf>
    <xf borderId="8" fillId="3" fontId="11" numFmtId="0" xfId="0" applyAlignment="1" applyBorder="1" applyFont="1">
      <alignment horizontal="right" vertical="bottom"/>
    </xf>
    <xf borderId="9" fillId="2" fontId="10" numFmtId="0" xfId="0" applyAlignment="1" applyBorder="1" applyFont="1">
      <alignment horizontal="center" readingOrder="0" vertical="bottom"/>
    </xf>
    <xf borderId="8" fillId="0" fontId="47" numFmtId="0" xfId="0" applyAlignment="1" applyBorder="1" applyFont="1">
      <alignment horizontal="center" readingOrder="0"/>
    </xf>
    <xf borderId="8" fillId="0" fontId="48" numFmtId="0" xfId="0" applyAlignment="1" applyBorder="1" applyFont="1">
      <alignment readingOrder="0"/>
    </xf>
    <xf borderId="0" fillId="0" fontId="15" numFmtId="0" xfId="0" applyAlignment="1" applyFont="1">
      <alignment readingOrder="0"/>
    </xf>
    <xf borderId="8" fillId="0" fontId="15" numFmtId="0" xfId="0" applyAlignment="1" applyBorder="1" applyFont="1">
      <alignment horizontal="center" readingOrder="0"/>
    </xf>
    <xf borderId="8" fillId="3" fontId="15" numFmtId="0" xfId="0" applyAlignment="1" applyBorder="1" applyFont="1">
      <alignment readingOrder="0"/>
    </xf>
    <xf borderId="9" fillId="3" fontId="29" numFmtId="0" xfId="0" applyAlignment="1" applyBorder="1" applyFont="1">
      <alignment horizontal="center" readingOrder="0" vertical="bottom"/>
    </xf>
    <xf borderId="0" fillId="3" fontId="18" numFmtId="0" xfId="0" applyAlignment="1" applyFont="1">
      <alignment horizontal="center" readingOrder="0" vertical="bottom"/>
    </xf>
    <xf borderId="8" fillId="5" fontId="15" numFmtId="0" xfId="0" applyAlignment="1" applyBorder="1" applyFont="1">
      <alignment readingOrder="0" vertical="bottom"/>
    </xf>
    <xf borderId="9" fillId="3" fontId="15" numFmtId="0" xfId="0" applyAlignment="1" applyBorder="1" applyFont="1">
      <alignment readingOrder="0" vertical="bottom"/>
    </xf>
    <xf borderId="10" fillId="3" fontId="11" numFmtId="0" xfId="0" applyAlignment="1" applyBorder="1" applyFont="1">
      <alignment readingOrder="0" vertical="bottom"/>
    </xf>
    <xf borderId="8" fillId="0" fontId="49" numFmtId="0" xfId="0" applyAlignment="1" applyBorder="1" applyFont="1">
      <alignment vertical="bottom"/>
    </xf>
    <xf borderId="0" fillId="0" fontId="1" numFmtId="0" xfId="0" applyAlignment="1" applyFont="1">
      <alignment vertical="bottom"/>
    </xf>
    <xf borderId="8" fillId="0" fontId="50" numFmtId="0" xfId="0" applyAlignment="1" applyBorder="1" applyFont="1">
      <alignment horizontal="center" vertical="bottom"/>
    </xf>
    <xf borderId="9" fillId="3" fontId="1" numFmtId="0" xfId="0" applyAlignment="1" applyBorder="1" applyFont="1">
      <alignment horizontal="center" vertical="bottom"/>
    </xf>
    <xf borderId="9" fillId="0" fontId="10" numFmtId="0" xfId="0" applyAlignment="1" applyBorder="1" applyFont="1">
      <alignment readingOrder="0"/>
    </xf>
    <xf borderId="10" fillId="0" fontId="1" numFmtId="0" xfId="0" applyAlignment="1" applyBorder="1" applyFont="1">
      <alignment horizontal="center" readingOrder="0"/>
    </xf>
    <xf borderId="0" fillId="3" fontId="1" numFmtId="0" xfId="0" applyFont="1"/>
    <xf borderId="8" fillId="0" fontId="1" numFmtId="164" xfId="0" applyAlignment="1" applyBorder="1" applyFont="1" applyNumberFormat="1">
      <alignment horizontal="center" readingOrder="0"/>
    </xf>
    <xf borderId="8" fillId="0" fontId="10" numFmtId="0" xfId="0" applyAlignment="1" applyBorder="1" applyFont="1">
      <alignment readingOrder="0" vertical="bottom"/>
    </xf>
    <xf borderId="10" fillId="0" fontId="10" numFmtId="0" xfId="0" applyAlignment="1" applyBorder="1" applyFont="1">
      <alignment vertical="bottom"/>
    </xf>
    <xf borderId="0" fillId="3" fontId="1" numFmtId="0" xfId="0" applyAlignment="1" applyFont="1">
      <alignment vertical="bottom"/>
    </xf>
    <xf borderId="9" fillId="3" fontId="11" numFmtId="0" xfId="0" applyAlignment="1" applyBorder="1" applyFont="1">
      <alignment horizontal="left" readingOrder="0" vertical="bottom"/>
    </xf>
    <xf borderId="9" fillId="13" fontId="1" numFmtId="0" xfId="0" applyAlignment="1" applyBorder="1" applyFont="1">
      <alignment readingOrder="0" vertical="bottom"/>
    </xf>
    <xf borderId="9" fillId="13" fontId="1" numFmtId="0" xfId="0" applyAlignment="1" applyBorder="1" applyFont="1">
      <alignment horizontal="center" readingOrder="0" vertical="bottom"/>
    </xf>
    <xf borderId="8" fillId="13" fontId="11" numFmtId="0" xfId="0" applyAlignment="1" applyBorder="1" applyFont="1">
      <alignment horizontal="right" vertical="bottom"/>
    </xf>
    <xf borderId="0" fillId="13" fontId="1" numFmtId="0" xfId="0" applyFont="1"/>
    <xf borderId="0" fillId="0" fontId="51" numFmtId="0" xfId="0" applyAlignment="1" applyFont="1">
      <alignment horizontal="center" readingOrder="0"/>
    </xf>
    <xf borderId="7" fillId="0" fontId="7" numFmtId="1" xfId="0" applyAlignment="1" applyBorder="1" applyFont="1" applyNumberFormat="1">
      <alignment horizontal="center" shrinkToFit="0" vertical="bottom" wrapText="1"/>
    </xf>
    <xf borderId="4" fillId="0" fontId="1" numFmtId="0" xfId="0" applyAlignment="1" applyBorder="1" applyFont="1">
      <alignment readingOrder="0" vertical="bottom"/>
    </xf>
    <xf borderId="2" fillId="0" fontId="11" numFmtId="0" xfId="0" applyAlignment="1" applyBorder="1" applyFont="1">
      <alignment vertical="bottom"/>
    </xf>
    <xf borderId="11" fillId="0" fontId="11" numFmtId="0" xfId="0" applyAlignment="1" applyBorder="1" applyFont="1">
      <alignment vertical="bottom"/>
    </xf>
    <xf borderId="11" fillId="0" fontId="1" numFmtId="0" xfId="0" applyAlignment="1" applyBorder="1" applyFont="1">
      <alignment horizontal="center" vertical="bottom"/>
    </xf>
    <xf borderId="4" fillId="0" fontId="1" numFmtId="0" xfId="0" applyAlignment="1" applyBorder="1" applyFont="1">
      <alignment horizontal="left" vertical="bottom"/>
    </xf>
    <xf borderId="2" fillId="0" fontId="1" numFmtId="0" xfId="0" applyAlignment="1" applyBorder="1" applyFont="1">
      <alignment vertical="bottom"/>
    </xf>
    <xf borderId="0" fillId="0" fontId="52" numFmtId="0" xfId="0" applyAlignment="1" applyFont="1">
      <alignment vertical="bottom"/>
    </xf>
    <xf borderId="10" fillId="0" fontId="10" numFmtId="0" xfId="0" applyAlignment="1" applyBorder="1" applyFont="1">
      <alignment readingOrder="0"/>
    </xf>
    <xf borderId="9" fillId="3" fontId="22" numFmtId="0" xfId="0" applyAlignment="1" applyBorder="1" applyFont="1">
      <alignment horizontal="center" readingOrder="0" vertical="bottom"/>
    </xf>
    <xf borderId="8" fillId="0" fontId="34" numFmtId="0" xfId="0" applyAlignment="1" applyBorder="1" applyFont="1">
      <alignment vertical="bottom"/>
    </xf>
    <xf borderId="9" fillId="0" fontId="10" numFmtId="0" xfId="0" applyAlignment="1" applyBorder="1" applyFont="1">
      <alignment vertical="bottom"/>
    </xf>
    <xf borderId="10" fillId="0" fontId="53" numFmtId="0" xfId="0" applyBorder="1" applyFont="1"/>
    <xf borderId="0" fillId="0" fontId="53" numFmtId="0" xfId="0" applyFont="1"/>
    <xf borderId="5" fillId="0" fontId="1" numFmtId="0" xfId="0" applyAlignment="1" applyBorder="1" applyFont="1">
      <alignment readingOrder="0" vertical="bottom"/>
    </xf>
    <xf borderId="8" fillId="0" fontId="11" numFmtId="0" xfId="0" applyAlignment="1" applyBorder="1" applyFont="1">
      <alignment readingOrder="0" vertical="bottom"/>
    </xf>
    <xf borderId="0" fillId="3" fontId="3" numFmtId="0" xfId="0" applyAlignment="1" applyFont="1">
      <alignment readingOrder="0"/>
    </xf>
    <xf borderId="0" fillId="3" fontId="6" numFmtId="0" xfId="0" applyAlignment="1" applyFont="1">
      <alignment readingOrder="0"/>
    </xf>
    <xf borderId="0" fillId="0" fontId="1"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astasia Lundgren" id="{41808138-3390-4e53-9268-24d0d0ed9a5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1-06-02T07:53:12.00" personId="{41808138-3390-4e53-9268-24d0d0ed9a5a}" id="{11786607-4876-4cfd-a54f-ec93a44402b6}" done="0">
    <x18tc:text xml:space="preserve">VAT-free</x18tc:text>
  </x18tc:threadedComment>
  <x18tc:threadedComment ref="B3" dT="2021-02-10T12:03:26.00" personId="{41808138-3390-4e53-9268-24d0d0ed9a5a}" id="{87a4aef2-820b-4535-8e2e-972ab0928cf9}" done="0">
    <x18tc:text xml:space="preserve">sums here include VAT 24%</x18tc:text>
  </x18tc:threadedComment>
  <x18tc:threadedComment ref="C3" dT="2021-02-10T12:05:37.00" personId="{41808138-3390-4e53-9268-24d0d0ed9a5a}" id="{af45d5ab-a479-4705-ac9b-4ff5dc19c28d}" done="0">
    <x18tc:text xml:space="preserve">VAT-free</x18tc:text>
  </x18tc:threadedComment>
  <x18tc:threadedComment ref="C11" dT="2021-09-02T10:21:30.00" personId="{41808138-3390-4e53-9268-24d0d0ed9a5a}" id="{d5e8c566-8d3d-4698-bc30-e27ce9e821fa}" done="0">
    <x18tc:text xml:space="preserve">plus Immunotools abs, will add the price</x18tc:text>
  </x18tc:threadedComment>
  <x18tc:threadedComment ref="D8" dT="2022-08-12T06:23:46.00" personId="{41808138-3390-4e53-9268-24d0d0ed9a5a}" id="{66bebe9e-3095-4bb6-8e8f-a6b5ec127f37}" done="0">
    <x18tc:text xml:space="preserve">all, basic profiling</x18tc:text>
  </x18tc:threadedComment>
  <x18tc:threadedComment ref="F3" dT="2021-09-28T07:05:12.00" personId="{41808138-3390-4e53-9268-24d0d0ed9a5a}" id="{ebff5b4e-72fd-4ee2-82a3-e5c77093281a}" done="0">
    <x18tc:text xml:space="preserve">VAT we do not need to include</x18tc:text>
  </x18tc:threadedComment>
  <x18tc:threadedComment ref="G3" dT="2021-09-28T07:05:25.00" personId="{41808138-3390-4e53-9268-24d0d0ed9a5a}" id="{d8b96746-cb32-40e9-b120-2252493a84e7}" done="0">
    <x18tc:text xml:space="preserve">VAT we do not need to include</x18tc:text>
  </x18tc:threadedComment>
  <x18tc:threadedComment ref="E3" dT="2021-06-30T11:51:22.00" personId="{41808138-3390-4e53-9268-24d0d0ed9a5a}" id="{a99b69fd-74fa-43ea-bba5-ca7dc2b9c2bb}" done="0">
    <x18tc:text xml:space="preserve">VAT 24% added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8" dT="2021-01-11T08:30:01.00" personId="{41808138-3390-4e53-9268-24d0d0ed9a5a}" id="{17420436-8e30-4a0f-943c-698bae2378e0}" done="0">
    <x18tc:text xml:space="preserve">Internal bill arrived to SAP Talous 11.1.2021. one bill with the next Imaging bill</x18tc:text>
  </x18tc:threadedComment>
  <x18tc:threadedComment ref="A13" dT="2021-01-14T10:27:06.00" personId="{41808138-3390-4e53-9268-24d0d0ed9a5a}" id="{d6bc3091-8b86-4f38-93f1-49ad32263567}" done="0">
    <x18tc:text xml:space="preserve">add to cat numbers file if it is a right product</x18tc:text>
  </x18tc:threadedComment>
  <x18tc:threadedComment ref="I10" dT="2021-01-11T08:37:06.00" personId="{41808138-3390-4e53-9268-24d0d0ed9a5a}" id="{5ddd6669-4ecc-4c44-aaa2-8e00303f06f1}" done="0">
    <x18tc:text xml:space="preserve">The bill arrived to SAP Talous 11.1.2021, same bill as two lower rows.</x18tc:text>
  </x18tc:threadedComment>
  <x18tc:threadedComment ref="G6" dT="2021-01-05T14:06:58.00" personId="{41808138-3390-4e53-9268-24d0d0ed9a5a}" id="{e49115a3-29cc-4a7a-a136-25f1477d5716}" done="0">
    <x18tc:text xml:space="preserve">I asked Merck to send citric acif for free, as we received a notice number CCNS-1000085 from Merck saying that Lot SLCB8580 is possibly substituted with Tricine T5816.</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 dT="2021-02-18T06:46:08.00" personId="{41808138-3390-4e53-9268-24d0d0ed9a5a}" id="{d8c940fb-2b80-4a0c-a4e7-e78d71872843}" done="0">
    <x18tc:text xml:space="preserve">bill arrived to SAP Talous</x18tc:text>
  </x18tc:threadedComment>
  <x18tc:threadedComment ref="I2" dT="2021-02-03T06:40:49.00" personId="{41808138-3390-4e53-9268-24d0d0ed9a5a}" id="{3959b700-1c38-4bb1-8994-7798a108e307}" done="0">
    <x18tc:text xml:space="preserve">date of Eurocard bill approval, NC</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1" dT="2021-03-19T08:53:39.00" personId="{41808138-3390-4e53-9268-24d0d0ed9a5a}" id="{cc18dfb8-fd27-4b2a-ad08-03177e822f84}" done="0">
    <x18tc:text xml:space="preserve">bill arrived to SAP Talous</x18tc:text>
  </x18tc:threadedComment>
  <x18tc:threadedComment ref="K4" dT="2021-03-31T08:01:55.00" personId="{41808138-3390-4e53-9268-24d0d0ed9a5a}" id="{19559c82-b97e-4a72-a2bd-cd896ca49de2}" done="0">
    <x18tc:text xml:space="preserve">date of bill arrival</x18tc:text>
  </x18tc:threadedComment>
  <x18tc:threadedComment ref="I13" dT="2021-03-31T11:40:38.00" personId="{41808138-3390-4e53-9268-24d0d0ed9a5a}" id="{6a59bfd7-624b-4f36-805e-ccde6b83ab61}" done="0">
    <x18tc:text xml:space="preserve">installation date</x18tc:text>
  </x18tc:threadedComment>
  <x18tc:threadedComment ref="I3" dT="2021-03-03T06:58:54.00" personId="{41808138-3390-4e53-9268-24d0d0ed9a5a}" id="{3747c96f-ac64-4d92-86f4-55d84dc81e88}" done="0">
    <x18tc:text xml:space="preserve">bill arrived to SAP Talous</x18tc:text>
  </x18tc:threadedComment>
  <x18tc:threadedComment ref="I2" dT="2021-03-03T06:57:20.00" personId="{41808138-3390-4e53-9268-24d0d0ed9a5a}" id="{68d187f3-342b-4975-b9a9-5ad556758d56}" done="0">
    <x18tc:text xml:space="preserve">bill arrived to SAP Talous</x18tc:text>
  </x18tc:threadedComment>
  <x18tc:threadedComment ref="G5" dT="2021-04-23T12:42:22.00" personId="{41808138-3390-4e53-9268-24d0d0ed9a5a}" id="{7ef271bf-e5ce-4830-bd7a-c2f6d7a8a561}" done="0">
    <x18tc:text xml:space="preserve">bill arrived 23.4.2021</x18tc:text>
  </x18tc:threadedComment>
  <x18tc:threadedComment ref="K10" dT="2021-03-24T09:08:58.00" personId="{41808138-3390-4e53-9268-24d0d0ed9a5a}" id="{54faee7c-30b4-4711-a021-4236936f0647}" done="0">
    <x18tc:text xml:space="preserve">one box arrived with a crack, VWR should send us a free substitute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9" dT="2021-05-20T07:05:43.00" personId="{41808138-3390-4e53-9268-24d0d0ed9a5a}" id="{e4c06cac-c36b-4bc5-810a-9d47c2b7d4e4}" done="0">
    <x18tc:text xml:space="preserve">bill arrived to SAP Talous 20.5.2021</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 dT="2021-06-11T13:49:12.00" personId="{41808138-3390-4e53-9268-24d0d0ed9a5a}" id="{c141b1c1-0f28-434b-8c31-e85f3662bad0}" done="0">
    <x18tc:text xml:space="preserve">Anniina returned it in SAP Talous, we double checked with Kati, it is our bill, paid from AstraZeneca money 11.6.21</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2" dT="2021-06-11T13:52:36.00" personId="{41808138-3390-4e53-9268-24d0d0ed9a5a}" id="{a67fbca7-f5a9-41b0-8e64-7a2bcbd8941a}" done="0">
    <x18tc:text xml:space="preserve">bill arrived to SAP Talous</x18tc:text>
  </x18tc:threadedComment>
  <x18tc:threadedComment ref="M18" dT="2021-07-10T11:31:08.00" personId="{41808138-3390-4e53-9268-24d0d0ed9a5a}" id="{fd2d600d-6023-461c-bbf8-fa0490dbaa75}" done="0">
    <x18tc:text xml:space="preserve">Helsinki University, Sampsa Hautaniemi
H30492 WBS 73044507/Anni Virtanen</x18tc:text>
  </x18tc:threadedComment>
  <x18tc:threadedComment ref="M17" dT="2021-07-10T11:30:14.00" personId="{41808138-3390-4e53-9268-24d0d0ed9a5a}" id="{4911ec02-0ce5-4ea6-bc9f-d7ced1731a1b}" done="0">
    <x18tc:text xml:space="preserve">projektinumero on: 11131 kustannuspaikka 8TO7</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 dT="2021-08-17T11:37:53.00" personId="{41808138-3390-4e53-9268-24d0d0ed9a5a}" id="{953a3e3f-50b3-43cc-ae03-da5376934f93}" done="0">
    <x18tc:text xml:space="preserve">iCAN TA-code 333023; WBS 7300333/H300</x18tc:text>
  </x18tc:threadedComment>
  <x18tc:threadedComment ref="K3" dT="2021-09-16T10:00:17.00" personId="{41808138-3390-4e53-9268-24d0d0ed9a5a}" id="{ec373283-1d60-4bb9-986d-25c1ea0b2537}" done="0">
    <x18tc:text xml:space="preserve">bill arrived to SAP Talous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 dT="2021-09-03T10:09:28.00" personId="{41808138-3390-4e53-9268-24d0d0ed9a5a}" id="{e19c5f90-101c-411f-be46-514ab1661187}" done="0">
    <x18tc:text xml:space="preserve">bill arrived to SAP Talous</x18tc:text>
  </x18tc:threadedComment>
  <x18tc:threadedComment ref="N25" dT="2021-09-30T08:55:40.00" personId="{41808138-3390-4e53-9268-24d0d0ed9a5a}" id="{9cd82cf1-d447-48c3-a5e1-cc0f51e822c1}" done="0">
    <x18tc:text xml:space="preserve">When you order the it-equipments it is possible to give only one wbs number. So you have to correct the wbs numbers when you receive the bill for checking. Send it back to the book keeper and ask she/he to divide the payment in two wbs number. The computer 1009€ to h3040/wbs3040001 and the other equipments to H30492/wbs4706188.</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1-10-28T09:25:40.00" personId="{41808138-3390-4e53-9268-24d0d0ed9a5a}" id="{2e9d4e00-0361-4478-9f72-9c8568e95b21}" done="0">
    <x18tc:text xml:space="preserve">split 50-50 w Kauppi lab, this is AF lab share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thermofisher.com/order/catalog/product/P36930" TargetMode="External"/><Relationship Id="rId5" Type="http://schemas.openxmlformats.org/officeDocument/2006/relationships/hyperlink" Target="https://www.qiagen.com/fi/products/qiashredder/" TargetMode="External"/><Relationship Id="rId6" Type="http://schemas.openxmlformats.org/officeDocument/2006/relationships/hyperlink" Target="https://www.qiagen.com/fi/products/rneasy-plus-micro-and-mini-kits/"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asana.com/" TargetMode="External"/><Relationship Id="rId5" Type="http://schemas.openxmlformats.org/officeDocument/2006/relationships/hyperlink" Target="https://fi.vwr.com/store/product?keyword=631-1136" TargetMode="External"/><Relationship Id="rId6" Type="http://schemas.openxmlformats.org/officeDocument/2006/relationships/drawing" Target="../drawings/drawing4.xml"/><Relationship Id="rId7"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fishersci.fi/shop/products/liquid-filled-total-immersion-thermometer-1/11597273?searchHijack=true&amp;searchTerm=11597273&amp;searchType=RAPID&amp;matchedCatNo=11597273" TargetMode="External"/><Relationship Id="rId5" Type="http://schemas.openxmlformats.org/officeDocument/2006/relationships/hyperlink" Target="https://www.medchemexpress.com/GLPG1690.html" TargetMode="External"/><Relationship Id="rId6" Type="http://schemas.openxmlformats.org/officeDocument/2006/relationships/hyperlink" Target="https://www.medchemexpress.com/amg-perk-44.html" TargetMode="External"/><Relationship Id="rId7" Type="http://schemas.openxmlformats.org/officeDocument/2006/relationships/drawing" Target="../drawings/drawing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verkkokauppa.com/fi/product/62137/nvxvx/Logitech-M190-langaton-hiiri-musta?utm_source=productlink&amp;utm_medium=orderemail&amp;utm_campaign=order_pickupreserved" TargetMode="External"/><Relationship Id="rId10" Type="http://schemas.openxmlformats.org/officeDocument/2006/relationships/hyperlink" Target="https://www.verkkokauppa.com/fi/product/35514/qfqck/Samsung-F24T354-24-naytto?utm_source=productlink&amp;utm_medium=orderemail&amp;utm_campaign=order_pickupreserved" TargetMode="External"/><Relationship Id="rId13" Type="http://schemas.openxmlformats.org/officeDocument/2006/relationships/vmlDrawing" Target="../drawings/vmlDrawing9.vml"/><Relationship Id="rId12" Type="http://schemas.openxmlformats.org/officeDocument/2006/relationships/drawing" Target="../drawings/drawing10.xml"/><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www.pamark.fi/p3-topax-990-desinfioiva-vaahtopesuaine-20kg" TargetMode="External"/><Relationship Id="rId9" Type="http://schemas.openxmlformats.org/officeDocument/2006/relationships/hyperlink" Target="https://www.verkkokauppa.com/fi/product/26861/qgrsx/ErgoWork-X1-jalusta-kannettavalle-tietokoneelle-kokoontaitet?utm_source=productlink&amp;utm_medium=orderemail&amp;utm_campaign=order_pickupreserved" TargetMode="External"/><Relationship Id="rId5" Type="http://schemas.openxmlformats.org/officeDocument/2006/relationships/hyperlink" Target="mailto:marko.jalopaasi@ecolab.com" TargetMode="External"/><Relationship Id="rId6" Type="http://schemas.openxmlformats.org/officeDocument/2006/relationships/hyperlink" Target="https://www.fishersci.fi/shop/products/x1000-coverslip-22x22mm-1-0-13-0-16mm-/17214904?searchHijack=true&amp;searchTerm=17214904&amp;searchType=RAPID&amp;matchedCatNo=17214904" TargetMode="External"/><Relationship Id="rId7" Type="http://schemas.openxmlformats.org/officeDocument/2006/relationships/hyperlink" Target="https://www.fishersci.fi/shop/products/x1000-coverslip-22x50mm-1-0-13-0-16mm-/17274904?searchHijack=true&amp;searchTerm=17274904&amp;searchType=RAPID&amp;matchedCatNo=17274904" TargetMode="External"/><Relationship Id="rId8" Type="http://schemas.openxmlformats.org/officeDocument/2006/relationships/hyperlink" Target="https://www.verkkokauppa.com/fi/product/15806/qkgqs/Seagate-One-Touch-HDD-ulkoinen-kovalevy-4-Tt-musta?utm_source=productlink&amp;utm_medium=orderemail&amp;utm_campaign=order_pickupreserved"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1.xml"/><Relationship Id="rId5"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0" Type="http://schemas.openxmlformats.org/officeDocument/2006/relationships/hyperlink" Target="http://verkkokauppa.com/" TargetMode="External"/><Relationship Id="rId11" Type="http://schemas.openxmlformats.org/officeDocument/2006/relationships/hyperlink" Target="https://www.selleckchem.com" TargetMode="External"/><Relationship Id="rId10" Type="http://schemas.openxmlformats.org/officeDocument/2006/relationships/hyperlink" Target="https://www.selleckchem.com" TargetMode="External"/><Relationship Id="rId21" Type="http://schemas.openxmlformats.org/officeDocument/2006/relationships/drawing" Target="../drawings/drawing12.xml"/><Relationship Id="rId13" Type="http://schemas.openxmlformats.org/officeDocument/2006/relationships/hyperlink" Target="http://verkkokauppa.com/" TargetMode="External"/><Relationship Id="rId12" Type="http://schemas.openxmlformats.org/officeDocument/2006/relationships/hyperlink" Target="http://verkkokauppa.com/" TargetMode="External"/><Relationship Id="rId1" Type="http://schemas.openxmlformats.org/officeDocument/2006/relationships/hyperlink" Target="http://verkkokauppa.com/" TargetMode="External"/><Relationship Id="rId2" Type="http://schemas.openxmlformats.org/officeDocument/2006/relationships/hyperlink" Target="https://www.verkkokauppa.com/fi/product/48443/fbnqg/Jabra-Speak-510-UC-USB-BT-konferenssikaiutin?gclid=Cj0KCQjw8eOLBhC1ARIsAOzx5cHrTeMWfJ-KiVzQLZZI0g9mMs08xZctlqvUlQHNL_jJPb8YLEcXktkaAptREALw_wcB" TargetMode="External"/><Relationship Id="rId3" Type="http://schemas.openxmlformats.org/officeDocument/2006/relationships/hyperlink" Target="http://verkkokauppa.com/" TargetMode="External"/><Relationship Id="rId4" Type="http://schemas.openxmlformats.org/officeDocument/2006/relationships/hyperlink" Target="https://www.verkkokauppa.com/fi/product/15806/qkgqs/Seagate-One-Touch-HDD-ulkoinen-kovalevy-4-Tt-musta?utm_source=productlink&amp;utm_medium=orderemail&amp;utm_campaign=order_pickupreserved" TargetMode="External"/><Relationship Id="rId9" Type="http://schemas.openxmlformats.org/officeDocument/2006/relationships/hyperlink" Target="https://www.bdbiosciences.com/en-us/products/reagents/flow-cytometry-reagents/research-reagents/panels-multicolor-cocktails-ruo/anti-mouse-ig-negative-control-compensation-particles-set.552843" TargetMode="External"/><Relationship Id="rId15" Type="http://schemas.openxmlformats.org/officeDocument/2006/relationships/hyperlink" Target="http://verkkokauppa.com/" TargetMode="External"/><Relationship Id="rId14" Type="http://schemas.openxmlformats.org/officeDocument/2006/relationships/hyperlink" Target="http://verkkokauppa.com/" TargetMode="External"/><Relationship Id="rId17" Type="http://schemas.openxmlformats.org/officeDocument/2006/relationships/hyperlink" Target="http://verkkokauppa.com/" TargetMode="External"/><Relationship Id="rId16" Type="http://schemas.openxmlformats.org/officeDocument/2006/relationships/hyperlink" Target="https://www.verkkokauppa.com/fi/product/4333/qctqn/Apple-iPhone-12-128-Gt-puhelin-valkoinen-MGJC3?utm_source=productlink&amp;utm_medium=orderemail&amp;utm_campaign=undefined" TargetMode="External"/><Relationship Id="rId5" Type="http://schemas.openxmlformats.org/officeDocument/2006/relationships/hyperlink" Target="https://www.scbt.com/p/ncam-antibody-123c3" TargetMode="External"/><Relationship Id="rId19" Type="http://schemas.openxmlformats.org/officeDocument/2006/relationships/hyperlink" Target="http://verkkokauppa.com/" TargetMode="External"/><Relationship Id="rId6" Type="http://schemas.openxmlformats.org/officeDocument/2006/relationships/hyperlink" Target="https://www.scbt.com/p/nkp46-antibody-9e2" TargetMode="External"/><Relationship Id="rId18" Type="http://schemas.openxmlformats.org/officeDocument/2006/relationships/hyperlink" Target="http://verkkokauppa.com/" TargetMode="External"/><Relationship Id="rId7" Type="http://schemas.openxmlformats.org/officeDocument/2006/relationships/hyperlink" Target="https://www.thermofisher.com/order/catalog/product/Q32851" TargetMode="External"/><Relationship Id="rId8" Type="http://schemas.openxmlformats.org/officeDocument/2006/relationships/hyperlink" Target="https://www.thermofisher.com/order/catalog/product/Q32850"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qiagen.com/fi/products/qiaamp-fast-dna-tissue-kit/"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
    <col customWidth="1" min="3" max="3" width="14.25"/>
    <col customWidth="1" min="4" max="5" width="17.25"/>
    <col customWidth="1" min="6" max="6" width="12.13"/>
    <col customWidth="1" min="7" max="11" width="10.0"/>
  </cols>
  <sheetData>
    <row r="1">
      <c r="A1" s="1"/>
      <c r="B1" s="1"/>
      <c r="C1" s="1"/>
      <c r="D1" s="1"/>
      <c r="E1" s="2"/>
      <c r="F1" s="3"/>
    </row>
    <row r="2">
      <c r="A2" s="4"/>
      <c r="B2" s="5" t="s">
        <v>0</v>
      </c>
      <c r="C2" s="6"/>
      <c r="D2" s="6"/>
      <c r="E2" s="7"/>
      <c r="G2" s="8"/>
      <c r="H2" s="9" t="s">
        <v>1</v>
      </c>
    </row>
    <row r="3">
      <c r="A3" s="10" t="s">
        <v>2</v>
      </c>
      <c r="B3" s="11" t="s">
        <v>3</v>
      </c>
      <c r="C3" s="11" t="s">
        <v>4</v>
      </c>
      <c r="D3" s="12" t="s">
        <v>5</v>
      </c>
      <c r="E3" s="13" t="s">
        <v>6</v>
      </c>
      <c r="F3" s="14" t="s">
        <v>7</v>
      </c>
      <c r="G3" s="13" t="s">
        <v>8</v>
      </c>
      <c r="H3" s="15"/>
    </row>
    <row r="4">
      <c r="A4" s="16" t="s">
        <v>9</v>
      </c>
      <c r="B4" s="17">
        <v>2043.5324</v>
      </c>
      <c r="C4" s="18">
        <v>2467.55</v>
      </c>
      <c r="D4" s="1"/>
      <c r="E4" s="19"/>
      <c r="F4" s="20"/>
      <c r="G4" s="20"/>
      <c r="H4" s="21">
        <f t="shared" ref="H4:H16" si="1">SUM(B4:G4)</f>
        <v>4511.0824</v>
      </c>
    </row>
    <row r="5">
      <c r="A5" s="16" t="s">
        <v>10</v>
      </c>
      <c r="B5" s="17">
        <v>1234.0</v>
      </c>
      <c r="C5" s="18">
        <v>517.0</v>
      </c>
      <c r="D5" s="1"/>
      <c r="E5" s="19"/>
      <c r="F5" s="20"/>
      <c r="G5" s="20"/>
      <c r="H5" s="21">
        <f t="shared" si="1"/>
        <v>1751</v>
      </c>
    </row>
    <row r="6">
      <c r="A6" s="16" t="s">
        <v>11</v>
      </c>
      <c r="B6" s="22">
        <v>2256.33</v>
      </c>
      <c r="C6" s="18">
        <v>0.0</v>
      </c>
      <c r="D6" s="1"/>
      <c r="E6" s="19"/>
      <c r="F6" s="20"/>
      <c r="G6" s="20"/>
      <c r="H6" s="21">
        <f t="shared" si="1"/>
        <v>2256.33</v>
      </c>
    </row>
    <row r="7">
      <c r="A7" s="16" t="s">
        <v>12</v>
      </c>
      <c r="B7" s="17">
        <v>1153.7256</v>
      </c>
      <c r="C7" s="18">
        <v>0.0</v>
      </c>
      <c r="D7" s="1"/>
      <c r="E7" s="19"/>
      <c r="F7" s="20"/>
      <c r="G7" s="20"/>
      <c r="H7" s="21">
        <f t="shared" si="1"/>
        <v>1153.7256</v>
      </c>
    </row>
    <row r="8">
      <c r="A8" s="16" t="s">
        <v>13</v>
      </c>
      <c r="B8" s="17">
        <v>849.2</v>
      </c>
      <c r="C8" s="18">
        <v>471.0</v>
      </c>
      <c r="D8" s="16">
        <v>426.29</v>
      </c>
      <c r="E8" s="23"/>
      <c r="F8" s="20"/>
      <c r="G8" s="20"/>
      <c r="H8" s="21">
        <f t="shared" si="1"/>
        <v>1746.49</v>
      </c>
    </row>
    <row r="9">
      <c r="A9" s="16" t="s">
        <v>14</v>
      </c>
      <c r="B9" s="17">
        <v>1066.56</v>
      </c>
      <c r="C9" s="18">
        <v>459.0</v>
      </c>
      <c r="D9" s="1"/>
      <c r="E9" s="23">
        <v>68841.44</v>
      </c>
      <c r="F9" s="20"/>
      <c r="G9" s="20"/>
      <c r="H9" s="21">
        <f t="shared" si="1"/>
        <v>70367</v>
      </c>
    </row>
    <row r="10">
      <c r="A10" s="16" t="s">
        <v>15</v>
      </c>
      <c r="B10" s="21"/>
      <c r="C10" s="18">
        <v>150.0</v>
      </c>
      <c r="D10" s="1"/>
      <c r="E10" s="19"/>
      <c r="F10" s="20"/>
      <c r="G10" s="20"/>
      <c r="H10" s="21">
        <f t="shared" si="1"/>
        <v>150</v>
      </c>
    </row>
    <row r="11">
      <c r="A11" s="16" t="s">
        <v>16</v>
      </c>
      <c r="B11" s="17">
        <v>1141.234</v>
      </c>
      <c r="C11" s="18">
        <v>2173.12</v>
      </c>
      <c r="D11" s="16">
        <v>53.9</v>
      </c>
      <c r="E11" s="19"/>
      <c r="F11" s="24">
        <v>552.33</v>
      </c>
      <c r="G11" s="20"/>
      <c r="H11" s="21">
        <f t="shared" si="1"/>
        <v>3920.584</v>
      </c>
    </row>
    <row r="12">
      <c r="A12" s="16" t="s">
        <v>17</v>
      </c>
      <c r="B12" s="17">
        <v>767.5724</v>
      </c>
      <c r="C12" s="25"/>
      <c r="D12" s="1"/>
      <c r="E12" s="19"/>
      <c r="F12" s="26">
        <v>1789.11</v>
      </c>
      <c r="G12" s="24">
        <v>1055.55</v>
      </c>
      <c r="H12" s="21">
        <f t="shared" si="1"/>
        <v>3612.2324</v>
      </c>
    </row>
    <row r="13">
      <c r="A13" s="16" t="s">
        <v>18</v>
      </c>
      <c r="B13" s="17">
        <v>1026.0</v>
      </c>
      <c r="C13" s="18">
        <v>9.0</v>
      </c>
      <c r="D13" s="1"/>
      <c r="E13" s="19"/>
      <c r="F13" s="24">
        <v>126.0</v>
      </c>
      <c r="G13" s="20"/>
      <c r="H13" s="21">
        <f t="shared" si="1"/>
        <v>1161</v>
      </c>
    </row>
    <row r="14">
      <c r="A14" s="16" t="s">
        <v>19</v>
      </c>
      <c r="B14" s="17">
        <v>3828.23</v>
      </c>
      <c r="C14" s="18">
        <v>1050.0</v>
      </c>
      <c r="D14" s="16">
        <v>208.71</v>
      </c>
      <c r="E14" s="19"/>
      <c r="F14" s="20"/>
      <c r="G14" s="20"/>
      <c r="H14" s="21">
        <f t="shared" si="1"/>
        <v>5086.94</v>
      </c>
    </row>
    <row r="15">
      <c r="A15" s="16" t="s">
        <v>20</v>
      </c>
      <c r="B15" s="17">
        <v>422.1</v>
      </c>
      <c r="C15" s="18">
        <v>1062.03</v>
      </c>
      <c r="D15" s="1"/>
      <c r="E15" s="23">
        <v>31.17</v>
      </c>
      <c r="F15" s="20"/>
      <c r="G15" s="20"/>
      <c r="H15" s="21">
        <f t="shared" si="1"/>
        <v>1515.3</v>
      </c>
    </row>
    <row r="16">
      <c r="A16" s="27" t="s">
        <v>1</v>
      </c>
      <c r="B16" s="28">
        <f>SUM(B4:B15)</f>
        <v>15788.4844</v>
      </c>
      <c r="C16" s="29">
        <f> SUM(C4:C15)</f>
        <v>8358.7</v>
      </c>
      <c r="D16" s="2">
        <f t="shared" ref="D16:G16" si="2">SUM(D4:D15)</f>
        <v>688.9</v>
      </c>
      <c r="E16" s="30">
        <f t="shared" si="2"/>
        <v>68872.61</v>
      </c>
      <c r="F16" s="31">
        <f t="shared" si="2"/>
        <v>2467.44</v>
      </c>
      <c r="G16" s="31">
        <f t="shared" si="2"/>
        <v>1055.55</v>
      </c>
      <c r="H16" s="32">
        <f t="shared" si="1"/>
        <v>97231.6844</v>
      </c>
      <c r="I16" s="33"/>
      <c r="J16" s="33"/>
      <c r="K16" s="33"/>
      <c r="L16" s="33"/>
      <c r="M16" s="33"/>
      <c r="N16" s="33"/>
      <c r="O16" s="33"/>
      <c r="P16" s="33"/>
      <c r="Q16" s="33"/>
      <c r="R16" s="33"/>
      <c r="S16" s="33"/>
      <c r="T16" s="33"/>
      <c r="U16" s="33"/>
      <c r="V16" s="33"/>
      <c r="W16" s="33"/>
      <c r="X16" s="33"/>
      <c r="Y16" s="33"/>
      <c r="Z16" s="33"/>
    </row>
    <row r="18">
      <c r="A18" s="34"/>
      <c r="B18" s="35"/>
      <c r="C18" s="35"/>
      <c r="D18" s="35"/>
      <c r="E18" s="35"/>
      <c r="F18" s="35"/>
      <c r="G18" s="35"/>
    </row>
    <row r="19">
      <c r="A19" s="36"/>
      <c r="B19" s="33"/>
      <c r="C19" s="33"/>
      <c r="D19" s="33"/>
      <c r="E19" s="33"/>
      <c r="F19" s="33"/>
      <c r="G19" s="33"/>
    </row>
    <row r="20">
      <c r="A20" s="37"/>
    </row>
    <row r="21">
      <c r="A21" s="37"/>
    </row>
    <row r="30" ht="1.5" customHeight="1"/>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13"/>
    <col customWidth="1" min="2" max="2" width="18.88"/>
    <col customWidth="1" min="3" max="3" width="17.13"/>
    <col customWidth="1" min="5" max="5" width="35.25"/>
    <col customWidth="1" min="6" max="6" width="21.63"/>
    <col customWidth="1" min="9" max="9" width="16.75"/>
    <col customWidth="1" min="11" max="11" width="28.38"/>
    <col customWidth="1" min="13" max="14" width="20.0"/>
    <col customWidth="1" min="15" max="15" width="64.88"/>
  </cols>
  <sheetData>
    <row r="1">
      <c r="A1" s="38" t="s">
        <v>21</v>
      </c>
      <c r="B1" s="39" t="s">
        <v>22</v>
      </c>
      <c r="C1" s="40" t="s">
        <v>23</v>
      </c>
      <c r="D1" s="39" t="s">
        <v>24</v>
      </c>
      <c r="E1" s="40" t="s">
        <v>25</v>
      </c>
      <c r="F1" s="39" t="s">
        <v>26</v>
      </c>
      <c r="G1" s="40" t="s">
        <v>27</v>
      </c>
      <c r="H1" s="41" t="s">
        <v>28</v>
      </c>
      <c r="I1" s="42" t="s">
        <v>29</v>
      </c>
      <c r="J1" s="43" t="s">
        <v>30</v>
      </c>
      <c r="K1" s="42" t="s">
        <v>31</v>
      </c>
      <c r="L1" s="39" t="s">
        <v>30</v>
      </c>
      <c r="M1" s="40" t="s">
        <v>32</v>
      </c>
      <c r="N1" s="39" t="s">
        <v>33</v>
      </c>
      <c r="O1" s="40" t="s">
        <v>34</v>
      </c>
      <c r="P1" s="44" t="s">
        <v>35</v>
      </c>
      <c r="Q1" s="45">
        <f>SUM(H2:H27)</f>
        <v>4235.58</v>
      </c>
    </row>
    <row r="2">
      <c r="A2" s="46" t="s">
        <v>36</v>
      </c>
      <c r="B2" s="47"/>
      <c r="C2" s="48"/>
      <c r="D2" s="49">
        <v>1.0</v>
      </c>
      <c r="E2" s="49" t="s">
        <v>37</v>
      </c>
      <c r="F2" s="49" t="s">
        <v>37</v>
      </c>
      <c r="G2" s="50">
        <v>174.2</v>
      </c>
      <c r="H2" s="51">
        <f t="shared" ref="H2:H38" si="1">G2*D2</f>
        <v>174.2</v>
      </c>
      <c r="I2" s="48" t="s">
        <v>38</v>
      </c>
      <c r="J2" s="49" t="s">
        <v>39</v>
      </c>
      <c r="K2" s="52" t="s">
        <v>40</v>
      </c>
      <c r="L2" s="53" t="s">
        <v>39</v>
      </c>
      <c r="M2" s="54" t="s">
        <v>41</v>
      </c>
      <c r="N2" s="55"/>
      <c r="O2" s="56"/>
      <c r="P2" s="19"/>
      <c r="Q2" s="1"/>
      <c r="R2" s="1"/>
      <c r="S2" s="1"/>
      <c r="T2" s="1"/>
      <c r="U2" s="1"/>
      <c r="V2" s="1"/>
      <c r="W2" s="1"/>
      <c r="X2" s="1"/>
      <c r="Y2" s="1"/>
      <c r="Z2" s="1"/>
    </row>
    <row r="3">
      <c r="A3" s="57" t="s">
        <v>42</v>
      </c>
      <c r="B3" s="58" t="s">
        <v>43</v>
      </c>
      <c r="C3" s="59">
        <v>1.0</v>
      </c>
      <c r="D3" s="53">
        <v>4.0</v>
      </c>
      <c r="E3" s="60" t="s">
        <v>44</v>
      </c>
      <c r="F3" s="59" t="s">
        <v>45</v>
      </c>
      <c r="G3" s="47">
        <v>13.55</v>
      </c>
      <c r="H3" s="51">
        <f t="shared" si="1"/>
        <v>54.2</v>
      </c>
      <c r="I3" s="48" t="s">
        <v>46</v>
      </c>
      <c r="J3" s="49" t="s">
        <v>39</v>
      </c>
      <c r="K3" s="52" t="s">
        <v>47</v>
      </c>
      <c r="L3" s="53" t="s">
        <v>39</v>
      </c>
      <c r="M3" s="61" t="s">
        <v>3</v>
      </c>
      <c r="N3" s="62"/>
      <c r="O3" s="56"/>
      <c r="P3" s="19"/>
      <c r="Q3" s="1"/>
      <c r="R3" s="1"/>
      <c r="S3" s="1"/>
      <c r="T3" s="1"/>
      <c r="U3" s="1"/>
      <c r="V3" s="1"/>
      <c r="W3" s="1"/>
      <c r="X3" s="1"/>
      <c r="Y3" s="1"/>
      <c r="Z3" s="1"/>
    </row>
    <row r="4">
      <c r="A4" s="63" t="s">
        <v>48</v>
      </c>
      <c r="B4" s="64" t="s">
        <v>49</v>
      </c>
      <c r="C4" s="65" t="s">
        <v>50</v>
      </c>
      <c r="D4" s="66">
        <v>1.0</v>
      </c>
      <c r="E4" s="67" t="s">
        <v>51</v>
      </c>
      <c r="F4" s="67" t="s">
        <v>51</v>
      </c>
      <c r="G4" s="68">
        <v>158.0</v>
      </c>
      <c r="H4" s="69">
        <f t="shared" si="1"/>
        <v>158</v>
      </c>
      <c r="I4" s="48" t="s">
        <v>46</v>
      </c>
      <c r="J4" s="49" t="s">
        <v>39</v>
      </c>
      <c r="K4" s="52" t="s">
        <v>52</v>
      </c>
      <c r="L4" s="53" t="s">
        <v>39</v>
      </c>
      <c r="M4" s="61" t="s">
        <v>3</v>
      </c>
      <c r="N4" s="62" t="s">
        <v>53</v>
      </c>
      <c r="O4" s="70"/>
      <c r="P4" s="20"/>
    </row>
    <row r="5">
      <c r="A5" s="16" t="s">
        <v>54</v>
      </c>
      <c r="B5" s="71" t="s">
        <v>55</v>
      </c>
      <c r="C5" s="72" t="s">
        <v>56</v>
      </c>
      <c r="D5" s="66">
        <v>1.0</v>
      </c>
      <c r="E5" s="67" t="s">
        <v>51</v>
      </c>
      <c r="F5" s="67" t="s">
        <v>51</v>
      </c>
      <c r="G5" s="73">
        <v>112.0</v>
      </c>
      <c r="H5" s="74">
        <f t="shared" si="1"/>
        <v>112</v>
      </c>
      <c r="I5" s="48" t="s">
        <v>46</v>
      </c>
      <c r="J5" s="49" t="s">
        <v>39</v>
      </c>
      <c r="K5" s="52" t="s">
        <v>52</v>
      </c>
      <c r="L5" s="53" t="s">
        <v>39</v>
      </c>
      <c r="M5" s="61" t="s">
        <v>3</v>
      </c>
      <c r="N5" s="62" t="s">
        <v>57</v>
      </c>
      <c r="O5" s="70"/>
      <c r="P5" s="20"/>
    </row>
    <row r="6">
      <c r="A6" s="75" t="s">
        <v>58</v>
      </c>
      <c r="B6" s="67" t="s">
        <v>59</v>
      </c>
      <c r="C6" s="76" t="s">
        <v>60</v>
      </c>
      <c r="D6" s="77">
        <v>1.0</v>
      </c>
      <c r="E6" s="78" t="s">
        <v>61</v>
      </c>
      <c r="F6" s="79" t="s">
        <v>61</v>
      </c>
      <c r="G6" s="80"/>
      <c r="H6" s="74">
        <f t="shared" si="1"/>
        <v>0</v>
      </c>
      <c r="I6" s="48" t="s">
        <v>46</v>
      </c>
      <c r="J6" s="49" t="s">
        <v>39</v>
      </c>
      <c r="K6" s="81" t="s">
        <v>62</v>
      </c>
      <c r="L6" s="53" t="s">
        <v>39</v>
      </c>
      <c r="M6" s="46" t="s">
        <v>63</v>
      </c>
      <c r="N6" s="55"/>
      <c r="O6" s="56"/>
      <c r="P6" s="20"/>
    </row>
    <row r="7">
      <c r="A7" s="82" t="s">
        <v>64</v>
      </c>
      <c r="B7" s="83">
        <v>3.0123328E7</v>
      </c>
      <c r="C7" s="84">
        <v>1000.0</v>
      </c>
      <c r="D7" s="77">
        <v>1.0</v>
      </c>
      <c r="E7" s="85" t="s">
        <v>65</v>
      </c>
      <c r="F7" s="85" t="s">
        <v>66</v>
      </c>
      <c r="G7" s="86">
        <v>46.6</v>
      </c>
      <c r="H7" s="87">
        <f t="shared" si="1"/>
        <v>46.6</v>
      </c>
      <c r="I7" s="48" t="s">
        <v>67</v>
      </c>
      <c r="J7" s="49" t="s">
        <v>39</v>
      </c>
      <c r="K7" s="52" t="s">
        <v>68</v>
      </c>
      <c r="L7" s="53" t="s">
        <v>39</v>
      </c>
      <c r="M7" s="61" t="s">
        <v>3</v>
      </c>
      <c r="N7" s="55"/>
      <c r="O7" s="88"/>
      <c r="P7" s="19"/>
      <c r="Q7" s="1"/>
      <c r="R7" s="1"/>
      <c r="S7" s="1"/>
      <c r="T7" s="1"/>
      <c r="U7" s="1"/>
      <c r="V7" s="1"/>
      <c r="W7" s="1"/>
      <c r="X7" s="1"/>
      <c r="Y7" s="1"/>
      <c r="Z7" s="1"/>
    </row>
    <row r="8">
      <c r="A8" s="89" t="s">
        <v>69</v>
      </c>
      <c r="B8" s="90"/>
      <c r="C8" s="91"/>
      <c r="D8" s="77">
        <v>1.0</v>
      </c>
      <c r="E8" s="17" t="s">
        <v>70</v>
      </c>
      <c r="F8" s="91"/>
      <c r="G8" s="92">
        <v>726.0</v>
      </c>
      <c r="H8" s="74">
        <f t="shared" si="1"/>
        <v>726</v>
      </c>
      <c r="I8" s="48" t="s">
        <v>71</v>
      </c>
      <c r="J8" s="49" t="s">
        <v>39</v>
      </c>
      <c r="K8" s="48" t="s">
        <v>71</v>
      </c>
      <c r="L8" s="93" t="s">
        <v>39</v>
      </c>
      <c r="M8" s="94" t="s">
        <v>41</v>
      </c>
      <c r="N8" s="46"/>
      <c r="O8" s="56"/>
      <c r="P8" s="19"/>
      <c r="Q8" s="1"/>
      <c r="R8" s="1"/>
      <c r="S8" s="1"/>
      <c r="T8" s="1"/>
      <c r="U8" s="1"/>
      <c r="V8" s="1"/>
      <c r="W8" s="1"/>
      <c r="X8" s="1"/>
      <c r="Y8" s="1"/>
      <c r="Z8" s="1"/>
    </row>
    <row r="9">
      <c r="A9" s="95" t="s">
        <v>72</v>
      </c>
      <c r="B9" s="96"/>
      <c r="C9" s="48"/>
      <c r="D9" s="77">
        <v>1.0</v>
      </c>
      <c r="E9" s="17" t="s">
        <v>70</v>
      </c>
      <c r="F9" s="91"/>
      <c r="G9" s="95">
        <v>168.0</v>
      </c>
      <c r="H9" s="74">
        <f t="shared" si="1"/>
        <v>168</v>
      </c>
      <c r="I9" s="48" t="s">
        <v>71</v>
      </c>
      <c r="J9" s="49" t="s">
        <v>39</v>
      </c>
      <c r="K9" s="48" t="s">
        <v>71</v>
      </c>
      <c r="L9" s="93" t="s">
        <v>39</v>
      </c>
      <c r="M9" s="94" t="s">
        <v>41</v>
      </c>
      <c r="N9" s="56"/>
      <c r="O9" s="56"/>
      <c r="P9" s="19"/>
      <c r="Q9" s="1"/>
      <c r="R9" s="1"/>
      <c r="S9" s="1"/>
      <c r="T9" s="1"/>
      <c r="U9" s="1"/>
      <c r="V9" s="1"/>
      <c r="W9" s="1"/>
      <c r="X9" s="1"/>
      <c r="Y9" s="1"/>
      <c r="Z9" s="1"/>
    </row>
    <row r="10">
      <c r="A10" s="97" t="s">
        <v>73</v>
      </c>
      <c r="B10" s="96"/>
      <c r="C10" s="48"/>
      <c r="D10" s="77">
        <v>1.0</v>
      </c>
      <c r="E10" s="17" t="s">
        <v>70</v>
      </c>
      <c r="F10" s="98"/>
      <c r="G10" s="99">
        <v>495.0</v>
      </c>
      <c r="H10" s="74">
        <f t="shared" si="1"/>
        <v>495</v>
      </c>
      <c r="I10" s="48" t="s">
        <v>71</v>
      </c>
      <c r="J10" s="49" t="s">
        <v>39</v>
      </c>
      <c r="K10" s="48" t="s">
        <v>71</v>
      </c>
      <c r="L10" s="49" t="s">
        <v>39</v>
      </c>
      <c r="M10" s="94" t="s">
        <v>41</v>
      </c>
      <c r="N10" s="100"/>
      <c r="O10" s="62"/>
      <c r="P10" s="1"/>
      <c r="Q10" s="1"/>
      <c r="R10" s="1"/>
      <c r="S10" s="1"/>
      <c r="T10" s="1"/>
      <c r="U10" s="1"/>
      <c r="V10" s="1"/>
      <c r="W10" s="1"/>
      <c r="X10" s="1"/>
      <c r="Y10" s="1"/>
      <c r="Z10" s="1"/>
    </row>
    <row r="11">
      <c r="A11" s="101" t="s">
        <v>72</v>
      </c>
      <c r="B11" s="96"/>
      <c r="C11" s="48"/>
      <c r="D11" s="77">
        <v>1.0</v>
      </c>
      <c r="E11" s="17" t="s">
        <v>70</v>
      </c>
      <c r="F11" s="98"/>
      <c r="G11" s="101">
        <v>112.0</v>
      </c>
      <c r="H11" s="74">
        <f t="shared" si="1"/>
        <v>112</v>
      </c>
      <c r="I11" s="48" t="s">
        <v>71</v>
      </c>
      <c r="J11" s="49" t="s">
        <v>39</v>
      </c>
      <c r="K11" s="48" t="s">
        <v>71</v>
      </c>
      <c r="L11" s="49" t="s">
        <v>39</v>
      </c>
      <c r="M11" s="94" t="s">
        <v>41</v>
      </c>
      <c r="N11" s="100"/>
      <c r="O11" s="55"/>
      <c r="P11" s="1"/>
      <c r="Q11" s="1"/>
      <c r="R11" s="1"/>
      <c r="S11" s="1"/>
      <c r="T11" s="1"/>
      <c r="U11" s="1"/>
      <c r="V11" s="1"/>
      <c r="W11" s="1"/>
      <c r="X11" s="1"/>
      <c r="Y11" s="1"/>
      <c r="Z11" s="1"/>
    </row>
    <row r="12">
      <c r="A12" s="102" t="s">
        <v>74</v>
      </c>
      <c r="B12" s="62"/>
      <c r="C12" s="48"/>
      <c r="D12" s="77">
        <v>1.0</v>
      </c>
      <c r="E12" s="17" t="s">
        <v>70</v>
      </c>
      <c r="F12" s="98"/>
      <c r="G12" s="103">
        <v>35.0</v>
      </c>
      <c r="H12" s="74">
        <f t="shared" si="1"/>
        <v>35</v>
      </c>
      <c r="I12" s="48" t="s">
        <v>71</v>
      </c>
      <c r="J12" s="49" t="s">
        <v>39</v>
      </c>
      <c r="K12" s="48" t="s">
        <v>71</v>
      </c>
      <c r="L12" s="49" t="s">
        <v>39</v>
      </c>
      <c r="M12" s="94" t="s">
        <v>41</v>
      </c>
      <c r="N12" s="100"/>
      <c r="O12" s="55"/>
      <c r="P12" s="1"/>
      <c r="Q12" s="1"/>
      <c r="R12" s="1"/>
      <c r="S12" s="1"/>
      <c r="T12" s="1"/>
      <c r="U12" s="1"/>
      <c r="V12" s="1"/>
      <c r="W12" s="1"/>
      <c r="X12" s="1"/>
      <c r="Y12" s="1"/>
      <c r="Z12" s="1"/>
    </row>
    <row r="13">
      <c r="A13" s="104" t="s">
        <v>75</v>
      </c>
      <c r="B13" s="105" t="s">
        <v>76</v>
      </c>
      <c r="C13" s="106">
        <v>10.0</v>
      </c>
      <c r="D13" s="107">
        <v>1.0</v>
      </c>
      <c r="E13" s="106" t="s">
        <v>77</v>
      </c>
      <c r="F13" s="106" t="s">
        <v>77</v>
      </c>
      <c r="G13" s="108">
        <v>47.7</v>
      </c>
      <c r="H13" s="109">
        <f t="shared" si="1"/>
        <v>47.7</v>
      </c>
      <c r="I13" s="110" t="s">
        <v>78</v>
      </c>
      <c r="J13" s="110"/>
      <c r="K13" s="106"/>
      <c r="L13" s="107"/>
      <c r="M13" s="111" t="s">
        <v>3</v>
      </c>
      <c r="N13" s="112"/>
      <c r="O13" s="113"/>
      <c r="P13" s="114"/>
      <c r="Q13" s="114"/>
      <c r="R13" s="114"/>
      <c r="S13" s="114"/>
      <c r="T13" s="114"/>
      <c r="U13" s="114"/>
      <c r="V13" s="114"/>
      <c r="W13" s="114"/>
      <c r="X13" s="114"/>
      <c r="Y13" s="114"/>
      <c r="Z13" s="114"/>
    </row>
    <row r="14" ht="15.75" customHeight="1">
      <c r="A14" s="115" t="s">
        <v>79</v>
      </c>
      <c r="B14" s="60" t="s">
        <v>80</v>
      </c>
      <c r="C14" s="116" t="s">
        <v>81</v>
      </c>
      <c r="D14" s="49">
        <v>4.0</v>
      </c>
      <c r="E14" s="116" t="s">
        <v>82</v>
      </c>
      <c r="F14" s="91" t="s">
        <v>82</v>
      </c>
      <c r="G14" s="117">
        <v>2.98</v>
      </c>
      <c r="H14" s="74">
        <f t="shared" si="1"/>
        <v>11.92</v>
      </c>
      <c r="I14" s="49" t="s">
        <v>83</v>
      </c>
      <c r="J14" s="49" t="s">
        <v>39</v>
      </c>
      <c r="K14" s="52" t="s">
        <v>84</v>
      </c>
      <c r="L14" s="49" t="s">
        <v>39</v>
      </c>
      <c r="M14" s="18" t="s">
        <v>85</v>
      </c>
      <c r="N14" s="62"/>
      <c r="O14" s="56"/>
      <c r="P14" s="19"/>
      <c r="Q14" s="1"/>
      <c r="R14" s="1"/>
      <c r="S14" s="1"/>
      <c r="T14" s="1"/>
      <c r="U14" s="1"/>
      <c r="V14" s="1"/>
      <c r="W14" s="1"/>
      <c r="X14" s="1"/>
      <c r="Y14" s="1"/>
      <c r="Z14" s="1"/>
    </row>
    <row r="15" ht="15.0" customHeight="1">
      <c r="A15" s="118" t="s">
        <v>86</v>
      </c>
      <c r="B15" s="83">
        <v>1.3110132E7</v>
      </c>
      <c r="C15" s="116" t="s">
        <v>87</v>
      </c>
      <c r="D15" s="49">
        <v>4.0</v>
      </c>
      <c r="E15" s="116" t="s">
        <v>82</v>
      </c>
      <c r="F15" s="83" t="s">
        <v>82</v>
      </c>
      <c r="G15" s="119">
        <v>15.1</v>
      </c>
      <c r="H15" s="74">
        <f t="shared" si="1"/>
        <v>60.4</v>
      </c>
      <c r="I15" s="49" t="s">
        <v>83</v>
      </c>
      <c r="J15" s="49" t="s">
        <v>39</v>
      </c>
      <c r="K15" s="120" t="s">
        <v>88</v>
      </c>
      <c r="L15" s="49" t="s">
        <v>39</v>
      </c>
      <c r="M15" s="18" t="s">
        <v>85</v>
      </c>
      <c r="N15" s="62" t="s">
        <v>89</v>
      </c>
      <c r="O15" s="56"/>
      <c r="P15" s="19"/>
      <c r="Q15" s="1"/>
      <c r="R15" s="1"/>
      <c r="S15" s="1"/>
      <c r="T15" s="1"/>
      <c r="U15" s="1"/>
      <c r="V15" s="1"/>
      <c r="W15" s="1"/>
      <c r="X15" s="1"/>
      <c r="Y15" s="1"/>
      <c r="Z15" s="1"/>
    </row>
    <row r="16">
      <c r="A16" s="121" t="s">
        <v>90</v>
      </c>
      <c r="B16" s="81" t="s">
        <v>91</v>
      </c>
      <c r="C16" s="81">
        <v>1.0</v>
      </c>
      <c r="D16" s="81">
        <v>2.0</v>
      </c>
      <c r="E16" s="81" t="s">
        <v>92</v>
      </c>
      <c r="F16" s="122" t="s">
        <v>77</v>
      </c>
      <c r="G16" s="123">
        <v>6.0</v>
      </c>
      <c r="H16" s="51">
        <f t="shared" si="1"/>
        <v>12</v>
      </c>
      <c r="I16" s="48" t="s">
        <v>93</v>
      </c>
      <c r="J16" s="49" t="s">
        <v>39</v>
      </c>
      <c r="K16" s="52" t="s">
        <v>94</v>
      </c>
      <c r="L16" s="49" t="s">
        <v>39</v>
      </c>
      <c r="M16" s="61" t="s">
        <v>3</v>
      </c>
      <c r="N16" s="62"/>
      <c r="O16" s="56"/>
      <c r="P16" s="19"/>
      <c r="Q16" s="1"/>
      <c r="R16" s="1"/>
      <c r="S16" s="1"/>
      <c r="T16" s="1"/>
      <c r="U16" s="1"/>
      <c r="V16" s="1"/>
      <c r="W16" s="1"/>
      <c r="X16" s="1"/>
      <c r="Y16" s="1"/>
      <c r="Z16" s="1"/>
    </row>
    <row r="17">
      <c r="A17" s="124" t="s">
        <v>95</v>
      </c>
      <c r="B17" s="125" t="s">
        <v>96</v>
      </c>
      <c r="C17" s="59">
        <v>1.0</v>
      </c>
      <c r="D17" s="53">
        <v>10.0</v>
      </c>
      <c r="E17" s="126" t="s">
        <v>97</v>
      </c>
      <c r="F17" s="125" t="s">
        <v>45</v>
      </c>
      <c r="G17" s="127">
        <v>12.14</v>
      </c>
      <c r="H17" s="128">
        <f t="shared" si="1"/>
        <v>121.4</v>
      </c>
      <c r="I17" s="48" t="s">
        <v>93</v>
      </c>
      <c r="J17" s="49" t="s">
        <v>39</v>
      </c>
      <c r="K17" s="52" t="s">
        <v>98</v>
      </c>
      <c r="L17" s="49" t="s">
        <v>39</v>
      </c>
      <c r="M17" s="61" t="s">
        <v>3</v>
      </c>
      <c r="N17" s="62"/>
      <c r="O17" s="56"/>
      <c r="P17" s="19"/>
      <c r="Q17" s="1"/>
      <c r="R17" s="1"/>
      <c r="S17" s="1"/>
      <c r="T17" s="1"/>
      <c r="U17" s="1"/>
      <c r="V17" s="1"/>
      <c r="W17" s="1"/>
      <c r="X17" s="1"/>
      <c r="Y17" s="1"/>
      <c r="Z17" s="1"/>
    </row>
    <row r="18">
      <c r="A18" s="129" t="s">
        <v>99</v>
      </c>
      <c r="B18" s="91" t="s">
        <v>100</v>
      </c>
      <c r="C18" s="59">
        <v>1.0</v>
      </c>
      <c r="D18" s="49">
        <v>1.0</v>
      </c>
      <c r="E18" s="91" t="s">
        <v>101</v>
      </c>
      <c r="F18" s="91" t="s">
        <v>101</v>
      </c>
      <c r="G18" s="130">
        <v>252.45</v>
      </c>
      <c r="H18" s="51">
        <f t="shared" si="1"/>
        <v>252.45</v>
      </c>
      <c r="I18" s="48" t="s">
        <v>93</v>
      </c>
      <c r="J18" s="76" t="s">
        <v>39</v>
      </c>
      <c r="K18" s="52" t="s">
        <v>102</v>
      </c>
      <c r="L18" s="53" t="s">
        <v>39</v>
      </c>
      <c r="M18" s="131" t="s">
        <v>41</v>
      </c>
      <c r="N18" s="132"/>
      <c r="O18" s="133" t="s">
        <v>103</v>
      </c>
      <c r="P18" s="134"/>
      <c r="Q18" s="135"/>
      <c r="R18" s="135"/>
      <c r="S18" s="135"/>
      <c r="T18" s="135"/>
      <c r="U18" s="135"/>
      <c r="V18" s="135"/>
      <c r="W18" s="135"/>
      <c r="X18" s="135"/>
      <c r="Y18" s="135"/>
      <c r="Z18" s="135"/>
    </row>
    <row r="19">
      <c r="A19" s="129" t="s">
        <v>104</v>
      </c>
      <c r="B19" s="83" t="s">
        <v>105</v>
      </c>
      <c r="C19" s="59">
        <v>1.0</v>
      </c>
      <c r="D19" s="49">
        <v>1.0</v>
      </c>
      <c r="E19" s="83" t="s">
        <v>101</v>
      </c>
      <c r="F19" s="83" t="s">
        <v>101</v>
      </c>
      <c r="G19" s="130">
        <v>252.45</v>
      </c>
      <c r="H19" s="51">
        <f t="shared" si="1"/>
        <v>252.45</v>
      </c>
      <c r="I19" s="48" t="s">
        <v>93</v>
      </c>
      <c r="J19" s="76" t="s">
        <v>39</v>
      </c>
      <c r="K19" s="52" t="s">
        <v>102</v>
      </c>
      <c r="L19" s="53" t="s">
        <v>39</v>
      </c>
      <c r="M19" s="131" t="s">
        <v>41</v>
      </c>
      <c r="N19" s="55"/>
      <c r="O19" s="46" t="s">
        <v>106</v>
      </c>
      <c r="P19" s="19"/>
      <c r="Q19" s="1"/>
      <c r="R19" s="1"/>
      <c r="S19" s="1"/>
      <c r="T19" s="1"/>
      <c r="U19" s="1"/>
      <c r="V19" s="1"/>
      <c r="W19" s="1"/>
      <c r="X19" s="1"/>
      <c r="Y19" s="1"/>
      <c r="Z19" s="1"/>
    </row>
    <row r="20">
      <c r="A20" s="129" t="s">
        <v>107</v>
      </c>
      <c r="B20" s="83" t="s">
        <v>108</v>
      </c>
      <c r="C20" s="59">
        <v>1.0</v>
      </c>
      <c r="D20" s="49">
        <v>1.0</v>
      </c>
      <c r="E20" s="83" t="s">
        <v>101</v>
      </c>
      <c r="F20" s="83" t="s">
        <v>101</v>
      </c>
      <c r="G20" s="130">
        <v>252.45</v>
      </c>
      <c r="H20" s="51">
        <f t="shared" si="1"/>
        <v>252.45</v>
      </c>
      <c r="I20" s="48" t="s">
        <v>93</v>
      </c>
      <c r="J20" s="76" t="s">
        <v>39</v>
      </c>
      <c r="K20" s="52" t="s">
        <v>102</v>
      </c>
      <c r="L20" s="53" t="s">
        <v>39</v>
      </c>
      <c r="M20" s="131" t="s">
        <v>41</v>
      </c>
      <c r="N20" s="55"/>
      <c r="O20" s="136"/>
      <c r="P20" s="19"/>
      <c r="Q20" s="1"/>
      <c r="R20" s="1"/>
      <c r="S20" s="1"/>
      <c r="T20" s="1"/>
      <c r="U20" s="1"/>
      <c r="V20" s="1"/>
      <c r="W20" s="1"/>
      <c r="X20" s="1"/>
      <c r="Y20" s="1"/>
      <c r="Z20" s="1"/>
    </row>
    <row r="21">
      <c r="A21" s="16" t="s">
        <v>109</v>
      </c>
      <c r="B21" s="71" t="s">
        <v>110</v>
      </c>
      <c r="C21" s="48" t="s">
        <v>111</v>
      </c>
      <c r="D21" s="49">
        <v>1.0</v>
      </c>
      <c r="E21" s="48" t="s">
        <v>112</v>
      </c>
      <c r="F21" s="49" t="s">
        <v>113</v>
      </c>
      <c r="G21" s="137">
        <v>253.0</v>
      </c>
      <c r="H21" s="51">
        <f t="shared" si="1"/>
        <v>253</v>
      </c>
      <c r="I21" s="48" t="s">
        <v>114</v>
      </c>
      <c r="J21" s="76" t="s">
        <v>39</v>
      </c>
      <c r="K21" s="52" t="s">
        <v>102</v>
      </c>
      <c r="L21" s="53" t="s">
        <v>39</v>
      </c>
      <c r="M21" s="61" t="s">
        <v>3</v>
      </c>
      <c r="N21" s="62"/>
      <c r="O21" s="138" t="s">
        <v>115</v>
      </c>
      <c r="P21" s="19"/>
      <c r="Q21" s="1"/>
      <c r="R21" s="1"/>
      <c r="S21" s="1"/>
      <c r="T21" s="1"/>
      <c r="U21" s="1"/>
      <c r="V21" s="1"/>
      <c r="W21" s="1"/>
      <c r="X21" s="1"/>
      <c r="Y21" s="1"/>
      <c r="Z21" s="1"/>
    </row>
    <row r="22">
      <c r="A22" s="139" t="s">
        <v>116</v>
      </c>
      <c r="B22" s="83" t="s">
        <v>117</v>
      </c>
      <c r="C22" s="116" t="s">
        <v>118</v>
      </c>
      <c r="D22" s="93">
        <v>2.0</v>
      </c>
      <c r="E22" s="85" t="s">
        <v>119</v>
      </c>
      <c r="F22" s="83" t="s">
        <v>120</v>
      </c>
      <c r="G22" s="140">
        <v>63.0</v>
      </c>
      <c r="H22" s="87">
        <f t="shared" si="1"/>
        <v>126</v>
      </c>
      <c r="I22" s="48" t="s">
        <v>121</v>
      </c>
      <c r="J22" s="76" t="s">
        <v>39</v>
      </c>
      <c r="K22" s="81" t="s">
        <v>122</v>
      </c>
      <c r="L22" s="53" t="s">
        <v>39</v>
      </c>
      <c r="M22" s="61" t="s">
        <v>3</v>
      </c>
      <c r="N22" s="55"/>
      <c r="O22" s="56"/>
      <c r="P22" s="19"/>
      <c r="Q22" s="1"/>
      <c r="R22" s="1"/>
      <c r="S22" s="1"/>
      <c r="T22" s="1"/>
      <c r="U22" s="1"/>
      <c r="V22" s="1"/>
      <c r="W22" s="1"/>
      <c r="X22" s="1"/>
      <c r="Y22" s="1"/>
      <c r="Z22" s="1"/>
    </row>
    <row r="23">
      <c r="A23" s="141" t="s">
        <v>123</v>
      </c>
      <c r="B23" s="84" t="s">
        <v>124</v>
      </c>
      <c r="C23" s="142" t="s">
        <v>118</v>
      </c>
      <c r="D23" s="143">
        <v>1.0</v>
      </c>
      <c r="E23" s="144" t="s">
        <v>101</v>
      </c>
      <c r="F23" s="144" t="s">
        <v>125</v>
      </c>
      <c r="G23" s="140">
        <v>70.5</v>
      </c>
      <c r="H23" s="87">
        <f t="shared" si="1"/>
        <v>70.5</v>
      </c>
      <c r="I23" s="48" t="s">
        <v>68</v>
      </c>
      <c r="J23" s="76" t="s">
        <v>39</v>
      </c>
      <c r="K23" s="52" t="s">
        <v>126</v>
      </c>
      <c r="L23" s="53" t="s">
        <v>39</v>
      </c>
      <c r="M23" s="61" t="s">
        <v>3</v>
      </c>
      <c r="N23" s="55"/>
      <c r="O23" s="56"/>
      <c r="P23" s="19"/>
      <c r="Q23" s="1"/>
      <c r="R23" s="1"/>
      <c r="S23" s="1"/>
      <c r="T23" s="1"/>
      <c r="U23" s="1"/>
      <c r="V23" s="1"/>
      <c r="W23" s="1"/>
      <c r="X23" s="1"/>
      <c r="Y23" s="1"/>
      <c r="Z23" s="1"/>
    </row>
    <row r="24">
      <c r="A24" s="145" t="s">
        <v>127</v>
      </c>
      <c r="B24" s="85">
        <v>79654.0</v>
      </c>
      <c r="C24" s="83">
        <v>50.0</v>
      </c>
      <c r="D24" s="116">
        <v>1.0</v>
      </c>
      <c r="E24" s="83" t="s">
        <v>128</v>
      </c>
      <c r="F24" s="84" t="s">
        <v>128</v>
      </c>
      <c r="G24" s="50">
        <v>92.96</v>
      </c>
      <c r="H24" s="87">
        <f t="shared" si="1"/>
        <v>92.96</v>
      </c>
      <c r="I24" s="48" t="s">
        <v>68</v>
      </c>
      <c r="J24" s="76" t="s">
        <v>39</v>
      </c>
      <c r="K24" s="52" t="s">
        <v>129</v>
      </c>
      <c r="L24" s="76" t="s">
        <v>39</v>
      </c>
      <c r="M24" s="61" t="s">
        <v>3</v>
      </c>
      <c r="N24" s="62"/>
      <c r="O24" s="146" t="s">
        <v>130</v>
      </c>
      <c r="P24" s="147"/>
      <c r="Q24" s="135"/>
      <c r="R24" s="135"/>
      <c r="S24" s="135"/>
      <c r="T24" s="135"/>
      <c r="U24" s="135"/>
      <c r="V24" s="135"/>
      <c r="W24" s="135"/>
      <c r="X24" s="135"/>
      <c r="Y24" s="135"/>
      <c r="Z24" s="135"/>
    </row>
    <row r="25">
      <c r="A25" s="145" t="s">
        <v>131</v>
      </c>
      <c r="B25" s="148">
        <v>74134.0</v>
      </c>
      <c r="C25" s="83">
        <v>50.0</v>
      </c>
      <c r="D25" s="116">
        <v>1.0</v>
      </c>
      <c r="E25" s="91" t="s">
        <v>128</v>
      </c>
      <c r="F25" s="149" t="s">
        <v>128</v>
      </c>
      <c r="G25" s="50">
        <v>327.85</v>
      </c>
      <c r="H25" s="87">
        <f t="shared" si="1"/>
        <v>327.85</v>
      </c>
      <c r="I25" s="48" t="s">
        <v>68</v>
      </c>
      <c r="J25" s="76" t="s">
        <v>39</v>
      </c>
      <c r="K25" s="52" t="s">
        <v>129</v>
      </c>
      <c r="L25" s="76" t="s">
        <v>39</v>
      </c>
      <c r="M25" s="61" t="s">
        <v>3</v>
      </c>
      <c r="N25" s="132"/>
      <c r="O25" s="150"/>
      <c r="P25" s="151"/>
      <c r="Q25" s="152"/>
      <c r="R25" s="152"/>
      <c r="S25" s="152"/>
      <c r="T25" s="152"/>
      <c r="U25" s="152"/>
      <c r="V25" s="152"/>
      <c r="W25" s="152"/>
      <c r="X25" s="152"/>
      <c r="Y25" s="152"/>
      <c r="Z25" s="152"/>
    </row>
    <row r="26">
      <c r="A26" s="153" t="s">
        <v>132</v>
      </c>
      <c r="B26" s="154">
        <v>555029.0</v>
      </c>
      <c r="C26" s="52" t="s">
        <v>133</v>
      </c>
      <c r="D26" s="83">
        <v>1.0</v>
      </c>
      <c r="E26" s="52" t="s">
        <v>134</v>
      </c>
      <c r="F26" s="52" t="s">
        <v>125</v>
      </c>
      <c r="G26" s="127">
        <v>89.5</v>
      </c>
      <c r="H26" s="58">
        <f t="shared" si="1"/>
        <v>89.5</v>
      </c>
      <c r="I26" s="49" t="s">
        <v>102</v>
      </c>
      <c r="J26" s="76" t="s">
        <v>39</v>
      </c>
      <c r="K26" s="52" t="s">
        <v>135</v>
      </c>
      <c r="L26" s="76" t="s">
        <v>39</v>
      </c>
      <c r="M26" s="61" t="s">
        <v>3</v>
      </c>
      <c r="N26" s="55"/>
      <c r="O26" s="56"/>
      <c r="P26" s="19"/>
      <c r="Q26" s="1"/>
      <c r="R26" s="1"/>
      <c r="S26" s="1"/>
      <c r="T26" s="1"/>
      <c r="U26" s="1"/>
      <c r="V26" s="1"/>
      <c r="W26" s="1"/>
      <c r="X26" s="1"/>
      <c r="Y26" s="1"/>
      <c r="Z26" s="1"/>
    </row>
    <row r="27">
      <c r="A27" s="155" t="s">
        <v>136</v>
      </c>
      <c r="B27" s="125" t="s">
        <v>137</v>
      </c>
      <c r="C27" s="59" t="s">
        <v>138</v>
      </c>
      <c r="D27" s="53">
        <v>2.0</v>
      </c>
      <c r="E27" s="60" t="s">
        <v>139</v>
      </c>
      <c r="F27" s="125" t="s">
        <v>140</v>
      </c>
      <c r="G27" s="117">
        <v>92.0</v>
      </c>
      <c r="H27" s="69">
        <f t="shared" si="1"/>
        <v>184</v>
      </c>
      <c r="I27" s="49" t="s">
        <v>102</v>
      </c>
      <c r="J27" s="76" t="s">
        <v>39</v>
      </c>
      <c r="K27" s="49" t="s">
        <v>102</v>
      </c>
      <c r="L27" s="76" t="s">
        <v>39</v>
      </c>
      <c r="M27" s="61" t="s">
        <v>3</v>
      </c>
      <c r="N27" s="156"/>
      <c r="O27" s="157"/>
      <c r="P27" s="20"/>
    </row>
    <row r="28">
      <c r="A28" s="20"/>
      <c r="B28" s="158"/>
      <c r="C28" s="158"/>
      <c r="E28" s="158"/>
      <c r="G28" s="158"/>
      <c r="H28" s="74">
        <f t="shared" si="1"/>
        <v>0</v>
      </c>
      <c r="I28" s="158"/>
      <c r="K28" s="158"/>
      <c r="L28" s="158"/>
      <c r="M28" s="159"/>
      <c r="N28" s="160"/>
      <c r="O28" s="161"/>
      <c r="Z28" s="162"/>
    </row>
    <row r="29">
      <c r="A29" s="163"/>
      <c r="B29" s="164"/>
      <c r="C29" s="163"/>
      <c r="D29" s="164"/>
      <c r="E29" s="163"/>
      <c r="F29" s="164"/>
      <c r="G29" s="163"/>
      <c r="H29" s="74">
        <f t="shared" si="1"/>
        <v>0</v>
      </c>
      <c r="I29" s="163"/>
      <c r="J29" s="164"/>
      <c r="K29" s="163"/>
      <c r="L29" s="164"/>
      <c r="M29" s="70"/>
      <c r="N29" s="156"/>
      <c r="O29" s="70"/>
      <c r="P29" s="20"/>
    </row>
    <row r="30">
      <c r="A30" s="163"/>
      <c r="B30" s="164"/>
      <c r="C30" s="163"/>
      <c r="D30" s="164"/>
      <c r="E30" s="163"/>
      <c r="F30" s="164"/>
      <c r="G30" s="163"/>
      <c r="H30" s="74">
        <f t="shared" si="1"/>
        <v>0</v>
      </c>
      <c r="I30" s="163"/>
      <c r="J30" s="164"/>
      <c r="K30" s="163"/>
      <c r="L30" s="164"/>
      <c r="M30" s="70"/>
      <c r="N30" s="156"/>
      <c r="O30" s="70"/>
      <c r="P30" s="20"/>
    </row>
    <row r="31">
      <c r="A31" s="163"/>
      <c r="B31" s="164"/>
      <c r="C31" s="163"/>
      <c r="D31" s="164"/>
      <c r="E31" s="163"/>
      <c r="F31" s="164"/>
      <c r="G31" s="163"/>
      <c r="H31" s="74">
        <f t="shared" si="1"/>
        <v>0</v>
      </c>
      <c r="I31" s="163"/>
      <c r="J31" s="164"/>
      <c r="K31" s="163"/>
      <c r="L31" s="164"/>
      <c r="M31" s="70"/>
      <c r="N31" s="156"/>
      <c r="O31" s="70"/>
      <c r="P31" s="20"/>
    </row>
    <row r="32">
      <c r="A32" s="163"/>
      <c r="B32" s="164"/>
      <c r="C32" s="163"/>
      <c r="D32" s="164"/>
      <c r="E32" s="163"/>
      <c r="F32" s="164"/>
      <c r="G32" s="163"/>
      <c r="H32" s="74">
        <f t="shared" si="1"/>
        <v>0</v>
      </c>
      <c r="I32" s="163"/>
      <c r="J32" s="164"/>
      <c r="K32" s="163"/>
      <c r="L32" s="164"/>
      <c r="M32" s="70"/>
      <c r="N32" s="156"/>
      <c r="O32" s="70"/>
      <c r="P32" s="20"/>
    </row>
    <row r="33">
      <c r="A33" s="163"/>
      <c r="B33" s="164"/>
      <c r="C33" s="163"/>
      <c r="D33" s="164"/>
      <c r="E33" s="163"/>
      <c r="F33" s="164"/>
      <c r="G33" s="163"/>
      <c r="H33" s="74">
        <f t="shared" si="1"/>
        <v>0</v>
      </c>
      <c r="I33" s="163"/>
      <c r="J33" s="164"/>
      <c r="K33" s="163"/>
      <c r="L33" s="164"/>
      <c r="M33" s="163"/>
      <c r="N33" s="164"/>
      <c r="O33" s="163"/>
      <c r="P33" s="20"/>
    </row>
    <row r="34">
      <c r="A34" s="163"/>
      <c r="B34" s="164"/>
      <c r="C34" s="163"/>
      <c r="D34" s="164"/>
      <c r="E34" s="163"/>
      <c r="F34" s="164"/>
      <c r="G34" s="163"/>
      <c r="H34" s="74">
        <f t="shared" si="1"/>
        <v>0</v>
      </c>
      <c r="I34" s="163"/>
      <c r="J34" s="164"/>
      <c r="K34" s="163"/>
      <c r="L34" s="164"/>
      <c r="M34" s="163"/>
      <c r="N34" s="164"/>
      <c r="O34" s="163"/>
      <c r="P34" s="20"/>
    </row>
    <row r="35">
      <c r="A35" s="163"/>
      <c r="B35" s="164"/>
      <c r="C35" s="163"/>
      <c r="D35" s="164"/>
      <c r="E35" s="163"/>
      <c r="F35" s="164"/>
      <c r="G35" s="163"/>
      <c r="H35" s="74">
        <f t="shared" si="1"/>
        <v>0</v>
      </c>
      <c r="I35" s="163"/>
      <c r="J35" s="164"/>
      <c r="K35" s="163"/>
      <c r="L35" s="164"/>
      <c r="M35" s="163"/>
      <c r="N35" s="164"/>
      <c r="O35" s="163"/>
      <c r="P35" s="20"/>
    </row>
    <row r="36">
      <c r="A36" s="163"/>
      <c r="B36" s="164"/>
      <c r="C36" s="163"/>
      <c r="D36" s="164"/>
      <c r="E36" s="163"/>
      <c r="F36" s="164"/>
      <c r="G36" s="163"/>
      <c r="H36" s="74">
        <f t="shared" si="1"/>
        <v>0</v>
      </c>
      <c r="I36" s="163"/>
      <c r="J36" s="164"/>
      <c r="K36" s="163"/>
      <c r="L36" s="164"/>
      <c r="M36" s="163"/>
      <c r="N36" s="164"/>
      <c r="O36" s="163"/>
      <c r="P36" s="20"/>
    </row>
    <row r="37">
      <c r="A37" s="163"/>
      <c r="B37" s="164"/>
      <c r="C37" s="163"/>
      <c r="D37" s="164"/>
      <c r="E37" s="163"/>
      <c r="F37" s="164"/>
      <c r="G37" s="163"/>
      <c r="H37" s="74">
        <f t="shared" si="1"/>
        <v>0</v>
      </c>
      <c r="I37" s="163"/>
      <c r="J37" s="164"/>
      <c r="K37" s="163"/>
      <c r="L37" s="164"/>
      <c r="M37" s="163"/>
      <c r="N37" s="164"/>
      <c r="O37" s="163"/>
      <c r="P37" s="20"/>
    </row>
    <row r="38">
      <c r="A38" s="163"/>
      <c r="B38" s="164"/>
      <c r="C38" s="163"/>
      <c r="D38" s="164"/>
      <c r="E38" s="163"/>
      <c r="F38" s="164"/>
      <c r="G38" s="163"/>
      <c r="H38" s="74">
        <f t="shared" si="1"/>
        <v>0</v>
      </c>
      <c r="I38" s="163"/>
      <c r="J38" s="164"/>
      <c r="K38" s="163"/>
      <c r="L38" s="164"/>
      <c r="M38" s="163"/>
      <c r="N38" s="164"/>
      <c r="O38" s="163"/>
      <c r="P38" s="20"/>
    </row>
    <row r="39">
      <c r="A39" s="163"/>
      <c r="B39" s="164"/>
      <c r="C39" s="163"/>
      <c r="D39" s="164"/>
      <c r="E39" s="163"/>
      <c r="F39" s="164"/>
      <c r="G39" s="163"/>
      <c r="H39" s="164"/>
      <c r="I39" s="163"/>
      <c r="J39" s="164"/>
      <c r="K39" s="163"/>
      <c r="L39" s="164"/>
      <c r="M39" s="163"/>
      <c r="N39" s="164"/>
      <c r="O39" s="163"/>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row r="997">
      <c r="B997" s="158"/>
      <c r="D997" s="158"/>
      <c r="F997" s="158"/>
      <c r="H997" s="158"/>
      <c r="J997" s="158"/>
      <c r="L997" s="158"/>
      <c r="N997" s="158"/>
      <c r="P997" s="20"/>
    </row>
    <row r="998">
      <c r="B998" s="158"/>
      <c r="D998" s="158"/>
      <c r="F998" s="158"/>
      <c r="H998" s="158"/>
      <c r="J998" s="158"/>
      <c r="L998" s="158"/>
      <c r="N998" s="158"/>
      <c r="P998" s="20"/>
    </row>
    <row r="999">
      <c r="B999" s="158"/>
      <c r="D999" s="158"/>
      <c r="F999" s="158"/>
      <c r="H999" s="158"/>
      <c r="J999" s="158"/>
      <c r="L999" s="158"/>
      <c r="N999" s="158"/>
      <c r="P999" s="20"/>
    </row>
    <row r="1000">
      <c r="B1000" s="158"/>
      <c r="D1000" s="158"/>
      <c r="F1000" s="158"/>
      <c r="H1000" s="158"/>
      <c r="J1000" s="158"/>
      <c r="L1000" s="158"/>
      <c r="N1000" s="158"/>
      <c r="P1000" s="20"/>
    </row>
    <row r="1001">
      <c r="B1001" s="158"/>
      <c r="D1001" s="158"/>
      <c r="F1001" s="158"/>
      <c r="H1001" s="158"/>
      <c r="J1001" s="158"/>
      <c r="L1001" s="158"/>
      <c r="N1001" s="158"/>
      <c r="P1001" s="20"/>
    </row>
  </sheetData>
  <hyperlinks>
    <hyperlink r:id="rId4" location="/P36930" ref="O21"/>
    <hyperlink r:id="rId5" ref="A24"/>
    <hyperlink r:id="rId6" ref="A25"/>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 customWidth="1" min="2" max="2" width="20.38"/>
    <col customWidth="1" min="5" max="5" width="23.25"/>
    <col customWidth="1" min="6" max="6" width="20.25"/>
    <col customWidth="1" min="8" max="8" width="21.5"/>
    <col customWidth="1" min="11" max="11" width="15.38"/>
    <col customWidth="1" min="13" max="13" width="25.88"/>
    <col customWidth="1" min="15" max="15" width="66.0"/>
    <col customWidth="1" min="16" max="17" width="14.25"/>
  </cols>
  <sheetData>
    <row r="1">
      <c r="A1" s="38" t="s">
        <v>21</v>
      </c>
      <c r="B1" s="39" t="s">
        <v>22</v>
      </c>
      <c r="C1" s="40" t="s">
        <v>23</v>
      </c>
      <c r="D1" s="39" t="s">
        <v>24</v>
      </c>
      <c r="E1" s="40" t="s">
        <v>25</v>
      </c>
      <c r="F1" s="39" t="s">
        <v>26</v>
      </c>
      <c r="G1" s="40" t="s">
        <v>27</v>
      </c>
      <c r="H1" s="41" t="s">
        <v>28</v>
      </c>
      <c r="I1" s="42" t="s">
        <v>29</v>
      </c>
      <c r="J1" s="43" t="s">
        <v>30</v>
      </c>
      <c r="K1" s="42" t="s">
        <v>31</v>
      </c>
      <c r="L1" s="39" t="s">
        <v>30</v>
      </c>
      <c r="M1" s="40" t="s">
        <v>32</v>
      </c>
      <c r="N1" s="39" t="s">
        <v>33</v>
      </c>
      <c r="O1" s="165" t="s">
        <v>34</v>
      </c>
      <c r="P1" s="166"/>
      <c r="Q1" s="167" t="s">
        <v>35</v>
      </c>
      <c r="R1" s="45">
        <f>SUM(H2:H27)</f>
        <v>1695.16</v>
      </c>
    </row>
    <row r="2">
      <c r="A2" s="137" t="s">
        <v>141</v>
      </c>
      <c r="B2" s="128"/>
      <c r="C2" s="48">
        <v>1.0</v>
      </c>
      <c r="D2" s="48">
        <v>1.0</v>
      </c>
      <c r="E2" s="48" t="s">
        <v>142</v>
      </c>
      <c r="F2" s="137" t="s">
        <v>142</v>
      </c>
      <c r="G2" s="50">
        <v>148.11</v>
      </c>
      <c r="H2" s="168">
        <f t="shared" ref="H2:H5" si="1">G2*D2</f>
        <v>148.11</v>
      </c>
      <c r="I2" s="48" t="s">
        <v>135</v>
      </c>
      <c r="J2" s="49" t="s">
        <v>39</v>
      </c>
      <c r="K2" s="48" t="s">
        <v>143</v>
      </c>
      <c r="L2" s="49" t="s">
        <v>39</v>
      </c>
      <c r="M2" s="61" t="s">
        <v>3</v>
      </c>
      <c r="N2" s="169"/>
      <c r="O2" s="170"/>
      <c r="P2" s="171"/>
      <c r="Q2" s="1"/>
      <c r="R2" s="1"/>
      <c r="S2" s="1"/>
      <c r="T2" s="1"/>
      <c r="U2" s="1"/>
      <c r="V2" s="1"/>
      <c r="W2" s="1"/>
      <c r="X2" s="1"/>
      <c r="Y2" s="1"/>
      <c r="Z2" s="1"/>
      <c r="AA2" s="1"/>
    </row>
    <row r="3">
      <c r="A3" s="62" t="s">
        <v>144</v>
      </c>
      <c r="B3" s="117"/>
      <c r="C3" s="52">
        <v>1.0</v>
      </c>
      <c r="D3" s="48">
        <v>1.0</v>
      </c>
      <c r="E3" s="52" t="s">
        <v>142</v>
      </c>
      <c r="F3" s="46" t="s">
        <v>142</v>
      </c>
      <c r="G3" s="127">
        <v>148.11</v>
      </c>
      <c r="H3" s="168">
        <f t="shared" si="1"/>
        <v>148.11</v>
      </c>
      <c r="I3" s="48" t="s">
        <v>143</v>
      </c>
      <c r="J3" s="49" t="s">
        <v>39</v>
      </c>
      <c r="K3" s="48" t="s">
        <v>143</v>
      </c>
      <c r="L3" s="49" t="s">
        <v>39</v>
      </c>
      <c r="M3" s="61" t="s">
        <v>3</v>
      </c>
      <c r="N3" s="172"/>
      <c r="O3" s="172"/>
      <c r="P3" s="171"/>
      <c r="Q3" s="1"/>
      <c r="R3" s="1"/>
      <c r="S3" s="1"/>
      <c r="T3" s="1"/>
      <c r="U3" s="1"/>
      <c r="V3" s="1"/>
      <c r="W3" s="1"/>
      <c r="X3" s="1"/>
      <c r="Y3" s="1"/>
      <c r="Z3" s="1"/>
      <c r="AA3" s="1"/>
    </row>
    <row r="4">
      <c r="A4" s="132" t="s">
        <v>145</v>
      </c>
      <c r="B4" s="117"/>
      <c r="C4" s="52">
        <v>1.0</v>
      </c>
      <c r="D4" s="48">
        <v>1.0</v>
      </c>
      <c r="E4" s="52" t="s">
        <v>146</v>
      </c>
      <c r="F4" s="173" t="s">
        <v>146</v>
      </c>
      <c r="G4" s="127">
        <v>825.0</v>
      </c>
      <c r="H4" s="168">
        <f t="shared" si="1"/>
        <v>825</v>
      </c>
      <c r="I4" s="48" t="s">
        <v>143</v>
      </c>
      <c r="J4" s="49" t="s">
        <v>39</v>
      </c>
      <c r="K4" s="48" t="s">
        <v>143</v>
      </c>
      <c r="L4" s="49" t="s">
        <v>39</v>
      </c>
      <c r="M4" s="61" t="s">
        <v>3</v>
      </c>
      <c r="N4" s="172"/>
      <c r="O4" s="63"/>
      <c r="P4" s="171"/>
      <c r="Q4" s="1"/>
      <c r="R4" s="1"/>
      <c r="S4" s="1"/>
      <c r="T4" s="1"/>
      <c r="U4" s="1"/>
      <c r="V4" s="1"/>
      <c r="W4" s="1"/>
      <c r="X4" s="1"/>
      <c r="Y4" s="1"/>
      <c r="Z4" s="1"/>
      <c r="AA4" s="1"/>
    </row>
    <row r="5">
      <c r="A5" s="132" t="s">
        <v>147</v>
      </c>
      <c r="B5" s="117"/>
      <c r="C5" s="52">
        <v>1.0</v>
      </c>
      <c r="D5" s="48">
        <v>1.0</v>
      </c>
      <c r="E5" s="52" t="s">
        <v>148</v>
      </c>
      <c r="F5" s="46" t="s">
        <v>148</v>
      </c>
      <c r="G5" s="127">
        <v>40.0</v>
      </c>
      <c r="H5" s="51">
        <f t="shared" si="1"/>
        <v>40</v>
      </c>
      <c r="I5" s="48" t="s">
        <v>149</v>
      </c>
      <c r="J5" s="49" t="s">
        <v>39</v>
      </c>
      <c r="K5" s="48" t="s">
        <v>149</v>
      </c>
      <c r="L5" s="49" t="s">
        <v>39</v>
      </c>
      <c r="M5" s="61" t="s">
        <v>3</v>
      </c>
      <c r="N5" s="169"/>
      <c r="O5" s="139"/>
      <c r="P5" s="160"/>
      <c r="R5" s="1"/>
      <c r="S5" s="1"/>
      <c r="T5" s="1"/>
      <c r="U5" s="1"/>
      <c r="V5" s="1"/>
      <c r="W5" s="1"/>
      <c r="X5" s="1"/>
      <c r="Y5" s="1"/>
      <c r="Z5" s="1"/>
      <c r="AA5" s="1"/>
    </row>
    <row r="6">
      <c r="A6" s="174" t="s">
        <v>150</v>
      </c>
      <c r="B6" s="175" t="s">
        <v>151</v>
      </c>
      <c r="C6" s="76" t="s">
        <v>152</v>
      </c>
      <c r="D6" s="72">
        <v>1.0</v>
      </c>
      <c r="E6" s="143" t="s">
        <v>153</v>
      </c>
      <c r="F6" s="176" t="s">
        <v>153</v>
      </c>
      <c r="G6" s="73">
        <v>475.0</v>
      </c>
      <c r="H6" s="47">
        <v>475.0</v>
      </c>
      <c r="I6" s="48" t="s">
        <v>154</v>
      </c>
      <c r="J6" s="49" t="s">
        <v>39</v>
      </c>
      <c r="K6" s="52" t="s">
        <v>155</v>
      </c>
      <c r="L6" s="49" t="s">
        <v>39</v>
      </c>
      <c r="M6" s="131" t="s">
        <v>41</v>
      </c>
      <c r="N6" s="96" t="s">
        <v>156</v>
      </c>
      <c r="O6" s="129" t="s">
        <v>157</v>
      </c>
      <c r="P6" s="55"/>
      <c r="Q6" s="170"/>
      <c r="R6" s="1"/>
      <c r="S6" s="1"/>
      <c r="T6" s="1"/>
      <c r="U6" s="1"/>
      <c r="V6" s="1"/>
      <c r="W6" s="1"/>
      <c r="X6" s="1"/>
      <c r="Y6" s="1"/>
      <c r="Z6" s="1"/>
      <c r="AA6" s="1"/>
    </row>
    <row r="7">
      <c r="A7" s="139" t="s">
        <v>158</v>
      </c>
      <c r="B7" s="177" t="s">
        <v>159</v>
      </c>
      <c r="C7" s="142" t="s">
        <v>160</v>
      </c>
      <c r="D7" s="143">
        <v>2.0</v>
      </c>
      <c r="E7" s="83" t="s">
        <v>161</v>
      </c>
      <c r="F7" s="178" t="s">
        <v>125</v>
      </c>
      <c r="G7" s="179">
        <v>29.47</v>
      </c>
      <c r="H7" s="69">
        <f t="shared" ref="H7:H37" si="2">G7*D7</f>
        <v>58.94</v>
      </c>
      <c r="I7" s="48" t="s">
        <v>162</v>
      </c>
      <c r="J7" s="49" t="s">
        <v>39</v>
      </c>
      <c r="K7" s="52" t="s">
        <v>163</v>
      </c>
      <c r="L7" s="49" t="s">
        <v>39</v>
      </c>
      <c r="M7" s="61" t="s">
        <v>3</v>
      </c>
      <c r="N7" s="169"/>
      <c r="O7" s="170"/>
      <c r="P7" s="171"/>
      <c r="Q7" s="1"/>
      <c r="R7" s="1"/>
      <c r="S7" s="1"/>
      <c r="T7" s="1"/>
      <c r="U7" s="1"/>
      <c r="V7" s="1"/>
      <c r="W7" s="1"/>
      <c r="X7" s="1"/>
      <c r="Y7" s="1"/>
      <c r="Z7" s="1"/>
      <c r="AA7" s="1"/>
    </row>
    <row r="8">
      <c r="A8" s="137"/>
      <c r="B8" s="47"/>
      <c r="C8" s="48"/>
      <c r="D8" s="49"/>
      <c r="E8" s="48"/>
      <c r="F8" s="96"/>
      <c r="G8" s="137"/>
      <c r="H8" s="74">
        <f t="shared" si="2"/>
        <v>0</v>
      </c>
      <c r="I8" s="48"/>
      <c r="J8" s="49"/>
      <c r="K8" s="52"/>
      <c r="L8" s="53"/>
      <c r="M8" s="46"/>
      <c r="N8" s="169"/>
      <c r="O8" s="170"/>
      <c r="P8" s="171"/>
      <c r="Q8" s="1"/>
      <c r="R8" s="1"/>
      <c r="S8" s="1"/>
      <c r="T8" s="1"/>
      <c r="U8" s="1"/>
      <c r="V8" s="1"/>
      <c r="W8" s="1"/>
      <c r="X8" s="1"/>
      <c r="Y8" s="1"/>
      <c r="Z8" s="1"/>
      <c r="AA8" s="1"/>
    </row>
    <row r="9">
      <c r="A9" s="137"/>
      <c r="B9" s="47"/>
      <c r="C9" s="48"/>
      <c r="D9" s="49"/>
      <c r="E9" s="48"/>
      <c r="F9" s="96"/>
      <c r="G9" s="137"/>
      <c r="H9" s="74">
        <f t="shared" si="2"/>
        <v>0</v>
      </c>
      <c r="I9" s="48"/>
      <c r="J9" s="49"/>
      <c r="K9" s="52"/>
      <c r="L9" s="53"/>
      <c r="M9" s="46"/>
      <c r="N9" s="169"/>
      <c r="O9" s="170"/>
      <c r="P9" s="171"/>
      <c r="Q9" s="1"/>
      <c r="R9" s="1"/>
      <c r="S9" s="1"/>
      <c r="T9" s="1"/>
      <c r="U9" s="1"/>
      <c r="V9" s="1"/>
      <c r="W9" s="1"/>
      <c r="X9" s="1"/>
      <c r="Y9" s="1"/>
      <c r="Z9" s="1"/>
      <c r="AA9" s="1"/>
    </row>
    <row r="10">
      <c r="A10" s="137"/>
      <c r="B10" s="180"/>
      <c r="C10" s="49"/>
      <c r="D10" s="49"/>
      <c r="E10" s="48"/>
      <c r="F10" s="96"/>
      <c r="G10" s="137"/>
      <c r="H10" s="74">
        <f t="shared" si="2"/>
        <v>0</v>
      </c>
      <c r="I10" s="48"/>
      <c r="J10" s="49"/>
      <c r="K10" s="52"/>
      <c r="L10" s="53"/>
      <c r="M10" s="46"/>
      <c r="N10" s="169"/>
      <c r="O10" s="181"/>
      <c r="P10" s="19"/>
      <c r="Q10" s="19"/>
      <c r="R10" s="1"/>
      <c r="S10" s="1"/>
      <c r="T10" s="1"/>
      <c r="U10" s="1"/>
      <c r="V10" s="1"/>
      <c r="W10" s="1"/>
      <c r="X10" s="1"/>
      <c r="Y10" s="1"/>
      <c r="Z10" s="1"/>
      <c r="AA10" s="1"/>
    </row>
    <row r="11">
      <c r="A11" s="16"/>
      <c r="B11" s="22"/>
      <c r="C11" s="48"/>
      <c r="D11" s="49"/>
      <c r="E11" s="48"/>
      <c r="F11" s="96"/>
      <c r="G11" s="46"/>
      <c r="H11" s="74">
        <f t="shared" si="2"/>
        <v>0</v>
      </c>
      <c r="I11" s="48"/>
      <c r="J11" s="49"/>
      <c r="K11" s="52"/>
      <c r="L11" s="53"/>
      <c r="M11" s="46"/>
      <c r="N11" s="169"/>
      <c r="O11" s="137"/>
      <c r="P11" s="19"/>
      <c r="Q11" s="19"/>
      <c r="R11" s="1"/>
      <c r="S11" s="1"/>
      <c r="T11" s="1"/>
      <c r="U11" s="1"/>
      <c r="V11" s="1"/>
      <c r="W11" s="1"/>
      <c r="X11" s="1"/>
      <c r="Y11" s="1"/>
      <c r="Z11" s="1"/>
      <c r="AA11" s="1"/>
    </row>
    <row r="12">
      <c r="A12" s="16"/>
      <c r="B12" s="22"/>
      <c r="C12" s="48"/>
      <c r="D12" s="49"/>
      <c r="E12" s="48"/>
      <c r="F12" s="96"/>
      <c r="G12" s="137"/>
      <c r="H12" s="74">
        <f t="shared" si="2"/>
        <v>0</v>
      </c>
      <c r="I12" s="48"/>
      <c r="J12" s="49"/>
      <c r="K12" s="81"/>
      <c r="L12" s="122"/>
      <c r="M12" s="46"/>
      <c r="N12" s="169"/>
      <c r="O12" s="137"/>
      <c r="P12" s="19"/>
      <c r="Q12" s="19"/>
      <c r="R12" s="1"/>
      <c r="S12" s="1"/>
      <c r="T12" s="1"/>
      <c r="U12" s="1"/>
      <c r="V12" s="1"/>
      <c r="W12" s="1"/>
      <c r="X12" s="1"/>
      <c r="Y12" s="1"/>
      <c r="Z12" s="1"/>
      <c r="AA12" s="1"/>
    </row>
    <row r="13">
      <c r="A13" s="163"/>
      <c r="B13" s="164"/>
      <c r="C13" s="163"/>
      <c r="D13" s="164"/>
      <c r="E13" s="163"/>
      <c r="F13" s="164"/>
      <c r="G13" s="163"/>
      <c r="H13" s="74">
        <f t="shared" si="2"/>
        <v>0</v>
      </c>
      <c r="I13" s="163"/>
      <c r="J13" s="164"/>
      <c r="K13" s="163"/>
      <c r="L13" s="164"/>
      <c r="M13" s="163"/>
      <c r="N13" s="164"/>
      <c r="O13" s="163"/>
      <c r="P13" s="20"/>
      <c r="Q13" s="20"/>
    </row>
    <row r="14">
      <c r="A14" s="163"/>
      <c r="B14" s="164"/>
      <c r="C14" s="163"/>
      <c r="D14" s="164"/>
      <c r="E14" s="163"/>
      <c r="F14" s="164"/>
      <c r="G14" s="163"/>
      <c r="H14" s="74">
        <f t="shared" si="2"/>
        <v>0</v>
      </c>
      <c r="I14" s="163"/>
      <c r="J14" s="164"/>
      <c r="K14" s="163"/>
      <c r="L14" s="164"/>
      <c r="M14" s="163"/>
      <c r="N14" s="164"/>
      <c r="O14" s="163"/>
      <c r="P14" s="20"/>
      <c r="Q14" s="20"/>
    </row>
    <row r="15">
      <c r="A15" s="163"/>
      <c r="B15" s="164"/>
      <c r="C15" s="163"/>
      <c r="D15" s="164"/>
      <c r="E15" s="163"/>
      <c r="F15" s="164"/>
      <c r="G15" s="163"/>
      <c r="H15" s="74">
        <f t="shared" si="2"/>
        <v>0</v>
      </c>
      <c r="I15" s="163"/>
      <c r="J15" s="164"/>
      <c r="K15" s="163"/>
      <c r="L15" s="164"/>
      <c r="M15" s="163"/>
      <c r="N15" s="164"/>
      <c r="O15" s="163"/>
      <c r="P15" s="20"/>
      <c r="Q15" s="20"/>
    </row>
    <row r="16">
      <c r="A16" s="163"/>
      <c r="B16" s="164"/>
      <c r="C16" s="163"/>
      <c r="D16" s="164"/>
      <c r="E16" s="163"/>
      <c r="F16" s="164"/>
      <c r="G16" s="163"/>
      <c r="H16" s="74">
        <f t="shared" si="2"/>
        <v>0</v>
      </c>
      <c r="I16" s="163"/>
      <c r="J16" s="164"/>
      <c r="K16" s="163"/>
      <c r="L16" s="164"/>
      <c r="M16" s="163"/>
      <c r="N16" s="164"/>
      <c r="O16" s="163"/>
      <c r="P16" s="20"/>
      <c r="Q16" s="20"/>
    </row>
    <row r="17">
      <c r="A17" s="163"/>
      <c r="B17" s="164"/>
      <c r="C17" s="163"/>
      <c r="D17" s="164"/>
      <c r="E17" s="163"/>
      <c r="F17" s="164"/>
      <c r="G17" s="163"/>
      <c r="H17" s="74">
        <f t="shared" si="2"/>
        <v>0</v>
      </c>
      <c r="I17" s="163"/>
      <c r="J17" s="164"/>
      <c r="K17" s="163"/>
      <c r="L17" s="164"/>
      <c r="M17" s="163"/>
      <c r="N17" s="164"/>
      <c r="O17" s="163"/>
      <c r="P17" s="20"/>
      <c r="Q17" s="20"/>
    </row>
    <row r="18">
      <c r="A18" s="163"/>
      <c r="B18" s="164"/>
      <c r="C18" s="163"/>
      <c r="D18" s="164"/>
      <c r="E18" s="163"/>
      <c r="F18" s="164"/>
      <c r="G18" s="163"/>
      <c r="H18" s="74">
        <f t="shared" si="2"/>
        <v>0</v>
      </c>
      <c r="I18" s="163"/>
      <c r="J18" s="164"/>
      <c r="K18" s="163"/>
      <c r="L18" s="164"/>
      <c r="M18" s="163"/>
      <c r="N18" s="164"/>
      <c r="O18" s="163"/>
      <c r="P18" s="20"/>
      <c r="Q18" s="20"/>
    </row>
    <row r="19">
      <c r="A19" s="163"/>
      <c r="B19" s="164"/>
      <c r="C19" s="163"/>
      <c r="D19" s="164"/>
      <c r="E19" s="163"/>
      <c r="F19" s="164"/>
      <c r="G19" s="163"/>
      <c r="H19" s="74">
        <f t="shared" si="2"/>
        <v>0</v>
      </c>
      <c r="I19" s="163"/>
      <c r="J19" s="164"/>
      <c r="K19" s="163"/>
      <c r="L19" s="164"/>
      <c r="M19" s="163"/>
      <c r="N19" s="164"/>
      <c r="O19" s="163"/>
      <c r="P19" s="20"/>
      <c r="Q19" s="20"/>
    </row>
    <row r="20">
      <c r="A20" s="163"/>
      <c r="B20" s="164"/>
      <c r="C20" s="163"/>
      <c r="D20" s="164"/>
      <c r="E20" s="163"/>
      <c r="F20" s="164"/>
      <c r="G20" s="163"/>
      <c r="H20" s="74">
        <f t="shared" si="2"/>
        <v>0</v>
      </c>
      <c r="I20" s="163"/>
      <c r="J20" s="164"/>
      <c r="K20" s="163"/>
      <c r="L20" s="164"/>
      <c r="M20" s="163"/>
      <c r="N20" s="164"/>
      <c r="O20" s="163"/>
      <c r="P20" s="20"/>
      <c r="Q20" s="20"/>
    </row>
    <row r="21">
      <c r="A21" s="163"/>
      <c r="B21" s="164"/>
      <c r="C21" s="163"/>
      <c r="D21" s="164"/>
      <c r="E21" s="163"/>
      <c r="F21" s="164"/>
      <c r="G21" s="163"/>
      <c r="H21" s="74">
        <f t="shared" si="2"/>
        <v>0</v>
      </c>
      <c r="I21" s="163"/>
      <c r="J21" s="164"/>
      <c r="K21" s="163"/>
      <c r="L21" s="164"/>
      <c r="M21" s="163"/>
      <c r="N21" s="164"/>
      <c r="O21" s="163"/>
      <c r="P21" s="20"/>
      <c r="Q21" s="20"/>
    </row>
    <row r="22">
      <c r="A22" s="163"/>
      <c r="B22" s="164"/>
      <c r="C22" s="163"/>
      <c r="D22" s="164"/>
      <c r="E22" s="163"/>
      <c r="F22" s="164"/>
      <c r="G22" s="163"/>
      <c r="H22" s="74">
        <f t="shared" si="2"/>
        <v>0</v>
      </c>
      <c r="I22" s="163"/>
      <c r="J22" s="164"/>
      <c r="K22" s="163"/>
      <c r="L22" s="164"/>
      <c r="M22" s="163"/>
      <c r="N22" s="164"/>
      <c r="O22" s="163"/>
      <c r="P22" s="20"/>
      <c r="Q22" s="20"/>
    </row>
    <row r="23">
      <c r="A23" s="163"/>
      <c r="B23" s="164"/>
      <c r="C23" s="163"/>
      <c r="D23" s="164"/>
      <c r="E23" s="163"/>
      <c r="F23" s="164"/>
      <c r="G23" s="163"/>
      <c r="H23" s="74">
        <f t="shared" si="2"/>
        <v>0</v>
      </c>
      <c r="I23" s="163"/>
      <c r="J23" s="164"/>
      <c r="K23" s="163"/>
      <c r="L23" s="164"/>
      <c r="M23" s="163"/>
      <c r="N23" s="164"/>
      <c r="O23" s="163"/>
      <c r="P23" s="20"/>
      <c r="Q23" s="20"/>
    </row>
    <row r="24">
      <c r="A24" s="163"/>
      <c r="B24" s="164"/>
      <c r="C24" s="163"/>
      <c r="D24" s="164"/>
      <c r="E24" s="163"/>
      <c r="F24" s="164"/>
      <c r="G24" s="163"/>
      <c r="H24" s="74">
        <f t="shared" si="2"/>
        <v>0</v>
      </c>
      <c r="I24" s="163"/>
      <c r="J24" s="164"/>
      <c r="K24" s="163"/>
      <c r="L24" s="164"/>
      <c r="M24" s="163"/>
      <c r="N24" s="164"/>
      <c r="O24" s="163"/>
      <c r="P24" s="20"/>
      <c r="Q24" s="20"/>
    </row>
    <row r="25">
      <c r="A25" s="163"/>
      <c r="B25" s="164"/>
      <c r="C25" s="163"/>
      <c r="D25" s="164"/>
      <c r="E25" s="163"/>
      <c r="F25" s="164"/>
      <c r="G25" s="163"/>
      <c r="H25" s="74">
        <f t="shared" si="2"/>
        <v>0</v>
      </c>
      <c r="I25" s="163"/>
      <c r="J25" s="164"/>
      <c r="K25" s="163"/>
      <c r="L25" s="164"/>
      <c r="M25" s="163"/>
      <c r="N25" s="164"/>
      <c r="O25" s="163"/>
      <c r="P25" s="20"/>
      <c r="Q25" s="20"/>
    </row>
    <row r="26">
      <c r="A26" s="163"/>
      <c r="B26" s="164"/>
      <c r="C26" s="163"/>
      <c r="D26" s="164"/>
      <c r="E26" s="163"/>
      <c r="F26" s="164"/>
      <c r="G26" s="163"/>
      <c r="H26" s="74">
        <f t="shared" si="2"/>
        <v>0</v>
      </c>
      <c r="I26" s="163"/>
      <c r="J26" s="164"/>
      <c r="K26" s="163"/>
      <c r="L26" s="164"/>
      <c r="M26" s="163"/>
      <c r="N26" s="164"/>
      <c r="O26" s="163"/>
      <c r="P26" s="20"/>
      <c r="Q26" s="20"/>
    </row>
    <row r="27">
      <c r="A27" s="163"/>
      <c r="B27" s="164"/>
      <c r="C27" s="163"/>
      <c r="D27" s="164"/>
      <c r="E27" s="163"/>
      <c r="F27" s="164"/>
      <c r="G27" s="163"/>
      <c r="H27" s="74">
        <f t="shared" si="2"/>
        <v>0</v>
      </c>
      <c r="I27" s="163"/>
      <c r="J27" s="164"/>
      <c r="K27" s="163"/>
      <c r="L27" s="164"/>
      <c r="M27" s="163"/>
      <c r="N27" s="164"/>
      <c r="O27" s="163"/>
      <c r="P27" s="20"/>
      <c r="Q27" s="20"/>
    </row>
    <row r="28">
      <c r="A28" s="163"/>
      <c r="B28" s="164"/>
      <c r="C28" s="163"/>
      <c r="D28" s="164"/>
      <c r="E28" s="163"/>
      <c r="F28" s="164"/>
      <c r="G28" s="163"/>
      <c r="H28" s="74">
        <f t="shared" si="2"/>
        <v>0</v>
      </c>
      <c r="I28" s="163"/>
      <c r="J28" s="164"/>
      <c r="K28" s="163"/>
      <c r="L28" s="164"/>
      <c r="M28" s="163"/>
      <c r="N28" s="164"/>
      <c r="O28" s="163"/>
      <c r="P28" s="20"/>
      <c r="Q28" s="20"/>
    </row>
    <row r="29">
      <c r="A29" s="163"/>
      <c r="B29" s="164"/>
      <c r="C29" s="163"/>
      <c r="D29" s="164"/>
      <c r="E29" s="163"/>
      <c r="F29" s="164"/>
      <c r="G29" s="163"/>
      <c r="H29" s="74">
        <f t="shared" si="2"/>
        <v>0</v>
      </c>
      <c r="I29" s="163"/>
      <c r="J29" s="164"/>
      <c r="K29" s="163"/>
      <c r="L29" s="164"/>
      <c r="M29" s="163"/>
      <c r="N29" s="164"/>
      <c r="O29" s="163"/>
      <c r="P29" s="20"/>
      <c r="Q29" s="20"/>
    </row>
    <row r="30">
      <c r="A30" s="163"/>
      <c r="B30" s="164"/>
      <c r="C30" s="163"/>
      <c r="D30" s="164"/>
      <c r="E30" s="163"/>
      <c r="F30" s="164"/>
      <c r="G30" s="163"/>
      <c r="H30" s="74">
        <f t="shared" si="2"/>
        <v>0</v>
      </c>
      <c r="I30" s="163"/>
      <c r="J30" s="164"/>
      <c r="K30" s="163"/>
      <c r="L30" s="164"/>
      <c r="M30" s="163"/>
      <c r="N30" s="164"/>
      <c r="O30" s="163"/>
      <c r="P30" s="20"/>
      <c r="Q30" s="20"/>
    </row>
    <row r="31">
      <c r="A31" s="163"/>
      <c r="B31" s="164"/>
      <c r="C31" s="163"/>
      <c r="D31" s="164"/>
      <c r="E31" s="163"/>
      <c r="F31" s="164"/>
      <c r="G31" s="163"/>
      <c r="H31" s="74">
        <f t="shared" si="2"/>
        <v>0</v>
      </c>
      <c r="I31" s="163"/>
      <c r="J31" s="164"/>
      <c r="K31" s="163"/>
      <c r="L31" s="164"/>
      <c r="M31" s="163"/>
      <c r="N31" s="164"/>
      <c r="O31" s="163"/>
      <c r="P31" s="20"/>
      <c r="Q31" s="20"/>
    </row>
    <row r="32">
      <c r="A32" s="163"/>
      <c r="B32" s="164"/>
      <c r="C32" s="163"/>
      <c r="D32" s="164"/>
      <c r="E32" s="163"/>
      <c r="F32" s="164"/>
      <c r="G32" s="163"/>
      <c r="H32" s="74">
        <f t="shared" si="2"/>
        <v>0</v>
      </c>
      <c r="I32" s="163"/>
      <c r="J32" s="164"/>
      <c r="K32" s="163"/>
      <c r="L32" s="164"/>
      <c r="M32" s="163"/>
      <c r="N32" s="164"/>
      <c r="O32" s="163"/>
      <c r="P32" s="20"/>
      <c r="Q32" s="20"/>
    </row>
    <row r="33">
      <c r="A33" s="163"/>
      <c r="B33" s="164"/>
      <c r="C33" s="163"/>
      <c r="D33" s="164"/>
      <c r="E33" s="163"/>
      <c r="F33" s="164"/>
      <c r="G33" s="163"/>
      <c r="H33" s="74">
        <f t="shared" si="2"/>
        <v>0</v>
      </c>
      <c r="I33" s="163"/>
      <c r="J33" s="164"/>
      <c r="K33" s="163"/>
      <c r="L33" s="164"/>
      <c r="M33" s="163"/>
      <c r="N33" s="164"/>
      <c r="O33" s="163"/>
      <c r="P33" s="20"/>
      <c r="Q33" s="20"/>
    </row>
    <row r="34">
      <c r="A34" s="163"/>
      <c r="B34" s="164"/>
      <c r="C34" s="163"/>
      <c r="D34" s="164"/>
      <c r="E34" s="163"/>
      <c r="F34" s="164"/>
      <c r="G34" s="163"/>
      <c r="H34" s="74">
        <f t="shared" si="2"/>
        <v>0</v>
      </c>
      <c r="I34" s="163"/>
      <c r="J34" s="164"/>
      <c r="K34" s="163"/>
      <c r="L34" s="164"/>
      <c r="M34" s="163"/>
      <c r="N34" s="164"/>
      <c r="O34" s="163"/>
      <c r="P34" s="20"/>
      <c r="Q34" s="20"/>
    </row>
    <row r="35">
      <c r="A35" s="163"/>
      <c r="B35" s="164"/>
      <c r="C35" s="163"/>
      <c r="D35" s="164"/>
      <c r="E35" s="163"/>
      <c r="F35" s="164"/>
      <c r="G35" s="163"/>
      <c r="H35" s="74">
        <f t="shared" si="2"/>
        <v>0</v>
      </c>
      <c r="I35" s="163"/>
      <c r="J35" s="164"/>
      <c r="K35" s="163"/>
      <c r="L35" s="164"/>
      <c r="M35" s="163"/>
      <c r="N35" s="164"/>
      <c r="O35" s="163"/>
      <c r="P35" s="20"/>
      <c r="Q35" s="20"/>
    </row>
    <row r="36">
      <c r="A36" s="163"/>
      <c r="B36" s="164"/>
      <c r="C36" s="163"/>
      <c r="D36" s="164"/>
      <c r="E36" s="163"/>
      <c r="F36" s="164"/>
      <c r="G36" s="163"/>
      <c r="H36" s="74">
        <f t="shared" si="2"/>
        <v>0</v>
      </c>
      <c r="I36" s="163"/>
      <c r="J36" s="164"/>
      <c r="K36" s="163"/>
      <c r="L36" s="164"/>
      <c r="M36" s="163"/>
      <c r="N36" s="164"/>
      <c r="O36" s="163"/>
      <c r="P36" s="20"/>
      <c r="Q36" s="20"/>
    </row>
    <row r="37">
      <c r="A37" s="163"/>
      <c r="B37" s="164"/>
      <c r="C37" s="163"/>
      <c r="D37" s="164"/>
      <c r="E37" s="163"/>
      <c r="F37" s="164"/>
      <c r="G37" s="163"/>
      <c r="H37" s="74">
        <f t="shared" si="2"/>
        <v>0</v>
      </c>
      <c r="I37" s="163"/>
      <c r="J37" s="164"/>
      <c r="K37" s="163"/>
      <c r="L37" s="164"/>
      <c r="M37" s="163"/>
      <c r="N37" s="164"/>
      <c r="O37" s="163"/>
      <c r="P37" s="20"/>
      <c r="Q37" s="20"/>
    </row>
    <row r="38">
      <c r="A38" s="163"/>
      <c r="B38" s="164"/>
      <c r="C38" s="163"/>
      <c r="D38" s="164"/>
      <c r="E38" s="163"/>
      <c r="F38" s="164"/>
      <c r="G38" s="163"/>
      <c r="H38" s="164"/>
      <c r="I38" s="163"/>
      <c r="J38" s="164"/>
      <c r="K38" s="163"/>
      <c r="L38" s="164"/>
      <c r="M38" s="163"/>
      <c r="N38" s="164"/>
      <c r="O38" s="163"/>
      <c r="P38" s="20"/>
      <c r="Q38" s="20"/>
    </row>
    <row r="39">
      <c r="B39" s="158"/>
      <c r="D39" s="158"/>
      <c r="F39" s="158"/>
      <c r="H39" s="158"/>
      <c r="J39" s="158"/>
      <c r="L39" s="158"/>
      <c r="N39" s="158"/>
      <c r="P39" s="20"/>
      <c r="Q39" s="20"/>
    </row>
    <row r="40">
      <c r="B40" s="158"/>
      <c r="D40" s="158"/>
      <c r="F40" s="158"/>
      <c r="H40" s="158"/>
      <c r="J40" s="158"/>
      <c r="L40" s="158"/>
      <c r="N40" s="158"/>
      <c r="P40" s="20"/>
      <c r="Q40" s="20"/>
    </row>
    <row r="41">
      <c r="B41" s="158"/>
      <c r="D41" s="158"/>
      <c r="F41" s="158"/>
      <c r="H41" s="158"/>
      <c r="J41" s="158"/>
      <c r="L41" s="158"/>
      <c r="N41" s="158"/>
      <c r="P41" s="20"/>
      <c r="Q41" s="20"/>
    </row>
    <row r="42">
      <c r="B42" s="158"/>
      <c r="D42" s="158"/>
      <c r="F42" s="158"/>
      <c r="H42" s="158"/>
      <c r="J42" s="158"/>
      <c r="L42" s="158"/>
      <c r="N42" s="158"/>
      <c r="P42" s="20"/>
      <c r="Q42" s="20"/>
    </row>
    <row r="43">
      <c r="B43" s="158"/>
      <c r="D43" s="158"/>
      <c r="F43" s="158"/>
      <c r="H43" s="158"/>
      <c r="J43" s="158"/>
      <c r="L43" s="158"/>
      <c r="N43" s="158"/>
      <c r="P43" s="20"/>
      <c r="Q43" s="20"/>
    </row>
    <row r="44">
      <c r="B44" s="158"/>
      <c r="D44" s="158"/>
      <c r="F44" s="158"/>
      <c r="H44" s="158"/>
      <c r="J44" s="158"/>
      <c r="L44" s="158"/>
      <c r="N44" s="158"/>
      <c r="P44" s="20"/>
      <c r="Q44" s="20"/>
    </row>
    <row r="45">
      <c r="B45" s="158"/>
      <c r="D45" s="158"/>
      <c r="F45" s="158"/>
      <c r="H45" s="158"/>
      <c r="J45" s="158"/>
      <c r="L45" s="158"/>
      <c r="N45" s="158"/>
      <c r="P45" s="20"/>
      <c r="Q45" s="20"/>
    </row>
    <row r="46">
      <c r="B46" s="158"/>
      <c r="D46" s="158"/>
      <c r="F46" s="158"/>
      <c r="H46" s="158"/>
      <c r="J46" s="158"/>
      <c r="L46" s="158"/>
      <c r="N46" s="158"/>
      <c r="P46" s="20"/>
      <c r="Q46" s="20"/>
    </row>
    <row r="47">
      <c r="B47" s="158"/>
      <c r="D47" s="158"/>
      <c r="F47" s="158"/>
      <c r="H47" s="158"/>
      <c r="J47" s="158"/>
      <c r="L47" s="158"/>
      <c r="N47" s="158"/>
      <c r="P47" s="20"/>
      <c r="Q47" s="20"/>
    </row>
    <row r="48">
      <c r="B48" s="158"/>
      <c r="D48" s="158"/>
      <c r="F48" s="158"/>
      <c r="H48" s="158"/>
      <c r="J48" s="158"/>
      <c r="L48" s="158"/>
      <c r="N48" s="158"/>
      <c r="P48" s="20"/>
      <c r="Q48" s="20"/>
    </row>
    <row r="49">
      <c r="B49" s="158"/>
      <c r="D49" s="158"/>
      <c r="F49" s="158"/>
      <c r="H49" s="158"/>
      <c r="J49" s="158"/>
      <c r="L49" s="158"/>
      <c r="N49" s="158"/>
      <c r="P49" s="20"/>
      <c r="Q49" s="20"/>
    </row>
    <row r="50">
      <c r="B50" s="158"/>
      <c r="D50" s="158"/>
      <c r="F50" s="158"/>
      <c r="H50" s="158"/>
      <c r="J50" s="158"/>
      <c r="L50" s="158"/>
      <c r="N50" s="158"/>
      <c r="P50" s="20"/>
      <c r="Q50" s="20"/>
    </row>
    <row r="51">
      <c r="B51" s="158"/>
      <c r="D51" s="158"/>
      <c r="F51" s="158"/>
      <c r="H51" s="158"/>
      <c r="J51" s="158"/>
      <c r="L51" s="158"/>
      <c r="N51" s="158"/>
      <c r="P51" s="20"/>
      <c r="Q51" s="20"/>
    </row>
    <row r="52">
      <c r="B52" s="158"/>
      <c r="D52" s="158"/>
      <c r="F52" s="158"/>
      <c r="H52" s="158"/>
      <c r="J52" s="158"/>
      <c r="L52" s="158"/>
      <c r="N52" s="158"/>
      <c r="P52" s="20"/>
      <c r="Q52" s="20"/>
    </row>
    <row r="53">
      <c r="B53" s="158"/>
      <c r="D53" s="158"/>
      <c r="F53" s="158"/>
      <c r="H53" s="158"/>
      <c r="J53" s="158"/>
      <c r="L53" s="158"/>
      <c r="N53" s="158"/>
      <c r="P53" s="20"/>
      <c r="Q53" s="20"/>
    </row>
    <row r="54">
      <c r="B54" s="158"/>
      <c r="D54" s="158"/>
      <c r="F54" s="158"/>
      <c r="H54" s="158"/>
      <c r="J54" s="158"/>
      <c r="L54" s="158"/>
      <c r="N54" s="158"/>
      <c r="P54" s="20"/>
      <c r="Q54" s="20"/>
    </row>
    <row r="55">
      <c r="B55" s="158"/>
      <c r="D55" s="158"/>
      <c r="F55" s="158"/>
      <c r="H55" s="158"/>
      <c r="J55" s="158"/>
      <c r="L55" s="158"/>
      <c r="N55" s="158"/>
      <c r="P55" s="20"/>
      <c r="Q55" s="20"/>
    </row>
    <row r="56">
      <c r="B56" s="158"/>
      <c r="D56" s="158"/>
      <c r="F56" s="158"/>
      <c r="H56" s="158"/>
      <c r="J56" s="158"/>
      <c r="L56" s="158"/>
      <c r="N56" s="158"/>
      <c r="P56" s="20"/>
      <c r="Q56" s="20"/>
    </row>
    <row r="57">
      <c r="B57" s="158"/>
      <c r="D57" s="158"/>
      <c r="F57" s="158"/>
      <c r="H57" s="158"/>
      <c r="J57" s="158"/>
      <c r="L57" s="158"/>
      <c r="N57" s="158"/>
      <c r="P57" s="20"/>
      <c r="Q57" s="20"/>
    </row>
    <row r="58">
      <c r="B58" s="158"/>
      <c r="D58" s="158"/>
      <c r="F58" s="158"/>
      <c r="H58" s="158"/>
      <c r="J58" s="158"/>
      <c r="L58" s="158"/>
      <c r="N58" s="158"/>
      <c r="P58" s="20"/>
      <c r="Q58" s="20"/>
    </row>
    <row r="59">
      <c r="B59" s="158"/>
      <c r="D59" s="158"/>
      <c r="F59" s="158"/>
      <c r="H59" s="158"/>
      <c r="J59" s="158"/>
      <c r="L59" s="158"/>
      <c r="N59" s="158"/>
      <c r="P59" s="20"/>
      <c r="Q59" s="20"/>
    </row>
    <row r="60">
      <c r="B60" s="158"/>
      <c r="D60" s="158"/>
      <c r="F60" s="158"/>
      <c r="H60" s="158"/>
      <c r="J60" s="158"/>
      <c r="L60" s="158"/>
      <c r="N60" s="158"/>
      <c r="P60" s="20"/>
      <c r="Q60" s="20"/>
    </row>
    <row r="61">
      <c r="B61" s="158"/>
      <c r="D61" s="158"/>
      <c r="F61" s="158"/>
      <c r="H61" s="158"/>
      <c r="J61" s="158"/>
      <c r="L61" s="158"/>
      <c r="N61" s="158"/>
      <c r="P61" s="20"/>
      <c r="Q61" s="20"/>
    </row>
    <row r="62">
      <c r="B62" s="158"/>
      <c r="D62" s="158"/>
      <c r="F62" s="158"/>
      <c r="H62" s="158"/>
      <c r="J62" s="158"/>
      <c r="L62" s="158"/>
      <c r="N62" s="158"/>
      <c r="P62" s="20"/>
      <c r="Q62" s="20"/>
    </row>
    <row r="63">
      <c r="B63" s="158"/>
      <c r="D63" s="158"/>
      <c r="F63" s="158"/>
      <c r="H63" s="158"/>
      <c r="J63" s="158"/>
      <c r="L63" s="158"/>
      <c r="N63" s="158"/>
      <c r="P63" s="20"/>
      <c r="Q63" s="20"/>
    </row>
    <row r="64">
      <c r="B64" s="158"/>
      <c r="D64" s="158"/>
      <c r="F64" s="158"/>
      <c r="H64" s="158"/>
      <c r="J64" s="158"/>
      <c r="L64" s="158"/>
      <c r="N64" s="158"/>
      <c r="P64" s="20"/>
      <c r="Q64" s="20"/>
    </row>
    <row r="65">
      <c r="B65" s="158"/>
      <c r="D65" s="158"/>
      <c r="F65" s="158"/>
      <c r="H65" s="158"/>
      <c r="J65" s="158"/>
      <c r="L65" s="158"/>
      <c r="N65" s="158"/>
      <c r="P65" s="20"/>
      <c r="Q65" s="20"/>
    </row>
    <row r="66">
      <c r="B66" s="158"/>
      <c r="D66" s="158"/>
      <c r="F66" s="158"/>
      <c r="H66" s="158"/>
      <c r="J66" s="158"/>
      <c r="L66" s="158"/>
      <c r="N66" s="158"/>
      <c r="P66" s="20"/>
      <c r="Q66" s="20"/>
    </row>
    <row r="67">
      <c r="B67" s="158"/>
      <c r="D67" s="158"/>
      <c r="F67" s="158"/>
      <c r="H67" s="158"/>
      <c r="J67" s="158"/>
      <c r="L67" s="158"/>
      <c r="N67" s="158"/>
      <c r="P67" s="20"/>
      <c r="Q67" s="20"/>
    </row>
    <row r="68">
      <c r="B68" s="158"/>
      <c r="D68" s="158"/>
      <c r="F68" s="158"/>
      <c r="H68" s="158"/>
      <c r="J68" s="158"/>
      <c r="L68" s="158"/>
      <c r="N68" s="158"/>
      <c r="P68" s="20"/>
      <c r="Q68" s="20"/>
    </row>
    <row r="69">
      <c r="B69" s="158"/>
      <c r="D69" s="158"/>
      <c r="F69" s="158"/>
      <c r="H69" s="158"/>
      <c r="J69" s="158"/>
      <c r="L69" s="158"/>
      <c r="N69" s="158"/>
      <c r="P69" s="20"/>
      <c r="Q69" s="20"/>
    </row>
    <row r="70">
      <c r="B70" s="158"/>
      <c r="D70" s="158"/>
      <c r="F70" s="158"/>
      <c r="H70" s="158"/>
      <c r="J70" s="158"/>
      <c r="L70" s="158"/>
      <c r="N70" s="158"/>
      <c r="P70" s="20"/>
      <c r="Q70" s="20"/>
    </row>
    <row r="71">
      <c r="B71" s="158"/>
      <c r="D71" s="158"/>
      <c r="F71" s="158"/>
      <c r="H71" s="158"/>
      <c r="J71" s="158"/>
      <c r="L71" s="158"/>
      <c r="N71" s="158"/>
      <c r="P71" s="20"/>
      <c r="Q71" s="20"/>
    </row>
    <row r="72">
      <c r="B72" s="158"/>
      <c r="D72" s="158"/>
      <c r="F72" s="158"/>
      <c r="H72" s="158"/>
      <c r="J72" s="158"/>
      <c r="L72" s="158"/>
      <c r="N72" s="158"/>
      <c r="P72" s="20"/>
      <c r="Q72" s="20"/>
    </row>
    <row r="73">
      <c r="B73" s="158"/>
      <c r="D73" s="158"/>
      <c r="F73" s="158"/>
      <c r="H73" s="158"/>
      <c r="J73" s="158"/>
      <c r="L73" s="158"/>
      <c r="N73" s="158"/>
      <c r="P73" s="20"/>
      <c r="Q73" s="20"/>
    </row>
    <row r="74">
      <c r="B74" s="158"/>
      <c r="D74" s="158"/>
      <c r="F74" s="158"/>
      <c r="H74" s="158"/>
      <c r="J74" s="158"/>
      <c r="L74" s="158"/>
      <c r="N74" s="158"/>
      <c r="P74" s="20"/>
      <c r="Q74" s="20"/>
    </row>
    <row r="75">
      <c r="B75" s="158"/>
      <c r="D75" s="158"/>
      <c r="F75" s="158"/>
      <c r="H75" s="158"/>
      <c r="J75" s="158"/>
      <c r="L75" s="158"/>
      <c r="N75" s="158"/>
      <c r="P75" s="20"/>
      <c r="Q75" s="20"/>
    </row>
    <row r="76">
      <c r="B76" s="158"/>
      <c r="D76" s="158"/>
      <c r="F76" s="158"/>
      <c r="H76" s="158"/>
      <c r="J76" s="158"/>
      <c r="L76" s="158"/>
      <c r="N76" s="158"/>
      <c r="P76" s="20"/>
      <c r="Q76" s="20"/>
    </row>
    <row r="77">
      <c r="B77" s="158"/>
      <c r="D77" s="158"/>
      <c r="F77" s="158"/>
      <c r="H77" s="158"/>
      <c r="J77" s="158"/>
      <c r="L77" s="158"/>
      <c r="N77" s="158"/>
      <c r="P77" s="20"/>
      <c r="Q77" s="20"/>
    </row>
    <row r="78">
      <c r="B78" s="158"/>
      <c r="D78" s="158"/>
      <c r="F78" s="158"/>
      <c r="H78" s="158"/>
      <c r="J78" s="158"/>
      <c r="L78" s="158"/>
      <c r="N78" s="158"/>
      <c r="P78" s="20"/>
      <c r="Q78" s="20"/>
    </row>
    <row r="79">
      <c r="B79" s="158"/>
      <c r="D79" s="158"/>
      <c r="F79" s="158"/>
      <c r="H79" s="158"/>
      <c r="J79" s="158"/>
      <c r="L79" s="158"/>
      <c r="N79" s="158"/>
      <c r="P79" s="20"/>
      <c r="Q79" s="20"/>
    </row>
    <row r="80">
      <c r="B80" s="158"/>
      <c r="D80" s="158"/>
      <c r="F80" s="158"/>
      <c r="H80" s="158"/>
      <c r="J80" s="158"/>
      <c r="L80" s="158"/>
      <c r="N80" s="158"/>
      <c r="P80" s="20"/>
      <c r="Q80" s="20"/>
    </row>
    <row r="81">
      <c r="B81" s="158"/>
      <c r="D81" s="158"/>
      <c r="F81" s="158"/>
      <c r="H81" s="158"/>
      <c r="J81" s="158"/>
      <c r="L81" s="158"/>
      <c r="N81" s="158"/>
      <c r="P81" s="20"/>
      <c r="Q81" s="20"/>
    </row>
    <row r="82">
      <c r="B82" s="158"/>
      <c r="D82" s="158"/>
      <c r="F82" s="158"/>
      <c r="H82" s="158"/>
      <c r="J82" s="158"/>
      <c r="L82" s="158"/>
      <c r="N82" s="158"/>
      <c r="P82" s="20"/>
      <c r="Q82" s="20"/>
    </row>
    <row r="83">
      <c r="B83" s="158"/>
      <c r="D83" s="158"/>
      <c r="F83" s="158"/>
      <c r="H83" s="158"/>
      <c r="J83" s="158"/>
      <c r="L83" s="158"/>
      <c r="N83" s="158"/>
      <c r="P83" s="20"/>
      <c r="Q83" s="20"/>
    </row>
    <row r="84">
      <c r="B84" s="158"/>
      <c r="D84" s="158"/>
      <c r="F84" s="158"/>
      <c r="H84" s="158"/>
      <c r="J84" s="158"/>
      <c r="L84" s="158"/>
      <c r="N84" s="158"/>
      <c r="P84" s="20"/>
      <c r="Q84" s="20"/>
    </row>
    <row r="85">
      <c r="B85" s="158"/>
      <c r="D85" s="158"/>
      <c r="F85" s="158"/>
      <c r="H85" s="158"/>
      <c r="J85" s="158"/>
      <c r="L85" s="158"/>
      <c r="N85" s="158"/>
      <c r="P85" s="20"/>
      <c r="Q85" s="20"/>
    </row>
    <row r="86">
      <c r="B86" s="158"/>
      <c r="D86" s="158"/>
      <c r="F86" s="158"/>
      <c r="H86" s="158"/>
      <c r="J86" s="158"/>
      <c r="L86" s="158"/>
      <c r="N86" s="158"/>
      <c r="P86" s="20"/>
      <c r="Q86" s="20"/>
    </row>
    <row r="87">
      <c r="B87" s="158"/>
      <c r="D87" s="158"/>
      <c r="F87" s="158"/>
      <c r="H87" s="158"/>
      <c r="J87" s="158"/>
      <c r="L87" s="158"/>
      <c r="N87" s="158"/>
      <c r="P87" s="20"/>
      <c r="Q87" s="20"/>
    </row>
    <row r="88">
      <c r="B88" s="158"/>
      <c r="D88" s="158"/>
      <c r="F88" s="158"/>
      <c r="H88" s="158"/>
      <c r="J88" s="158"/>
      <c r="L88" s="158"/>
      <c r="N88" s="158"/>
      <c r="P88" s="20"/>
      <c r="Q88" s="20"/>
    </row>
    <row r="89">
      <c r="B89" s="158"/>
      <c r="D89" s="158"/>
      <c r="F89" s="158"/>
      <c r="H89" s="158"/>
      <c r="J89" s="158"/>
      <c r="L89" s="158"/>
      <c r="N89" s="158"/>
      <c r="P89" s="20"/>
      <c r="Q89" s="20"/>
    </row>
    <row r="90">
      <c r="B90" s="158"/>
      <c r="D90" s="158"/>
      <c r="F90" s="158"/>
      <c r="H90" s="158"/>
      <c r="J90" s="158"/>
      <c r="L90" s="158"/>
      <c r="N90" s="158"/>
      <c r="P90" s="20"/>
      <c r="Q90" s="20"/>
    </row>
    <row r="91">
      <c r="B91" s="158"/>
      <c r="D91" s="158"/>
      <c r="F91" s="158"/>
      <c r="H91" s="158"/>
      <c r="J91" s="158"/>
      <c r="L91" s="158"/>
      <c r="N91" s="158"/>
      <c r="P91" s="20"/>
      <c r="Q91" s="20"/>
    </row>
    <row r="92">
      <c r="B92" s="158"/>
      <c r="D92" s="158"/>
      <c r="F92" s="158"/>
      <c r="H92" s="158"/>
      <c r="J92" s="158"/>
      <c r="L92" s="158"/>
      <c r="N92" s="158"/>
      <c r="P92" s="20"/>
      <c r="Q92" s="20"/>
    </row>
    <row r="93">
      <c r="B93" s="158"/>
      <c r="D93" s="158"/>
      <c r="F93" s="158"/>
      <c r="H93" s="158"/>
      <c r="J93" s="158"/>
      <c r="L93" s="158"/>
      <c r="N93" s="158"/>
      <c r="P93" s="20"/>
      <c r="Q93" s="20"/>
    </row>
    <row r="94">
      <c r="B94" s="158"/>
      <c r="D94" s="158"/>
      <c r="F94" s="158"/>
      <c r="H94" s="158"/>
      <c r="J94" s="158"/>
      <c r="L94" s="158"/>
      <c r="N94" s="158"/>
      <c r="P94" s="20"/>
      <c r="Q94" s="20"/>
    </row>
    <row r="95">
      <c r="B95" s="158"/>
      <c r="D95" s="158"/>
      <c r="F95" s="158"/>
      <c r="H95" s="158"/>
      <c r="J95" s="158"/>
      <c r="L95" s="158"/>
      <c r="N95" s="158"/>
      <c r="P95" s="20"/>
      <c r="Q95" s="20"/>
    </row>
    <row r="96">
      <c r="B96" s="158"/>
      <c r="D96" s="158"/>
      <c r="F96" s="158"/>
      <c r="H96" s="158"/>
      <c r="J96" s="158"/>
      <c r="L96" s="158"/>
      <c r="N96" s="158"/>
      <c r="P96" s="20"/>
      <c r="Q96" s="20"/>
    </row>
    <row r="97">
      <c r="B97" s="158"/>
      <c r="D97" s="158"/>
      <c r="F97" s="158"/>
      <c r="H97" s="158"/>
      <c r="J97" s="158"/>
      <c r="L97" s="158"/>
      <c r="N97" s="158"/>
      <c r="P97" s="20"/>
      <c r="Q97" s="20"/>
    </row>
    <row r="98">
      <c r="B98" s="158"/>
      <c r="D98" s="158"/>
      <c r="F98" s="158"/>
      <c r="H98" s="158"/>
      <c r="J98" s="158"/>
      <c r="L98" s="158"/>
      <c r="N98" s="158"/>
      <c r="P98" s="20"/>
      <c r="Q98" s="20"/>
    </row>
    <row r="99">
      <c r="B99" s="158"/>
      <c r="D99" s="158"/>
      <c r="F99" s="158"/>
      <c r="H99" s="158"/>
      <c r="J99" s="158"/>
      <c r="L99" s="158"/>
      <c r="N99" s="158"/>
      <c r="P99" s="20"/>
      <c r="Q99" s="20"/>
    </row>
    <row r="100">
      <c r="B100" s="158"/>
      <c r="D100" s="158"/>
      <c r="F100" s="158"/>
      <c r="H100" s="158"/>
      <c r="J100" s="158"/>
      <c r="L100" s="158"/>
      <c r="N100" s="158"/>
      <c r="P100" s="20"/>
      <c r="Q100" s="20"/>
    </row>
    <row r="101">
      <c r="B101" s="158"/>
      <c r="D101" s="158"/>
      <c r="F101" s="158"/>
      <c r="H101" s="158"/>
      <c r="J101" s="158"/>
      <c r="L101" s="158"/>
      <c r="N101" s="158"/>
      <c r="P101" s="20"/>
      <c r="Q101" s="20"/>
    </row>
    <row r="102">
      <c r="B102" s="158"/>
      <c r="D102" s="158"/>
      <c r="F102" s="158"/>
      <c r="H102" s="158"/>
      <c r="J102" s="158"/>
      <c r="L102" s="158"/>
      <c r="N102" s="158"/>
      <c r="P102" s="20"/>
      <c r="Q102" s="20"/>
    </row>
    <row r="103">
      <c r="B103" s="158"/>
      <c r="D103" s="158"/>
      <c r="F103" s="158"/>
      <c r="H103" s="158"/>
      <c r="J103" s="158"/>
      <c r="L103" s="158"/>
      <c r="N103" s="158"/>
      <c r="P103" s="20"/>
      <c r="Q103" s="20"/>
    </row>
    <row r="104">
      <c r="B104" s="158"/>
      <c r="D104" s="158"/>
      <c r="F104" s="158"/>
      <c r="H104" s="158"/>
      <c r="J104" s="158"/>
      <c r="L104" s="158"/>
      <c r="N104" s="158"/>
      <c r="P104" s="20"/>
      <c r="Q104" s="20"/>
    </row>
    <row r="105">
      <c r="B105" s="158"/>
      <c r="D105" s="158"/>
      <c r="F105" s="158"/>
      <c r="H105" s="158"/>
      <c r="J105" s="158"/>
      <c r="L105" s="158"/>
      <c r="N105" s="158"/>
      <c r="P105" s="20"/>
      <c r="Q105" s="20"/>
    </row>
    <row r="106">
      <c r="B106" s="158"/>
      <c r="D106" s="158"/>
      <c r="F106" s="158"/>
      <c r="H106" s="158"/>
      <c r="J106" s="158"/>
      <c r="L106" s="158"/>
      <c r="N106" s="158"/>
      <c r="P106" s="20"/>
      <c r="Q106" s="20"/>
    </row>
    <row r="107">
      <c r="B107" s="158"/>
      <c r="D107" s="158"/>
      <c r="F107" s="158"/>
      <c r="H107" s="158"/>
      <c r="J107" s="158"/>
      <c r="L107" s="158"/>
      <c r="N107" s="158"/>
      <c r="P107" s="20"/>
      <c r="Q107" s="20"/>
    </row>
    <row r="108">
      <c r="B108" s="158"/>
      <c r="D108" s="158"/>
      <c r="F108" s="158"/>
      <c r="H108" s="158"/>
      <c r="J108" s="158"/>
      <c r="L108" s="158"/>
      <c r="N108" s="158"/>
      <c r="P108" s="20"/>
      <c r="Q108" s="20"/>
    </row>
    <row r="109">
      <c r="B109" s="158"/>
      <c r="D109" s="158"/>
      <c r="F109" s="158"/>
      <c r="H109" s="158"/>
      <c r="J109" s="158"/>
      <c r="L109" s="158"/>
      <c r="N109" s="158"/>
      <c r="P109" s="20"/>
      <c r="Q109" s="20"/>
    </row>
    <row r="110">
      <c r="B110" s="158"/>
      <c r="D110" s="158"/>
      <c r="F110" s="158"/>
      <c r="H110" s="158"/>
      <c r="J110" s="158"/>
      <c r="L110" s="158"/>
      <c r="N110" s="158"/>
      <c r="P110" s="20"/>
      <c r="Q110" s="20"/>
    </row>
    <row r="111">
      <c r="B111" s="158"/>
      <c r="D111" s="158"/>
      <c r="F111" s="158"/>
      <c r="H111" s="158"/>
      <c r="J111" s="158"/>
      <c r="L111" s="158"/>
      <c r="N111" s="158"/>
      <c r="P111" s="20"/>
      <c r="Q111" s="20"/>
    </row>
    <row r="112">
      <c r="B112" s="158"/>
      <c r="D112" s="158"/>
      <c r="F112" s="158"/>
      <c r="H112" s="158"/>
      <c r="J112" s="158"/>
      <c r="L112" s="158"/>
      <c r="N112" s="158"/>
      <c r="P112" s="20"/>
      <c r="Q112" s="20"/>
    </row>
    <row r="113">
      <c r="B113" s="158"/>
      <c r="D113" s="158"/>
      <c r="F113" s="158"/>
      <c r="H113" s="158"/>
      <c r="J113" s="158"/>
      <c r="L113" s="158"/>
      <c r="N113" s="158"/>
      <c r="P113" s="20"/>
      <c r="Q113" s="20"/>
    </row>
    <row r="114">
      <c r="B114" s="158"/>
      <c r="D114" s="158"/>
      <c r="F114" s="158"/>
      <c r="H114" s="158"/>
      <c r="J114" s="158"/>
      <c r="L114" s="158"/>
      <c r="N114" s="158"/>
      <c r="P114" s="20"/>
      <c r="Q114" s="20"/>
    </row>
    <row r="115">
      <c r="B115" s="158"/>
      <c r="D115" s="158"/>
      <c r="F115" s="158"/>
      <c r="H115" s="158"/>
      <c r="J115" s="158"/>
      <c r="L115" s="158"/>
      <c r="N115" s="158"/>
      <c r="P115" s="20"/>
      <c r="Q115" s="20"/>
    </row>
    <row r="116">
      <c r="B116" s="158"/>
      <c r="D116" s="158"/>
      <c r="F116" s="158"/>
      <c r="H116" s="158"/>
      <c r="J116" s="158"/>
      <c r="L116" s="158"/>
      <c r="N116" s="158"/>
      <c r="P116" s="20"/>
      <c r="Q116" s="20"/>
    </row>
    <row r="117">
      <c r="B117" s="158"/>
      <c r="D117" s="158"/>
      <c r="F117" s="158"/>
      <c r="H117" s="158"/>
      <c r="J117" s="158"/>
      <c r="L117" s="158"/>
      <c r="N117" s="158"/>
      <c r="P117" s="20"/>
      <c r="Q117" s="20"/>
    </row>
    <row r="118">
      <c r="B118" s="158"/>
      <c r="D118" s="158"/>
      <c r="F118" s="158"/>
      <c r="H118" s="158"/>
      <c r="J118" s="158"/>
      <c r="L118" s="158"/>
      <c r="N118" s="158"/>
      <c r="P118" s="20"/>
      <c r="Q118" s="20"/>
    </row>
    <row r="119">
      <c r="B119" s="158"/>
      <c r="D119" s="158"/>
      <c r="F119" s="158"/>
      <c r="H119" s="158"/>
      <c r="J119" s="158"/>
      <c r="L119" s="158"/>
      <c r="N119" s="158"/>
      <c r="P119" s="20"/>
      <c r="Q119" s="20"/>
    </row>
    <row r="120">
      <c r="B120" s="158"/>
      <c r="D120" s="158"/>
      <c r="F120" s="158"/>
      <c r="H120" s="158"/>
      <c r="J120" s="158"/>
      <c r="L120" s="158"/>
      <c r="N120" s="158"/>
      <c r="P120" s="20"/>
      <c r="Q120" s="20"/>
    </row>
    <row r="121">
      <c r="B121" s="158"/>
      <c r="D121" s="158"/>
      <c r="F121" s="158"/>
      <c r="H121" s="158"/>
      <c r="J121" s="158"/>
      <c r="L121" s="158"/>
      <c r="N121" s="158"/>
      <c r="P121" s="20"/>
      <c r="Q121" s="20"/>
    </row>
    <row r="122">
      <c r="B122" s="158"/>
      <c r="D122" s="158"/>
      <c r="F122" s="158"/>
      <c r="H122" s="158"/>
      <c r="J122" s="158"/>
      <c r="L122" s="158"/>
      <c r="N122" s="158"/>
      <c r="P122" s="20"/>
      <c r="Q122" s="20"/>
    </row>
    <row r="123">
      <c r="B123" s="158"/>
      <c r="D123" s="158"/>
      <c r="F123" s="158"/>
      <c r="H123" s="158"/>
      <c r="J123" s="158"/>
      <c r="L123" s="158"/>
      <c r="N123" s="158"/>
      <c r="P123" s="20"/>
      <c r="Q123" s="20"/>
    </row>
    <row r="124">
      <c r="B124" s="158"/>
      <c r="D124" s="158"/>
      <c r="F124" s="158"/>
      <c r="H124" s="158"/>
      <c r="J124" s="158"/>
      <c r="L124" s="158"/>
      <c r="N124" s="158"/>
      <c r="P124" s="20"/>
      <c r="Q124" s="20"/>
    </row>
    <row r="125">
      <c r="B125" s="158"/>
      <c r="D125" s="158"/>
      <c r="F125" s="158"/>
      <c r="H125" s="158"/>
      <c r="J125" s="158"/>
      <c r="L125" s="158"/>
      <c r="N125" s="158"/>
      <c r="P125" s="20"/>
      <c r="Q125" s="20"/>
    </row>
    <row r="126">
      <c r="B126" s="158"/>
      <c r="D126" s="158"/>
      <c r="F126" s="158"/>
      <c r="H126" s="158"/>
      <c r="J126" s="158"/>
      <c r="L126" s="158"/>
      <c r="N126" s="158"/>
      <c r="P126" s="20"/>
      <c r="Q126" s="20"/>
    </row>
    <row r="127">
      <c r="B127" s="158"/>
      <c r="D127" s="158"/>
      <c r="F127" s="158"/>
      <c r="H127" s="158"/>
      <c r="J127" s="158"/>
      <c r="L127" s="158"/>
      <c r="N127" s="158"/>
      <c r="P127" s="20"/>
      <c r="Q127" s="20"/>
    </row>
    <row r="128">
      <c r="B128" s="158"/>
      <c r="D128" s="158"/>
      <c r="F128" s="158"/>
      <c r="H128" s="158"/>
      <c r="J128" s="158"/>
      <c r="L128" s="158"/>
      <c r="N128" s="158"/>
      <c r="P128" s="20"/>
      <c r="Q128" s="20"/>
    </row>
    <row r="129">
      <c r="B129" s="158"/>
      <c r="D129" s="158"/>
      <c r="F129" s="158"/>
      <c r="H129" s="158"/>
      <c r="J129" s="158"/>
      <c r="L129" s="158"/>
      <c r="N129" s="158"/>
      <c r="P129" s="20"/>
      <c r="Q129" s="20"/>
    </row>
    <row r="130">
      <c r="B130" s="158"/>
      <c r="D130" s="158"/>
      <c r="F130" s="158"/>
      <c r="H130" s="158"/>
      <c r="J130" s="158"/>
      <c r="L130" s="158"/>
      <c r="N130" s="158"/>
      <c r="P130" s="20"/>
      <c r="Q130" s="20"/>
    </row>
    <row r="131">
      <c r="B131" s="158"/>
      <c r="D131" s="158"/>
      <c r="F131" s="158"/>
      <c r="H131" s="158"/>
      <c r="J131" s="158"/>
      <c r="L131" s="158"/>
      <c r="N131" s="158"/>
      <c r="P131" s="20"/>
      <c r="Q131" s="20"/>
    </row>
    <row r="132">
      <c r="B132" s="158"/>
      <c r="D132" s="158"/>
      <c r="F132" s="158"/>
      <c r="H132" s="158"/>
      <c r="J132" s="158"/>
      <c r="L132" s="158"/>
      <c r="N132" s="158"/>
      <c r="P132" s="20"/>
      <c r="Q132" s="20"/>
    </row>
    <row r="133">
      <c r="B133" s="158"/>
      <c r="D133" s="158"/>
      <c r="F133" s="158"/>
      <c r="H133" s="158"/>
      <c r="J133" s="158"/>
      <c r="L133" s="158"/>
      <c r="N133" s="158"/>
      <c r="P133" s="20"/>
      <c r="Q133" s="20"/>
    </row>
    <row r="134">
      <c r="B134" s="158"/>
      <c r="D134" s="158"/>
      <c r="F134" s="158"/>
      <c r="H134" s="158"/>
      <c r="J134" s="158"/>
      <c r="L134" s="158"/>
      <c r="N134" s="158"/>
      <c r="P134" s="20"/>
      <c r="Q134" s="20"/>
    </row>
    <row r="135">
      <c r="B135" s="158"/>
      <c r="D135" s="158"/>
      <c r="F135" s="158"/>
      <c r="H135" s="158"/>
      <c r="J135" s="158"/>
      <c r="L135" s="158"/>
      <c r="N135" s="158"/>
      <c r="P135" s="20"/>
      <c r="Q135" s="20"/>
    </row>
    <row r="136">
      <c r="B136" s="158"/>
      <c r="D136" s="158"/>
      <c r="F136" s="158"/>
      <c r="H136" s="158"/>
      <c r="J136" s="158"/>
      <c r="L136" s="158"/>
      <c r="N136" s="158"/>
      <c r="P136" s="20"/>
      <c r="Q136" s="20"/>
    </row>
    <row r="137">
      <c r="B137" s="158"/>
      <c r="D137" s="158"/>
      <c r="F137" s="158"/>
      <c r="H137" s="158"/>
      <c r="J137" s="158"/>
      <c r="L137" s="158"/>
      <c r="N137" s="158"/>
      <c r="P137" s="20"/>
      <c r="Q137" s="20"/>
    </row>
    <row r="138">
      <c r="B138" s="158"/>
      <c r="D138" s="158"/>
      <c r="F138" s="158"/>
      <c r="H138" s="158"/>
      <c r="J138" s="158"/>
      <c r="L138" s="158"/>
      <c r="N138" s="158"/>
      <c r="P138" s="20"/>
      <c r="Q138" s="20"/>
    </row>
    <row r="139">
      <c r="B139" s="158"/>
      <c r="D139" s="158"/>
      <c r="F139" s="158"/>
      <c r="H139" s="158"/>
      <c r="J139" s="158"/>
      <c r="L139" s="158"/>
      <c r="N139" s="158"/>
      <c r="P139" s="20"/>
      <c r="Q139" s="20"/>
    </row>
    <row r="140">
      <c r="B140" s="158"/>
      <c r="D140" s="158"/>
      <c r="F140" s="158"/>
      <c r="H140" s="158"/>
      <c r="J140" s="158"/>
      <c r="L140" s="158"/>
      <c r="N140" s="158"/>
      <c r="P140" s="20"/>
      <c r="Q140" s="20"/>
    </row>
    <row r="141">
      <c r="B141" s="158"/>
      <c r="D141" s="158"/>
      <c r="F141" s="158"/>
      <c r="H141" s="158"/>
      <c r="J141" s="158"/>
      <c r="L141" s="158"/>
      <c r="N141" s="158"/>
      <c r="P141" s="20"/>
      <c r="Q141" s="20"/>
    </row>
    <row r="142">
      <c r="B142" s="158"/>
      <c r="D142" s="158"/>
      <c r="F142" s="158"/>
      <c r="H142" s="158"/>
      <c r="J142" s="158"/>
      <c r="L142" s="158"/>
      <c r="N142" s="158"/>
      <c r="P142" s="20"/>
      <c r="Q142" s="20"/>
    </row>
    <row r="143">
      <c r="B143" s="158"/>
      <c r="D143" s="158"/>
      <c r="F143" s="158"/>
      <c r="H143" s="158"/>
      <c r="J143" s="158"/>
      <c r="L143" s="158"/>
      <c r="N143" s="158"/>
      <c r="P143" s="20"/>
      <c r="Q143" s="20"/>
    </row>
    <row r="144">
      <c r="B144" s="158"/>
      <c r="D144" s="158"/>
      <c r="F144" s="158"/>
      <c r="H144" s="158"/>
      <c r="J144" s="158"/>
      <c r="L144" s="158"/>
      <c r="N144" s="158"/>
      <c r="P144" s="20"/>
      <c r="Q144" s="20"/>
    </row>
    <row r="145">
      <c r="B145" s="158"/>
      <c r="D145" s="158"/>
      <c r="F145" s="158"/>
      <c r="H145" s="158"/>
      <c r="J145" s="158"/>
      <c r="L145" s="158"/>
      <c r="N145" s="158"/>
      <c r="P145" s="20"/>
      <c r="Q145" s="20"/>
    </row>
    <row r="146">
      <c r="B146" s="158"/>
      <c r="D146" s="158"/>
      <c r="F146" s="158"/>
      <c r="H146" s="158"/>
      <c r="J146" s="158"/>
      <c r="L146" s="158"/>
      <c r="N146" s="158"/>
      <c r="P146" s="20"/>
      <c r="Q146" s="20"/>
    </row>
    <row r="147">
      <c r="B147" s="158"/>
      <c r="D147" s="158"/>
      <c r="F147" s="158"/>
      <c r="H147" s="158"/>
      <c r="J147" s="158"/>
      <c r="L147" s="158"/>
      <c r="N147" s="158"/>
      <c r="P147" s="20"/>
      <c r="Q147" s="20"/>
    </row>
    <row r="148">
      <c r="B148" s="158"/>
      <c r="D148" s="158"/>
      <c r="F148" s="158"/>
      <c r="H148" s="158"/>
      <c r="J148" s="158"/>
      <c r="L148" s="158"/>
      <c r="N148" s="158"/>
      <c r="P148" s="20"/>
      <c r="Q148" s="20"/>
    </row>
    <row r="149">
      <c r="B149" s="158"/>
      <c r="D149" s="158"/>
      <c r="F149" s="158"/>
      <c r="H149" s="158"/>
      <c r="J149" s="158"/>
      <c r="L149" s="158"/>
      <c r="N149" s="158"/>
      <c r="P149" s="20"/>
      <c r="Q149" s="20"/>
    </row>
    <row r="150">
      <c r="B150" s="158"/>
      <c r="D150" s="158"/>
      <c r="F150" s="158"/>
      <c r="H150" s="158"/>
      <c r="J150" s="158"/>
      <c r="L150" s="158"/>
      <c r="N150" s="158"/>
      <c r="P150" s="20"/>
      <c r="Q150" s="20"/>
    </row>
    <row r="151">
      <c r="B151" s="158"/>
      <c r="D151" s="158"/>
      <c r="F151" s="158"/>
      <c r="H151" s="158"/>
      <c r="J151" s="158"/>
      <c r="L151" s="158"/>
      <c r="N151" s="158"/>
      <c r="P151" s="20"/>
      <c r="Q151" s="20"/>
    </row>
    <row r="152">
      <c r="B152" s="158"/>
      <c r="D152" s="158"/>
      <c r="F152" s="158"/>
      <c r="H152" s="158"/>
      <c r="J152" s="158"/>
      <c r="L152" s="158"/>
      <c r="N152" s="158"/>
      <c r="P152" s="20"/>
      <c r="Q152" s="20"/>
    </row>
    <row r="153">
      <c r="B153" s="158"/>
      <c r="D153" s="158"/>
      <c r="F153" s="158"/>
      <c r="H153" s="158"/>
      <c r="J153" s="158"/>
      <c r="L153" s="158"/>
      <c r="N153" s="158"/>
      <c r="P153" s="20"/>
      <c r="Q153" s="20"/>
    </row>
    <row r="154">
      <c r="B154" s="158"/>
      <c r="D154" s="158"/>
      <c r="F154" s="158"/>
      <c r="H154" s="158"/>
      <c r="J154" s="158"/>
      <c r="L154" s="158"/>
      <c r="N154" s="158"/>
      <c r="P154" s="20"/>
      <c r="Q154" s="20"/>
    </row>
    <row r="155">
      <c r="B155" s="158"/>
      <c r="D155" s="158"/>
      <c r="F155" s="158"/>
      <c r="H155" s="158"/>
      <c r="J155" s="158"/>
      <c r="L155" s="158"/>
      <c r="N155" s="158"/>
      <c r="P155" s="20"/>
      <c r="Q155" s="20"/>
    </row>
    <row r="156">
      <c r="B156" s="158"/>
      <c r="D156" s="158"/>
      <c r="F156" s="158"/>
      <c r="H156" s="158"/>
      <c r="J156" s="158"/>
      <c r="L156" s="158"/>
      <c r="N156" s="158"/>
      <c r="P156" s="20"/>
      <c r="Q156" s="20"/>
    </row>
    <row r="157">
      <c r="B157" s="158"/>
      <c r="D157" s="158"/>
      <c r="F157" s="158"/>
      <c r="H157" s="158"/>
      <c r="J157" s="158"/>
      <c r="L157" s="158"/>
      <c r="N157" s="158"/>
      <c r="P157" s="20"/>
      <c r="Q157" s="20"/>
    </row>
    <row r="158">
      <c r="B158" s="158"/>
      <c r="D158" s="158"/>
      <c r="F158" s="158"/>
      <c r="H158" s="158"/>
      <c r="J158" s="158"/>
      <c r="L158" s="158"/>
      <c r="N158" s="158"/>
      <c r="P158" s="20"/>
      <c r="Q158" s="20"/>
    </row>
    <row r="159">
      <c r="B159" s="158"/>
      <c r="D159" s="158"/>
      <c r="F159" s="158"/>
      <c r="H159" s="158"/>
      <c r="J159" s="158"/>
      <c r="L159" s="158"/>
      <c r="N159" s="158"/>
      <c r="P159" s="20"/>
      <c r="Q159" s="20"/>
    </row>
    <row r="160">
      <c r="B160" s="158"/>
      <c r="D160" s="158"/>
      <c r="F160" s="158"/>
      <c r="H160" s="158"/>
      <c r="J160" s="158"/>
      <c r="L160" s="158"/>
      <c r="N160" s="158"/>
      <c r="P160" s="20"/>
      <c r="Q160" s="20"/>
    </row>
    <row r="161">
      <c r="B161" s="158"/>
      <c r="D161" s="158"/>
      <c r="F161" s="158"/>
      <c r="H161" s="158"/>
      <c r="J161" s="158"/>
      <c r="L161" s="158"/>
      <c r="N161" s="158"/>
      <c r="P161" s="20"/>
      <c r="Q161" s="20"/>
    </row>
    <row r="162">
      <c r="B162" s="158"/>
      <c r="D162" s="158"/>
      <c r="F162" s="158"/>
      <c r="H162" s="158"/>
      <c r="J162" s="158"/>
      <c r="L162" s="158"/>
      <c r="N162" s="158"/>
      <c r="P162" s="20"/>
      <c r="Q162" s="20"/>
    </row>
    <row r="163">
      <c r="B163" s="158"/>
      <c r="D163" s="158"/>
      <c r="F163" s="158"/>
      <c r="H163" s="158"/>
      <c r="J163" s="158"/>
      <c r="L163" s="158"/>
      <c r="N163" s="158"/>
      <c r="P163" s="20"/>
      <c r="Q163" s="20"/>
    </row>
    <row r="164">
      <c r="B164" s="158"/>
      <c r="D164" s="158"/>
      <c r="F164" s="158"/>
      <c r="H164" s="158"/>
      <c r="J164" s="158"/>
      <c r="L164" s="158"/>
      <c r="N164" s="158"/>
      <c r="P164" s="20"/>
      <c r="Q164" s="20"/>
    </row>
    <row r="165">
      <c r="B165" s="158"/>
      <c r="D165" s="158"/>
      <c r="F165" s="158"/>
      <c r="H165" s="158"/>
      <c r="J165" s="158"/>
      <c r="L165" s="158"/>
      <c r="N165" s="158"/>
      <c r="P165" s="20"/>
      <c r="Q165" s="20"/>
    </row>
    <row r="166">
      <c r="B166" s="158"/>
      <c r="D166" s="158"/>
      <c r="F166" s="158"/>
      <c r="H166" s="158"/>
      <c r="J166" s="158"/>
      <c r="L166" s="158"/>
      <c r="N166" s="158"/>
      <c r="P166" s="20"/>
      <c r="Q166" s="20"/>
    </row>
    <row r="167">
      <c r="B167" s="158"/>
      <c r="D167" s="158"/>
      <c r="F167" s="158"/>
      <c r="H167" s="158"/>
      <c r="J167" s="158"/>
      <c r="L167" s="158"/>
      <c r="N167" s="158"/>
      <c r="P167" s="20"/>
      <c r="Q167" s="20"/>
    </row>
    <row r="168">
      <c r="B168" s="158"/>
      <c r="D168" s="158"/>
      <c r="F168" s="158"/>
      <c r="H168" s="158"/>
      <c r="J168" s="158"/>
      <c r="L168" s="158"/>
      <c r="N168" s="158"/>
      <c r="P168" s="20"/>
      <c r="Q168" s="20"/>
    </row>
    <row r="169">
      <c r="B169" s="158"/>
      <c r="D169" s="158"/>
      <c r="F169" s="158"/>
      <c r="H169" s="158"/>
      <c r="J169" s="158"/>
      <c r="L169" s="158"/>
      <c r="N169" s="158"/>
      <c r="P169" s="20"/>
      <c r="Q169" s="20"/>
    </row>
    <row r="170">
      <c r="B170" s="158"/>
      <c r="D170" s="158"/>
      <c r="F170" s="158"/>
      <c r="H170" s="158"/>
      <c r="J170" s="158"/>
      <c r="L170" s="158"/>
      <c r="N170" s="158"/>
      <c r="P170" s="20"/>
      <c r="Q170" s="20"/>
    </row>
    <row r="171">
      <c r="B171" s="158"/>
      <c r="D171" s="158"/>
      <c r="F171" s="158"/>
      <c r="H171" s="158"/>
      <c r="J171" s="158"/>
      <c r="L171" s="158"/>
      <c r="N171" s="158"/>
      <c r="P171" s="20"/>
      <c r="Q171" s="20"/>
    </row>
    <row r="172">
      <c r="B172" s="158"/>
      <c r="D172" s="158"/>
      <c r="F172" s="158"/>
      <c r="H172" s="158"/>
      <c r="J172" s="158"/>
      <c r="L172" s="158"/>
      <c r="N172" s="158"/>
      <c r="P172" s="20"/>
      <c r="Q172" s="20"/>
    </row>
    <row r="173">
      <c r="B173" s="158"/>
      <c r="D173" s="158"/>
      <c r="F173" s="158"/>
      <c r="H173" s="158"/>
      <c r="J173" s="158"/>
      <c r="L173" s="158"/>
      <c r="N173" s="158"/>
      <c r="P173" s="20"/>
      <c r="Q173" s="20"/>
    </row>
    <row r="174">
      <c r="B174" s="158"/>
      <c r="D174" s="158"/>
      <c r="F174" s="158"/>
      <c r="H174" s="158"/>
      <c r="J174" s="158"/>
      <c r="L174" s="158"/>
      <c r="N174" s="158"/>
      <c r="P174" s="20"/>
      <c r="Q174" s="20"/>
    </row>
    <row r="175">
      <c r="B175" s="158"/>
      <c r="D175" s="158"/>
      <c r="F175" s="158"/>
      <c r="H175" s="158"/>
      <c r="J175" s="158"/>
      <c r="L175" s="158"/>
      <c r="N175" s="158"/>
      <c r="P175" s="20"/>
      <c r="Q175" s="20"/>
    </row>
    <row r="176">
      <c r="B176" s="158"/>
      <c r="D176" s="158"/>
      <c r="F176" s="158"/>
      <c r="H176" s="158"/>
      <c r="J176" s="158"/>
      <c r="L176" s="158"/>
      <c r="N176" s="158"/>
      <c r="P176" s="20"/>
      <c r="Q176" s="20"/>
    </row>
    <row r="177">
      <c r="B177" s="158"/>
      <c r="D177" s="158"/>
      <c r="F177" s="158"/>
      <c r="H177" s="158"/>
      <c r="J177" s="158"/>
      <c r="L177" s="158"/>
      <c r="N177" s="158"/>
      <c r="P177" s="20"/>
      <c r="Q177" s="20"/>
    </row>
    <row r="178">
      <c r="B178" s="158"/>
      <c r="D178" s="158"/>
      <c r="F178" s="158"/>
      <c r="H178" s="158"/>
      <c r="J178" s="158"/>
      <c r="L178" s="158"/>
      <c r="N178" s="158"/>
      <c r="P178" s="20"/>
      <c r="Q178" s="20"/>
    </row>
    <row r="179">
      <c r="B179" s="158"/>
      <c r="D179" s="158"/>
      <c r="F179" s="158"/>
      <c r="H179" s="158"/>
      <c r="J179" s="158"/>
      <c r="L179" s="158"/>
      <c r="N179" s="158"/>
      <c r="P179" s="20"/>
      <c r="Q179" s="20"/>
    </row>
    <row r="180">
      <c r="B180" s="158"/>
      <c r="D180" s="158"/>
      <c r="F180" s="158"/>
      <c r="H180" s="158"/>
      <c r="J180" s="158"/>
      <c r="L180" s="158"/>
      <c r="N180" s="158"/>
      <c r="P180" s="20"/>
      <c r="Q180" s="20"/>
    </row>
    <row r="181">
      <c r="B181" s="158"/>
      <c r="D181" s="158"/>
      <c r="F181" s="158"/>
      <c r="H181" s="158"/>
      <c r="J181" s="158"/>
      <c r="L181" s="158"/>
      <c r="N181" s="158"/>
      <c r="P181" s="20"/>
      <c r="Q181" s="20"/>
    </row>
    <row r="182">
      <c r="B182" s="158"/>
      <c r="D182" s="158"/>
      <c r="F182" s="158"/>
      <c r="H182" s="158"/>
      <c r="J182" s="158"/>
      <c r="L182" s="158"/>
      <c r="N182" s="158"/>
      <c r="P182" s="20"/>
      <c r="Q182" s="20"/>
    </row>
    <row r="183">
      <c r="B183" s="158"/>
      <c r="D183" s="158"/>
      <c r="F183" s="158"/>
      <c r="H183" s="158"/>
      <c r="J183" s="158"/>
      <c r="L183" s="158"/>
      <c r="N183" s="158"/>
      <c r="P183" s="20"/>
      <c r="Q183" s="20"/>
    </row>
    <row r="184">
      <c r="B184" s="158"/>
      <c r="D184" s="158"/>
      <c r="F184" s="158"/>
      <c r="H184" s="158"/>
      <c r="J184" s="158"/>
      <c r="L184" s="158"/>
      <c r="N184" s="158"/>
      <c r="P184" s="20"/>
      <c r="Q184" s="20"/>
    </row>
    <row r="185">
      <c r="B185" s="158"/>
      <c r="D185" s="158"/>
      <c r="F185" s="158"/>
      <c r="H185" s="158"/>
      <c r="J185" s="158"/>
      <c r="L185" s="158"/>
      <c r="N185" s="158"/>
      <c r="P185" s="20"/>
      <c r="Q185" s="20"/>
    </row>
    <row r="186">
      <c r="B186" s="158"/>
      <c r="D186" s="158"/>
      <c r="F186" s="158"/>
      <c r="H186" s="158"/>
      <c r="J186" s="158"/>
      <c r="L186" s="158"/>
      <c r="N186" s="158"/>
      <c r="P186" s="20"/>
      <c r="Q186" s="20"/>
    </row>
    <row r="187">
      <c r="B187" s="158"/>
      <c r="D187" s="158"/>
      <c r="F187" s="158"/>
      <c r="H187" s="158"/>
      <c r="J187" s="158"/>
      <c r="L187" s="158"/>
      <c r="N187" s="158"/>
      <c r="P187" s="20"/>
      <c r="Q187" s="20"/>
    </row>
    <row r="188">
      <c r="B188" s="158"/>
      <c r="D188" s="158"/>
      <c r="F188" s="158"/>
      <c r="H188" s="158"/>
      <c r="J188" s="158"/>
      <c r="L188" s="158"/>
      <c r="N188" s="158"/>
      <c r="P188" s="20"/>
      <c r="Q188" s="20"/>
    </row>
    <row r="189">
      <c r="B189" s="158"/>
      <c r="D189" s="158"/>
      <c r="F189" s="158"/>
      <c r="H189" s="158"/>
      <c r="J189" s="158"/>
      <c r="L189" s="158"/>
      <c r="N189" s="158"/>
      <c r="P189" s="20"/>
      <c r="Q189" s="20"/>
    </row>
    <row r="190">
      <c r="B190" s="158"/>
      <c r="D190" s="158"/>
      <c r="F190" s="158"/>
      <c r="H190" s="158"/>
      <c r="J190" s="158"/>
      <c r="L190" s="158"/>
      <c r="N190" s="158"/>
      <c r="P190" s="20"/>
      <c r="Q190" s="20"/>
    </row>
    <row r="191">
      <c r="B191" s="158"/>
      <c r="D191" s="158"/>
      <c r="F191" s="158"/>
      <c r="H191" s="158"/>
      <c r="J191" s="158"/>
      <c r="L191" s="158"/>
      <c r="N191" s="158"/>
      <c r="P191" s="20"/>
      <c r="Q191" s="20"/>
    </row>
    <row r="192">
      <c r="B192" s="158"/>
      <c r="D192" s="158"/>
      <c r="F192" s="158"/>
      <c r="H192" s="158"/>
      <c r="J192" s="158"/>
      <c r="L192" s="158"/>
      <c r="N192" s="158"/>
      <c r="P192" s="20"/>
      <c r="Q192" s="20"/>
    </row>
    <row r="193">
      <c r="B193" s="158"/>
      <c r="D193" s="158"/>
      <c r="F193" s="158"/>
      <c r="H193" s="158"/>
      <c r="J193" s="158"/>
      <c r="L193" s="158"/>
      <c r="N193" s="158"/>
      <c r="P193" s="20"/>
      <c r="Q193" s="20"/>
    </row>
    <row r="194">
      <c r="B194" s="158"/>
      <c r="D194" s="158"/>
      <c r="F194" s="158"/>
      <c r="H194" s="158"/>
      <c r="J194" s="158"/>
      <c r="L194" s="158"/>
      <c r="N194" s="158"/>
      <c r="P194" s="20"/>
      <c r="Q194" s="20"/>
    </row>
    <row r="195">
      <c r="B195" s="158"/>
      <c r="D195" s="158"/>
      <c r="F195" s="158"/>
      <c r="H195" s="158"/>
      <c r="J195" s="158"/>
      <c r="L195" s="158"/>
      <c r="N195" s="158"/>
      <c r="P195" s="20"/>
      <c r="Q195" s="20"/>
    </row>
    <row r="196">
      <c r="B196" s="158"/>
      <c r="D196" s="158"/>
      <c r="F196" s="158"/>
      <c r="H196" s="158"/>
      <c r="J196" s="158"/>
      <c r="L196" s="158"/>
      <c r="N196" s="158"/>
      <c r="P196" s="20"/>
      <c r="Q196" s="20"/>
    </row>
    <row r="197">
      <c r="B197" s="158"/>
      <c r="D197" s="158"/>
      <c r="F197" s="158"/>
      <c r="H197" s="158"/>
      <c r="J197" s="158"/>
      <c r="L197" s="158"/>
      <c r="N197" s="158"/>
      <c r="P197" s="20"/>
      <c r="Q197" s="20"/>
    </row>
    <row r="198">
      <c r="B198" s="158"/>
      <c r="D198" s="158"/>
      <c r="F198" s="158"/>
      <c r="H198" s="158"/>
      <c r="J198" s="158"/>
      <c r="L198" s="158"/>
      <c r="N198" s="158"/>
      <c r="P198" s="20"/>
      <c r="Q198" s="20"/>
    </row>
    <row r="199">
      <c r="B199" s="158"/>
      <c r="D199" s="158"/>
      <c r="F199" s="158"/>
      <c r="H199" s="158"/>
      <c r="J199" s="158"/>
      <c r="L199" s="158"/>
      <c r="N199" s="158"/>
      <c r="P199" s="20"/>
      <c r="Q199" s="20"/>
    </row>
    <row r="200">
      <c r="B200" s="158"/>
      <c r="D200" s="158"/>
      <c r="F200" s="158"/>
      <c r="H200" s="158"/>
      <c r="J200" s="158"/>
      <c r="L200" s="158"/>
      <c r="N200" s="158"/>
      <c r="P200" s="20"/>
      <c r="Q200" s="20"/>
    </row>
    <row r="201">
      <c r="B201" s="158"/>
      <c r="D201" s="158"/>
      <c r="F201" s="158"/>
      <c r="H201" s="158"/>
      <c r="J201" s="158"/>
      <c r="L201" s="158"/>
      <c r="N201" s="158"/>
      <c r="P201" s="20"/>
      <c r="Q201" s="20"/>
    </row>
    <row r="202">
      <c r="B202" s="158"/>
      <c r="D202" s="158"/>
      <c r="F202" s="158"/>
      <c r="H202" s="158"/>
      <c r="J202" s="158"/>
      <c r="L202" s="158"/>
      <c r="N202" s="158"/>
      <c r="P202" s="20"/>
      <c r="Q202" s="20"/>
    </row>
    <row r="203">
      <c r="B203" s="158"/>
      <c r="D203" s="158"/>
      <c r="F203" s="158"/>
      <c r="H203" s="158"/>
      <c r="J203" s="158"/>
      <c r="L203" s="158"/>
      <c r="N203" s="158"/>
      <c r="P203" s="20"/>
      <c r="Q203" s="20"/>
    </row>
    <row r="204">
      <c r="B204" s="158"/>
      <c r="D204" s="158"/>
      <c r="F204" s="158"/>
      <c r="H204" s="158"/>
      <c r="J204" s="158"/>
      <c r="L204" s="158"/>
      <c r="N204" s="158"/>
      <c r="P204" s="20"/>
      <c r="Q204" s="20"/>
    </row>
    <row r="205">
      <c r="B205" s="158"/>
      <c r="D205" s="158"/>
      <c r="F205" s="158"/>
      <c r="H205" s="158"/>
      <c r="J205" s="158"/>
      <c r="L205" s="158"/>
      <c r="N205" s="158"/>
      <c r="P205" s="20"/>
      <c r="Q205" s="20"/>
    </row>
    <row r="206">
      <c r="B206" s="158"/>
      <c r="D206" s="158"/>
      <c r="F206" s="158"/>
      <c r="H206" s="158"/>
      <c r="J206" s="158"/>
      <c r="L206" s="158"/>
      <c r="N206" s="158"/>
      <c r="P206" s="20"/>
      <c r="Q206" s="20"/>
    </row>
    <row r="207">
      <c r="B207" s="158"/>
      <c r="D207" s="158"/>
      <c r="F207" s="158"/>
      <c r="H207" s="158"/>
      <c r="J207" s="158"/>
      <c r="L207" s="158"/>
      <c r="N207" s="158"/>
      <c r="P207" s="20"/>
      <c r="Q207" s="20"/>
    </row>
    <row r="208">
      <c r="B208" s="158"/>
      <c r="D208" s="158"/>
      <c r="F208" s="158"/>
      <c r="H208" s="158"/>
      <c r="J208" s="158"/>
      <c r="L208" s="158"/>
      <c r="N208" s="158"/>
      <c r="P208" s="20"/>
      <c r="Q208" s="20"/>
    </row>
    <row r="209">
      <c r="B209" s="158"/>
      <c r="D209" s="158"/>
      <c r="F209" s="158"/>
      <c r="H209" s="158"/>
      <c r="J209" s="158"/>
      <c r="L209" s="158"/>
      <c r="N209" s="158"/>
      <c r="P209" s="20"/>
      <c r="Q209" s="20"/>
    </row>
    <row r="210">
      <c r="B210" s="158"/>
      <c r="D210" s="158"/>
      <c r="F210" s="158"/>
      <c r="H210" s="158"/>
      <c r="J210" s="158"/>
      <c r="L210" s="158"/>
      <c r="N210" s="158"/>
      <c r="P210" s="20"/>
      <c r="Q210" s="20"/>
    </row>
    <row r="211">
      <c r="B211" s="158"/>
      <c r="D211" s="158"/>
      <c r="F211" s="158"/>
      <c r="H211" s="158"/>
      <c r="J211" s="158"/>
      <c r="L211" s="158"/>
      <c r="N211" s="158"/>
      <c r="P211" s="20"/>
      <c r="Q211" s="20"/>
    </row>
    <row r="212">
      <c r="B212" s="158"/>
      <c r="D212" s="158"/>
      <c r="F212" s="158"/>
      <c r="H212" s="158"/>
      <c r="J212" s="158"/>
      <c r="L212" s="158"/>
      <c r="N212" s="158"/>
      <c r="P212" s="20"/>
      <c r="Q212" s="20"/>
    </row>
    <row r="213">
      <c r="B213" s="158"/>
      <c r="D213" s="158"/>
      <c r="F213" s="158"/>
      <c r="H213" s="158"/>
      <c r="J213" s="158"/>
      <c r="L213" s="158"/>
      <c r="N213" s="158"/>
      <c r="P213" s="20"/>
      <c r="Q213" s="20"/>
    </row>
    <row r="214">
      <c r="B214" s="158"/>
      <c r="D214" s="158"/>
      <c r="F214" s="158"/>
      <c r="H214" s="158"/>
      <c r="J214" s="158"/>
      <c r="L214" s="158"/>
      <c r="N214" s="158"/>
      <c r="P214" s="20"/>
      <c r="Q214" s="20"/>
    </row>
    <row r="215">
      <c r="B215" s="158"/>
      <c r="D215" s="158"/>
      <c r="F215" s="158"/>
      <c r="H215" s="158"/>
      <c r="J215" s="158"/>
      <c r="L215" s="158"/>
      <c r="N215" s="158"/>
      <c r="P215" s="20"/>
      <c r="Q215" s="20"/>
    </row>
    <row r="216">
      <c r="B216" s="158"/>
      <c r="D216" s="158"/>
      <c r="F216" s="158"/>
      <c r="H216" s="158"/>
      <c r="J216" s="158"/>
      <c r="L216" s="158"/>
      <c r="N216" s="158"/>
      <c r="P216" s="20"/>
      <c r="Q216" s="20"/>
    </row>
    <row r="217">
      <c r="B217" s="158"/>
      <c r="D217" s="158"/>
      <c r="F217" s="158"/>
      <c r="H217" s="158"/>
      <c r="J217" s="158"/>
      <c r="L217" s="158"/>
      <c r="N217" s="158"/>
      <c r="P217" s="20"/>
      <c r="Q217" s="20"/>
    </row>
    <row r="218">
      <c r="B218" s="158"/>
      <c r="D218" s="158"/>
      <c r="F218" s="158"/>
      <c r="H218" s="158"/>
      <c r="J218" s="158"/>
      <c r="L218" s="158"/>
      <c r="N218" s="158"/>
      <c r="P218" s="20"/>
      <c r="Q218" s="20"/>
    </row>
    <row r="219">
      <c r="B219" s="158"/>
      <c r="D219" s="158"/>
      <c r="F219" s="158"/>
      <c r="H219" s="158"/>
      <c r="J219" s="158"/>
      <c r="L219" s="158"/>
      <c r="N219" s="158"/>
      <c r="P219" s="20"/>
      <c r="Q219" s="20"/>
    </row>
    <row r="220">
      <c r="B220" s="158"/>
      <c r="D220" s="158"/>
      <c r="F220" s="158"/>
      <c r="H220" s="158"/>
      <c r="J220" s="158"/>
      <c r="L220" s="158"/>
      <c r="N220" s="158"/>
      <c r="P220" s="20"/>
      <c r="Q220" s="20"/>
    </row>
    <row r="221">
      <c r="B221" s="158"/>
      <c r="D221" s="158"/>
      <c r="F221" s="158"/>
      <c r="H221" s="158"/>
      <c r="J221" s="158"/>
      <c r="L221" s="158"/>
      <c r="N221" s="158"/>
      <c r="P221" s="20"/>
      <c r="Q221" s="20"/>
    </row>
    <row r="222">
      <c r="B222" s="158"/>
      <c r="D222" s="158"/>
      <c r="F222" s="158"/>
      <c r="H222" s="158"/>
      <c r="J222" s="158"/>
      <c r="L222" s="158"/>
      <c r="N222" s="158"/>
      <c r="P222" s="20"/>
      <c r="Q222" s="20"/>
    </row>
    <row r="223">
      <c r="B223" s="158"/>
      <c r="D223" s="158"/>
      <c r="F223" s="158"/>
      <c r="H223" s="158"/>
      <c r="J223" s="158"/>
      <c r="L223" s="158"/>
      <c r="N223" s="158"/>
      <c r="P223" s="20"/>
      <c r="Q223" s="20"/>
    </row>
    <row r="224">
      <c r="B224" s="158"/>
      <c r="D224" s="158"/>
      <c r="F224" s="158"/>
      <c r="H224" s="158"/>
      <c r="J224" s="158"/>
      <c r="L224" s="158"/>
      <c r="N224" s="158"/>
      <c r="P224" s="20"/>
      <c r="Q224" s="20"/>
    </row>
    <row r="225">
      <c r="B225" s="158"/>
      <c r="D225" s="158"/>
      <c r="F225" s="158"/>
      <c r="H225" s="158"/>
      <c r="J225" s="158"/>
      <c r="L225" s="158"/>
      <c r="N225" s="158"/>
      <c r="P225" s="20"/>
      <c r="Q225" s="20"/>
    </row>
    <row r="226">
      <c r="B226" s="158"/>
      <c r="D226" s="158"/>
      <c r="F226" s="158"/>
      <c r="H226" s="158"/>
      <c r="J226" s="158"/>
      <c r="L226" s="158"/>
      <c r="N226" s="158"/>
      <c r="P226" s="20"/>
      <c r="Q226" s="20"/>
    </row>
    <row r="227">
      <c r="B227" s="158"/>
      <c r="D227" s="158"/>
      <c r="F227" s="158"/>
      <c r="H227" s="158"/>
      <c r="J227" s="158"/>
      <c r="L227" s="158"/>
      <c r="N227" s="158"/>
      <c r="P227" s="20"/>
      <c r="Q227" s="20"/>
    </row>
    <row r="228">
      <c r="B228" s="158"/>
      <c r="D228" s="158"/>
      <c r="F228" s="158"/>
      <c r="H228" s="158"/>
      <c r="J228" s="158"/>
      <c r="L228" s="158"/>
      <c r="N228" s="158"/>
      <c r="P228" s="20"/>
      <c r="Q228" s="20"/>
    </row>
    <row r="229">
      <c r="B229" s="158"/>
      <c r="D229" s="158"/>
      <c r="F229" s="158"/>
      <c r="H229" s="158"/>
      <c r="J229" s="158"/>
      <c r="L229" s="158"/>
      <c r="N229" s="158"/>
      <c r="P229" s="20"/>
      <c r="Q229" s="20"/>
    </row>
    <row r="230">
      <c r="B230" s="158"/>
      <c r="D230" s="158"/>
      <c r="F230" s="158"/>
      <c r="H230" s="158"/>
      <c r="J230" s="158"/>
      <c r="L230" s="158"/>
      <c r="N230" s="158"/>
      <c r="P230" s="20"/>
      <c r="Q230" s="20"/>
    </row>
    <row r="231">
      <c r="B231" s="158"/>
      <c r="D231" s="158"/>
      <c r="F231" s="158"/>
      <c r="H231" s="158"/>
      <c r="J231" s="158"/>
      <c r="L231" s="158"/>
      <c r="N231" s="158"/>
      <c r="P231" s="20"/>
      <c r="Q231" s="20"/>
    </row>
    <row r="232">
      <c r="B232" s="158"/>
      <c r="D232" s="158"/>
      <c r="F232" s="158"/>
      <c r="H232" s="158"/>
      <c r="J232" s="158"/>
      <c r="L232" s="158"/>
      <c r="N232" s="158"/>
      <c r="P232" s="20"/>
      <c r="Q232" s="20"/>
    </row>
    <row r="233">
      <c r="B233" s="158"/>
      <c r="D233" s="158"/>
      <c r="F233" s="158"/>
      <c r="H233" s="158"/>
      <c r="J233" s="158"/>
      <c r="L233" s="158"/>
      <c r="N233" s="158"/>
      <c r="P233" s="20"/>
      <c r="Q233" s="20"/>
    </row>
    <row r="234">
      <c r="B234" s="158"/>
      <c r="D234" s="158"/>
      <c r="F234" s="158"/>
      <c r="H234" s="158"/>
      <c r="J234" s="158"/>
      <c r="L234" s="158"/>
      <c r="N234" s="158"/>
      <c r="P234" s="20"/>
      <c r="Q234" s="20"/>
    </row>
    <row r="235">
      <c r="B235" s="158"/>
      <c r="D235" s="158"/>
      <c r="F235" s="158"/>
      <c r="H235" s="158"/>
      <c r="J235" s="158"/>
      <c r="L235" s="158"/>
      <c r="N235" s="158"/>
      <c r="P235" s="20"/>
      <c r="Q235" s="20"/>
    </row>
    <row r="236">
      <c r="B236" s="158"/>
      <c r="D236" s="158"/>
      <c r="F236" s="158"/>
      <c r="H236" s="158"/>
      <c r="J236" s="158"/>
      <c r="L236" s="158"/>
      <c r="N236" s="158"/>
      <c r="P236" s="20"/>
      <c r="Q236" s="20"/>
    </row>
    <row r="237">
      <c r="B237" s="158"/>
      <c r="D237" s="158"/>
      <c r="F237" s="158"/>
      <c r="H237" s="158"/>
      <c r="J237" s="158"/>
      <c r="L237" s="158"/>
      <c r="N237" s="158"/>
      <c r="P237" s="20"/>
      <c r="Q237" s="20"/>
    </row>
    <row r="238">
      <c r="B238" s="158"/>
      <c r="D238" s="158"/>
      <c r="F238" s="158"/>
      <c r="H238" s="158"/>
      <c r="J238" s="158"/>
      <c r="L238" s="158"/>
      <c r="N238" s="158"/>
      <c r="P238" s="20"/>
      <c r="Q238" s="20"/>
    </row>
    <row r="239">
      <c r="B239" s="158"/>
      <c r="D239" s="158"/>
      <c r="F239" s="158"/>
      <c r="H239" s="158"/>
      <c r="J239" s="158"/>
      <c r="L239" s="158"/>
      <c r="N239" s="158"/>
      <c r="P239" s="20"/>
      <c r="Q239" s="20"/>
    </row>
    <row r="240">
      <c r="B240" s="158"/>
      <c r="D240" s="158"/>
      <c r="F240" s="158"/>
      <c r="H240" s="158"/>
      <c r="J240" s="158"/>
      <c r="L240" s="158"/>
      <c r="N240" s="158"/>
      <c r="P240" s="20"/>
      <c r="Q240" s="20"/>
    </row>
    <row r="241">
      <c r="B241" s="158"/>
      <c r="D241" s="158"/>
      <c r="F241" s="158"/>
      <c r="H241" s="158"/>
      <c r="J241" s="158"/>
      <c r="L241" s="158"/>
      <c r="N241" s="158"/>
      <c r="P241" s="20"/>
      <c r="Q241" s="20"/>
    </row>
    <row r="242">
      <c r="B242" s="158"/>
      <c r="D242" s="158"/>
      <c r="F242" s="158"/>
      <c r="H242" s="158"/>
      <c r="J242" s="158"/>
      <c r="L242" s="158"/>
      <c r="N242" s="158"/>
      <c r="P242" s="20"/>
      <c r="Q242" s="20"/>
    </row>
    <row r="243">
      <c r="B243" s="158"/>
      <c r="D243" s="158"/>
      <c r="F243" s="158"/>
      <c r="H243" s="158"/>
      <c r="J243" s="158"/>
      <c r="L243" s="158"/>
      <c r="N243" s="158"/>
      <c r="P243" s="20"/>
      <c r="Q243" s="20"/>
    </row>
    <row r="244">
      <c r="B244" s="158"/>
      <c r="D244" s="158"/>
      <c r="F244" s="158"/>
      <c r="H244" s="158"/>
      <c r="J244" s="158"/>
      <c r="L244" s="158"/>
      <c r="N244" s="158"/>
      <c r="P244" s="20"/>
      <c r="Q244" s="20"/>
    </row>
    <row r="245">
      <c r="B245" s="158"/>
      <c r="D245" s="158"/>
      <c r="F245" s="158"/>
      <c r="H245" s="158"/>
      <c r="J245" s="158"/>
      <c r="L245" s="158"/>
      <c r="N245" s="158"/>
      <c r="P245" s="20"/>
      <c r="Q245" s="20"/>
    </row>
    <row r="246">
      <c r="B246" s="158"/>
      <c r="D246" s="158"/>
      <c r="F246" s="158"/>
      <c r="H246" s="158"/>
      <c r="J246" s="158"/>
      <c r="L246" s="158"/>
      <c r="N246" s="158"/>
      <c r="P246" s="20"/>
      <c r="Q246" s="20"/>
    </row>
    <row r="247">
      <c r="B247" s="158"/>
      <c r="D247" s="158"/>
      <c r="F247" s="158"/>
      <c r="H247" s="158"/>
      <c r="J247" s="158"/>
      <c r="L247" s="158"/>
      <c r="N247" s="158"/>
      <c r="P247" s="20"/>
      <c r="Q247" s="20"/>
    </row>
    <row r="248">
      <c r="B248" s="158"/>
      <c r="D248" s="158"/>
      <c r="F248" s="158"/>
      <c r="H248" s="158"/>
      <c r="J248" s="158"/>
      <c r="L248" s="158"/>
      <c r="N248" s="158"/>
      <c r="P248" s="20"/>
      <c r="Q248" s="20"/>
    </row>
    <row r="249">
      <c r="B249" s="158"/>
      <c r="D249" s="158"/>
      <c r="F249" s="158"/>
      <c r="H249" s="158"/>
      <c r="J249" s="158"/>
      <c r="L249" s="158"/>
      <c r="N249" s="158"/>
      <c r="P249" s="20"/>
      <c r="Q249" s="20"/>
    </row>
    <row r="250">
      <c r="B250" s="158"/>
      <c r="D250" s="158"/>
      <c r="F250" s="158"/>
      <c r="H250" s="158"/>
      <c r="J250" s="158"/>
      <c r="L250" s="158"/>
      <c r="N250" s="158"/>
      <c r="P250" s="20"/>
      <c r="Q250" s="20"/>
    </row>
    <row r="251">
      <c r="B251" s="158"/>
      <c r="D251" s="158"/>
      <c r="F251" s="158"/>
      <c r="H251" s="158"/>
      <c r="J251" s="158"/>
      <c r="L251" s="158"/>
      <c r="N251" s="158"/>
      <c r="P251" s="20"/>
      <c r="Q251" s="20"/>
    </row>
    <row r="252">
      <c r="B252" s="158"/>
      <c r="D252" s="158"/>
      <c r="F252" s="158"/>
      <c r="H252" s="158"/>
      <c r="J252" s="158"/>
      <c r="L252" s="158"/>
      <c r="N252" s="158"/>
      <c r="P252" s="20"/>
      <c r="Q252" s="20"/>
    </row>
    <row r="253">
      <c r="B253" s="158"/>
      <c r="D253" s="158"/>
      <c r="F253" s="158"/>
      <c r="H253" s="158"/>
      <c r="J253" s="158"/>
      <c r="L253" s="158"/>
      <c r="N253" s="158"/>
      <c r="P253" s="20"/>
      <c r="Q253" s="20"/>
    </row>
    <row r="254">
      <c r="B254" s="158"/>
      <c r="D254" s="158"/>
      <c r="F254" s="158"/>
      <c r="H254" s="158"/>
      <c r="J254" s="158"/>
      <c r="L254" s="158"/>
      <c r="N254" s="158"/>
      <c r="P254" s="20"/>
      <c r="Q254" s="20"/>
    </row>
    <row r="255">
      <c r="B255" s="158"/>
      <c r="D255" s="158"/>
      <c r="F255" s="158"/>
      <c r="H255" s="158"/>
      <c r="J255" s="158"/>
      <c r="L255" s="158"/>
      <c r="N255" s="158"/>
      <c r="P255" s="20"/>
      <c r="Q255" s="20"/>
    </row>
    <row r="256">
      <c r="B256" s="158"/>
      <c r="D256" s="158"/>
      <c r="F256" s="158"/>
      <c r="H256" s="158"/>
      <c r="J256" s="158"/>
      <c r="L256" s="158"/>
      <c r="N256" s="158"/>
      <c r="P256" s="20"/>
      <c r="Q256" s="20"/>
    </row>
    <row r="257">
      <c r="B257" s="158"/>
      <c r="D257" s="158"/>
      <c r="F257" s="158"/>
      <c r="H257" s="158"/>
      <c r="J257" s="158"/>
      <c r="L257" s="158"/>
      <c r="N257" s="158"/>
      <c r="P257" s="20"/>
      <c r="Q257" s="20"/>
    </row>
    <row r="258">
      <c r="B258" s="158"/>
      <c r="D258" s="158"/>
      <c r="F258" s="158"/>
      <c r="H258" s="158"/>
      <c r="J258" s="158"/>
      <c r="L258" s="158"/>
      <c r="N258" s="158"/>
      <c r="P258" s="20"/>
      <c r="Q258" s="20"/>
    </row>
    <row r="259">
      <c r="B259" s="158"/>
      <c r="D259" s="158"/>
      <c r="F259" s="158"/>
      <c r="H259" s="158"/>
      <c r="J259" s="158"/>
      <c r="L259" s="158"/>
      <c r="N259" s="158"/>
      <c r="P259" s="20"/>
      <c r="Q259" s="20"/>
    </row>
    <row r="260">
      <c r="B260" s="158"/>
      <c r="D260" s="158"/>
      <c r="F260" s="158"/>
      <c r="H260" s="158"/>
      <c r="J260" s="158"/>
      <c r="L260" s="158"/>
      <c r="N260" s="158"/>
      <c r="P260" s="20"/>
      <c r="Q260" s="20"/>
    </row>
    <row r="261">
      <c r="B261" s="158"/>
      <c r="D261" s="158"/>
      <c r="F261" s="158"/>
      <c r="H261" s="158"/>
      <c r="J261" s="158"/>
      <c r="L261" s="158"/>
      <c r="N261" s="158"/>
      <c r="P261" s="20"/>
      <c r="Q261" s="20"/>
    </row>
    <row r="262">
      <c r="B262" s="158"/>
      <c r="D262" s="158"/>
      <c r="F262" s="158"/>
      <c r="H262" s="158"/>
      <c r="J262" s="158"/>
      <c r="L262" s="158"/>
      <c r="N262" s="158"/>
      <c r="P262" s="20"/>
      <c r="Q262" s="20"/>
    </row>
    <row r="263">
      <c r="B263" s="158"/>
      <c r="D263" s="158"/>
      <c r="F263" s="158"/>
      <c r="H263" s="158"/>
      <c r="J263" s="158"/>
      <c r="L263" s="158"/>
      <c r="N263" s="158"/>
      <c r="P263" s="20"/>
      <c r="Q263" s="20"/>
    </row>
    <row r="264">
      <c r="B264" s="158"/>
      <c r="D264" s="158"/>
      <c r="F264" s="158"/>
      <c r="H264" s="158"/>
      <c r="J264" s="158"/>
      <c r="L264" s="158"/>
      <c r="N264" s="158"/>
      <c r="P264" s="20"/>
      <c r="Q264" s="20"/>
    </row>
    <row r="265">
      <c r="B265" s="158"/>
      <c r="D265" s="158"/>
      <c r="F265" s="158"/>
      <c r="H265" s="158"/>
      <c r="J265" s="158"/>
      <c r="L265" s="158"/>
      <c r="N265" s="158"/>
      <c r="P265" s="20"/>
      <c r="Q265" s="20"/>
    </row>
    <row r="266">
      <c r="B266" s="158"/>
      <c r="D266" s="158"/>
      <c r="F266" s="158"/>
      <c r="H266" s="158"/>
      <c r="J266" s="158"/>
      <c r="L266" s="158"/>
      <c r="N266" s="158"/>
      <c r="P266" s="20"/>
      <c r="Q266" s="20"/>
    </row>
    <row r="267">
      <c r="B267" s="158"/>
      <c r="D267" s="158"/>
      <c r="F267" s="158"/>
      <c r="H267" s="158"/>
      <c r="J267" s="158"/>
      <c r="L267" s="158"/>
      <c r="N267" s="158"/>
      <c r="P267" s="20"/>
      <c r="Q267" s="20"/>
    </row>
    <row r="268">
      <c r="B268" s="158"/>
      <c r="D268" s="158"/>
      <c r="F268" s="158"/>
      <c r="H268" s="158"/>
      <c r="J268" s="158"/>
      <c r="L268" s="158"/>
      <c r="N268" s="158"/>
      <c r="P268" s="20"/>
      <c r="Q268" s="20"/>
    </row>
    <row r="269">
      <c r="B269" s="158"/>
      <c r="D269" s="158"/>
      <c r="F269" s="158"/>
      <c r="H269" s="158"/>
      <c r="J269" s="158"/>
      <c r="L269" s="158"/>
      <c r="N269" s="158"/>
      <c r="P269" s="20"/>
      <c r="Q269" s="20"/>
    </row>
    <row r="270">
      <c r="B270" s="158"/>
      <c r="D270" s="158"/>
      <c r="F270" s="158"/>
      <c r="H270" s="158"/>
      <c r="J270" s="158"/>
      <c r="L270" s="158"/>
      <c r="N270" s="158"/>
      <c r="P270" s="20"/>
      <c r="Q270" s="20"/>
    </row>
    <row r="271">
      <c r="B271" s="158"/>
      <c r="D271" s="158"/>
      <c r="F271" s="158"/>
      <c r="H271" s="158"/>
      <c r="J271" s="158"/>
      <c r="L271" s="158"/>
      <c r="N271" s="158"/>
      <c r="P271" s="20"/>
      <c r="Q271" s="20"/>
    </row>
    <row r="272">
      <c r="B272" s="158"/>
      <c r="D272" s="158"/>
      <c r="F272" s="158"/>
      <c r="H272" s="158"/>
      <c r="J272" s="158"/>
      <c r="L272" s="158"/>
      <c r="N272" s="158"/>
      <c r="P272" s="20"/>
      <c r="Q272" s="20"/>
    </row>
    <row r="273">
      <c r="B273" s="158"/>
      <c r="D273" s="158"/>
      <c r="F273" s="158"/>
      <c r="H273" s="158"/>
      <c r="J273" s="158"/>
      <c r="L273" s="158"/>
      <c r="N273" s="158"/>
      <c r="P273" s="20"/>
      <c r="Q273" s="20"/>
    </row>
    <row r="274">
      <c r="B274" s="158"/>
      <c r="D274" s="158"/>
      <c r="F274" s="158"/>
      <c r="H274" s="158"/>
      <c r="J274" s="158"/>
      <c r="L274" s="158"/>
      <c r="N274" s="158"/>
      <c r="P274" s="20"/>
      <c r="Q274" s="20"/>
    </row>
    <row r="275">
      <c r="B275" s="158"/>
      <c r="D275" s="158"/>
      <c r="F275" s="158"/>
      <c r="H275" s="158"/>
      <c r="J275" s="158"/>
      <c r="L275" s="158"/>
      <c r="N275" s="158"/>
      <c r="P275" s="20"/>
      <c r="Q275" s="20"/>
    </row>
    <row r="276">
      <c r="B276" s="158"/>
      <c r="D276" s="158"/>
      <c r="F276" s="158"/>
      <c r="H276" s="158"/>
      <c r="J276" s="158"/>
      <c r="L276" s="158"/>
      <c r="N276" s="158"/>
      <c r="P276" s="20"/>
      <c r="Q276" s="20"/>
    </row>
    <row r="277">
      <c r="B277" s="158"/>
      <c r="D277" s="158"/>
      <c r="F277" s="158"/>
      <c r="H277" s="158"/>
      <c r="J277" s="158"/>
      <c r="L277" s="158"/>
      <c r="N277" s="158"/>
      <c r="P277" s="20"/>
      <c r="Q277" s="20"/>
    </row>
    <row r="278">
      <c r="B278" s="158"/>
      <c r="D278" s="158"/>
      <c r="F278" s="158"/>
      <c r="H278" s="158"/>
      <c r="J278" s="158"/>
      <c r="L278" s="158"/>
      <c r="N278" s="158"/>
      <c r="P278" s="20"/>
      <c r="Q278" s="20"/>
    </row>
    <row r="279">
      <c r="B279" s="158"/>
      <c r="D279" s="158"/>
      <c r="F279" s="158"/>
      <c r="H279" s="158"/>
      <c r="J279" s="158"/>
      <c r="L279" s="158"/>
      <c r="N279" s="158"/>
      <c r="P279" s="20"/>
      <c r="Q279" s="20"/>
    </row>
    <row r="280">
      <c r="B280" s="158"/>
      <c r="D280" s="158"/>
      <c r="F280" s="158"/>
      <c r="H280" s="158"/>
      <c r="J280" s="158"/>
      <c r="L280" s="158"/>
      <c r="N280" s="158"/>
      <c r="P280" s="20"/>
      <c r="Q280" s="20"/>
    </row>
    <row r="281">
      <c r="B281" s="158"/>
      <c r="D281" s="158"/>
      <c r="F281" s="158"/>
      <c r="H281" s="158"/>
      <c r="J281" s="158"/>
      <c r="L281" s="158"/>
      <c r="N281" s="158"/>
      <c r="P281" s="20"/>
      <c r="Q281" s="20"/>
    </row>
    <row r="282">
      <c r="B282" s="158"/>
      <c r="D282" s="158"/>
      <c r="F282" s="158"/>
      <c r="H282" s="158"/>
      <c r="J282" s="158"/>
      <c r="L282" s="158"/>
      <c r="N282" s="158"/>
      <c r="P282" s="20"/>
      <c r="Q282" s="20"/>
    </row>
    <row r="283">
      <c r="B283" s="158"/>
      <c r="D283" s="158"/>
      <c r="F283" s="158"/>
      <c r="H283" s="158"/>
      <c r="J283" s="158"/>
      <c r="L283" s="158"/>
      <c r="N283" s="158"/>
      <c r="P283" s="20"/>
      <c r="Q283" s="20"/>
    </row>
    <row r="284">
      <c r="B284" s="158"/>
      <c r="D284" s="158"/>
      <c r="F284" s="158"/>
      <c r="H284" s="158"/>
      <c r="J284" s="158"/>
      <c r="L284" s="158"/>
      <c r="N284" s="158"/>
      <c r="P284" s="20"/>
      <c r="Q284" s="20"/>
    </row>
    <row r="285">
      <c r="B285" s="158"/>
      <c r="D285" s="158"/>
      <c r="F285" s="158"/>
      <c r="H285" s="158"/>
      <c r="J285" s="158"/>
      <c r="L285" s="158"/>
      <c r="N285" s="158"/>
      <c r="P285" s="20"/>
      <c r="Q285" s="20"/>
    </row>
    <row r="286">
      <c r="B286" s="158"/>
      <c r="D286" s="158"/>
      <c r="F286" s="158"/>
      <c r="H286" s="158"/>
      <c r="J286" s="158"/>
      <c r="L286" s="158"/>
      <c r="N286" s="158"/>
      <c r="P286" s="20"/>
      <c r="Q286" s="20"/>
    </row>
    <row r="287">
      <c r="B287" s="158"/>
      <c r="D287" s="158"/>
      <c r="F287" s="158"/>
      <c r="H287" s="158"/>
      <c r="J287" s="158"/>
      <c r="L287" s="158"/>
      <c r="N287" s="158"/>
      <c r="P287" s="20"/>
      <c r="Q287" s="20"/>
    </row>
    <row r="288">
      <c r="B288" s="158"/>
      <c r="D288" s="158"/>
      <c r="F288" s="158"/>
      <c r="H288" s="158"/>
      <c r="J288" s="158"/>
      <c r="L288" s="158"/>
      <c r="N288" s="158"/>
      <c r="P288" s="20"/>
      <c r="Q288" s="20"/>
    </row>
    <row r="289">
      <c r="B289" s="158"/>
      <c r="D289" s="158"/>
      <c r="F289" s="158"/>
      <c r="H289" s="158"/>
      <c r="J289" s="158"/>
      <c r="L289" s="158"/>
      <c r="N289" s="158"/>
      <c r="P289" s="20"/>
      <c r="Q289" s="20"/>
    </row>
    <row r="290">
      <c r="B290" s="158"/>
      <c r="D290" s="158"/>
      <c r="F290" s="158"/>
      <c r="H290" s="158"/>
      <c r="J290" s="158"/>
      <c r="L290" s="158"/>
      <c r="N290" s="158"/>
      <c r="P290" s="20"/>
      <c r="Q290" s="20"/>
    </row>
    <row r="291">
      <c r="B291" s="158"/>
      <c r="D291" s="158"/>
      <c r="F291" s="158"/>
      <c r="H291" s="158"/>
      <c r="J291" s="158"/>
      <c r="L291" s="158"/>
      <c r="N291" s="158"/>
      <c r="P291" s="20"/>
      <c r="Q291" s="20"/>
    </row>
    <row r="292">
      <c r="B292" s="158"/>
      <c r="D292" s="158"/>
      <c r="F292" s="158"/>
      <c r="H292" s="158"/>
      <c r="J292" s="158"/>
      <c r="L292" s="158"/>
      <c r="N292" s="158"/>
      <c r="P292" s="20"/>
      <c r="Q292" s="20"/>
    </row>
    <row r="293">
      <c r="B293" s="158"/>
      <c r="D293" s="158"/>
      <c r="F293" s="158"/>
      <c r="H293" s="158"/>
      <c r="J293" s="158"/>
      <c r="L293" s="158"/>
      <c r="N293" s="158"/>
      <c r="P293" s="20"/>
      <c r="Q293" s="20"/>
    </row>
    <row r="294">
      <c r="B294" s="158"/>
      <c r="D294" s="158"/>
      <c r="F294" s="158"/>
      <c r="H294" s="158"/>
      <c r="J294" s="158"/>
      <c r="L294" s="158"/>
      <c r="N294" s="158"/>
      <c r="P294" s="20"/>
      <c r="Q294" s="20"/>
    </row>
    <row r="295">
      <c r="B295" s="158"/>
      <c r="D295" s="158"/>
      <c r="F295" s="158"/>
      <c r="H295" s="158"/>
      <c r="J295" s="158"/>
      <c r="L295" s="158"/>
      <c r="N295" s="158"/>
      <c r="P295" s="20"/>
      <c r="Q295" s="20"/>
    </row>
    <row r="296">
      <c r="B296" s="158"/>
      <c r="D296" s="158"/>
      <c r="F296" s="158"/>
      <c r="H296" s="158"/>
      <c r="J296" s="158"/>
      <c r="L296" s="158"/>
      <c r="N296" s="158"/>
      <c r="P296" s="20"/>
      <c r="Q296" s="20"/>
    </row>
    <row r="297">
      <c r="B297" s="158"/>
      <c r="D297" s="158"/>
      <c r="F297" s="158"/>
      <c r="H297" s="158"/>
      <c r="J297" s="158"/>
      <c r="L297" s="158"/>
      <c r="N297" s="158"/>
      <c r="P297" s="20"/>
      <c r="Q297" s="20"/>
    </row>
    <row r="298">
      <c r="B298" s="158"/>
      <c r="D298" s="158"/>
      <c r="F298" s="158"/>
      <c r="H298" s="158"/>
      <c r="J298" s="158"/>
      <c r="L298" s="158"/>
      <c r="N298" s="158"/>
      <c r="P298" s="20"/>
      <c r="Q298" s="20"/>
    </row>
    <row r="299">
      <c r="B299" s="158"/>
      <c r="D299" s="158"/>
      <c r="F299" s="158"/>
      <c r="H299" s="158"/>
      <c r="J299" s="158"/>
      <c r="L299" s="158"/>
      <c r="N299" s="158"/>
      <c r="P299" s="20"/>
      <c r="Q299" s="20"/>
    </row>
    <row r="300">
      <c r="B300" s="158"/>
      <c r="D300" s="158"/>
      <c r="F300" s="158"/>
      <c r="H300" s="158"/>
      <c r="J300" s="158"/>
      <c r="L300" s="158"/>
      <c r="N300" s="158"/>
      <c r="P300" s="20"/>
      <c r="Q300" s="20"/>
    </row>
    <row r="301">
      <c r="B301" s="158"/>
      <c r="D301" s="158"/>
      <c r="F301" s="158"/>
      <c r="H301" s="158"/>
      <c r="J301" s="158"/>
      <c r="L301" s="158"/>
      <c r="N301" s="158"/>
      <c r="P301" s="20"/>
      <c r="Q301" s="20"/>
    </row>
    <row r="302">
      <c r="B302" s="158"/>
      <c r="D302" s="158"/>
      <c r="F302" s="158"/>
      <c r="H302" s="158"/>
      <c r="J302" s="158"/>
      <c r="L302" s="158"/>
      <c r="N302" s="158"/>
      <c r="P302" s="20"/>
      <c r="Q302" s="20"/>
    </row>
    <row r="303">
      <c r="B303" s="158"/>
      <c r="D303" s="158"/>
      <c r="F303" s="158"/>
      <c r="H303" s="158"/>
      <c r="J303" s="158"/>
      <c r="L303" s="158"/>
      <c r="N303" s="158"/>
      <c r="P303" s="20"/>
      <c r="Q303" s="20"/>
    </row>
    <row r="304">
      <c r="B304" s="158"/>
      <c r="D304" s="158"/>
      <c r="F304" s="158"/>
      <c r="H304" s="158"/>
      <c r="J304" s="158"/>
      <c r="L304" s="158"/>
      <c r="N304" s="158"/>
      <c r="P304" s="20"/>
      <c r="Q304" s="20"/>
    </row>
    <row r="305">
      <c r="B305" s="158"/>
      <c r="D305" s="158"/>
      <c r="F305" s="158"/>
      <c r="H305" s="158"/>
      <c r="J305" s="158"/>
      <c r="L305" s="158"/>
      <c r="N305" s="158"/>
      <c r="P305" s="20"/>
      <c r="Q305" s="20"/>
    </row>
    <row r="306">
      <c r="B306" s="158"/>
      <c r="D306" s="158"/>
      <c r="F306" s="158"/>
      <c r="H306" s="158"/>
      <c r="J306" s="158"/>
      <c r="L306" s="158"/>
      <c r="N306" s="158"/>
      <c r="P306" s="20"/>
      <c r="Q306" s="20"/>
    </row>
    <row r="307">
      <c r="B307" s="158"/>
      <c r="D307" s="158"/>
      <c r="F307" s="158"/>
      <c r="H307" s="158"/>
      <c r="J307" s="158"/>
      <c r="L307" s="158"/>
      <c r="N307" s="158"/>
      <c r="P307" s="20"/>
      <c r="Q307" s="20"/>
    </row>
    <row r="308">
      <c r="B308" s="158"/>
      <c r="D308" s="158"/>
      <c r="F308" s="158"/>
      <c r="H308" s="158"/>
      <c r="J308" s="158"/>
      <c r="L308" s="158"/>
      <c r="N308" s="158"/>
      <c r="P308" s="20"/>
      <c r="Q308" s="20"/>
    </row>
    <row r="309">
      <c r="B309" s="158"/>
      <c r="D309" s="158"/>
      <c r="F309" s="158"/>
      <c r="H309" s="158"/>
      <c r="J309" s="158"/>
      <c r="L309" s="158"/>
      <c r="N309" s="158"/>
      <c r="P309" s="20"/>
      <c r="Q309" s="20"/>
    </row>
    <row r="310">
      <c r="B310" s="158"/>
      <c r="D310" s="158"/>
      <c r="F310" s="158"/>
      <c r="H310" s="158"/>
      <c r="J310" s="158"/>
      <c r="L310" s="158"/>
      <c r="N310" s="158"/>
      <c r="P310" s="20"/>
      <c r="Q310" s="20"/>
    </row>
    <row r="311">
      <c r="B311" s="158"/>
      <c r="D311" s="158"/>
      <c r="F311" s="158"/>
      <c r="H311" s="158"/>
      <c r="J311" s="158"/>
      <c r="L311" s="158"/>
      <c r="N311" s="158"/>
      <c r="P311" s="20"/>
      <c r="Q311" s="20"/>
    </row>
    <row r="312">
      <c r="B312" s="158"/>
      <c r="D312" s="158"/>
      <c r="F312" s="158"/>
      <c r="H312" s="158"/>
      <c r="J312" s="158"/>
      <c r="L312" s="158"/>
      <c r="N312" s="158"/>
      <c r="P312" s="20"/>
      <c r="Q312" s="20"/>
    </row>
    <row r="313">
      <c r="B313" s="158"/>
      <c r="D313" s="158"/>
      <c r="F313" s="158"/>
      <c r="H313" s="158"/>
      <c r="J313" s="158"/>
      <c r="L313" s="158"/>
      <c r="N313" s="158"/>
      <c r="P313" s="20"/>
      <c r="Q313" s="20"/>
    </row>
    <row r="314">
      <c r="B314" s="158"/>
      <c r="D314" s="158"/>
      <c r="F314" s="158"/>
      <c r="H314" s="158"/>
      <c r="J314" s="158"/>
      <c r="L314" s="158"/>
      <c r="N314" s="158"/>
      <c r="P314" s="20"/>
      <c r="Q314" s="20"/>
    </row>
    <row r="315">
      <c r="B315" s="158"/>
      <c r="D315" s="158"/>
      <c r="F315" s="158"/>
      <c r="H315" s="158"/>
      <c r="J315" s="158"/>
      <c r="L315" s="158"/>
      <c r="N315" s="158"/>
      <c r="P315" s="20"/>
      <c r="Q315" s="20"/>
    </row>
    <row r="316">
      <c r="B316" s="158"/>
      <c r="D316" s="158"/>
      <c r="F316" s="158"/>
      <c r="H316" s="158"/>
      <c r="J316" s="158"/>
      <c r="L316" s="158"/>
      <c r="N316" s="158"/>
      <c r="P316" s="20"/>
      <c r="Q316" s="20"/>
    </row>
    <row r="317">
      <c r="B317" s="158"/>
      <c r="D317" s="158"/>
      <c r="F317" s="158"/>
      <c r="H317" s="158"/>
      <c r="J317" s="158"/>
      <c r="L317" s="158"/>
      <c r="N317" s="158"/>
      <c r="P317" s="20"/>
      <c r="Q317" s="20"/>
    </row>
    <row r="318">
      <c r="B318" s="158"/>
      <c r="D318" s="158"/>
      <c r="F318" s="158"/>
      <c r="H318" s="158"/>
      <c r="J318" s="158"/>
      <c r="L318" s="158"/>
      <c r="N318" s="158"/>
      <c r="P318" s="20"/>
      <c r="Q318" s="20"/>
    </row>
    <row r="319">
      <c r="B319" s="158"/>
      <c r="D319" s="158"/>
      <c r="F319" s="158"/>
      <c r="H319" s="158"/>
      <c r="J319" s="158"/>
      <c r="L319" s="158"/>
      <c r="N319" s="158"/>
      <c r="P319" s="20"/>
      <c r="Q319" s="20"/>
    </row>
    <row r="320">
      <c r="B320" s="158"/>
      <c r="D320" s="158"/>
      <c r="F320" s="158"/>
      <c r="H320" s="158"/>
      <c r="J320" s="158"/>
      <c r="L320" s="158"/>
      <c r="N320" s="158"/>
      <c r="P320" s="20"/>
      <c r="Q320" s="20"/>
    </row>
    <row r="321">
      <c r="B321" s="158"/>
      <c r="D321" s="158"/>
      <c r="F321" s="158"/>
      <c r="H321" s="158"/>
      <c r="J321" s="158"/>
      <c r="L321" s="158"/>
      <c r="N321" s="158"/>
      <c r="P321" s="20"/>
      <c r="Q321" s="20"/>
    </row>
    <row r="322">
      <c r="B322" s="158"/>
      <c r="D322" s="158"/>
      <c r="F322" s="158"/>
      <c r="H322" s="158"/>
      <c r="J322" s="158"/>
      <c r="L322" s="158"/>
      <c r="N322" s="158"/>
      <c r="P322" s="20"/>
      <c r="Q322" s="20"/>
    </row>
    <row r="323">
      <c r="B323" s="158"/>
      <c r="D323" s="158"/>
      <c r="F323" s="158"/>
      <c r="H323" s="158"/>
      <c r="J323" s="158"/>
      <c r="L323" s="158"/>
      <c r="N323" s="158"/>
      <c r="P323" s="20"/>
      <c r="Q323" s="20"/>
    </row>
    <row r="324">
      <c r="B324" s="158"/>
      <c r="D324" s="158"/>
      <c r="F324" s="158"/>
      <c r="H324" s="158"/>
      <c r="J324" s="158"/>
      <c r="L324" s="158"/>
      <c r="N324" s="158"/>
      <c r="P324" s="20"/>
      <c r="Q324" s="20"/>
    </row>
    <row r="325">
      <c r="B325" s="158"/>
      <c r="D325" s="158"/>
      <c r="F325" s="158"/>
      <c r="H325" s="158"/>
      <c r="J325" s="158"/>
      <c r="L325" s="158"/>
      <c r="N325" s="158"/>
      <c r="P325" s="20"/>
      <c r="Q325" s="20"/>
    </row>
    <row r="326">
      <c r="B326" s="158"/>
      <c r="D326" s="158"/>
      <c r="F326" s="158"/>
      <c r="H326" s="158"/>
      <c r="J326" s="158"/>
      <c r="L326" s="158"/>
      <c r="N326" s="158"/>
      <c r="P326" s="20"/>
      <c r="Q326" s="20"/>
    </row>
    <row r="327">
      <c r="B327" s="158"/>
      <c r="D327" s="158"/>
      <c r="F327" s="158"/>
      <c r="H327" s="158"/>
      <c r="J327" s="158"/>
      <c r="L327" s="158"/>
      <c r="N327" s="158"/>
      <c r="P327" s="20"/>
      <c r="Q327" s="20"/>
    </row>
    <row r="328">
      <c r="B328" s="158"/>
      <c r="D328" s="158"/>
      <c r="F328" s="158"/>
      <c r="H328" s="158"/>
      <c r="J328" s="158"/>
      <c r="L328" s="158"/>
      <c r="N328" s="158"/>
      <c r="P328" s="20"/>
      <c r="Q328" s="20"/>
    </row>
    <row r="329">
      <c r="B329" s="158"/>
      <c r="D329" s="158"/>
      <c r="F329" s="158"/>
      <c r="H329" s="158"/>
      <c r="J329" s="158"/>
      <c r="L329" s="158"/>
      <c r="N329" s="158"/>
      <c r="P329" s="20"/>
      <c r="Q329" s="20"/>
    </row>
    <row r="330">
      <c r="B330" s="158"/>
      <c r="D330" s="158"/>
      <c r="F330" s="158"/>
      <c r="H330" s="158"/>
      <c r="J330" s="158"/>
      <c r="L330" s="158"/>
      <c r="N330" s="158"/>
      <c r="P330" s="20"/>
      <c r="Q330" s="20"/>
    </row>
    <row r="331">
      <c r="B331" s="158"/>
      <c r="D331" s="158"/>
      <c r="F331" s="158"/>
      <c r="H331" s="158"/>
      <c r="J331" s="158"/>
      <c r="L331" s="158"/>
      <c r="N331" s="158"/>
      <c r="P331" s="20"/>
      <c r="Q331" s="20"/>
    </row>
    <row r="332">
      <c r="B332" s="158"/>
      <c r="D332" s="158"/>
      <c r="F332" s="158"/>
      <c r="H332" s="158"/>
      <c r="J332" s="158"/>
      <c r="L332" s="158"/>
      <c r="N332" s="158"/>
      <c r="P332" s="20"/>
      <c r="Q332" s="20"/>
    </row>
    <row r="333">
      <c r="B333" s="158"/>
      <c r="D333" s="158"/>
      <c r="F333" s="158"/>
      <c r="H333" s="158"/>
      <c r="J333" s="158"/>
      <c r="L333" s="158"/>
      <c r="N333" s="158"/>
      <c r="P333" s="20"/>
      <c r="Q333" s="20"/>
    </row>
    <row r="334">
      <c r="B334" s="158"/>
      <c r="D334" s="158"/>
      <c r="F334" s="158"/>
      <c r="H334" s="158"/>
      <c r="J334" s="158"/>
      <c r="L334" s="158"/>
      <c r="N334" s="158"/>
      <c r="P334" s="20"/>
      <c r="Q334" s="20"/>
    </row>
    <row r="335">
      <c r="B335" s="158"/>
      <c r="D335" s="158"/>
      <c r="F335" s="158"/>
      <c r="H335" s="158"/>
      <c r="J335" s="158"/>
      <c r="L335" s="158"/>
      <c r="N335" s="158"/>
      <c r="P335" s="20"/>
      <c r="Q335" s="20"/>
    </row>
    <row r="336">
      <c r="B336" s="158"/>
      <c r="D336" s="158"/>
      <c r="F336" s="158"/>
      <c r="H336" s="158"/>
      <c r="J336" s="158"/>
      <c r="L336" s="158"/>
      <c r="N336" s="158"/>
      <c r="P336" s="20"/>
      <c r="Q336" s="20"/>
    </row>
    <row r="337">
      <c r="B337" s="158"/>
      <c r="D337" s="158"/>
      <c r="F337" s="158"/>
      <c r="H337" s="158"/>
      <c r="J337" s="158"/>
      <c r="L337" s="158"/>
      <c r="N337" s="158"/>
      <c r="P337" s="20"/>
      <c r="Q337" s="20"/>
    </row>
    <row r="338">
      <c r="B338" s="158"/>
      <c r="D338" s="158"/>
      <c r="F338" s="158"/>
      <c r="H338" s="158"/>
      <c r="J338" s="158"/>
      <c r="L338" s="158"/>
      <c r="N338" s="158"/>
      <c r="P338" s="20"/>
      <c r="Q338" s="20"/>
    </row>
    <row r="339">
      <c r="B339" s="158"/>
      <c r="D339" s="158"/>
      <c r="F339" s="158"/>
      <c r="H339" s="158"/>
      <c r="J339" s="158"/>
      <c r="L339" s="158"/>
      <c r="N339" s="158"/>
      <c r="P339" s="20"/>
      <c r="Q339" s="20"/>
    </row>
    <row r="340">
      <c r="B340" s="158"/>
      <c r="D340" s="158"/>
      <c r="F340" s="158"/>
      <c r="H340" s="158"/>
      <c r="J340" s="158"/>
      <c r="L340" s="158"/>
      <c r="N340" s="158"/>
      <c r="P340" s="20"/>
      <c r="Q340" s="20"/>
    </row>
    <row r="341">
      <c r="B341" s="158"/>
      <c r="D341" s="158"/>
      <c r="F341" s="158"/>
      <c r="H341" s="158"/>
      <c r="J341" s="158"/>
      <c r="L341" s="158"/>
      <c r="N341" s="158"/>
      <c r="P341" s="20"/>
      <c r="Q341" s="20"/>
    </row>
    <row r="342">
      <c r="B342" s="158"/>
      <c r="D342" s="158"/>
      <c r="F342" s="158"/>
      <c r="H342" s="158"/>
      <c r="J342" s="158"/>
      <c r="L342" s="158"/>
      <c r="N342" s="158"/>
      <c r="P342" s="20"/>
      <c r="Q342" s="20"/>
    </row>
    <row r="343">
      <c r="B343" s="158"/>
      <c r="D343" s="158"/>
      <c r="F343" s="158"/>
      <c r="H343" s="158"/>
      <c r="J343" s="158"/>
      <c r="L343" s="158"/>
      <c r="N343" s="158"/>
      <c r="P343" s="20"/>
      <c r="Q343" s="20"/>
    </row>
    <row r="344">
      <c r="B344" s="158"/>
      <c r="D344" s="158"/>
      <c r="F344" s="158"/>
      <c r="H344" s="158"/>
      <c r="J344" s="158"/>
      <c r="L344" s="158"/>
      <c r="N344" s="158"/>
      <c r="P344" s="20"/>
      <c r="Q344" s="20"/>
    </row>
    <row r="345">
      <c r="B345" s="158"/>
      <c r="D345" s="158"/>
      <c r="F345" s="158"/>
      <c r="H345" s="158"/>
      <c r="J345" s="158"/>
      <c r="L345" s="158"/>
      <c r="N345" s="158"/>
      <c r="P345" s="20"/>
      <c r="Q345" s="20"/>
    </row>
    <row r="346">
      <c r="B346" s="158"/>
      <c r="D346" s="158"/>
      <c r="F346" s="158"/>
      <c r="H346" s="158"/>
      <c r="J346" s="158"/>
      <c r="L346" s="158"/>
      <c r="N346" s="158"/>
      <c r="P346" s="20"/>
      <c r="Q346" s="20"/>
    </row>
    <row r="347">
      <c r="B347" s="158"/>
      <c r="D347" s="158"/>
      <c r="F347" s="158"/>
      <c r="H347" s="158"/>
      <c r="J347" s="158"/>
      <c r="L347" s="158"/>
      <c r="N347" s="158"/>
      <c r="P347" s="20"/>
      <c r="Q347" s="20"/>
    </row>
    <row r="348">
      <c r="B348" s="158"/>
      <c r="D348" s="158"/>
      <c r="F348" s="158"/>
      <c r="H348" s="158"/>
      <c r="J348" s="158"/>
      <c r="L348" s="158"/>
      <c r="N348" s="158"/>
      <c r="P348" s="20"/>
      <c r="Q348" s="20"/>
    </row>
    <row r="349">
      <c r="B349" s="158"/>
      <c r="D349" s="158"/>
      <c r="F349" s="158"/>
      <c r="H349" s="158"/>
      <c r="J349" s="158"/>
      <c r="L349" s="158"/>
      <c r="N349" s="158"/>
      <c r="P349" s="20"/>
      <c r="Q349" s="20"/>
    </row>
    <row r="350">
      <c r="B350" s="158"/>
      <c r="D350" s="158"/>
      <c r="F350" s="158"/>
      <c r="H350" s="158"/>
      <c r="J350" s="158"/>
      <c r="L350" s="158"/>
      <c r="N350" s="158"/>
      <c r="P350" s="20"/>
      <c r="Q350" s="20"/>
    </row>
    <row r="351">
      <c r="B351" s="158"/>
      <c r="D351" s="158"/>
      <c r="F351" s="158"/>
      <c r="H351" s="158"/>
      <c r="J351" s="158"/>
      <c r="L351" s="158"/>
      <c r="N351" s="158"/>
      <c r="P351" s="20"/>
      <c r="Q351" s="20"/>
    </row>
    <row r="352">
      <c r="B352" s="158"/>
      <c r="D352" s="158"/>
      <c r="F352" s="158"/>
      <c r="H352" s="158"/>
      <c r="J352" s="158"/>
      <c r="L352" s="158"/>
      <c r="N352" s="158"/>
      <c r="P352" s="20"/>
      <c r="Q352" s="20"/>
    </row>
    <row r="353">
      <c r="B353" s="158"/>
      <c r="D353" s="158"/>
      <c r="F353" s="158"/>
      <c r="H353" s="158"/>
      <c r="J353" s="158"/>
      <c r="L353" s="158"/>
      <c r="N353" s="158"/>
      <c r="P353" s="20"/>
      <c r="Q353" s="20"/>
    </row>
    <row r="354">
      <c r="B354" s="158"/>
      <c r="D354" s="158"/>
      <c r="F354" s="158"/>
      <c r="H354" s="158"/>
      <c r="J354" s="158"/>
      <c r="L354" s="158"/>
      <c r="N354" s="158"/>
      <c r="P354" s="20"/>
      <c r="Q354" s="20"/>
    </row>
    <row r="355">
      <c r="B355" s="158"/>
      <c r="D355" s="158"/>
      <c r="F355" s="158"/>
      <c r="H355" s="158"/>
      <c r="J355" s="158"/>
      <c r="L355" s="158"/>
      <c r="N355" s="158"/>
      <c r="P355" s="20"/>
      <c r="Q355" s="20"/>
    </row>
    <row r="356">
      <c r="B356" s="158"/>
      <c r="D356" s="158"/>
      <c r="F356" s="158"/>
      <c r="H356" s="158"/>
      <c r="J356" s="158"/>
      <c r="L356" s="158"/>
      <c r="N356" s="158"/>
      <c r="P356" s="20"/>
      <c r="Q356" s="20"/>
    </row>
    <row r="357">
      <c r="B357" s="158"/>
      <c r="D357" s="158"/>
      <c r="F357" s="158"/>
      <c r="H357" s="158"/>
      <c r="J357" s="158"/>
      <c r="L357" s="158"/>
      <c r="N357" s="158"/>
      <c r="P357" s="20"/>
      <c r="Q357" s="20"/>
    </row>
    <row r="358">
      <c r="B358" s="158"/>
      <c r="D358" s="158"/>
      <c r="F358" s="158"/>
      <c r="H358" s="158"/>
      <c r="J358" s="158"/>
      <c r="L358" s="158"/>
      <c r="N358" s="158"/>
      <c r="P358" s="20"/>
      <c r="Q358" s="20"/>
    </row>
    <row r="359">
      <c r="B359" s="158"/>
      <c r="D359" s="158"/>
      <c r="F359" s="158"/>
      <c r="H359" s="158"/>
      <c r="J359" s="158"/>
      <c r="L359" s="158"/>
      <c r="N359" s="158"/>
      <c r="P359" s="20"/>
      <c r="Q359" s="20"/>
    </row>
    <row r="360">
      <c r="B360" s="158"/>
      <c r="D360" s="158"/>
      <c r="F360" s="158"/>
      <c r="H360" s="158"/>
      <c r="J360" s="158"/>
      <c r="L360" s="158"/>
      <c r="N360" s="158"/>
      <c r="P360" s="20"/>
      <c r="Q360" s="20"/>
    </row>
    <row r="361">
      <c r="B361" s="158"/>
      <c r="D361" s="158"/>
      <c r="F361" s="158"/>
      <c r="H361" s="158"/>
      <c r="J361" s="158"/>
      <c r="L361" s="158"/>
      <c r="N361" s="158"/>
      <c r="P361" s="20"/>
      <c r="Q361" s="20"/>
    </row>
    <row r="362">
      <c r="B362" s="158"/>
      <c r="D362" s="158"/>
      <c r="F362" s="158"/>
      <c r="H362" s="158"/>
      <c r="J362" s="158"/>
      <c r="L362" s="158"/>
      <c r="N362" s="158"/>
      <c r="P362" s="20"/>
      <c r="Q362" s="20"/>
    </row>
    <row r="363">
      <c r="B363" s="158"/>
      <c r="D363" s="158"/>
      <c r="F363" s="158"/>
      <c r="H363" s="158"/>
      <c r="J363" s="158"/>
      <c r="L363" s="158"/>
      <c r="N363" s="158"/>
      <c r="P363" s="20"/>
      <c r="Q363" s="20"/>
    </row>
    <row r="364">
      <c r="B364" s="158"/>
      <c r="D364" s="158"/>
      <c r="F364" s="158"/>
      <c r="H364" s="158"/>
      <c r="J364" s="158"/>
      <c r="L364" s="158"/>
      <c r="N364" s="158"/>
      <c r="P364" s="20"/>
      <c r="Q364" s="20"/>
    </row>
    <row r="365">
      <c r="B365" s="158"/>
      <c r="D365" s="158"/>
      <c r="F365" s="158"/>
      <c r="H365" s="158"/>
      <c r="J365" s="158"/>
      <c r="L365" s="158"/>
      <c r="N365" s="158"/>
      <c r="P365" s="20"/>
      <c r="Q365" s="20"/>
    </row>
    <row r="366">
      <c r="B366" s="158"/>
      <c r="D366" s="158"/>
      <c r="F366" s="158"/>
      <c r="H366" s="158"/>
      <c r="J366" s="158"/>
      <c r="L366" s="158"/>
      <c r="N366" s="158"/>
      <c r="P366" s="20"/>
      <c r="Q366" s="20"/>
    </row>
    <row r="367">
      <c r="B367" s="158"/>
      <c r="D367" s="158"/>
      <c r="F367" s="158"/>
      <c r="H367" s="158"/>
      <c r="J367" s="158"/>
      <c r="L367" s="158"/>
      <c r="N367" s="158"/>
      <c r="P367" s="20"/>
      <c r="Q367" s="20"/>
    </row>
    <row r="368">
      <c r="B368" s="158"/>
      <c r="D368" s="158"/>
      <c r="F368" s="158"/>
      <c r="H368" s="158"/>
      <c r="J368" s="158"/>
      <c r="L368" s="158"/>
      <c r="N368" s="158"/>
      <c r="P368" s="20"/>
      <c r="Q368" s="20"/>
    </row>
    <row r="369">
      <c r="B369" s="158"/>
      <c r="D369" s="158"/>
      <c r="F369" s="158"/>
      <c r="H369" s="158"/>
      <c r="J369" s="158"/>
      <c r="L369" s="158"/>
      <c r="N369" s="158"/>
      <c r="P369" s="20"/>
      <c r="Q369" s="20"/>
    </row>
    <row r="370">
      <c r="B370" s="158"/>
      <c r="D370" s="158"/>
      <c r="F370" s="158"/>
      <c r="H370" s="158"/>
      <c r="J370" s="158"/>
      <c r="L370" s="158"/>
      <c r="N370" s="158"/>
      <c r="P370" s="20"/>
      <c r="Q370" s="20"/>
    </row>
    <row r="371">
      <c r="B371" s="158"/>
      <c r="D371" s="158"/>
      <c r="F371" s="158"/>
      <c r="H371" s="158"/>
      <c r="J371" s="158"/>
      <c r="L371" s="158"/>
      <c r="N371" s="158"/>
      <c r="P371" s="20"/>
      <c r="Q371" s="20"/>
    </row>
    <row r="372">
      <c r="B372" s="158"/>
      <c r="D372" s="158"/>
      <c r="F372" s="158"/>
      <c r="H372" s="158"/>
      <c r="J372" s="158"/>
      <c r="L372" s="158"/>
      <c r="N372" s="158"/>
      <c r="P372" s="20"/>
      <c r="Q372" s="20"/>
    </row>
    <row r="373">
      <c r="B373" s="158"/>
      <c r="D373" s="158"/>
      <c r="F373" s="158"/>
      <c r="H373" s="158"/>
      <c r="J373" s="158"/>
      <c r="L373" s="158"/>
      <c r="N373" s="158"/>
      <c r="P373" s="20"/>
      <c r="Q373" s="20"/>
    </row>
    <row r="374">
      <c r="B374" s="158"/>
      <c r="D374" s="158"/>
      <c r="F374" s="158"/>
      <c r="H374" s="158"/>
      <c r="J374" s="158"/>
      <c r="L374" s="158"/>
      <c r="N374" s="158"/>
      <c r="P374" s="20"/>
      <c r="Q374" s="20"/>
    </row>
    <row r="375">
      <c r="B375" s="158"/>
      <c r="D375" s="158"/>
      <c r="F375" s="158"/>
      <c r="H375" s="158"/>
      <c r="J375" s="158"/>
      <c r="L375" s="158"/>
      <c r="N375" s="158"/>
      <c r="P375" s="20"/>
      <c r="Q375" s="20"/>
    </row>
    <row r="376">
      <c r="B376" s="158"/>
      <c r="D376" s="158"/>
      <c r="F376" s="158"/>
      <c r="H376" s="158"/>
      <c r="J376" s="158"/>
      <c r="L376" s="158"/>
      <c r="N376" s="158"/>
      <c r="P376" s="20"/>
      <c r="Q376" s="20"/>
    </row>
    <row r="377">
      <c r="B377" s="158"/>
      <c r="D377" s="158"/>
      <c r="F377" s="158"/>
      <c r="H377" s="158"/>
      <c r="J377" s="158"/>
      <c r="L377" s="158"/>
      <c r="N377" s="158"/>
      <c r="P377" s="20"/>
      <c r="Q377" s="20"/>
    </row>
    <row r="378">
      <c r="B378" s="158"/>
      <c r="D378" s="158"/>
      <c r="F378" s="158"/>
      <c r="H378" s="158"/>
      <c r="J378" s="158"/>
      <c r="L378" s="158"/>
      <c r="N378" s="158"/>
      <c r="P378" s="20"/>
      <c r="Q378" s="20"/>
    </row>
    <row r="379">
      <c r="B379" s="158"/>
      <c r="D379" s="158"/>
      <c r="F379" s="158"/>
      <c r="H379" s="158"/>
      <c r="J379" s="158"/>
      <c r="L379" s="158"/>
      <c r="N379" s="158"/>
      <c r="P379" s="20"/>
      <c r="Q379" s="20"/>
    </row>
    <row r="380">
      <c r="B380" s="158"/>
      <c r="D380" s="158"/>
      <c r="F380" s="158"/>
      <c r="H380" s="158"/>
      <c r="J380" s="158"/>
      <c r="L380" s="158"/>
      <c r="N380" s="158"/>
      <c r="P380" s="20"/>
      <c r="Q380" s="20"/>
    </row>
    <row r="381">
      <c r="B381" s="158"/>
      <c r="D381" s="158"/>
      <c r="F381" s="158"/>
      <c r="H381" s="158"/>
      <c r="J381" s="158"/>
      <c r="L381" s="158"/>
      <c r="N381" s="158"/>
      <c r="P381" s="20"/>
      <c r="Q381" s="20"/>
    </row>
    <row r="382">
      <c r="B382" s="158"/>
      <c r="D382" s="158"/>
      <c r="F382" s="158"/>
      <c r="H382" s="158"/>
      <c r="J382" s="158"/>
      <c r="L382" s="158"/>
      <c r="N382" s="158"/>
      <c r="P382" s="20"/>
      <c r="Q382" s="20"/>
    </row>
    <row r="383">
      <c r="B383" s="158"/>
      <c r="D383" s="158"/>
      <c r="F383" s="158"/>
      <c r="H383" s="158"/>
      <c r="J383" s="158"/>
      <c r="L383" s="158"/>
      <c r="N383" s="158"/>
      <c r="P383" s="20"/>
      <c r="Q383" s="20"/>
    </row>
    <row r="384">
      <c r="B384" s="158"/>
      <c r="D384" s="158"/>
      <c r="F384" s="158"/>
      <c r="H384" s="158"/>
      <c r="J384" s="158"/>
      <c r="L384" s="158"/>
      <c r="N384" s="158"/>
      <c r="P384" s="20"/>
      <c r="Q384" s="20"/>
    </row>
    <row r="385">
      <c r="B385" s="158"/>
      <c r="D385" s="158"/>
      <c r="F385" s="158"/>
      <c r="H385" s="158"/>
      <c r="J385" s="158"/>
      <c r="L385" s="158"/>
      <c r="N385" s="158"/>
      <c r="P385" s="20"/>
      <c r="Q385" s="20"/>
    </row>
    <row r="386">
      <c r="B386" s="158"/>
      <c r="D386" s="158"/>
      <c r="F386" s="158"/>
      <c r="H386" s="158"/>
      <c r="J386" s="158"/>
      <c r="L386" s="158"/>
      <c r="N386" s="158"/>
      <c r="P386" s="20"/>
      <c r="Q386" s="20"/>
    </row>
    <row r="387">
      <c r="B387" s="158"/>
      <c r="D387" s="158"/>
      <c r="F387" s="158"/>
      <c r="H387" s="158"/>
      <c r="J387" s="158"/>
      <c r="L387" s="158"/>
      <c r="N387" s="158"/>
      <c r="P387" s="20"/>
      <c r="Q387" s="20"/>
    </row>
    <row r="388">
      <c r="B388" s="158"/>
      <c r="D388" s="158"/>
      <c r="F388" s="158"/>
      <c r="H388" s="158"/>
      <c r="J388" s="158"/>
      <c r="L388" s="158"/>
      <c r="N388" s="158"/>
      <c r="P388" s="20"/>
      <c r="Q388" s="20"/>
    </row>
    <row r="389">
      <c r="B389" s="158"/>
      <c r="D389" s="158"/>
      <c r="F389" s="158"/>
      <c r="H389" s="158"/>
      <c r="J389" s="158"/>
      <c r="L389" s="158"/>
      <c r="N389" s="158"/>
      <c r="P389" s="20"/>
      <c r="Q389" s="20"/>
    </row>
    <row r="390">
      <c r="B390" s="158"/>
      <c r="D390" s="158"/>
      <c r="F390" s="158"/>
      <c r="H390" s="158"/>
      <c r="J390" s="158"/>
      <c r="L390" s="158"/>
      <c r="N390" s="158"/>
      <c r="P390" s="20"/>
      <c r="Q390" s="20"/>
    </row>
    <row r="391">
      <c r="B391" s="158"/>
      <c r="D391" s="158"/>
      <c r="F391" s="158"/>
      <c r="H391" s="158"/>
      <c r="J391" s="158"/>
      <c r="L391" s="158"/>
      <c r="N391" s="158"/>
      <c r="P391" s="20"/>
      <c r="Q391" s="20"/>
    </row>
    <row r="392">
      <c r="B392" s="158"/>
      <c r="D392" s="158"/>
      <c r="F392" s="158"/>
      <c r="H392" s="158"/>
      <c r="J392" s="158"/>
      <c r="L392" s="158"/>
      <c r="N392" s="158"/>
      <c r="P392" s="20"/>
      <c r="Q392" s="20"/>
    </row>
    <row r="393">
      <c r="B393" s="158"/>
      <c r="D393" s="158"/>
      <c r="F393" s="158"/>
      <c r="H393" s="158"/>
      <c r="J393" s="158"/>
      <c r="L393" s="158"/>
      <c r="N393" s="158"/>
      <c r="P393" s="20"/>
      <c r="Q393" s="20"/>
    </row>
    <row r="394">
      <c r="B394" s="158"/>
      <c r="D394" s="158"/>
      <c r="F394" s="158"/>
      <c r="H394" s="158"/>
      <c r="J394" s="158"/>
      <c r="L394" s="158"/>
      <c r="N394" s="158"/>
      <c r="P394" s="20"/>
      <c r="Q394" s="20"/>
    </row>
    <row r="395">
      <c r="B395" s="158"/>
      <c r="D395" s="158"/>
      <c r="F395" s="158"/>
      <c r="H395" s="158"/>
      <c r="J395" s="158"/>
      <c r="L395" s="158"/>
      <c r="N395" s="158"/>
      <c r="P395" s="20"/>
      <c r="Q395" s="20"/>
    </row>
    <row r="396">
      <c r="B396" s="158"/>
      <c r="D396" s="158"/>
      <c r="F396" s="158"/>
      <c r="H396" s="158"/>
      <c r="J396" s="158"/>
      <c r="L396" s="158"/>
      <c r="N396" s="158"/>
      <c r="P396" s="20"/>
      <c r="Q396" s="20"/>
    </row>
    <row r="397">
      <c r="B397" s="158"/>
      <c r="D397" s="158"/>
      <c r="F397" s="158"/>
      <c r="H397" s="158"/>
      <c r="J397" s="158"/>
      <c r="L397" s="158"/>
      <c r="N397" s="158"/>
      <c r="P397" s="20"/>
      <c r="Q397" s="20"/>
    </row>
    <row r="398">
      <c r="B398" s="158"/>
      <c r="D398" s="158"/>
      <c r="F398" s="158"/>
      <c r="H398" s="158"/>
      <c r="J398" s="158"/>
      <c r="L398" s="158"/>
      <c r="N398" s="158"/>
      <c r="P398" s="20"/>
      <c r="Q398" s="20"/>
    </row>
    <row r="399">
      <c r="B399" s="158"/>
      <c r="D399" s="158"/>
      <c r="F399" s="158"/>
      <c r="H399" s="158"/>
      <c r="J399" s="158"/>
      <c r="L399" s="158"/>
      <c r="N399" s="158"/>
      <c r="P399" s="20"/>
      <c r="Q399" s="20"/>
    </row>
    <row r="400">
      <c r="B400" s="158"/>
      <c r="D400" s="158"/>
      <c r="F400" s="158"/>
      <c r="H400" s="158"/>
      <c r="J400" s="158"/>
      <c r="L400" s="158"/>
      <c r="N400" s="158"/>
      <c r="P400" s="20"/>
      <c r="Q400" s="20"/>
    </row>
    <row r="401">
      <c r="B401" s="158"/>
      <c r="D401" s="158"/>
      <c r="F401" s="158"/>
      <c r="H401" s="158"/>
      <c r="J401" s="158"/>
      <c r="L401" s="158"/>
      <c r="N401" s="158"/>
      <c r="P401" s="20"/>
      <c r="Q401" s="20"/>
    </row>
    <row r="402">
      <c r="B402" s="158"/>
      <c r="D402" s="158"/>
      <c r="F402" s="158"/>
      <c r="H402" s="158"/>
      <c r="J402" s="158"/>
      <c r="L402" s="158"/>
      <c r="N402" s="158"/>
      <c r="P402" s="20"/>
      <c r="Q402" s="20"/>
    </row>
    <row r="403">
      <c r="B403" s="158"/>
      <c r="D403" s="158"/>
      <c r="F403" s="158"/>
      <c r="H403" s="158"/>
      <c r="J403" s="158"/>
      <c r="L403" s="158"/>
      <c r="N403" s="158"/>
      <c r="P403" s="20"/>
      <c r="Q403" s="20"/>
    </row>
    <row r="404">
      <c r="B404" s="158"/>
      <c r="D404" s="158"/>
      <c r="F404" s="158"/>
      <c r="H404" s="158"/>
      <c r="J404" s="158"/>
      <c r="L404" s="158"/>
      <c r="N404" s="158"/>
      <c r="P404" s="20"/>
      <c r="Q404" s="20"/>
    </row>
    <row r="405">
      <c r="B405" s="158"/>
      <c r="D405" s="158"/>
      <c r="F405" s="158"/>
      <c r="H405" s="158"/>
      <c r="J405" s="158"/>
      <c r="L405" s="158"/>
      <c r="N405" s="158"/>
      <c r="P405" s="20"/>
      <c r="Q405" s="20"/>
    </row>
    <row r="406">
      <c r="B406" s="158"/>
      <c r="D406" s="158"/>
      <c r="F406" s="158"/>
      <c r="H406" s="158"/>
      <c r="J406" s="158"/>
      <c r="L406" s="158"/>
      <c r="N406" s="158"/>
      <c r="P406" s="20"/>
      <c r="Q406" s="20"/>
    </row>
    <row r="407">
      <c r="B407" s="158"/>
      <c r="D407" s="158"/>
      <c r="F407" s="158"/>
      <c r="H407" s="158"/>
      <c r="J407" s="158"/>
      <c r="L407" s="158"/>
      <c r="N407" s="158"/>
      <c r="P407" s="20"/>
      <c r="Q407" s="20"/>
    </row>
    <row r="408">
      <c r="B408" s="158"/>
      <c r="D408" s="158"/>
      <c r="F408" s="158"/>
      <c r="H408" s="158"/>
      <c r="J408" s="158"/>
      <c r="L408" s="158"/>
      <c r="N408" s="158"/>
      <c r="P408" s="20"/>
      <c r="Q408" s="20"/>
    </row>
    <row r="409">
      <c r="B409" s="158"/>
      <c r="D409" s="158"/>
      <c r="F409" s="158"/>
      <c r="H409" s="158"/>
      <c r="J409" s="158"/>
      <c r="L409" s="158"/>
      <c r="N409" s="158"/>
      <c r="P409" s="20"/>
      <c r="Q409" s="20"/>
    </row>
    <row r="410">
      <c r="B410" s="158"/>
      <c r="D410" s="158"/>
      <c r="F410" s="158"/>
      <c r="H410" s="158"/>
      <c r="J410" s="158"/>
      <c r="L410" s="158"/>
      <c r="N410" s="158"/>
      <c r="P410" s="20"/>
      <c r="Q410" s="20"/>
    </row>
    <row r="411">
      <c r="B411" s="158"/>
      <c r="D411" s="158"/>
      <c r="F411" s="158"/>
      <c r="H411" s="158"/>
      <c r="J411" s="158"/>
      <c r="L411" s="158"/>
      <c r="N411" s="158"/>
      <c r="P411" s="20"/>
      <c r="Q411" s="20"/>
    </row>
    <row r="412">
      <c r="B412" s="158"/>
      <c r="D412" s="158"/>
      <c r="F412" s="158"/>
      <c r="H412" s="158"/>
      <c r="J412" s="158"/>
      <c r="L412" s="158"/>
      <c r="N412" s="158"/>
      <c r="P412" s="20"/>
      <c r="Q412" s="20"/>
    </row>
    <row r="413">
      <c r="B413" s="158"/>
      <c r="D413" s="158"/>
      <c r="F413" s="158"/>
      <c r="H413" s="158"/>
      <c r="J413" s="158"/>
      <c r="L413" s="158"/>
      <c r="N413" s="158"/>
      <c r="P413" s="20"/>
      <c r="Q413" s="20"/>
    </row>
    <row r="414">
      <c r="B414" s="158"/>
      <c r="D414" s="158"/>
      <c r="F414" s="158"/>
      <c r="H414" s="158"/>
      <c r="J414" s="158"/>
      <c r="L414" s="158"/>
      <c r="N414" s="158"/>
      <c r="P414" s="20"/>
      <c r="Q414" s="20"/>
    </row>
    <row r="415">
      <c r="B415" s="158"/>
      <c r="D415" s="158"/>
      <c r="F415" s="158"/>
      <c r="H415" s="158"/>
      <c r="J415" s="158"/>
      <c r="L415" s="158"/>
      <c r="N415" s="158"/>
      <c r="P415" s="20"/>
      <c r="Q415" s="20"/>
    </row>
    <row r="416">
      <c r="B416" s="158"/>
      <c r="D416" s="158"/>
      <c r="F416" s="158"/>
      <c r="H416" s="158"/>
      <c r="J416" s="158"/>
      <c r="L416" s="158"/>
      <c r="N416" s="158"/>
      <c r="P416" s="20"/>
      <c r="Q416" s="20"/>
    </row>
    <row r="417">
      <c r="B417" s="158"/>
      <c r="D417" s="158"/>
      <c r="F417" s="158"/>
      <c r="H417" s="158"/>
      <c r="J417" s="158"/>
      <c r="L417" s="158"/>
      <c r="N417" s="158"/>
      <c r="P417" s="20"/>
      <c r="Q417" s="20"/>
    </row>
    <row r="418">
      <c r="B418" s="158"/>
      <c r="D418" s="158"/>
      <c r="F418" s="158"/>
      <c r="H418" s="158"/>
      <c r="J418" s="158"/>
      <c r="L418" s="158"/>
      <c r="N418" s="158"/>
      <c r="P418" s="20"/>
      <c r="Q418" s="20"/>
    </row>
    <row r="419">
      <c r="B419" s="158"/>
      <c r="D419" s="158"/>
      <c r="F419" s="158"/>
      <c r="H419" s="158"/>
      <c r="J419" s="158"/>
      <c r="L419" s="158"/>
      <c r="N419" s="158"/>
      <c r="P419" s="20"/>
      <c r="Q419" s="20"/>
    </row>
    <row r="420">
      <c r="B420" s="158"/>
      <c r="D420" s="158"/>
      <c r="F420" s="158"/>
      <c r="H420" s="158"/>
      <c r="J420" s="158"/>
      <c r="L420" s="158"/>
      <c r="N420" s="158"/>
      <c r="P420" s="20"/>
      <c r="Q420" s="20"/>
    </row>
    <row r="421">
      <c r="B421" s="158"/>
      <c r="D421" s="158"/>
      <c r="F421" s="158"/>
      <c r="H421" s="158"/>
      <c r="J421" s="158"/>
      <c r="L421" s="158"/>
      <c r="N421" s="158"/>
      <c r="P421" s="20"/>
      <c r="Q421" s="20"/>
    </row>
    <row r="422">
      <c r="B422" s="158"/>
      <c r="D422" s="158"/>
      <c r="F422" s="158"/>
      <c r="H422" s="158"/>
      <c r="J422" s="158"/>
      <c r="L422" s="158"/>
      <c r="N422" s="158"/>
      <c r="P422" s="20"/>
      <c r="Q422" s="20"/>
    </row>
    <row r="423">
      <c r="B423" s="158"/>
      <c r="D423" s="158"/>
      <c r="F423" s="158"/>
      <c r="H423" s="158"/>
      <c r="J423" s="158"/>
      <c r="L423" s="158"/>
      <c r="N423" s="158"/>
      <c r="P423" s="20"/>
      <c r="Q423" s="20"/>
    </row>
    <row r="424">
      <c r="B424" s="158"/>
      <c r="D424" s="158"/>
      <c r="F424" s="158"/>
      <c r="H424" s="158"/>
      <c r="J424" s="158"/>
      <c r="L424" s="158"/>
      <c r="N424" s="158"/>
      <c r="P424" s="20"/>
      <c r="Q424" s="20"/>
    </row>
    <row r="425">
      <c r="B425" s="158"/>
      <c r="D425" s="158"/>
      <c r="F425" s="158"/>
      <c r="H425" s="158"/>
      <c r="J425" s="158"/>
      <c r="L425" s="158"/>
      <c r="N425" s="158"/>
      <c r="P425" s="20"/>
      <c r="Q425" s="20"/>
    </row>
    <row r="426">
      <c r="B426" s="158"/>
      <c r="D426" s="158"/>
      <c r="F426" s="158"/>
      <c r="H426" s="158"/>
      <c r="J426" s="158"/>
      <c r="L426" s="158"/>
      <c r="N426" s="158"/>
      <c r="P426" s="20"/>
      <c r="Q426" s="20"/>
    </row>
    <row r="427">
      <c r="B427" s="158"/>
      <c r="D427" s="158"/>
      <c r="F427" s="158"/>
      <c r="H427" s="158"/>
      <c r="J427" s="158"/>
      <c r="L427" s="158"/>
      <c r="N427" s="158"/>
      <c r="P427" s="20"/>
      <c r="Q427" s="20"/>
    </row>
    <row r="428">
      <c r="B428" s="158"/>
      <c r="D428" s="158"/>
      <c r="F428" s="158"/>
      <c r="H428" s="158"/>
      <c r="J428" s="158"/>
      <c r="L428" s="158"/>
      <c r="N428" s="158"/>
      <c r="P428" s="20"/>
      <c r="Q428" s="20"/>
    </row>
    <row r="429">
      <c r="B429" s="158"/>
      <c r="D429" s="158"/>
      <c r="F429" s="158"/>
      <c r="H429" s="158"/>
      <c r="J429" s="158"/>
      <c r="L429" s="158"/>
      <c r="N429" s="158"/>
      <c r="P429" s="20"/>
      <c r="Q429" s="20"/>
    </row>
    <row r="430">
      <c r="B430" s="158"/>
      <c r="D430" s="158"/>
      <c r="F430" s="158"/>
      <c r="H430" s="158"/>
      <c r="J430" s="158"/>
      <c r="L430" s="158"/>
      <c r="N430" s="158"/>
      <c r="P430" s="20"/>
      <c r="Q430" s="20"/>
    </row>
    <row r="431">
      <c r="B431" s="158"/>
      <c r="D431" s="158"/>
      <c r="F431" s="158"/>
      <c r="H431" s="158"/>
      <c r="J431" s="158"/>
      <c r="L431" s="158"/>
      <c r="N431" s="158"/>
      <c r="P431" s="20"/>
      <c r="Q431" s="20"/>
    </row>
    <row r="432">
      <c r="B432" s="158"/>
      <c r="D432" s="158"/>
      <c r="F432" s="158"/>
      <c r="H432" s="158"/>
      <c r="J432" s="158"/>
      <c r="L432" s="158"/>
      <c r="N432" s="158"/>
      <c r="P432" s="20"/>
      <c r="Q432" s="20"/>
    </row>
    <row r="433">
      <c r="B433" s="158"/>
      <c r="D433" s="158"/>
      <c r="F433" s="158"/>
      <c r="H433" s="158"/>
      <c r="J433" s="158"/>
      <c r="L433" s="158"/>
      <c r="N433" s="158"/>
      <c r="P433" s="20"/>
      <c r="Q433" s="20"/>
    </row>
    <row r="434">
      <c r="B434" s="158"/>
      <c r="D434" s="158"/>
      <c r="F434" s="158"/>
      <c r="H434" s="158"/>
      <c r="J434" s="158"/>
      <c r="L434" s="158"/>
      <c r="N434" s="158"/>
      <c r="P434" s="20"/>
      <c r="Q434" s="20"/>
    </row>
    <row r="435">
      <c r="B435" s="158"/>
      <c r="D435" s="158"/>
      <c r="F435" s="158"/>
      <c r="H435" s="158"/>
      <c r="J435" s="158"/>
      <c r="L435" s="158"/>
      <c r="N435" s="158"/>
      <c r="P435" s="20"/>
      <c r="Q435" s="20"/>
    </row>
    <row r="436">
      <c r="B436" s="158"/>
      <c r="D436" s="158"/>
      <c r="F436" s="158"/>
      <c r="H436" s="158"/>
      <c r="J436" s="158"/>
      <c r="L436" s="158"/>
      <c r="N436" s="158"/>
      <c r="P436" s="20"/>
      <c r="Q436" s="20"/>
    </row>
    <row r="437">
      <c r="B437" s="158"/>
      <c r="D437" s="158"/>
      <c r="F437" s="158"/>
      <c r="H437" s="158"/>
      <c r="J437" s="158"/>
      <c r="L437" s="158"/>
      <c r="N437" s="158"/>
      <c r="P437" s="20"/>
      <c r="Q437" s="20"/>
    </row>
    <row r="438">
      <c r="B438" s="158"/>
      <c r="D438" s="158"/>
      <c r="F438" s="158"/>
      <c r="H438" s="158"/>
      <c r="J438" s="158"/>
      <c r="L438" s="158"/>
      <c r="N438" s="158"/>
      <c r="P438" s="20"/>
      <c r="Q438" s="20"/>
    </row>
    <row r="439">
      <c r="B439" s="158"/>
      <c r="D439" s="158"/>
      <c r="F439" s="158"/>
      <c r="H439" s="158"/>
      <c r="J439" s="158"/>
      <c r="L439" s="158"/>
      <c r="N439" s="158"/>
      <c r="P439" s="20"/>
      <c r="Q439" s="20"/>
    </row>
    <row r="440">
      <c r="B440" s="158"/>
      <c r="D440" s="158"/>
      <c r="F440" s="158"/>
      <c r="H440" s="158"/>
      <c r="J440" s="158"/>
      <c r="L440" s="158"/>
      <c r="N440" s="158"/>
      <c r="P440" s="20"/>
      <c r="Q440" s="20"/>
    </row>
    <row r="441">
      <c r="B441" s="158"/>
      <c r="D441" s="158"/>
      <c r="F441" s="158"/>
      <c r="H441" s="158"/>
      <c r="J441" s="158"/>
      <c r="L441" s="158"/>
      <c r="N441" s="158"/>
      <c r="P441" s="20"/>
      <c r="Q441" s="20"/>
    </row>
    <row r="442">
      <c r="B442" s="158"/>
      <c r="D442" s="158"/>
      <c r="F442" s="158"/>
      <c r="H442" s="158"/>
      <c r="J442" s="158"/>
      <c r="L442" s="158"/>
      <c r="N442" s="158"/>
      <c r="P442" s="20"/>
      <c r="Q442" s="20"/>
    </row>
    <row r="443">
      <c r="B443" s="158"/>
      <c r="D443" s="158"/>
      <c r="F443" s="158"/>
      <c r="H443" s="158"/>
      <c r="J443" s="158"/>
      <c r="L443" s="158"/>
      <c r="N443" s="158"/>
      <c r="P443" s="20"/>
      <c r="Q443" s="20"/>
    </row>
    <row r="444">
      <c r="B444" s="158"/>
      <c r="D444" s="158"/>
      <c r="F444" s="158"/>
      <c r="H444" s="158"/>
      <c r="J444" s="158"/>
      <c r="L444" s="158"/>
      <c r="N444" s="158"/>
      <c r="P444" s="20"/>
      <c r="Q444" s="20"/>
    </row>
    <row r="445">
      <c r="B445" s="158"/>
      <c r="D445" s="158"/>
      <c r="F445" s="158"/>
      <c r="H445" s="158"/>
      <c r="J445" s="158"/>
      <c r="L445" s="158"/>
      <c r="N445" s="158"/>
      <c r="P445" s="20"/>
      <c r="Q445" s="20"/>
    </row>
    <row r="446">
      <c r="B446" s="158"/>
      <c r="D446" s="158"/>
      <c r="F446" s="158"/>
      <c r="H446" s="158"/>
      <c r="J446" s="158"/>
      <c r="L446" s="158"/>
      <c r="N446" s="158"/>
      <c r="P446" s="20"/>
      <c r="Q446" s="20"/>
    </row>
    <row r="447">
      <c r="B447" s="158"/>
      <c r="D447" s="158"/>
      <c r="F447" s="158"/>
      <c r="H447" s="158"/>
      <c r="J447" s="158"/>
      <c r="L447" s="158"/>
      <c r="N447" s="158"/>
      <c r="P447" s="20"/>
      <c r="Q447" s="20"/>
    </row>
    <row r="448">
      <c r="B448" s="158"/>
      <c r="D448" s="158"/>
      <c r="F448" s="158"/>
      <c r="H448" s="158"/>
      <c r="J448" s="158"/>
      <c r="L448" s="158"/>
      <c r="N448" s="158"/>
      <c r="P448" s="20"/>
      <c r="Q448" s="20"/>
    </row>
    <row r="449">
      <c r="B449" s="158"/>
      <c r="D449" s="158"/>
      <c r="F449" s="158"/>
      <c r="H449" s="158"/>
      <c r="J449" s="158"/>
      <c r="L449" s="158"/>
      <c r="N449" s="158"/>
      <c r="P449" s="20"/>
      <c r="Q449" s="20"/>
    </row>
    <row r="450">
      <c r="B450" s="158"/>
      <c r="D450" s="158"/>
      <c r="F450" s="158"/>
      <c r="H450" s="158"/>
      <c r="J450" s="158"/>
      <c r="L450" s="158"/>
      <c r="N450" s="158"/>
      <c r="P450" s="20"/>
      <c r="Q450" s="20"/>
    </row>
    <row r="451">
      <c r="B451" s="158"/>
      <c r="D451" s="158"/>
      <c r="F451" s="158"/>
      <c r="H451" s="158"/>
      <c r="J451" s="158"/>
      <c r="L451" s="158"/>
      <c r="N451" s="158"/>
      <c r="P451" s="20"/>
      <c r="Q451" s="20"/>
    </row>
    <row r="452">
      <c r="B452" s="158"/>
      <c r="D452" s="158"/>
      <c r="F452" s="158"/>
      <c r="H452" s="158"/>
      <c r="J452" s="158"/>
      <c r="L452" s="158"/>
      <c r="N452" s="158"/>
      <c r="P452" s="20"/>
      <c r="Q452" s="20"/>
    </row>
    <row r="453">
      <c r="B453" s="158"/>
      <c r="D453" s="158"/>
      <c r="F453" s="158"/>
      <c r="H453" s="158"/>
      <c r="J453" s="158"/>
      <c r="L453" s="158"/>
      <c r="N453" s="158"/>
      <c r="P453" s="20"/>
      <c r="Q453" s="20"/>
    </row>
    <row r="454">
      <c r="B454" s="158"/>
      <c r="D454" s="158"/>
      <c r="F454" s="158"/>
      <c r="H454" s="158"/>
      <c r="J454" s="158"/>
      <c r="L454" s="158"/>
      <c r="N454" s="158"/>
      <c r="P454" s="20"/>
      <c r="Q454" s="20"/>
    </row>
    <row r="455">
      <c r="B455" s="158"/>
      <c r="D455" s="158"/>
      <c r="F455" s="158"/>
      <c r="H455" s="158"/>
      <c r="J455" s="158"/>
      <c r="L455" s="158"/>
      <c r="N455" s="158"/>
      <c r="P455" s="20"/>
      <c r="Q455" s="20"/>
    </row>
    <row r="456">
      <c r="B456" s="158"/>
      <c r="D456" s="158"/>
      <c r="F456" s="158"/>
      <c r="H456" s="158"/>
      <c r="J456" s="158"/>
      <c r="L456" s="158"/>
      <c r="N456" s="158"/>
      <c r="P456" s="20"/>
      <c r="Q456" s="20"/>
    </row>
    <row r="457">
      <c r="B457" s="158"/>
      <c r="D457" s="158"/>
      <c r="F457" s="158"/>
      <c r="H457" s="158"/>
      <c r="J457" s="158"/>
      <c r="L457" s="158"/>
      <c r="N457" s="158"/>
      <c r="P457" s="20"/>
      <c r="Q457" s="20"/>
    </row>
    <row r="458">
      <c r="B458" s="158"/>
      <c r="D458" s="158"/>
      <c r="F458" s="158"/>
      <c r="H458" s="158"/>
      <c r="J458" s="158"/>
      <c r="L458" s="158"/>
      <c r="N458" s="158"/>
      <c r="P458" s="20"/>
      <c r="Q458" s="20"/>
    </row>
    <row r="459">
      <c r="B459" s="158"/>
      <c r="D459" s="158"/>
      <c r="F459" s="158"/>
      <c r="H459" s="158"/>
      <c r="J459" s="158"/>
      <c r="L459" s="158"/>
      <c r="N459" s="158"/>
      <c r="P459" s="20"/>
      <c r="Q459" s="20"/>
    </row>
    <row r="460">
      <c r="B460" s="158"/>
      <c r="D460" s="158"/>
      <c r="F460" s="158"/>
      <c r="H460" s="158"/>
      <c r="J460" s="158"/>
      <c r="L460" s="158"/>
      <c r="N460" s="158"/>
      <c r="P460" s="20"/>
      <c r="Q460" s="20"/>
    </row>
    <row r="461">
      <c r="B461" s="158"/>
      <c r="D461" s="158"/>
      <c r="F461" s="158"/>
      <c r="H461" s="158"/>
      <c r="J461" s="158"/>
      <c r="L461" s="158"/>
      <c r="N461" s="158"/>
      <c r="P461" s="20"/>
      <c r="Q461" s="20"/>
    </row>
    <row r="462">
      <c r="B462" s="158"/>
      <c r="D462" s="158"/>
      <c r="F462" s="158"/>
      <c r="H462" s="158"/>
      <c r="J462" s="158"/>
      <c r="L462" s="158"/>
      <c r="N462" s="158"/>
      <c r="P462" s="20"/>
      <c r="Q462" s="20"/>
    </row>
    <row r="463">
      <c r="B463" s="158"/>
      <c r="D463" s="158"/>
      <c r="F463" s="158"/>
      <c r="H463" s="158"/>
      <c r="J463" s="158"/>
      <c r="L463" s="158"/>
      <c r="N463" s="158"/>
      <c r="P463" s="20"/>
      <c r="Q463" s="20"/>
    </row>
    <row r="464">
      <c r="B464" s="158"/>
      <c r="D464" s="158"/>
      <c r="F464" s="158"/>
      <c r="H464" s="158"/>
      <c r="J464" s="158"/>
      <c r="L464" s="158"/>
      <c r="N464" s="158"/>
      <c r="P464" s="20"/>
      <c r="Q464" s="20"/>
    </row>
    <row r="465">
      <c r="B465" s="158"/>
      <c r="D465" s="158"/>
      <c r="F465" s="158"/>
      <c r="H465" s="158"/>
      <c r="J465" s="158"/>
      <c r="L465" s="158"/>
      <c r="N465" s="158"/>
      <c r="P465" s="20"/>
      <c r="Q465" s="20"/>
    </row>
    <row r="466">
      <c r="B466" s="158"/>
      <c r="D466" s="158"/>
      <c r="F466" s="158"/>
      <c r="H466" s="158"/>
      <c r="J466" s="158"/>
      <c r="L466" s="158"/>
      <c r="N466" s="158"/>
      <c r="P466" s="20"/>
      <c r="Q466" s="20"/>
    </row>
    <row r="467">
      <c r="B467" s="158"/>
      <c r="D467" s="158"/>
      <c r="F467" s="158"/>
      <c r="H467" s="158"/>
      <c r="J467" s="158"/>
      <c r="L467" s="158"/>
      <c r="N467" s="158"/>
      <c r="P467" s="20"/>
      <c r="Q467" s="20"/>
    </row>
    <row r="468">
      <c r="B468" s="158"/>
      <c r="D468" s="158"/>
      <c r="F468" s="158"/>
      <c r="H468" s="158"/>
      <c r="J468" s="158"/>
      <c r="L468" s="158"/>
      <c r="N468" s="158"/>
      <c r="P468" s="20"/>
      <c r="Q468" s="20"/>
    </row>
    <row r="469">
      <c r="B469" s="158"/>
      <c r="D469" s="158"/>
      <c r="F469" s="158"/>
      <c r="H469" s="158"/>
      <c r="J469" s="158"/>
      <c r="L469" s="158"/>
      <c r="N469" s="158"/>
      <c r="P469" s="20"/>
      <c r="Q469" s="20"/>
    </row>
    <row r="470">
      <c r="B470" s="158"/>
      <c r="D470" s="158"/>
      <c r="F470" s="158"/>
      <c r="H470" s="158"/>
      <c r="J470" s="158"/>
      <c r="L470" s="158"/>
      <c r="N470" s="158"/>
      <c r="P470" s="20"/>
      <c r="Q470" s="20"/>
    </row>
    <row r="471">
      <c r="B471" s="158"/>
      <c r="D471" s="158"/>
      <c r="F471" s="158"/>
      <c r="H471" s="158"/>
      <c r="J471" s="158"/>
      <c r="L471" s="158"/>
      <c r="N471" s="158"/>
      <c r="P471" s="20"/>
      <c r="Q471" s="20"/>
    </row>
    <row r="472">
      <c r="B472" s="158"/>
      <c r="D472" s="158"/>
      <c r="F472" s="158"/>
      <c r="H472" s="158"/>
      <c r="J472" s="158"/>
      <c r="L472" s="158"/>
      <c r="N472" s="158"/>
      <c r="P472" s="20"/>
      <c r="Q472" s="20"/>
    </row>
    <row r="473">
      <c r="B473" s="158"/>
      <c r="D473" s="158"/>
      <c r="F473" s="158"/>
      <c r="H473" s="158"/>
      <c r="J473" s="158"/>
      <c r="L473" s="158"/>
      <c r="N473" s="158"/>
      <c r="P473" s="20"/>
      <c r="Q473" s="20"/>
    </row>
    <row r="474">
      <c r="B474" s="158"/>
      <c r="D474" s="158"/>
      <c r="F474" s="158"/>
      <c r="H474" s="158"/>
      <c r="J474" s="158"/>
      <c r="L474" s="158"/>
      <c r="N474" s="158"/>
      <c r="P474" s="20"/>
      <c r="Q474" s="20"/>
    </row>
    <row r="475">
      <c r="B475" s="158"/>
      <c r="D475" s="158"/>
      <c r="F475" s="158"/>
      <c r="H475" s="158"/>
      <c r="J475" s="158"/>
      <c r="L475" s="158"/>
      <c r="N475" s="158"/>
      <c r="P475" s="20"/>
      <c r="Q475" s="20"/>
    </row>
    <row r="476">
      <c r="B476" s="158"/>
      <c r="D476" s="158"/>
      <c r="F476" s="158"/>
      <c r="H476" s="158"/>
      <c r="J476" s="158"/>
      <c r="L476" s="158"/>
      <c r="N476" s="158"/>
      <c r="P476" s="20"/>
      <c r="Q476" s="20"/>
    </row>
    <row r="477">
      <c r="B477" s="158"/>
      <c r="D477" s="158"/>
      <c r="F477" s="158"/>
      <c r="H477" s="158"/>
      <c r="J477" s="158"/>
      <c r="L477" s="158"/>
      <c r="N477" s="158"/>
      <c r="P477" s="20"/>
      <c r="Q477" s="20"/>
    </row>
    <row r="478">
      <c r="B478" s="158"/>
      <c r="D478" s="158"/>
      <c r="F478" s="158"/>
      <c r="H478" s="158"/>
      <c r="J478" s="158"/>
      <c r="L478" s="158"/>
      <c r="N478" s="158"/>
      <c r="P478" s="20"/>
      <c r="Q478" s="20"/>
    </row>
    <row r="479">
      <c r="B479" s="158"/>
      <c r="D479" s="158"/>
      <c r="F479" s="158"/>
      <c r="H479" s="158"/>
      <c r="J479" s="158"/>
      <c r="L479" s="158"/>
      <c r="N479" s="158"/>
      <c r="P479" s="20"/>
      <c r="Q479" s="20"/>
    </row>
    <row r="480">
      <c r="B480" s="158"/>
      <c r="D480" s="158"/>
      <c r="F480" s="158"/>
      <c r="H480" s="158"/>
      <c r="J480" s="158"/>
      <c r="L480" s="158"/>
      <c r="N480" s="158"/>
      <c r="P480" s="20"/>
      <c r="Q480" s="20"/>
    </row>
    <row r="481">
      <c r="B481" s="158"/>
      <c r="D481" s="158"/>
      <c r="F481" s="158"/>
      <c r="H481" s="158"/>
      <c r="J481" s="158"/>
      <c r="L481" s="158"/>
      <c r="N481" s="158"/>
      <c r="P481" s="20"/>
      <c r="Q481" s="20"/>
    </row>
    <row r="482">
      <c r="B482" s="158"/>
      <c r="D482" s="158"/>
      <c r="F482" s="158"/>
      <c r="H482" s="158"/>
      <c r="J482" s="158"/>
      <c r="L482" s="158"/>
      <c r="N482" s="158"/>
      <c r="P482" s="20"/>
      <c r="Q482" s="20"/>
    </row>
    <row r="483">
      <c r="B483" s="158"/>
      <c r="D483" s="158"/>
      <c r="F483" s="158"/>
      <c r="H483" s="158"/>
      <c r="J483" s="158"/>
      <c r="L483" s="158"/>
      <c r="N483" s="158"/>
      <c r="P483" s="20"/>
      <c r="Q483" s="20"/>
    </row>
    <row r="484">
      <c r="B484" s="158"/>
      <c r="D484" s="158"/>
      <c r="F484" s="158"/>
      <c r="H484" s="158"/>
      <c r="J484" s="158"/>
      <c r="L484" s="158"/>
      <c r="N484" s="158"/>
      <c r="P484" s="20"/>
      <c r="Q484" s="20"/>
    </row>
    <row r="485">
      <c r="B485" s="158"/>
      <c r="D485" s="158"/>
      <c r="F485" s="158"/>
      <c r="H485" s="158"/>
      <c r="J485" s="158"/>
      <c r="L485" s="158"/>
      <c r="N485" s="158"/>
      <c r="P485" s="20"/>
      <c r="Q485" s="20"/>
    </row>
    <row r="486">
      <c r="B486" s="158"/>
      <c r="D486" s="158"/>
      <c r="F486" s="158"/>
      <c r="H486" s="158"/>
      <c r="J486" s="158"/>
      <c r="L486" s="158"/>
      <c r="N486" s="158"/>
      <c r="P486" s="20"/>
      <c r="Q486" s="20"/>
    </row>
    <row r="487">
      <c r="B487" s="158"/>
      <c r="D487" s="158"/>
      <c r="F487" s="158"/>
      <c r="H487" s="158"/>
      <c r="J487" s="158"/>
      <c r="L487" s="158"/>
      <c r="N487" s="158"/>
      <c r="P487" s="20"/>
      <c r="Q487" s="20"/>
    </row>
    <row r="488">
      <c r="B488" s="158"/>
      <c r="D488" s="158"/>
      <c r="F488" s="158"/>
      <c r="H488" s="158"/>
      <c r="J488" s="158"/>
      <c r="L488" s="158"/>
      <c r="N488" s="158"/>
      <c r="P488" s="20"/>
      <c r="Q488" s="20"/>
    </row>
    <row r="489">
      <c r="B489" s="158"/>
      <c r="D489" s="158"/>
      <c r="F489" s="158"/>
      <c r="H489" s="158"/>
      <c r="J489" s="158"/>
      <c r="L489" s="158"/>
      <c r="N489" s="158"/>
      <c r="P489" s="20"/>
      <c r="Q489" s="20"/>
    </row>
    <row r="490">
      <c r="B490" s="158"/>
      <c r="D490" s="158"/>
      <c r="F490" s="158"/>
      <c r="H490" s="158"/>
      <c r="J490" s="158"/>
      <c r="L490" s="158"/>
      <c r="N490" s="158"/>
      <c r="P490" s="20"/>
      <c r="Q490" s="20"/>
    </row>
    <row r="491">
      <c r="B491" s="158"/>
      <c r="D491" s="158"/>
      <c r="F491" s="158"/>
      <c r="H491" s="158"/>
      <c r="J491" s="158"/>
      <c r="L491" s="158"/>
      <c r="N491" s="158"/>
      <c r="P491" s="20"/>
      <c r="Q491" s="20"/>
    </row>
    <row r="492">
      <c r="B492" s="158"/>
      <c r="D492" s="158"/>
      <c r="F492" s="158"/>
      <c r="H492" s="158"/>
      <c r="J492" s="158"/>
      <c r="L492" s="158"/>
      <c r="N492" s="158"/>
      <c r="P492" s="20"/>
      <c r="Q492" s="20"/>
    </row>
    <row r="493">
      <c r="B493" s="158"/>
      <c r="D493" s="158"/>
      <c r="F493" s="158"/>
      <c r="H493" s="158"/>
      <c r="J493" s="158"/>
      <c r="L493" s="158"/>
      <c r="N493" s="158"/>
      <c r="P493" s="20"/>
      <c r="Q493" s="20"/>
    </row>
    <row r="494">
      <c r="B494" s="158"/>
      <c r="D494" s="158"/>
      <c r="F494" s="158"/>
      <c r="H494" s="158"/>
      <c r="J494" s="158"/>
      <c r="L494" s="158"/>
      <c r="N494" s="158"/>
      <c r="P494" s="20"/>
      <c r="Q494" s="20"/>
    </row>
    <row r="495">
      <c r="B495" s="158"/>
      <c r="D495" s="158"/>
      <c r="F495" s="158"/>
      <c r="H495" s="158"/>
      <c r="J495" s="158"/>
      <c r="L495" s="158"/>
      <c r="N495" s="158"/>
      <c r="P495" s="20"/>
      <c r="Q495" s="20"/>
    </row>
    <row r="496">
      <c r="B496" s="158"/>
      <c r="D496" s="158"/>
      <c r="F496" s="158"/>
      <c r="H496" s="158"/>
      <c r="J496" s="158"/>
      <c r="L496" s="158"/>
      <c r="N496" s="158"/>
      <c r="P496" s="20"/>
      <c r="Q496" s="20"/>
    </row>
    <row r="497">
      <c r="B497" s="158"/>
      <c r="D497" s="158"/>
      <c r="F497" s="158"/>
      <c r="H497" s="158"/>
      <c r="J497" s="158"/>
      <c r="L497" s="158"/>
      <c r="N497" s="158"/>
      <c r="P497" s="20"/>
      <c r="Q497" s="20"/>
    </row>
    <row r="498">
      <c r="B498" s="158"/>
      <c r="D498" s="158"/>
      <c r="F498" s="158"/>
      <c r="H498" s="158"/>
      <c r="J498" s="158"/>
      <c r="L498" s="158"/>
      <c r="N498" s="158"/>
      <c r="P498" s="20"/>
      <c r="Q498" s="20"/>
    </row>
    <row r="499">
      <c r="B499" s="158"/>
      <c r="D499" s="158"/>
      <c r="F499" s="158"/>
      <c r="H499" s="158"/>
      <c r="J499" s="158"/>
      <c r="L499" s="158"/>
      <c r="N499" s="158"/>
      <c r="P499" s="20"/>
      <c r="Q499" s="20"/>
    </row>
    <row r="500">
      <c r="B500" s="158"/>
      <c r="D500" s="158"/>
      <c r="F500" s="158"/>
      <c r="H500" s="158"/>
      <c r="J500" s="158"/>
      <c r="L500" s="158"/>
      <c r="N500" s="158"/>
      <c r="P500" s="20"/>
      <c r="Q500" s="20"/>
    </row>
    <row r="501">
      <c r="B501" s="158"/>
      <c r="D501" s="158"/>
      <c r="F501" s="158"/>
      <c r="H501" s="158"/>
      <c r="J501" s="158"/>
      <c r="L501" s="158"/>
      <c r="N501" s="158"/>
      <c r="P501" s="20"/>
      <c r="Q501" s="20"/>
    </row>
    <row r="502">
      <c r="B502" s="158"/>
      <c r="D502" s="158"/>
      <c r="F502" s="158"/>
      <c r="H502" s="158"/>
      <c r="J502" s="158"/>
      <c r="L502" s="158"/>
      <c r="N502" s="158"/>
      <c r="P502" s="20"/>
      <c r="Q502" s="20"/>
    </row>
    <row r="503">
      <c r="B503" s="158"/>
      <c r="D503" s="158"/>
      <c r="F503" s="158"/>
      <c r="H503" s="158"/>
      <c r="J503" s="158"/>
      <c r="L503" s="158"/>
      <c r="N503" s="158"/>
      <c r="P503" s="20"/>
      <c r="Q503" s="20"/>
    </row>
    <row r="504">
      <c r="B504" s="158"/>
      <c r="D504" s="158"/>
      <c r="F504" s="158"/>
      <c r="H504" s="158"/>
      <c r="J504" s="158"/>
      <c r="L504" s="158"/>
      <c r="N504" s="158"/>
      <c r="P504" s="20"/>
      <c r="Q504" s="20"/>
    </row>
    <row r="505">
      <c r="B505" s="158"/>
      <c r="D505" s="158"/>
      <c r="F505" s="158"/>
      <c r="H505" s="158"/>
      <c r="J505" s="158"/>
      <c r="L505" s="158"/>
      <c r="N505" s="158"/>
      <c r="P505" s="20"/>
      <c r="Q505" s="20"/>
    </row>
    <row r="506">
      <c r="B506" s="158"/>
      <c r="D506" s="158"/>
      <c r="F506" s="158"/>
      <c r="H506" s="158"/>
      <c r="J506" s="158"/>
      <c r="L506" s="158"/>
      <c r="N506" s="158"/>
      <c r="P506" s="20"/>
      <c r="Q506" s="20"/>
    </row>
    <row r="507">
      <c r="B507" s="158"/>
      <c r="D507" s="158"/>
      <c r="F507" s="158"/>
      <c r="H507" s="158"/>
      <c r="J507" s="158"/>
      <c r="L507" s="158"/>
      <c r="N507" s="158"/>
      <c r="P507" s="20"/>
      <c r="Q507" s="20"/>
    </row>
    <row r="508">
      <c r="B508" s="158"/>
      <c r="D508" s="158"/>
      <c r="F508" s="158"/>
      <c r="H508" s="158"/>
      <c r="J508" s="158"/>
      <c r="L508" s="158"/>
      <c r="N508" s="158"/>
      <c r="P508" s="20"/>
      <c r="Q508" s="20"/>
    </row>
    <row r="509">
      <c r="B509" s="158"/>
      <c r="D509" s="158"/>
      <c r="F509" s="158"/>
      <c r="H509" s="158"/>
      <c r="J509" s="158"/>
      <c r="L509" s="158"/>
      <c r="N509" s="158"/>
      <c r="P509" s="20"/>
      <c r="Q509" s="20"/>
    </row>
    <row r="510">
      <c r="B510" s="158"/>
      <c r="D510" s="158"/>
      <c r="F510" s="158"/>
      <c r="H510" s="158"/>
      <c r="J510" s="158"/>
      <c r="L510" s="158"/>
      <c r="N510" s="158"/>
      <c r="P510" s="20"/>
      <c r="Q510" s="20"/>
    </row>
    <row r="511">
      <c r="B511" s="158"/>
      <c r="D511" s="158"/>
      <c r="F511" s="158"/>
      <c r="H511" s="158"/>
      <c r="J511" s="158"/>
      <c r="L511" s="158"/>
      <c r="N511" s="158"/>
      <c r="P511" s="20"/>
      <c r="Q511" s="20"/>
    </row>
    <row r="512">
      <c r="B512" s="158"/>
      <c r="D512" s="158"/>
      <c r="F512" s="158"/>
      <c r="H512" s="158"/>
      <c r="J512" s="158"/>
      <c r="L512" s="158"/>
      <c r="N512" s="158"/>
      <c r="P512" s="20"/>
      <c r="Q512" s="20"/>
    </row>
    <row r="513">
      <c r="B513" s="158"/>
      <c r="D513" s="158"/>
      <c r="F513" s="158"/>
      <c r="H513" s="158"/>
      <c r="J513" s="158"/>
      <c r="L513" s="158"/>
      <c r="N513" s="158"/>
      <c r="P513" s="20"/>
      <c r="Q513" s="20"/>
    </row>
    <row r="514">
      <c r="B514" s="158"/>
      <c r="D514" s="158"/>
      <c r="F514" s="158"/>
      <c r="H514" s="158"/>
      <c r="J514" s="158"/>
      <c r="L514" s="158"/>
      <c r="N514" s="158"/>
      <c r="P514" s="20"/>
      <c r="Q514" s="20"/>
    </row>
    <row r="515">
      <c r="B515" s="158"/>
      <c r="D515" s="158"/>
      <c r="F515" s="158"/>
      <c r="H515" s="158"/>
      <c r="J515" s="158"/>
      <c r="L515" s="158"/>
      <c r="N515" s="158"/>
      <c r="P515" s="20"/>
      <c r="Q515" s="20"/>
    </row>
    <row r="516">
      <c r="B516" s="158"/>
      <c r="D516" s="158"/>
      <c r="F516" s="158"/>
      <c r="H516" s="158"/>
      <c r="J516" s="158"/>
      <c r="L516" s="158"/>
      <c r="N516" s="158"/>
      <c r="P516" s="20"/>
      <c r="Q516" s="20"/>
    </row>
    <row r="517">
      <c r="B517" s="158"/>
      <c r="D517" s="158"/>
      <c r="F517" s="158"/>
      <c r="H517" s="158"/>
      <c r="J517" s="158"/>
      <c r="L517" s="158"/>
      <c r="N517" s="158"/>
      <c r="P517" s="20"/>
      <c r="Q517" s="20"/>
    </row>
    <row r="518">
      <c r="B518" s="158"/>
      <c r="D518" s="158"/>
      <c r="F518" s="158"/>
      <c r="H518" s="158"/>
      <c r="J518" s="158"/>
      <c r="L518" s="158"/>
      <c r="N518" s="158"/>
      <c r="P518" s="20"/>
      <c r="Q518" s="20"/>
    </row>
    <row r="519">
      <c r="B519" s="158"/>
      <c r="D519" s="158"/>
      <c r="F519" s="158"/>
      <c r="H519" s="158"/>
      <c r="J519" s="158"/>
      <c r="L519" s="158"/>
      <c r="N519" s="158"/>
      <c r="P519" s="20"/>
      <c r="Q519" s="20"/>
    </row>
    <row r="520">
      <c r="B520" s="158"/>
      <c r="D520" s="158"/>
      <c r="F520" s="158"/>
      <c r="H520" s="158"/>
      <c r="J520" s="158"/>
      <c r="L520" s="158"/>
      <c r="N520" s="158"/>
      <c r="P520" s="20"/>
      <c r="Q520" s="20"/>
    </row>
    <row r="521">
      <c r="B521" s="158"/>
      <c r="D521" s="158"/>
      <c r="F521" s="158"/>
      <c r="H521" s="158"/>
      <c r="J521" s="158"/>
      <c r="L521" s="158"/>
      <c r="N521" s="158"/>
      <c r="P521" s="20"/>
      <c r="Q521" s="20"/>
    </row>
    <row r="522">
      <c r="B522" s="158"/>
      <c r="D522" s="158"/>
      <c r="F522" s="158"/>
      <c r="H522" s="158"/>
      <c r="J522" s="158"/>
      <c r="L522" s="158"/>
      <c r="N522" s="158"/>
      <c r="P522" s="20"/>
      <c r="Q522" s="20"/>
    </row>
    <row r="523">
      <c r="B523" s="158"/>
      <c r="D523" s="158"/>
      <c r="F523" s="158"/>
      <c r="H523" s="158"/>
      <c r="J523" s="158"/>
      <c r="L523" s="158"/>
      <c r="N523" s="158"/>
      <c r="P523" s="20"/>
      <c r="Q523" s="20"/>
    </row>
    <row r="524">
      <c r="B524" s="158"/>
      <c r="D524" s="158"/>
      <c r="F524" s="158"/>
      <c r="H524" s="158"/>
      <c r="J524" s="158"/>
      <c r="L524" s="158"/>
      <c r="N524" s="158"/>
      <c r="P524" s="20"/>
      <c r="Q524" s="20"/>
    </row>
    <row r="525">
      <c r="B525" s="158"/>
      <c r="D525" s="158"/>
      <c r="F525" s="158"/>
      <c r="H525" s="158"/>
      <c r="J525" s="158"/>
      <c r="L525" s="158"/>
      <c r="N525" s="158"/>
      <c r="P525" s="20"/>
      <c r="Q525" s="20"/>
    </row>
    <row r="526">
      <c r="B526" s="158"/>
      <c r="D526" s="158"/>
      <c r="F526" s="158"/>
      <c r="H526" s="158"/>
      <c r="J526" s="158"/>
      <c r="L526" s="158"/>
      <c r="N526" s="158"/>
      <c r="P526" s="20"/>
      <c r="Q526" s="20"/>
    </row>
    <row r="527">
      <c r="B527" s="158"/>
      <c r="D527" s="158"/>
      <c r="F527" s="158"/>
      <c r="H527" s="158"/>
      <c r="J527" s="158"/>
      <c r="L527" s="158"/>
      <c r="N527" s="158"/>
      <c r="P527" s="20"/>
      <c r="Q527" s="20"/>
    </row>
    <row r="528">
      <c r="B528" s="158"/>
      <c r="D528" s="158"/>
      <c r="F528" s="158"/>
      <c r="H528" s="158"/>
      <c r="J528" s="158"/>
      <c r="L528" s="158"/>
      <c r="N528" s="158"/>
      <c r="P528" s="20"/>
      <c r="Q528" s="20"/>
    </row>
    <row r="529">
      <c r="B529" s="158"/>
      <c r="D529" s="158"/>
      <c r="F529" s="158"/>
      <c r="H529" s="158"/>
      <c r="J529" s="158"/>
      <c r="L529" s="158"/>
      <c r="N529" s="158"/>
      <c r="P529" s="20"/>
      <c r="Q529" s="20"/>
    </row>
    <row r="530">
      <c r="B530" s="158"/>
      <c r="D530" s="158"/>
      <c r="F530" s="158"/>
      <c r="H530" s="158"/>
      <c r="J530" s="158"/>
      <c r="L530" s="158"/>
      <c r="N530" s="158"/>
      <c r="P530" s="20"/>
      <c r="Q530" s="20"/>
    </row>
    <row r="531">
      <c r="B531" s="158"/>
      <c r="D531" s="158"/>
      <c r="F531" s="158"/>
      <c r="H531" s="158"/>
      <c r="J531" s="158"/>
      <c r="L531" s="158"/>
      <c r="N531" s="158"/>
      <c r="P531" s="20"/>
      <c r="Q531" s="20"/>
    </row>
    <row r="532">
      <c r="B532" s="158"/>
      <c r="D532" s="158"/>
      <c r="F532" s="158"/>
      <c r="H532" s="158"/>
      <c r="J532" s="158"/>
      <c r="L532" s="158"/>
      <c r="N532" s="158"/>
      <c r="P532" s="20"/>
      <c r="Q532" s="20"/>
    </row>
    <row r="533">
      <c r="B533" s="158"/>
      <c r="D533" s="158"/>
      <c r="F533" s="158"/>
      <c r="H533" s="158"/>
      <c r="J533" s="158"/>
      <c r="L533" s="158"/>
      <c r="N533" s="158"/>
      <c r="P533" s="20"/>
      <c r="Q533" s="20"/>
    </row>
    <row r="534">
      <c r="B534" s="158"/>
      <c r="D534" s="158"/>
      <c r="F534" s="158"/>
      <c r="H534" s="158"/>
      <c r="J534" s="158"/>
      <c r="L534" s="158"/>
      <c r="N534" s="158"/>
      <c r="P534" s="20"/>
      <c r="Q534" s="20"/>
    </row>
    <row r="535">
      <c r="B535" s="158"/>
      <c r="D535" s="158"/>
      <c r="F535" s="158"/>
      <c r="H535" s="158"/>
      <c r="J535" s="158"/>
      <c r="L535" s="158"/>
      <c r="N535" s="158"/>
      <c r="P535" s="20"/>
      <c r="Q535" s="20"/>
    </row>
    <row r="536">
      <c r="B536" s="158"/>
      <c r="D536" s="158"/>
      <c r="F536" s="158"/>
      <c r="H536" s="158"/>
      <c r="J536" s="158"/>
      <c r="L536" s="158"/>
      <c r="N536" s="158"/>
      <c r="P536" s="20"/>
      <c r="Q536" s="20"/>
    </row>
    <row r="537">
      <c r="B537" s="158"/>
      <c r="D537" s="158"/>
      <c r="F537" s="158"/>
      <c r="H537" s="158"/>
      <c r="J537" s="158"/>
      <c r="L537" s="158"/>
      <c r="N537" s="158"/>
      <c r="P537" s="20"/>
      <c r="Q537" s="20"/>
    </row>
    <row r="538">
      <c r="B538" s="158"/>
      <c r="D538" s="158"/>
      <c r="F538" s="158"/>
      <c r="H538" s="158"/>
      <c r="J538" s="158"/>
      <c r="L538" s="158"/>
      <c r="N538" s="158"/>
      <c r="P538" s="20"/>
      <c r="Q538" s="20"/>
    </row>
    <row r="539">
      <c r="B539" s="158"/>
      <c r="D539" s="158"/>
      <c r="F539" s="158"/>
      <c r="H539" s="158"/>
      <c r="J539" s="158"/>
      <c r="L539" s="158"/>
      <c r="N539" s="158"/>
      <c r="P539" s="20"/>
      <c r="Q539" s="20"/>
    </row>
    <row r="540">
      <c r="B540" s="158"/>
      <c r="D540" s="158"/>
      <c r="F540" s="158"/>
      <c r="H540" s="158"/>
      <c r="J540" s="158"/>
      <c r="L540" s="158"/>
      <c r="N540" s="158"/>
      <c r="P540" s="20"/>
      <c r="Q540" s="20"/>
    </row>
    <row r="541">
      <c r="B541" s="158"/>
      <c r="D541" s="158"/>
      <c r="F541" s="158"/>
      <c r="H541" s="158"/>
      <c r="J541" s="158"/>
      <c r="L541" s="158"/>
      <c r="N541" s="158"/>
      <c r="P541" s="20"/>
      <c r="Q541" s="20"/>
    </row>
    <row r="542">
      <c r="B542" s="158"/>
      <c r="D542" s="158"/>
      <c r="F542" s="158"/>
      <c r="H542" s="158"/>
      <c r="J542" s="158"/>
      <c r="L542" s="158"/>
      <c r="N542" s="158"/>
      <c r="P542" s="20"/>
      <c r="Q542" s="20"/>
    </row>
    <row r="543">
      <c r="B543" s="158"/>
      <c r="D543" s="158"/>
      <c r="F543" s="158"/>
      <c r="H543" s="158"/>
      <c r="J543" s="158"/>
      <c r="L543" s="158"/>
      <c r="N543" s="158"/>
      <c r="P543" s="20"/>
      <c r="Q543" s="20"/>
    </row>
    <row r="544">
      <c r="B544" s="158"/>
      <c r="D544" s="158"/>
      <c r="F544" s="158"/>
      <c r="H544" s="158"/>
      <c r="J544" s="158"/>
      <c r="L544" s="158"/>
      <c r="N544" s="158"/>
      <c r="P544" s="20"/>
      <c r="Q544" s="20"/>
    </row>
    <row r="545">
      <c r="B545" s="158"/>
      <c r="D545" s="158"/>
      <c r="F545" s="158"/>
      <c r="H545" s="158"/>
      <c r="J545" s="158"/>
      <c r="L545" s="158"/>
      <c r="N545" s="158"/>
      <c r="P545" s="20"/>
      <c r="Q545" s="20"/>
    </row>
    <row r="546">
      <c r="B546" s="158"/>
      <c r="D546" s="158"/>
      <c r="F546" s="158"/>
      <c r="H546" s="158"/>
      <c r="J546" s="158"/>
      <c r="L546" s="158"/>
      <c r="N546" s="158"/>
      <c r="P546" s="20"/>
      <c r="Q546" s="20"/>
    </row>
    <row r="547">
      <c r="B547" s="158"/>
      <c r="D547" s="158"/>
      <c r="F547" s="158"/>
      <c r="H547" s="158"/>
      <c r="J547" s="158"/>
      <c r="L547" s="158"/>
      <c r="N547" s="158"/>
      <c r="P547" s="20"/>
      <c r="Q547" s="20"/>
    </row>
    <row r="548">
      <c r="B548" s="158"/>
      <c r="D548" s="158"/>
      <c r="F548" s="158"/>
      <c r="H548" s="158"/>
      <c r="J548" s="158"/>
      <c r="L548" s="158"/>
      <c r="N548" s="158"/>
      <c r="P548" s="20"/>
      <c r="Q548" s="20"/>
    </row>
    <row r="549">
      <c r="B549" s="158"/>
      <c r="D549" s="158"/>
      <c r="F549" s="158"/>
      <c r="H549" s="158"/>
      <c r="J549" s="158"/>
      <c r="L549" s="158"/>
      <c r="N549" s="158"/>
      <c r="P549" s="20"/>
      <c r="Q549" s="20"/>
    </row>
    <row r="550">
      <c r="B550" s="158"/>
      <c r="D550" s="158"/>
      <c r="F550" s="158"/>
      <c r="H550" s="158"/>
      <c r="J550" s="158"/>
      <c r="L550" s="158"/>
      <c r="N550" s="158"/>
      <c r="P550" s="20"/>
      <c r="Q550" s="20"/>
    </row>
    <row r="551">
      <c r="B551" s="158"/>
      <c r="D551" s="158"/>
      <c r="F551" s="158"/>
      <c r="H551" s="158"/>
      <c r="J551" s="158"/>
      <c r="L551" s="158"/>
      <c r="N551" s="158"/>
      <c r="P551" s="20"/>
      <c r="Q551" s="20"/>
    </row>
    <row r="552">
      <c r="B552" s="158"/>
      <c r="D552" s="158"/>
      <c r="F552" s="158"/>
      <c r="H552" s="158"/>
      <c r="J552" s="158"/>
      <c r="L552" s="158"/>
      <c r="N552" s="158"/>
      <c r="P552" s="20"/>
      <c r="Q552" s="20"/>
    </row>
    <row r="553">
      <c r="B553" s="158"/>
      <c r="D553" s="158"/>
      <c r="F553" s="158"/>
      <c r="H553" s="158"/>
      <c r="J553" s="158"/>
      <c r="L553" s="158"/>
      <c r="N553" s="158"/>
      <c r="P553" s="20"/>
      <c r="Q553" s="20"/>
    </row>
    <row r="554">
      <c r="B554" s="158"/>
      <c r="D554" s="158"/>
      <c r="F554" s="158"/>
      <c r="H554" s="158"/>
      <c r="J554" s="158"/>
      <c r="L554" s="158"/>
      <c r="N554" s="158"/>
      <c r="P554" s="20"/>
      <c r="Q554" s="20"/>
    </row>
    <row r="555">
      <c r="B555" s="158"/>
      <c r="D555" s="158"/>
      <c r="F555" s="158"/>
      <c r="H555" s="158"/>
      <c r="J555" s="158"/>
      <c r="L555" s="158"/>
      <c r="N555" s="158"/>
      <c r="P555" s="20"/>
      <c r="Q555" s="20"/>
    </row>
    <row r="556">
      <c r="B556" s="158"/>
      <c r="D556" s="158"/>
      <c r="F556" s="158"/>
      <c r="H556" s="158"/>
      <c r="J556" s="158"/>
      <c r="L556" s="158"/>
      <c r="N556" s="158"/>
      <c r="P556" s="20"/>
      <c r="Q556" s="20"/>
    </row>
    <row r="557">
      <c r="B557" s="158"/>
      <c r="D557" s="158"/>
      <c r="F557" s="158"/>
      <c r="H557" s="158"/>
      <c r="J557" s="158"/>
      <c r="L557" s="158"/>
      <c r="N557" s="158"/>
      <c r="P557" s="20"/>
      <c r="Q557" s="20"/>
    </row>
    <row r="558">
      <c r="B558" s="158"/>
      <c r="D558" s="158"/>
      <c r="F558" s="158"/>
      <c r="H558" s="158"/>
      <c r="J558" s="158"/>
      <c r="L558" s="158"/>
      <c r="N558" s="158"/>
      <c r="P558" s="20"/>
      <c r="Q558" s="20"/>
    </row>
    <row r="559">
      <c r="B559" s="158"/>
      <c r="D559" s="158"/>
      <c r="F559" s="158"/>
      <c r="H559" s="158"/>
      <c r="J559" s="158"/>
      <c r="L559" s="158"/>
      <c r="N559" s="158"/>
      <c r="P559" s="20"/>
      <c r="Q559" s="20"/>
    </row>
    <row r="560">
      <c r="B560" s="158"/>
      <c r="D560" s="158"/>
      <c r="F560" s="158"/>
      <c r="H560" s="158"/>
      <c r="J560" s="158"/>
      <c r="L560" s="158"/>
      <c r="N560" s="158"/>
      <c r="P560" s="20"/>
      <c r="Q560" s="20"/>
    </row>
    <row r="561">
      <c r="B561" s="158"/>
      <c r="D561" s="158"/>
      <c r="F561" s="158"/>
      <c r="H561" s="158"/>
      <c r="J561" s="158"/>
      <c r="L561" s="158"/>
      <c r="N561" s="158"/>
      <c r="P561" s="20"/>
      <c r="Q561" s="20"/>
    </row>
    <row r="562">
      <c r="B562" s="158"/>
      <c r="D562" s="158"/>
      <c r="F562" s="158"/>
      <c r="H562" s="158"/>
      <c r="J562" s="158"/>
      <c r="L562" s="158"/>
      <c r="N562" s="158"/>
      <c r="P562" s="20"/>
      <c r="Q562" s="20"/>
    </row>
    <row r="563">
      <c r="B563" s="158"/>
      <c r="D563" s="158"/>
      <c r="F563" s="158"/>
      <c r="H563" s="158"/>
      <c r="J563" s="158"/>
      <c r="L563" s="158"/>
      <c r="N563" s="158"/>
      <c r="P563" s="20"/>
      <c r="Q563" s="20"/>
    </row>
    <row r="564">
      <c r="B564" s="158"/>
      <c r="D564" s="158"/>
      <c r="F564" s="158"/>
      <c r="H564" s="158"/>
      <c r="J564" s="158"/>
      <c r="L564" s="158"/>
      <c r="N564" s="158"/>
      <c r="P564" s="20"/>
      <c r="Q564" s="20"/>
    </row>
    <row r="565">
      <c r="B565" s="158"/>
      <c r="D565" s="158"/>
      <c r="F565" s="158"/>
      <c r="H565" s="158"/>
      <c r="J565" s="158"/>
      <c r="L565" s="158"/>
      <c r="N565" s="158"/>
      <c r="P565" s="20"/>
      <c r="Q565" s="20"/>
    </row>
    <row r="566">
      <c r="B566" s="158"/>
      <c r="D566" s="158"/>
      <c r="F566" s="158"/>
      <c r="H566" s="158"/>
      <c r="J566" s="158"/>
      <c r="L566" s="158"/>
      <c r="N566" s="158"/>
      <c r="P566" s="20"/>
      <c r="Q566" s="20"/>
    </row>
    <row r="567">
      <c r="B567" s="158"/>
      <c r="D567" s="158"/>
      <c r="F567" s="158"/>
      <c r="H567" s="158"/>
      <c r="J567" s="158"/>
      <c r="L567" s="158"/>
      <c r="N567" s="158"/>
      <c r="P567" s="20"/>
      <c r="Q567" s="20"/>
    </row>
    <row r="568">
      <c r="B568" s="158"/>
      <c r="D568" s="158"/>
      <c r="F568" s="158"/>
      <c r="H568" s="158"/>
      <c r="J568" s="158"/>
      <c r="L568" s="158"/>
      <c r="N568" s="158"/>
      <c r="P568" s="20"/>
      <c r="Q568" s="20"/>
    </row>
    <row r="569">
      <c r="B569" s="158"/>
      <c r="D569" s="158"/>
      <c r="F569" s="158"/>
      <c r="H569" s="158"/>
      <c r="J569" s="158"/>
      <c r="L569" s="158"/>
      <c r="N569" s="158"/>
      <c r="P569" s="20"/>
      <c r="Q569" s="20"/>
    </row>
    <row r="570">
      <c r="B570" s="158"/>
      <c r="D570" s="158"/>
      <c r="F570" s="158"/>
      <c r="H570" s="158"/>
      <c r="J570" s="158"/>
      <c r="L570" s="158"/>
      <c r="N570" s="158"/>
      <c r="P570" s="20"/>
      <c r="Q570" s="20"/>
    </row>
    <row r="571">
      <c r="B571" s="158"/>
      <c r="D571" s="158"/>
      <c r="F571" s="158"/>
      <c r="H571" s="158"/>
      <c r="J571" s="158"/>
      <c r="L571" s="158"/>
      <c r="N571" s="158"/>
      <c r="P571" s="20"/>
      <c r="Q571" s="20"/>
    </row>
    <row r="572">
      <c r="B572" s="158"/>
      <c r="D572" s="158"/>
      <c r="F572" s="158"/>
      <c r="H572" s="158"/>
      <c r="J572" s="158"/>
      <c r="L572" s="158"/>
      <c r="N572" s="158"/>
      <c r="P572" s="20"/>
      <c r="Q572" s="20"/>
    </row>
    <row r="573">
      <c r="B573" s="158"/>
      <c r="D573" s="158"/>
      <c r="F573" s="158"/>
      <c r="H573" s="158"/>
      <c r="J573" s="158"/>
      <c r="L573" s="158"/>
      <c r="N573" s="158"/>
      <c r="P573" s="20"/>
      <c r="Q573" s="20"/>
    </row>
    <row r="574">
      <c r="B574" s="158"/>
      <c r="D574" s="158"/>
      <c r="F574" s="158"/>
      <c r="H574" s="158"/>
      <c r="J574" s="158"/>
      <c r="L574" s="158"/>
      <c r="N574" s="158"/>
      <c r="P574" s="20"/>
      <c r="Q574" s="20"/>
    </row>
    <row r="575">
      <c r="B575" s="158"/>
      <c r="D575" s="158"/>
      <c r="F575" s="158"/>
      <c r="H575" s="158"/>
      <c r="J575" s="158"/>
      <c r="L575" s="158"/>
      <c r="N575" s="158"/>
      <c r="P575" s="20"/>
      <c r="Q575" s="20"/>
    </row>
    <row r="576">
      <c r="B576" s="158"/>
      <c r="D576" s="158"/>
      <c r="F576" s="158"/>
      <c r="H576" s="158"/>
      <c r="J576" s="158"/>
      <c r="L576" s="158"/>
      <c r="N576" s="158"/>
      <c r="P576" s="20"/>
      <c r="Q576" s="20"/>
    </row>
    <row r="577">
      <c r="B577" s="158"/>
      <c r="D577" s="158"/>
      <c r="F577" s="158"/>
      <c r="H577" s="158"/>
      <c r="J577" s="158"/>
      <c r="L577" s="158"/>
      <c r="N577" s="158"/>
      <c r="P577" s="20"/>
      <c r="Q577" s="20"/>
    </row>
    <row r="578">
      <c r="B578" s="158"/>
      <c r="D578" s="158"/>
      <c r="F578" s="158"/>
      <c r="H578" s="158"/>
      <c r="J578" s="158"/>
      <c r="L578" s="158"/>
      <c r="N578" s="158"/>
      <c r="P578" s="20"/>
      <c r="Q578" s="20"/>
    </row>
    <row r="579">
      <c r="B579" s="158"/>
      <c r="D579" s="158"/>
      <c r="F579" s="158"/>
      <c r="H579" s="158"/>
      <c r="J579" s="158"/>
      <c r="L579" s="158"/>
      <c r="N579" s="158"/>
      <c r="P579" s="20"/>
      <c r="Q579" s="20"/>
    </row>
    <row r="580">
      <c r="B580" s="158"/>
      <c r="D580" s="158"/>
      <c r="F580" s="158"/>
      <c r="H580" s="158"/>
      <c r="J580" s="158"/>
      <c r="L580" s="158"/>
      <c r="N580" s="158"/>
      <c r="P580" s="20"/>
      <c r="Q580" s="20"/>
    </row>
    <row r="581">
      <c r="B581" s="158"/>
      <c r="D581" s="158"/>
      <c r="F581" s="158"/>
      <c r="H581" s="158"/>
      <c r="J581" s="158"/>
      <c r="L581" s="158"/>
      <c r="N581" s="158"/>
      <c r="P581" s="20"/>
      <c r="Q581" s="20"/>
    </row>
    <row r="582">
      <c r="B582" s="158"/>
      <c r="D582" s="158"/>
      <c r="F582" s="158"/>
      <c r="H582" s="158"/>
      <c r="J582" s="158"/>
      <c r="L582" s="158"/>
      <c r="N582" s="158"/>
      <c r="P582" s="20"/>
      <c r="Q582" s="20"/>
    </row>
    <row r="583">
      <c r="B583" s="158"/>
      <c r="D583" s="158"/>
      <c r="F583" s="158"/>
      <c r="H583" s="158"/>
      <c r="J583" s="158"/>
      <c r="L583" s="158"/>
      <c r="N583" s="158"/>
      <c r="P583" s="20"/>
      <c r="Q583" s="20"/>
    </row>
    <row r="584">
      <c r="B584" s="158"/>
      <c r="D584" s="158"/>
      <c r="F584" s="158"/>
      <c r="H584" s="158"/>
      <c r="J584" s="158"/>
      <c r="L584" s="158"/>
      <c r="N584" s="158"/>
      <c r="P584" s="20"/>
      <c r="Q584" s="20"/>
    </row>
    <row r="585">
      <c r="B585" s="158"/>
      <c r="D585" s="158"/>
      <c r="F585" s="158"/>
      <c r="H585" s="158"/>
      <c r="J585" s="158"/>
      <c r="L585" s="158"/>
      <c r="N585" s="158"/>
      <c r="P585" s="20"/>
      <c r="Q585" s="20"/>
    </row>
    <row r="586">
      <c r="B586" s="158"/>
      <c r="D586" s="158"/>
      <c r="F586" s="158"/>
      <c r="H586" s="158"/>
      <c r="J586" s="158"/>
      <c r="L586" s="158"/>
      <c r="N586" s="158"/>
      <c r="P586" s="20"/>
      <c r="Q586" s="20"/>
    </row>
    <row r="587">
      <c r="B587" s="158"/>
      <c r="D587" s="158"/>
      <c r="F587" s="158"/>
      <c r="H587" s="158"/>
      <c r="J587" s="158"/>
      <c r="L587" s="158"/>
      <c r="N587" s="158"/>
      <c r="P587" s="20"/>
      <c r="Q587" s="20"/>
    </row>
    <row r="588">
      <c r="B588" s="158"/>
      <c r="D588" s="158"/>
      <c r="F588" s="158"/>
      <c r="H588" s="158"/>
      <c r="J588" s="158"/>
      <c r="L588" s="158"/>
      <c r="N588" s="158"/>
      <c r="P588" s="20"/>
      <c r="Q588" s="20"/>
    </row>
    <row r="589">
      <c r="B589" s="158"/>
      <c r="D589" s="158"/>
      <c r="F589" s="158"/>
      <c r="H589" s="158"/>
      <c r="J589" s="158"/>
      <c r="L589" s="158"/>
      <c r="N589" s="158"/>
      <c r="P589" s="20"/>
      <c r="Q589" s="20"/>
    </row>
    <row r="590">
      <c r="B590" s="158"/>
      <c r="D590" s="158"/>
      <c r="F590" s="158"/>
      <c r="H590" s="158"/>
      <c r="J590" s="158"/>
      <c r="L590" s="158"/>
      <c r="N590" s="158"/>
      <c r="P590" s="20"/>
      <c r="Q590" s="20"/>
    </row>
    <row r="591">
      <c r="B591" s="158"/>
      <c r="D591" s="158"/>
      <c r="F591" s="158"/>
      <c r="H591" s="158"/>
      <c r="J591" s="158"/>
      <c r="L591" s="158"/>
      <c r="N591" s="158"/>
      <c r="P591" s="20"/>
      <c r="Q591" s="20"/>
    </row>
    <row r="592">
      <c r="B592" s="158"/>
      <c r="D592" s="158"/>
      <c r="F592" s="158"/>
      <c r="H592" s="158"/>
      <c r="J592" s="158"/>
      <c r="L592" s="158"/>
      <c r="N592" s="158"/>
      <c r="P592" s="20"/>
      <c r="Q592" s="20"/>
    </row>
    <row r="593">
      <c r="B593" s="158"/>
      <c r="D593" s="158"/>
      <c r="F593" s="158"/>
      <c r="H593" s="158"/>
      <c r="J593" s="158"/>
      <c r="L593" s="158"/>
      <c r="N593" s="158"/>
      <c r="P593" s="20"/>
      <c r="Q593" s="20"/>
    </row>
    <row r="594">
      <c r="B594" s="158"/>
      <c r="D594" s="158"/>
      <c r="F594" s="158"/>
      <c r="H594" s="158"/>
      <c r="J594" s="158"/>
      <c r="L594" s="158"/>
      <c r="N594" s="158"/>
      <c r="P594" s="20"/>
      <c r="Q594" s="20"/>
    </row>
    <row r="595">
      <c r="B595" s="158"/>
      <c r="D595" s="158"/>
      <c r="F595" s="158"/>
      <c r="H595" s="158"/>
      <c r="J595" s="158"/>
      <c r="L595" s="158"/>
      <c r="N595" s="158"/>
      <c r="P595" s="20"/>
      <c r="Q595" s="20"/>
    </row>
    <row r="596">
      <c r="B596" s="158"/>
      <c r="D596" s="158"/>
      <c r="F596" s="158"/>
      <c r="H596" s="158"/>
      <c r="J596" s="158"/>
      <c r="L596" s="158"/>
      <c r="N596" s="158"/>
      <c r="P596" s="20"/>
      <c r="Q596" s="20"/>
    </row>
    <row r="597">
      <c r="B597" s="158"/>
      <c r="D597" s="158"/>
      <c r="F597" s="158"/>
      <c r="H597" s="158"/>
      <c r="J597" s="158"/>
      <c r="L597" s="158"/>
      <c r="N597" s="158"/>
      <c r="P597" s="20"/>
      <c r="Q597" s="20"/>
    </row>
    <row r="598">
      <c r="B598" s="158"/>
      <c r="D598" s="158"/>
      <c r="F598" s="158"/>
      <c r="H598" s="158"/>
      <c r="J598" s="158"/>
      <c r="L598" s="158"/>
      <c r="N598" s="158"/>
      <c r="P598" s="20"/>
      <c r="Q598" s="20"/>
    </row>
    <row r="599">
      <c r="B599" s="158"/>
      <c r="D599" s="158"/>
      <c r="F599" s="158"/>
      <c r="H599" s="158"/>
      <c r="J599" s="158"/>
      <c r="L599" s="158"/>
      <c r="N599" s="158"/>
      <c r="P599" s="20"/>
      <c r="Q599" s="20"/>
    </row>
    <row r="600">
      <c r="B600" s="158"/>
      <c r="D600" s="158"/>
      <c r="F600" s="158"/>
      <c r="H600" s="158"/>
      <c r="J600" s="158"/>
      <c r="L600" s="158"/>
      <c r="N600" s="158"/>
      <c r="P600" s="20"/>
      <c r="Q600" s="20"/>
    </row>
    <row r="601">
      <c r="B601" s="158"/>
      <c r="D601" s="158"/>
      <c r="F601" s="158"/>
      <c r="H601" s="158"/>
      <c r="J601" s="158"/>
      <c r="L601" s="158"/>
      <c r="N601" s="158"/>
      <c r="P601" s="20"/>
      <c r="Q601" s="20"/>
    </row>
    <row r="602">
      <c r="B602" s="158"/>
      <c r="D602" s="158"/>
      <c r="F602" s="158"/>
      <c r="H602" s="158"/>
      <c r="J602" s="158"/>
      <c r="L602" s="158"/>
      <c r="N602" s="158"/>
      <c r="P602" s="20"/>
      <c r="Q602" s="20"/>
    </row>
    <row r="603">
      <c r="B603" s="158"/>
      <c r="D603" s="158"/>
      <c r="F603" s="158"/>
      <c r="H603" s="158"/>
      <c r="J603" s="158"/>
      <c r="L603" s="158"/>
      <c r="N603" s="158"/>
      <c r="P603" s="20"/>
      <c r="Q603" s="20"/>
    </row>
    <row r="604">
      <c r="B604" s="158"/>
      <c r="D604" s="158"/>
      <c r="F604" s="158"/>
      <c r="H604" s="158"/>
      <c r="J604" s="158"/>
      <c r="L604" s="158"/>
      <c r="N604" s="158"/>
      <c r="P604" s="20"/>
      <c r="Q604" s="20"/>
    </row>
    <row r="605">
      <c r="B605" s="158"/>
      <c r="D605" s="158"/>
      <c r="F605" s="158"/>
      <c r="H605" s="158"/>
      <c r="J605" s="158"/>
      <c r="L605" s="158"/>
      <c r="N605" s="158"/>
      <c r="P605" s="20"/>
      <c r="Q605" s="20"/>
    </row>
    <row r="606">
      <c r="B606" s="158"/>
      <c r="D606" s="158"/>
      <c r="F606" s="158"/>
      <c r="H606" s="158"/>
      <c r="J606" s="158"/>
      <c r="L606" s="158"/>
      <c r="N606" s="158"/>
      <c r="P606" s="20"/>
      <c r="Q606" s="20"/>
    </row>
    <row r="607">
      <c r="B607" s="158"/>
      <c r="D607" s="158"/>
      <c r="F607" s="158"/>
      <c r="H607" s="158"/>
      <c r="J607" s="158"/>
      <c r="L607" s="158"/>
      <c r="N607" s="158"/>
      <c r="P607" s="20"/>
      <c r="Q607" s="20"/>
    </row>
    <row r="608">
      <c r="B608" s="158"/>
      <c r="D608" s="158"/>
      <c r="F608" s="158"/>
      <c r="H608" s="158"/>
      <c r="J608" s="158"/>
      <c r="L608" s="158"/>
      <c r="N608" s="158"/>
      <c r="P608" s="20"/>
      <c r="Q608" s="20"/>
    </row>
    <row r="609">
      <c r="B609" s="158"/>
      <c r="D609" s="158"/>
      <c r="F609" s="158"/>
      <c r="H609" s="158"/>
      <c r="J609" s="158"/>
      <c r="L609" s="158"/>
      <c r="N609" s="158"/>
      <c r="P609" s="20"/>
      <c r="Q609" s="20"/>
    </row>
    <row r="610">
      <c r="B610" s="158"/>
      <c r="D610" s="158"/>
      <c r="F610" s="158"/>
      <c r="H610" s="158"/>
      <c r="J610" s="158"/>
      <c r="L610" s="158"/>
      <c r="N610" s="158"/>
      <c r="P610" s="20"/>
      <c r="Q610" s="20"/>
    </row>
    <row r="611">
      <c r="B611" s="158"/>
      <c r="D611" s="158"/>
      <c r="F611" s="158"/>
      <c r="H611" s="158"/>
      <c r="J611" s="158"/>
      <c r="L611" s="158"/>
      <c r="N611" s="158"/>
      <c r="P611" s="20"/>
      <c r="Q611" s="20"/>
    </row>
    <row r="612">
      <c r="B612" s="158"/>
      <c r="D612" s="158"/>
      <c r="F612" s="158"/>
      <c r="H612" s="158"/>
      <c r="J612" s="158"/>
      <c r="L612" s="158"/>
      <c r="N612" s="158"/>
      <c r="P612" s="20"/>
      <c r="Q612" s="20"/>
    </row>
    <row r="613">
      <c r="B613" s="158"/>
      <c r="D613" s="158"/>
      <c r="F613" s="158"/>
      <c r="H613" s="158"/>
      <c r="J613" s="158"/>
      <c r="L613" s="158"/>
      <c r="N613" s="158"/>
      <c r="P613" s="20"/>
      <c r="Q613" s="20"/>
    </row>
    <row r="614">
      <c r="B614" s="158"/>
      <c r="D614" s="158"/>
      <c r="F614" s="158"/>
      <c r="H614" s="158"/>
      <c r="J614" s="158"/>
      <c r="L614" s="158"/>
      <c r="N614" s="158"/>
      <c r="P614" s="20"/>
      <c r="Q614" s="20"/>
    </row>
    <row r="615">
      <c r="B615" s="158"/>
      <c r="D615" s="158"/>
      <c r="F615" s="158"/>
      <c r="H615" s="158"/>
      <c r="J615" s="158"/>
      <c r="L615" s="158"/>
      <c r="N615" s="158"/>
      <c r="P615" s="20"/>
      <c r="Q615" s="20"/>
    </row>
    <row r="616">
      <c r="B616" s="158"/>
      <c r="D616" s="158"/>
      <c r="F616" s="158"/>
      <c r="H616" s="158"/>
      <c r="J616" s="158"/>
      <c r="L616" s="158"/>
      <c r="N616" s="158"/>
      <c r="P616" s="20"/>
      <c r="Q616" s="20"/>
    </row>
    <row r="617">
      <c r="B617" s="158"/>
      <c r="D617" s="158"/>
      <c r="F617" s="158"/>
      <c r="H617" s="158"/>
      <c r="J617" s="158"/>
      <c r="L617" s="158"/>
      <c r="N617" s="158"/>
      <c r="P617" s="20"/>
      <c r="Q617" s="20"/>
    </row>
    <row r="618">
      <c r="B618" s="158"/>
      <c r="D618" s="158"/>
      <c r="F618" s="158"/>
      <c r="H618" s="158"/>
      <c r="J618" s="158"/>
      <c r="L618" s="158"/>
      <c r="N618" s="158"/>
      <c r="P618" s="20"/>
      <c r="Q618" s="20"/>
    </row>
    <row r="619">
      <c r="B619" s="158"/>
      <c r="D619" s="158"/>
      <c r="F619" s="158"/>
      <c r="H619" s="158"/>
      <c r="J619" s="158"/>
      <c r="L619" s="158"/>
      <c r="N619" s="158"/>
      <c r="P619" s="20"/>
      <c r="Q619" s="20"/>
    </row>
    <row r="620">
      <c r="B620" s="158"/>
      <c r="D620" s="158"/>
      <c r="F620" s="158"/>
      <c r="H620" s="158"/>
      <c r="J620" s="158"/>
      <c r="L620" s="158"/>
      <c r="N620" s="158"/>
      <c r="P620" s="20"/>
      <c r="Q620" s="20"/>
    </row>
    <row r="621">
      <c r="B621" s="158"/>
      <c r="D621" s="158"/>
      <c r="F621" s="158"/>
      <c r="H621" s="158"/>
      <c r="J621" s="158"/>
      <c r="L621" s="158"/>
      <c r="N621" s="158"/>
      <c r="P621" s="20"/>
      <c r="Q621" s="20"/>
    </row>
    <row r="622">
      <c r="B622" s="158"/>
      <c r="D622" s="158"/>
      <c r="F622" s="158"/>
      <c r="H622" s="158"/>
      <c r="J622" s="158"/>
      <c r="L622" s="158"/>
      <c r="N622" s="158"/>
      <c r="P622" s="20"/>
      <c r="Q622" s="20"/>
    </row>
    <row r="623">
      <c r="B623" s="158"/>
      <c r="D623" s="158"/>
      <c r="F623" s="158"/>
      <c r="H623" s="158"/>
      <c r="J623" s="158"/>
      <c r="L623" s="158"/>
      <c r="N623" s="158"/>
      <c r="P623" s="20"/>
      <c r="Q623" s="20"/>
    </row>
    <row r="624">
      <c r="B624" s="158"/>
      <c r="D624" s="158"/>
      <c r="F624" s="158"/>
      <c r="H624" s="158"/>
      <c r="J624" s="158"/>
      <c r="L624" s="158"/>
      <c r="N624" s="158"/>
      <c r="P624" s="20"/>
      <c r="Q624" s="20"/>
    </row>
    <row r="625">
      <c r="B625" s="158"/>
      <c r="D625" s="158"/>
      <c r="F625" s="158"/>
      <c r="H625" s="158"/>
      <c r="J625" s="158"/>
      <c r="L625" s="158"/>
      <c r="N625" s="158"/>
      <c r="P625" s="20"/>
      <c r="Q625" s="20"/>
    </row>
    <row r="626">
      <c r="B626" s="158"/>
      <c r="D626" s="158"/>
      <c r="F626" s="158"/>
      <c r="H626" s="158"/>
      <c r="J626" s="158"/>
      <c r="L626" s="158"/>
      <c r="N626" s="158"/>
      <c r="P626" s="20"/>
      <c r="Q626" s="20"/>
    </row>
    <row r="627">
      <c r="B627" s="158"/>
      <c r="D627" s="158"/>
      <c r="F627" s="158"/>
      <c r="H627" s="158"/>
      <c r="J627" s="158"/>
      <c r="L627" s="158"/>
      <c r="N627" s="158"/>
      <c r="P627" s="20"/>
      <c r="Q627" s="20"/>
    </row>
    <row r="628">
      <c r="B628" s="158"/>
      <c r="D628" s="158"/>
      <c r="F628" s="158"/>
      <c r="H628" s="158"/>
      <c r="J628" s="158"/>
      <c r="L628" s="158"/>
      <c r="N628" s="158"/>
      <c r="P628" s="20"/>
      <c r="Q628" s="20"/>
    </row>
    <row r="629">
      <c r="B629" s="158"/>
      <c r="D629" s="158"/>
      <c r="F629" s="158"/>
      <c r="H629" s="158"/>
      <c r="J629" s="158"/>
      <c r="L629" s="158"/>
      <c r="N629" s="158"/>
      <c r="P629" s="20"/>
      <c r="Q629" s="20"/>
    </row>
    <row r="630">
      <c r="B630" s="158"/>
      <c r="D630" s="158"/>
      <c r="F630" s="158"/>
      <c r="H630" s="158"/>
      <c r="J630" s="158"/>
      <c r="L630" s="158"/>
      <c r="N630" s="158"/>
      <c r="P630" s="20"/>
      <c r="Q630" s="20"/>
    </row>
    <row r="631">
      <c r="B631" s="158"/>
      <c r="D631" s="158"/>
      <c r="F631" s="158"/>
      <c r="H631" s="158"/>
      <c r="J631" s="158"/>
      <c r="L631" s="158"/>
      <c r="N631" s="158"/>
      <c r="P631" s="20"/>
      <c r="Q631" s="20"/>
    </row>
    <row r="632">
      <c r="B632" s="158"/>
      <c r="D632" s="158"/>
      <c r="F632" s="158"/>
      <c r="H632" s="158"/>
      <c r="J632" s="158"/>
      <c r="L632" s="158"/>
      <c r="N632" s="158"/>
      <c r="P632" s="20"/>
      <c r="Q632" s="20"/>
    </row>
    <row r="633">
      <c r="B633" s="158"/>
      <c r="D633" s="158"/>
      <c r="F633" s="158"/>
      <c r="H633" s="158"/>
      <c r="J633" s="158"/>
      <c r="L633" s="158"/>
      <c r="N633" s="158"/>
      <c r="P633" s="20"/>
      <c r="Q633" s="20"/>
    </row>
    <row r="634">
      <c r="B634" s="158"/>
      <c r="D634" s="158"/>
      <c r="F634" s="158"/>
      <c r="H634" s="158"/>
      <c r="J634" s="158"/>
      <c r="L634" s="158"/>
      <c r="N634" s="158"/>
      <c r="P634" s="20"/>
      <c r="Q634" s="20"/>
    </row>
    <row r="635">
      <c r="B635" s="158"/>
      <c r="D635" s="158"/>
      <c r="F635" s="158"/>
      <c r="H635" s="158"/>
      <c r="J635" s="158"/>
      <c r="L635" s="158"/>
      <c r="N635" s="158"/>
      <c r="P635" s="20"/>
      <c r="Q635" s="20"/>
    </row>
    <row r="636">
      <c r="B636" s="158"/>
      <c r="D636" s="158"/>
      <c r="F636" s="158"/>
      <c r="H636" s="158"/>
      <c r="J636" s="158"/>
      <c r="L636" s="158"/>
      <c r="N636" s="158"/>
      <c r="P636" s="20"/>
      <c r="Q636" s="20"/>
    </row>
    <row r="637">
      <c r="B637" s="158"/>
      <c r="D637" s="158"/>
      <c r="F637" s="158"/>
      <c r="H637" s="158"/>
      <c r="J637" s="158"/>
      <c r="L637" s="158"/>
      <c r="N637" s="158"/>
      <c r="P637" s="20"/>
      <c r="Q637" s="20"/>
    </row>
    <row r="638">
      <c r="B638" s="158"/>
      <c r="D638" s="158"/>
      <c r="F638" s="158"/>
      <c r="H638" s="158"/>
      <c r="J638" s="158"/>
      <c r="L638" s="158"/>
      <c r="N638" s="158"/>
      <c r="P638" s="20"/>
      <c r="Q638" s="20"/>
    </row>
    <row r="639">
      <c r="B639" s="158"/>
      <c r="D639" s="158"/>
      <c r="F639" s="158"/>
      <c r="H639" s="158"/>
      <c r="J639" s="158"/>
      <c r="L639" s="158"/>
      <c r="N639" s="158"/>
      <c r="P639" s="20"/>
      <c r="Q639" s="20"/>
    </row>
    <row r="640">
      <c r="B640" s="158"/>
      <c r="D640" s="158"/>
      <c r="F640" s="158"/>
      <c r="H640" s="158"/>
      <c r="J640" s="158"/>
      <c r="L640" s="158"/>
      <c r="N640" s="158"/>
      <c r="P640" s="20"/>
      <c r="Q640" s="20"/>
    </row>
    <row r="641">
      <c r="B641" s="158"/>
      <c r="D641" s="158"/>
      <c r="F641" s="158"/>
      <c r="H641" s="158"/>
      <c r="J641" s="158"/>
      <c r="L641" s="158"/>
      <c r="N641" s="158"/>
      <c r="P641" s="20"/>
      <c r="Q641" s="20"/>
    </row>
    <row r="642">
      <c r="B642" s="158"/>
      <c r="D642" s="158"/>
      <c r="F642" s="158"/>
      <c r="H642" s="158"/>
      <c r="J642" s="158"/>
      <c r="L642" s="158"/>
      <c r="N642" s="158"/>
      <c r="P642" s="20"/>
      <c r="Q642" s="20"/>
    </row>
    <row r="643">
      <c r="B643" s="158"/>
      <c r="D643" s="158"/>
      <c r="F643" s="158"/>
      <c r="H643" s="158"/>
      <c r="J643" s="158"/>
      <c r="L643" s="158"/>
      <c r="N643" s="158"/>
      <c r="P643" s="20"/>
      <c r="Q643" s="20"/>
    </row>
    <row r="644">
      <c r="B644" s="158"/>
      <c r="D644" s="158"/>
      <c r="F644" s="158"/>
      <c r="H644" s="158"/>
      <c r="J644" s="158"/>
      <c r="L644" s="158"/>
      <c r="N644" s="158"/>
      <c r="P644" s="20"/>
      <c r="Q644" s="20"/>
    </row>
    <row r="645">
      <c r="B645" s="158"/>
      <c r="D645" s="158"/>
      <c r="F645" s="158"/>
      <c r="H645" s="158"/>
      <c r="J645" s="158"/>
      <c r="L645" s="158"/>
      <c r="N645" s="158"/>
      <c r="P645" s="20"/>
      <c r="Q645" s="20"/>
    </row>
    <row r="646">
      <c r="B646" s="158"/>
      <c r="D646" s="158"/>
      <c r="F646" s="158"/>
      <c r="H646" s="158"/>
      <c r="J646" s="158"/>
      <c r="L646" s="158"/>
      <c r="N646" s="158"/>
      <c r="P646" s="20"/>
      <c r="Q646" s="20"/>
    </row>
    <row r="647">
      <c r="B647" s="158"/>
      <c r="D647" s="158"/>
      <c r="F647" s="158"/>
      <c r="H647" s="158"/>
      <c r="J647" s="158"/>
      <c r="L647" s="158"/>
      <c r="N647" s="158"/>
      <c r="P647" s="20"/>
      <c r="Q647" s="20"/>
    </row>
    <row r="648">
      <c r="B648" s="158"/>
      <c r="D648" s="158"/>
      <c r="F648" s="158"/>
      <c r="H648" s="158"/>
      <c r="J648" s="158"/>
      <c r="L648" s="158"/>
      <c r="N648" s="158"/>
      <c r="P648" s="20"/>
      <c r="Q648" s="20"/>
    </row>
    <row r="649">
      <c r="B649" s="158"/>
      <c r="D649" s="158"/>
      <c r="F649" s="158"/>
      <c r="H649" s="158"/>
      <c r="J649" s="158"/>
      <c r="L649" s="158"/>
      <c r="N649" s="158"/>
      <c r="P649" s="20"/>
      <c r="Q649" s="20"/>
    </row>
    <row r="650">
      <c r="B650" s="158"/>
      <c r="D650" s="158"/>
      <c r="F650" s="158"/>
      <c r="H650" s="158"/>
      <c r="J650" s="158"/>
      <c r="L650" s="158"/>
      <c r="N650" s="158"/>
      <c r="P650" s="20"/>
      <c r="Q650" s="20"/>
    </row>
    <row r="651">
      <c r="B651" s="158"/>
      <c r="D651" s="158"/>
      <c r="F651" s="158"/>
      <c r="H651" s="158"/>
      <c r="J651" s="158"/>
      <c r="L651" s="158"/>
      <c r="N651" s="158"/>
      <c r="P651" s="20"/>
      <c r="Q651" s="20"/>
    </row>
    <row r="652">
      <c r="B652" s="158"/>
      <c r="D652" s="158"/>
      <c r="F652" s="158"/>
      <c r="H652" s="158"/>
      <c r="J652" s="158"/>
      <c r="L652" s="158"/>
      <c r="N652" s="158"/>
      <c r="P652" s="20"/>
      <c r="Q652" s="20"/>
    </row>
    <row r="653">
      <c r="B653" s="158"/>
      <c r="D653" s="158"/>
      <c r="F653" s="158"/>
      <c r="H653" s="158"/>
      <c r="J653" s="158"/>
      <c r="L653" s="158"/>
      <c r="N653" s="158"/>
      <c r="P653" s="20"/>
      <c r="Q653" s="20"/>
    </row>
    <row r="654">
      <c r="B654" s="158"/>
      <c r="D654" s="158"/>
      <c r="F654" s="158"/>
      <c r="H654" s="158"/>
      <c r="J654" s="158"/>
      <c r="L654" s="158"/>
      <c r="N654" s="158"/>
      <c r="P654" s="20"/>
      <c r="Q654" s="20"/>
    </row>
    <row r="655">
      <c r="B655" s="158"/>
      <c r="D655" s="158"/>
      <c r="F655" s="158"/>
      <c r="H655" s="158"/>
      <c r="J655" s="158"/>
      <c r="L655" s="158"/>
      <c r="N655" s="158"/>
      <c r="P655" s="20"/>
      <c r="Q655" s="20"/>
    </row>
    <row r="656">
      <c r="B656" s="158"/>
      <c r="D656" s="158"/>
      <c r="F656" s="158"/>
      <c r="H656" s="158"/>
      <c r="J656" s="158"/>
      <c r="L656" s="158"/>
      <c r="N656" s="158"/>
      <c r="P656" s="20"/>
      <c r="Q656" s="20"/>
    </row>
    <row r="657">
      <c r="B657" s="158"/>
      <c r="D657" s="158"/>
      <c r="F657" s="158"/>
      <c r="H657" s="158"/>
      <c r="J657" s="158"/>
      <c r="L657" s="158"/>
      <c r="N657" s="158"/>
      <c r="P657" s="20"/>
      <c r="Q657" s="20"/>
    </row>
    <row r="658">
      <c r="B658" s="158"/>
      <c r="D658" s="158"/>
      <c r="F658" s="158"/>
      <c r="H658" s="158"/>
      <c r="J658" s="158"/>
      <c r="L658" s="158"/>
      <c r="N658" s="158"/>
      <c r="P658" s="20"/>
      <c r="Q658" s="20"/>
    </row>
    <row r="659">
      <c r="B659" s="158"/>
      <c r="D659" s="158"/>
      <c r="F659" s="158"/>
      <c r="H659" s="158"/>
      <c r="J659" s="158"/>
      <c r="L659" s="158"/>
      <c r="N659" s="158"/>
      <c r="P659" s="20"/>
      <c r="Q659" s="20"/>
    </row>
    <row r="660">
      <c r="B660" s="158"/>
      <c r="D660" s="158"/>
      <c r="F660" s="158"/>
      <c r="H660" s="158"/>
      <c r="J660" s="158"/>
      <c r="L660" s="158"/>
      <c r="N660" s="158"/>
      <c r="P660" s="20"/>
      <c r="Q660" s="20"/>
    </row>
    <row r="661">
      <c r="B661" s="158"/>
      <c r="D661" s="158"/>
      <c r="F661" s="158"/>
      <c r="H661" s="158"/>
      <c r="J661" s="158"/>
      <c r="L661" s="158"/>
      <c r="N661" s="158"/>
      <c r="P661" s="20"/>
      <c r="Q661" s="20"/>
    </row>
    <row r="662">
      <c r="B662" s="158"/>
      <c r="D662" s="158"/>
      <c r="F662" s="158"/>
      <c r="H662" s="158"/>
      <c r="J662" s="158"/>
      <c r="L662" s="158"/>
      <c r="N662" s="158"/>
      <c r="P662" s="20"/>
      <c r="Q662" s="20"/>
    </row>
    <row r="663">
      <c r="B663" s="158"/>
      <c r="D663" s="158"/>
      <c r="F663" s="158"/>
      <c r="H663" s="158"/>
      <c r="J663" s="158"/>
      <c r="L663" s="158"/>
      <c r="N663" s="158"/>
      <c r="P663" s="20"/>
      <c r="Q663" s="20"/>
    </row>
    <row r="664">
      <c r="B664" s="158"/>
      <c r="D664" s="158"/>
      <c r="F664" s="158"/>
      <c r="H664" s="158"/>
      <c r="J664" s="158"/>
      <c r="L664" s="158"/>
      <c r="N664" s="158"/>
      <c r="P664" s="20"/>
      <c r="Q664" s="20"/>
    </row>
    <row r="665">
      <c r="B665" s="158"/>
      <c r="D665" s="158"/>
      <c r="F665" s="158"/>
      <c r="H665" s="158"/>
      <c r="J665" s="158"/>
      <c r="L665" s="158"/>
      <c r="N665" s="158"/>
      <c r="P665" s="20"/>
      <c r="Q665" s="20"/>
    </row>
    <row r="666">
      <c r="B666" s="158"/>
      <c r="D666" s="158"/>
      <c r="F666" s="158"/>
      <c r="H666" s="158"/>
      <c r="J666" s="158"/>
      <c r="L666" s="158"/>
      <c r="N666" s="158"/>
      <c r="P666" s="20"/>
      <c r="Q666" s="20"/>
    </row>
    <row r="667">
      <c r="B667" s="158"/>
      <c r="D667" s="158"/>
      <c r="F667" s="158"/>
      <c r="H667" s="158"/>
      <c r="J667" s="158"/>
      <c r="L667" s="158"/>
      <c r="N667" s="158"/>
      <c r="P667" s="20"/>
      <c r="Q667" s="20"/>
    </row>
    <row r="668">
      <c r="B668" s="158"/>
      <c r="D668" s="158"/>
      <c r="F668" s="158"/>
      <c r="H668" s="158"/>
      <c r="J668" s="158"/>
      <c r="L668" s="158"/>
      <c r="N668" s="158"/>
      <c r="P668" s="20"/>
      <c r="Q668" s="20"/>
    </row>
    <row r="669">
      <c r="B669" s="158"/>
      <c r="D669" s="158"/>
      <c r="F669" s="158"/>
      <c r="H669" s="158"/>
      <c r="J669" s="158"/>
      <c r="L669" s="158"/>
      <c r="N669" s="158"/>
      <c r="P669" s="20"/>
      <c r="Q669" s="20"/>
    </row>
    <row r="670">
      <c r="B670" s="158"/>
      <c r="D670" s="158"/>
      <c r="F670" s="158"/>
      <c r="H670" s="158"/>
      <c r="J670" s="158"/>
      <c r="L670" s="158"/>
      <c r="N670" s="158"/>
      <c r="P670" s="20"/>
      <c r="Q670" s="20"/>
    </row>
    <row r="671">
      <c r="B671" s="158"/>
      <c r="D671" s="158"/>
      <c r="F671" s="158"/>
      <c r="H671" s="158"/>
      <c r="J671" s="158"/>
      <c r="L671" s="158"/>
      <c r="N671" s="158"/>
      <c r="P671" s="20"/>
      <c r="Q671" s="20"/>
    </row>
    <row r="672">
      <c r="B672" s="158"/>
      <c r="D672" s="158"/>
      <c r="F672" s="158"/>
      <c r="H672" s="158"/>
      <c r="J672" s="158"/>
      <c r="L672" s="158"/>
      <c r="N672" s="158"/>
      <c r="P672" s="20"/>
      <c r="Q672" s="20"/>
    </row>
    <row r="673">
      <c r="B673" s="158"/>
      <c r="D673" s="158"/>
      <c r="F673" s="158"/>
      <c r="H673" s="158"/>
      <c r="J673" s="158"/>
      <c r="L673" s="158"/>
      <c r="N673" s="158"/>
      <c r="P673" s="20"/>
      <c r="Q673" s="20"/>
    </row>
    <row r="674">
      <c r="B674" s="158"/>
      <c r="D674" s="158"/>
      <c r="F674" s="158"/>
      <c r="H674" s="158"/>
      <c r="J674" s="158"/>
      <c r="L674" s="158"/>
      <c r="N674" s="158"/>
      <c r="P674" s="20"/>
      <c r="Q674" s="20"/>
    </row>
    <row r="675">
      <c r="B675" s="158"/>
      <c r="D675" s="158"/>
      <c r="F675" s="158"/>
      <c r="H675" s="158"/>
      <c r="J675" s="158"/>
      <c r="L675" s="158"/>
      <c r="N675" s="158"/>
      <c r="P675" s="20"/>
      <c r="Q675" s="20"/>
    </row>
    <row r="676">
      <c r="B676" s="158"/>
      <c r="D676" s="158"/>
      <c r="F676" s="158"/>
      <c r="H676" s="158"/>
      <c r="J676" s="158"/>
      <c r="L676" s="158"/>
      <c r="N676" s="158"/>
      <c r="P676" s="20"/>
      <c r="Q676" s="20"/>
    </row>
    <row r="677">
      <c r="B677" s="158"/>
      <c r="D677" s="158"/>
      <c r="F677" s="158"/>
      <c r="H677" s="158"/>
      <c r="J677" s="158"/>
      <c r="L677" s="158"/>
      <c r="N677" s="158"/>
      <c r="P677" s="20"/>
      <c r="Q677" s="20"/>
    </row>
    <row r="678">
      <c r="B678" s="158"/>
      <c r="D678" s="158"/>
      <c r="F678" s="158"/>
      <c r="H678" s="158"/>
      <c r="J678" s="158"/>
      <c r="L678" s="158"/>
      <c r="N678" s="158"/>
      <c r="P678" s="20"/>
      <c r="Q678" s="20"/>
    </row>
    <row r="679">
      <c r="B679" s="158"/>
      <c r="D679" s="158"/>
      <c r="F679" s="158"/>
      <c r="H679" s="158"/>
      <c r="J679" s="158"/>
      <c r="L679" s="158"/>
      <c r="N679" s="158"/>
      <c r="P679" s="20"/>
      <c r="Q679" s="20"/>
    </row>
    <row r="680">
      <c r="B680" s="158"/>
      <c r="D680" s="158"/>
      <c r="F680" s="158"/>
      <c r="H680" s="158"/>
      <c r="J680" s="158"/>
      <c r="L680" s="158"/>
      <c r="N680" s="158"/>
      <c r="P680" s="20"/>
      <c r="Q680" s="20"/>
    </row>
    <row r="681">
      <c r="B681" s="158"/>
      <c r="D681" s="158"/>
      <c r="F681" s="158"/>
      <c r="H681" s="158"/>
      <c r="J681" s="158"/>
      <c r="L681" s="158"/>
      <c r="N681" s="158"/>
      <c r="P681" s="20"/>
      <c r="Q681" s="20"/>
    </row>
    <row r="682">
      <c r="B682" s="158"/>
      <c r="D682" s="158"/>
      <c r="F682" s="158"/>
      <c r="H682" s="158"/>
      <c r="J682" s="158"/>
      <c r="L682" s="158"/>
      <c r="N682" s="158"/>
      <c r="P682" s="20"/>
      <c r="Q682" s="20"/>
    </row>
    <row r="683">
      <c r="B683" s="158"/>
      <c r="D683" s="158"/>
      <c r="F683" s="158"/>
      <c r="H683" s="158"/>
      <c r="J683" s="158"/>
      <c r="L683" s="158"/>
      <c r="N683" s="158"/>
      <c r="P683" s="20"/>
      <c r="Q683" s="20"/>
    </row>
    <row r="684">
      <c r="B684" s="158"/>
      <c r="D684" s="158"/>
      <c r="F684" s="158"/>
      <c r="H684" s="158"/>
      <c r="J684" s="158"/>
      <c r="L684" s="158"/>
      <c r="N684" s="158"/>
      <c r="P684" s="20"/>
      <c r="Q684" s="20"/>
    </row>
    <row r="685">
      <c r="B685" s="158"/>
      <c r="D685" s="158"/>
      <c r="F685" s="158"/>
      <c r="H685" s="158"/>
      <c r="J685" s="158"/>
      <c r="L685" s="158"/>
      <c r="N685" s="158"/>
      <c r="P685" s="20"/>
      <c r="Q685" s="20"/>
    </row>
    <row r="686">
      <c r="B686" s="158"/>
      <c r="D686" s="158"/>
      <c r="F686" s="158"/>
      <c r="H686" s="158"/>
      <c r="J686" s="158"/>
      <c r="L686" s="158"/>
      <c r="N686" s="158"/>
      <c r="P686" s="20"/>
      <c r="Q686" s="20"/>
    </row>
    <row r="687">
      <c r="B687" s="158"/>
      <c r="D687" s="158"/>
      <c r="F687" s="158"/>
      <c r="H687" s="158"/>
      <c r="J687" s="158"/>
      <c r="L687" s="158"/>
      <c r="N687" s="158"/>
      <c r="P687" s="20"/>
      <c r="Q687" s="20"/>
    </row>
    <row r="688">
      <c r="B688" s="158"/>
      <c r="D688" s="158"/>
      <c r="F688" s="158"/>
      <c r="H688" s="158"/>
      <c r="J688" s="158"/>
      <c r="L688" s="158"/>
      <c r="N688" s="158"/>
      <c r="P688" s="20"/>
      <c r="Q688" s="20"/>
    </row>
    <row r="689">
      <c r="B689" s="158"/>
      <c r="D689" s="158"/>
      <c r="F689" s="158"/>
      <c r="H689" s="158"/>
      <c r="J689" s="158"/>
      <c r="L689" s="158"/>
      <c r="N689" s="158"/>
      <c r="P689" s="20"/>
      <c r="Q689" s="20"/>
    </row>
    <row r="690">
      <c r="B690" s="158"/>
      <c r="D690" s="158"/>
      <c r="F690" s="158"/>
      <c r="H690" s="158"/>
      <c r="J690" s="158"/>
      <c r="L690" s="158"/>
      <c r="N690" s="158"/>
      <c r="P690" s="20"/>
      <c r="Q690" s="20"/>
    </row>
    <row r="691">
      <c r="B691" s="158"/>
      <c r="D691" s="158"/>
      <c r="F691" s="158"/>
      <c r="H691" s="158"/>
      <c r="J691" s="158"/>
      <c r="L691" s="158"/>
      <c r="N691" s="158"/>
      <c r="P691" s="20"/>
      <c r="Q691" s="20"/>
    </row>
    <row r="692">
      <c r="B692" s="158"/>
      <c r="D692" s="158"/>
      <c r="F692" s="158"/>
      <c r="H692" s="158"/>
      <c r="J692" s="158"/>
      <c r="L692" s="158"/>
      <c r="N692" s="158"/>
      <c r="P692" s="20"/>
      <c r="Q692" s="20"/>
    </row>
    <row r="693">
      <c r="B693" s="158"/>
      <c r="D693" s="158"/>
      <c r="F693" s="158"/>
      <c r="H693" s="158"/>
      <c r="J693" s="158"/>
      <c r="L693" s="158"/>
      <c r="N693" s="158"/>
      <c r="P693" s="20"/>
      <c r="Q693" s="20"/>
    </row>
    <row r="694">
      <c r="B694" s="158"/>
      <c r="D694" s="158"/>
      <c r="F694" s="158"/>
      <c r="H694" s="158"/>
      <c r="J694" s="158"/>
      <c r="L694" s="158"/>
      <c r="N694" s="158"/>
      <c r="P694" s="20"/>
      <c r="Q694" s="20"/>
    </row>
    <row r="695">
      <c r="B695" s="158"/>
      <c r="D695" s="158"/>
      <c r="F695" s="158"/>
      <c r="H695" s="158"/>
      <c r="J695" s="158"/>
      <c r="L695" s="158"/>
      <c r="N695" s="158"/>
      <c r="P695" s="20"/>
      <c r="Q695" s="20"/>
    </row>
    <row r="696">
      <c r="B696" s="158"/>
      <c r="D696" s="158"/>
      <c r="F696" s="158"/>
      <c r="H696" s="158"/>
      <c r="J696" s="158"/>
      <c r="L696" s="158"/>
      <c r="N696" s="158"/>
      <c r="P696" s="20"/>
      <c r="Q696" s="20"/>
    </row>
    <row r="697">
      <c r="B697" s="158"/>
      <c r="D697" s="158"/>
      <c r="F697" s="158"/>
      <c r="H697" s="158"/>
      <c r="J697" s="158"/>
      <c r="L697" s="158"/>
      <c r="N697" s="158"/>
      <c r="P697" s="20"/>
      <c r="Q697" s="20"/>
    </row>
    <row r="698">
      <c r="B698" s="158"/>
      <c r="D698" s="158"/>
      <c r="F698" s="158"/>
      <c r="H698" s="158"/>
      <c r="J698" s="158"/>
      <c r="L698" s="158"/>
      <c r="N698" s="158"/>
      <c r="P698" s="20"/>
      <c r="Q698" s="20"/>
    </row>
    <row r="699">
      <c r="B699" s="158"/>
      <c r="D699" s="158"/>
      <c r="F699" s="158"/>
      <c r="H699" s="158"/>
      <c r="J699" s="158"/>
      <c r="L699" s="158"/>
      <c r="N699" s="158"/>
      <c r="P699" s="20"/>
      <c r="Q699" s="20"/>
    </row>
    <row r="700">
      <c r="B700" s="158"/>
      <c r="D700" s="158"/>
      <c r="F700" s="158"/>
      <c r="H700" s="158"/>
      <c r="J700" s="158"/>
      <c r="L700" s="158"/>
      <c r="N700" s="158"/>
      <c r="P700" s="20"/>
      <c r="Q700" s="20"/>
    </row>
    <row r="701">
      <c r="B701" s="158"/>
      <c r="D701" s="158"/>
      <c r="F701" s="158"/>
      <c r="H701" s="158"/>
      <c r="J701" s="158"/>
      <c r="L701" s="158"/>
      <c r="N701" s="158"/>
      <c r="P701" s="20"/>
      <c r="Q701" s="20"/>
    </row>
    <row r="702">
      <c r="B702" s="158"/>
      <c r="D702" s="158"/>
      <c r="F702" s="158"/>
      <c r="H702" s="158"/>
      <c r="J702" s="158"/>
      <c r="L702" s="158"/>
      <c r="N702" s="158"/>
      <c r="P702" s="20"/>
      <c r="Q702" s="20"/>
    </row>
    <row r="703">
      <c r="B703" s="158"/>
      <c r="D703" s="158"/>
      <c r="F703" s="158"/>
      <c r="H703" s="158"/>
      <c r="J703" s="158"/>
      <c r="L703" s="158"/>
      <c r="N703" s="158"/>
      <c r="P703" s="20"/>
      <c r="Q703" s="20"/>
    </row>
    <row r="704">
      <c r="B704" s="158"/>
      <c r="D704" s="158"/>
      <c r="F704" s="158"/>
      <c r="H704" s="158"/>
      <c r="J704" s="158"/>
      <c r="L704" s="158"/>
      <c r="N704" s="158"/>
      <c r="P704" s="20"/>
      <c r="Q704" s="20"/>
    </row>
    <row r="705">
      <c r="B705" s="158"/>
      <c r="D705" s="158"/>
      <c r="F705" s="158"/>
      <c r="H705" s="158"/>
      <c r="J705" s="158"/>
      <c r="L705" s="158"/>
      <c r="N705" s="158"/>
      <c r="P705" s="20"/>
      <c r="Q705" s="20"/>
    </row>
    <row r="706">
      <c r="B706" s="158"/>
      <c r="D706" s="158"/>
      <c r="F706" s="158"/>
      <c r="H706" s="158"/>
      <c r="J706" s="158"/>
      <c r="L706" s="158"/>
      <c r="N706" s="158"/>
      <c r="P706" s="20"/>
      <c r="Q706" s="20"/>
    </row>
    <row r="707">
      <c r="B707" s="158"/>
      <c r="D707" s="158"/>
      <c r="F707" s="158"/>
      <c r="H707" s="158"/>
      <c r="J707" s="158"/>
      <c r="L707" s="158"/>
      <c r="N707" s="158"/>
      <c r="P707" s="20"/>
      <c r="Q707" s="20"/>
    </row>
    <row r="708">
      <c r="B708" s="158"/>
      <c r="D708" s="158"/>
      <c r="F708" s="158"/>
      <c r="H708" s="158"/>
      <c r="J708" s="158"/>
      <c r="L708" s="158"/>
      <c r="N708" s="158"/>
      <c r="P708" s="20"/>
      <c r="Q708" s="20"/>
    </row>
    <row r="709">
      <c r="B709" s="158"/>
      <c r="D709" s="158"/>
      <c r="F709" s="158"/>
      <c r="H709" s="158"/>
      <c r="J709" s="158"/>
      <c r="L709" s="158"/>
      <c r="N709" s="158"/>
      <c r="P709" s="20"/>
      <c r="Q709" s="20"/>
    </row>
    <row r="710">
      <c r="B710" s="158"/>
      <c r="D710" s="158"/>
      <c r="F710" s="158"/>
      <c r="H710" s="158"/>
      <c r="J710" s="158"/>
      <c r="L710" s="158"/>
      <c r="N710" s="158"/>
      <c r="P710" s="20"/>
      <c r="Q710" s="20"/>
    </row>
    <row r="711">
      <c r="B711" s="158"/>
      <c r="D711" s="158"/>
      <c r="F711" s="158"/>
      <c r="H711" s="158"/>
      <c r="J711" s="158"/>
      <c r="L711" s="158"/>
      <c r="N711" s="158"/>
      <c r="P711" s="20"/>
      <c r="Q711" s="20"/>
    </row>
    <row r="712">
      <c r="B712" s="158"/>
      <c r="D712" s="158"/>
      <c r="F712" s="158"/>
      <c r="H712" s="158"/>
      <c r="J712" s="158"/>
      <c r="L712" s="158"/>
      <c r="N712" s="158"/>
      <c r="P712" s="20"/>
      <c r="Q712" s="20"/>
    </row>
    <row r="713">
      <c r="B713" s="158"/>
      <c r="D713" s="158"/>
      <c r="F713" s="158"/>
      <c r="H713" s="158"/>
      <c r="J713" s="158"/>
      <c r="L713" s="158"/>
      <c r="N713" s="158"/>
      <c r="P713" s="20"/>
      <c r="Q713" s="20"/>
    </row>
    <row r="714">
      <c r="B714" s="158"/>
      <c r="D714" s="158"/>
      <c r="F714" s="158"/>
      <c r="H714" s="158"/>
      <c r="J714" s="158"/>
      <c r="L714" s="158"/>
      <c r="N714" s="158"/>
      <c r="P714" s="20"/>
      <c r="Q714" s="20"/>
    </row>
    <row r="715">
      <c r="B715" s="158"/>
      <c r="D715" s="158"/>
      <c r="F715" s="158"/>
      <c r="H715" s="158"/>
      <c r="J715" s="158"/>
      <c r="L715" s="158"/>
      <c r="N715" s="158"/>
      <c r="P715" s="20"/>
      <c r="Q715" s="20"/>
    </row>
    <row r="716">
      <c r="B716" s="158"/>
      <c r="D716" s="158"/>
      <c r="F716" s="158"/>
      <c r="H716" s="158"/>
      <c r="J716" s="158"/>
      <c r="L716" s="158"/>
      <c r="N716" s="158"/>
      <c r="P716" s="20"/>
      <c r="Q716" s="20"/>
    </row>
    <row r="717">
      <c r="B717" s="158"/>
      <c r="D717" s="158"/>
      <c r="F717" s="158"/>
      <c r="H717" s="158"/>
      <c r="J717" s="158"/>
      <c r="L717" s="158"/>
      <c r="N717" s="158"/>
      <c r="P717" s="20"/>
      <c r="Q717" s="20"/>
    </row>
    <row r="718">
      <c r="B718" s="158"/>
      <c r="D718" s="158"/>
      <c r="F718" s="158"/>
      <c r="H718" s="158"/>
      <c r="J718" s="158"/>
      <c r="L718" s="158"/>
      <c r="N718" s="158"/>
      <c r="P718" s="20"/>
      <c r="Q718" s="20"/>
    </row>
    <row r="719">
      <c r="B719" s="158"/>
      <c r="D719" s="158"/>
      <c r="F719" s="158"/>
      <c r="H719" s="158"/>
      <c r="J719" s="158"/>
      <c r="L719" s="158"/>
      <c r="N719" s="158"/>
      <c r="P719" s="20"/>
      <c r="Q719" s="20"/>
    </row>
    <row r="720">
      <c r="B720" s="158"/>
      <c r="D720" s="158"/>
      <c r="F720" s="158"/>
      <c r="H720" s="158"/>
      <c r="J720" s="158"/>
      <c r="L720" s="158"/>
      <c r="N720" s="158"/>
      <c r="P720" s="20"/>
      <c r="Q720" s="20"/>
    </row>
    <row r="721">
      <c r="B721" s="158"/>
      <c r="D721" s="158"/>
      <c r="F721" s="158"/>
      <c r="H721" s="158"/>
      <c r="J721" s="158"/>
      <c r="L721" s="158"/>
      <c r="N721" s="158"/>
      <c r="P721" s="20"/>
      <c r="Q721" s="20"/>
    </row>
    <row r="722">
      <c r="B722" s="158"/>
      <c r="D722" s="158"/>
      <c r="F722" s="158"/>
      <c r="H722" s="158"/>
      <c r="J722" s="158"/>
      <c r="L722" s="158"/>
      <c r="N722" s="158"/>
      <c r="P722" s="20"/>
      <c r="Q722" s="20"/>
    </row>
    <row r="723">
      <c r="B723" s="158"/>
      <c r="D723" s="158"/>
      <c r="F723" s="158"/>
      <c r="H723" s="158"/>
      <c r="J723" s="158"/>
      <c r="L723" s="158"/>
      <c r="N723" s="158"/>
      <c r="P723" s="20"/>
      <c r="Q723" s="20"/>
    </row>
    <row r="724">
      <c r="B724" s="158"/>
      <c r="D724" s="158"/>
      <c r="F724" s="158"/>
      <c r="H724" s="158"/>
      <c r="J724" s="158"/>
      <c r="L724" s="158"/>
      <c r="N724" s="158"/>
      <c r="P724" s="20"/>
      <c r="Q724" s="20"/>
    </row>
    <row r="725">
      <c r="B725" s="158"/>
      <c r="D725" s="158"/>
      <c r="F725" s="158"/>
      <c r="H725" s="158"/>
      <c r="J725" s="158"/>
      <c r="L725" s="158"/>
      <c r="N725" s="158"/>
      <c r="P725" s="20"/>
      <c r="Q725" s="20"/>
    </row>
    <row r="726">
      <c r="B726" s="158"/>
      <c r="D726" s="158"/>
      <c r="F726" s="158"/>
      <c r="H726" s="158"/>
      <c r="J726" s="158"/>
      <c r="L726" s="158"/>
      <c r="N726" s="158"/>
      <c r="P726" s="20"/>
      <c r="Q726" s="20"/>
    </row>
    <row r="727">
      <c r="B727" s="158"/>
      <c r="D727" s="158"/>
      <c r="F727" s="158"/>
      <c r="H727" s="158"/>
      <c r="J727" s="158"/>
      <c r="L727" s="158"/>
      <c r="N727" s="158"/>
      <c r="P727" s="20"/>
      <c r="Q727" s="20"/>
    </row>
    <row r="728">
      <c r="B728" s="158"/>
      <c r="D728" s="158"/>
      <c r="F728" s="158"/>
      <c r="H728" s="158"/>
      <c r="J728" s="158"/>
      <c r="L728" s="158"/>
      <c r="N728" s="158"/>
      <c r="P728" s="20"/>
      <c r="Q728" s="20"/>
    </row>
    <row r="729">
      <c r="B729" s="158"/>
      <c r="D729" s="158"/>
      <c r="F729" s="158"/>
      <c r="H729" s="158"/>
      <c r="J729" s="158"/>
      <c r="L729" s="158"/>
      <c r="N729" s="158"/>
      <c r="P729" s="20"/>
      <c r="Q729" s="20"/>
    </row>
    <row r="730">
      <c r="B730" s="158"/>
      <c r="D730" s="158"/>
      <c r="F730" s="158"/>
      <c r="H730" s="158"/>
      <c r="J730" s="158"/>
      <c r="L730" s="158"/>
      <c r="N730" s="158"/>
      <c r="P730" s="20"/>
      <c r="Q730" s="20"/>
    </row>
    <row r="731">
      <c r="B731" s="158"/>
      <c r="D731" s="158"/>
      <c r="F731" s="158"/>
      <c r="H731" s="158"/>
      <c r="J731" s="158"/>
      <c r="L731" s="158"/>
      <c r="N731" s="158"/>
      <c r="P731" s="20"/>
      <c r="Q731" s="20"/>
    </row>
    <row r="732">
      <c r="B732" s="158"/>
      <c r="D732" s="158"/>
      <c r="F732" s="158"/>
      <c r="H732" s="158"/>
      <c r="J732" s="158"/>
      <c r="L732" s="158"/>
      <c r="N732" s="158"/>
      <c r="P732" s="20"/>
      <c r="Q732" s="20"/>
    </row>
    <row r="733">
      <c r="B733" s="158"/>
      <c r="D733" s="158"/>
      <c r="F733" s="158"/>
      <c r="H733" s="158"/>
      <c r="J733" s="158"/>
      <c r="L733" s="158"/>
      <c r="N733" s="158"/>
      <c r="P733" s="20"/>
      <c r="Q733" s="20"/>
    </row>
    <row r="734">
      <c r="B734" s="158"/>
      <c r="D734" s="158"/>
      <c r="F734" s="158"/>
      <c r="H734" s="158"/>
      <c r="J734" s="158"/>
      <c r="L734" s="158"/>
      <c r="N734" s="158"/>
      <c r="P734" s="20"/>
      <c r="Q734" s="20"/>
    </row>
    <row r="735">
      <c r="B735" s="158"/>
      <c r="D735" s="158"/>
      <c r="F735" s="158"/>
      <c r="H735" s="158"/>
      <c r="J735" s="158"/>
      <c r="L735" s="158"/>
      <c r="N735" s="158"/>
      <c r="P735" s="20"/>
      <c r="Q735" s="20"/>
    </row>
    <row r="736">
      <c r="B736" s="158"/>
      <c r="D736" s="158"/>
      <c r="F736" s="158"/>
      <c r="H736" s="158"/>
      <c r="J736" s="158"/>
      <c r="L736" s="158"/>
      <c r="N736" s="158"/>
      <c r="P736" s="20"/>
      <c r="Q736" s="20"/>
    </row>
    <row r="737">
      <c r="B737" s="158"/>
      <c r="D737" s="158"/>
      <c r="F737" s="158"/>
      <c r="H737" s="158"/>
      <c r="J737" s="158"/>
      <c r="L737" s="158"/>
      <c r="N737" s="158"/>
      <c r="P737" s="20"/>
      <c r="Q737" s="20"/>
    </row>
    <row r="738">
      <c r="B738" s="158"/>
      <c r="D738" s="158"/>
      <c r="F738" s="158"/>
      <c r="H738" s="158"/>
      <c r="J738" s="158"/>
      <c r="L738" s="158"/>
      <c r="N738" s="158"/>
      <c r="P738" s="20"/>
      <c r="Q738" s="20"/>
    </row>
    <row r="739">
      <c r="B739" s="158"/>
      <c r="D739" s="158"/>
      <c r="F739" s="158"/>
      <c r="H739" s="158"/>
      <c r="J739" s="158"/>
      <c r="L739" s="158"/>
      <c r="N739" s="158"/>
      <c r="P739" s="20"/>
      <c r="Q739" s="20"/>
    </row>
    <row r="740">
      <c r="B740" s="158"/>
      <c r="D740" s="158"/>
      <c r="F740" s="158"/>
      <c r="H740" s="158"/>
      <c r="J740" s="158"/>
      <c r="L740" s="158"/>
      <c r="N740" s="158"/>
      <c r="P740" s="20"/>
      <c r="Q740" s="20"/>
    </row>
    <row r="741">
      <c r="B741" s="158"/>
      <c r="D741" s="158"/>
      <c r="F741" s="158"/>
      <c r="H741" s="158"/>
      <c r="J741" s="158"/>
      <c r="L741" s="158"/>
      <c r="N741" s="158"/>
      <c r="P741" s="20"/>
      <c r="Q741" s="20"/>
    </row>
    <row r="742">
      <c r="B742" s="158"/>
      <c r="D742" s="158"/>
      <c r="F742" s="158"/>
      <c r="H742" s="158"/>
      <c r="J742" s="158"/>
      <c r="L742" s="158"/>
      <c r="N742" s="158"/>
      <c r="P742" s="20"/>
      <c r="Q742" s="20"/>
    </row>
    <row r="743">
      <c r="B743" s="158"/>
      <c r="D743" s="158"/>
      <c r="F743" s="158"/>
      <c r="H743" s="158"/>
      <c r="J743" s="158"/>
      <c r="L743" s="158"/>
      <c r="N743" s="158"/>
      <c r="P743" s="20"/>
      <c r="Q743" s="20"/>
    </row>
    <row r="744">
      <c r="B744" s="158"/>
      <c r="D744" s="158"/>
      <c r="F744" s="158"/>
      <c r="H744" s="158"/>
      <c r="J744" s="158"/>
      <c r="L744" s="158"/>
      <c r="N744" s="158"/>
      <c r="P744" s="20"/>
      <c r="Q744" s="20"/>
    </row>
    <row r="745">
      <c r="B745" s="158"/>
      <c r="D745" s="158"/>
      <c r="F745" s="158"/>
      <c r="H745" s="158"/>
      <c r="J745" s="158"/>
      <c r="L745" s="158"/>
      <c r="N745" s="158"/>
      <c r="P745" s="20"/>
      <c r="Q745" s="20"/>
    </row>
    <row r="746">
      <c r="B746" s="158"/>
      <c r="D746" s="158"/>
      <c r="F746" s="158"/>
      <c r="H746" s="158"/>
      <c r="J746" s="158"/>
      <c r="L746" s="158"/>
      <c r="N746" s="158"/>
      <c r="P746" s="20"/>
      <c r="Q746" s="20"/>
    </row>
    <row r="747">
      <c r="B747" s="158"/>
      <c r="D747" s="158"/>
      <c r="F747" s="158"/>
      <c r="H747" s="158"/>
      <c r="J747" s="158"/>
      <c r="L747" s="158"/>
      <c r="N747" s="158"/>
      <c r="P747" s="20"/>
      <c r="Q747" s="20"/>
    </row>
    <row r="748">
      <c r="B748" s="158"/>
      <c r="D748" s="158"/>
      <c r="F748" s="158"/>
      <c r="H748" s="158"/>
      <c r="J748" s="158"/>
      <c r="L748" s="158"/>
      <c r="N748" s="158"/>
      <c r="P748" s="20"/>
      <c r="Q748" s="20"/>
    </row>
    <row r="749">
      <c r="B749" s="158"/>
      <c r="D749" s="158"/>
      <c r="F749" s="158"/>
      <c r="H749" s="158"/>
      <c r="J749" s="158"/>
      <c r="L749" s="158"/>
      <c r="N749" s="158"/>
      <c r="P749" s="20"/>
      <c r="Q749" s="20"/>
    </row>
    <row r="750">
      <c r="B750" s="158"/>
      <c r="D750" s="158"/>
      <c r="F750" s="158"/>
      <c r="H750" s="158"/>
      <c r="J750" s="158"/>
      <c r="L750" s="158"/>
      <c r="N750" s="158"/>
      <c r="P750" s="20"/>
      <c r="Q750" s="20"/>
    </row>
    <row r="751">
      <c r="B751" s="158"/>
      <c r="D751" s="158"/>
      <c r="F751" s="158"/>
      <c r="H751" s="158"/>
      <c r="J751" s="158"/>
      <c r="L751" s="158"/>
      <c r="N751" s="158"/>
      <c r="P751" s="20"/>
      <c r="Q751" s="20"/>
    </row>
    <row r="752">
      <c r="B752" s="158"/>
      <c r="D752" s="158"/>
      <c r="F752" s="158"/>
      <c r="H752" s="158"/>
      <c r="J752" s="158"/>
      <c r="L752" s="158"/>
      <c r="N752" s="158"/>
      <c r="P752" s="20"/>
      <c r="Q752" s="20"/>
    </row>
    <row r="753">
      <c r="B753" s="158"/>
      <c r="D753" s="158"/>
      <c r="F753" s="158"/>
      <c r="H753" s="158"/>
      <c r="J753" s="158"/>
      <c r="L753" s="158"/>
      <c r="N753" s="158"/>
      <c r="P753" s="20"/>
      <c r="Q753" s="20"/>
    </row>
    <row r="754">
      <c r="B754" s="158"/>
      <c r="D754" s="158"/>
      <c r="F754" s="158"/>
      <c r="H754" s="158"/>
      <c r="J754" s="158"/>
      <c r="L754" s="158"/>
      <c r="N754" s="158"/>
      <c r="P754" s="20"/>
      <c r="Q754" s="20"/>
    </row>
    <row r="755">
      <c r="B755" s="158"/>
      <c r="D755" s="158"/>
      <c r="F755" s="158"/>
      <c r="H755" s="158"/>
      <c r="J755" s="158"/>
      <c r="L755" s="158"/>
      <c r="N755" s="158"/>
      <c r="P755" s="20"/>
      <c r="Q755" s="20"/>
    </row>
    <row r="756">
      <c r="B756" s="158"/>
      <c r="D756" s="158"/>
      <c r="F756" s="158"/>
      <c r="H756" s="158"/>
      <c r="J756" s="158"/>
      <c r="L756" s="158"/>
      <c r="N756" s="158"/>
      <c r="P756" s="20"/>
      <c r="Q756" s="20"/>
    </row>
    <row r="757">
      <c r="B757" s="158"/>
      <c r="D757" s="158"/>
      <c r="F757" s="158"/>
      <c r="H757" s="158"/>
      <c r="J757" s="158"/>
      <c r="L757" s="158"/>
      <c r="N757" s="158"/>
      <c r="P757" s="20"/>
      <c r="Q757" s="20"/>
    </row>
    <row r="758">
      <c r="B758" s="158"/>
      <c r="D758" s="158"/>
      <c r="F758" s="158"/>
      <c r="H758" s="158"/>
      <c r="J758" s="158"/>
      <c r="L758" s="158"/>
      <c r="N758" s="158"/>
      <c r="P758" s="20"/>
      <c r="Q758" s="20"/>
    </row>
    <row r="759">
      <c r="B759" s="158"/>
      <c r="D759" s="158"/>
      <c r="F759" s="158"/>
      <c r="H759" s="158"/>
      <c r="J759" s="158"/>
      <c r="L759" s="158"/>
      <c r="N759" s="158"/>
      <c r="P759" s="20"/>
      <c r="Q759" s="20"/>
    </row>
    <row r="760">
      <c r="B760" s="158"/>
      <c r="D760" s="158"/>
      <c r="F760" s="158"/>
      <c r="H760" s="158"/>
      <c r="J760" s="158"/>
      <c r="L760" s="158"/>
      <c r="N760" s="158"/>
      <c r="P760" s="20"/>
      <c r="Q760" s="20"/>
    </row>
    <row r="761">
      <c r="B761" s="158"/>
      <c r="D761" s="158"/>
      <c r="F761" s="158"/>
      <c r="H761" s="158"/>
      <c r="J761" s="158"/>
      <c r="L761" s="158"/>
      <c r="N761" s="158"/>
      <c r="P761" s="20"/>
      <c r="Q761" s="20"/>
    </row>
    <row r="762">
      <c r="B762" s="158"/>
      <c r="D762" s="158"/>
      <c r="F762" s="158"/>
      <c r="H762" s="158"/>
      <c r="J762" s="158"/>
      <c r="L762" s="158"/>
      <c r="N762" s="158"/>
      <c r="P762" s="20"/>
      <c r="Q762" s="20"/>
    </row>
    <row r="763">
      <c r="B763" s="158"/>
      <c r="D763" s="158"/>
      <c r="F763" s="158"/>
      <c r="H763" s="158"/>
      <c r="J763" s="158"/>
      <c r="L763" s="158"/>
      <c r="N763" s="158"/>
      <c r="P763" s="20"/>
      <c r="Q763" s="20"/>
    </row>
    <row r="764">
      <c r="B764" s="158"/>
      <c r="D764" s="158"/>
      <c r="F764" s="158"/>
      <c r="H764" s="158"/>
      <c r="J764" s="158"/>
      <c r="L764" s="158"/>
      <c r="N764" s="158"/>
      <c r="P764" s="20"/>
      <c r="Q764" s="20"/>
    </row>
    <row r="765">
      <c r="B765" s="158"/>
      <c r="D765" s="158"/>
      <c r="F765" s="158"/>
      <c r="H765" s="158"/>
      <c r="J765" s="158"/>
      <c r="L765" s="158"/>
      <c r="N765" s="158"/>
      <c r="P765" s="20"/>
      <c r="Q765" s="20"/>
    </row>
    <row r="766">
      <c r="B766" s="158"/>
      <c r="D766" s="158"/>
      <c r="F766" s="158"/>
      <c r="H766" s="158"/>
      <c r="J766" s="158"/>
      <c r="L766" s="158"/>
      <c r="N766" s="158"/>
      <c r="P766" s="20"/>
      <c r="Q766" s="20"/>
    </row>
    <row r="767">
      <c r="B767" s="158"/>
      <c r="D767" s="158"/>
      <c r="F767" s="158"/>
      <c r="H767" s="158"/>
      <c r="J767" s="158"/>
      <c r="L767" s="158"/>
      <c r="N767" s="158"/>
      <c r="P767" s="20"/>
      <c r="Q767" s="20"/>
    </row>
    <row r="768">
      <c r="B768" s="158"/>
      <c r="D768" s="158"/>
      <c r="F768" s="158"/>
      <c r="H768" s="158"/>
      <c r="J768" s="158"/>
      <c r="L768" s="158"/>
      <c r="N768" s="158"/>
      <c r="P768" s="20"/>
      <c r="Q768" s="20"/>
    </row>
    <row r="769">
      <c r="B769" s="158"/>
      <c r="D769" s="158"/>
      <c r="F769" s="158"/>
      <c r="H769" s="158"/>
      <c r="J769" s="158"/>
      <c r="L769" s="158"/>
      <c r="N769" s="158"/>
      <c r="P769" s="20"/>
      <c r="Q769" s="20"/>
    </row>
    <row r="770">
      <c r="B770" s="158"/>
      <c r="D770" s="158"/>
      <c r="F770" s="158"/>
      <c r="H770" s="158"/>
      <c r="J770" s="158"/>
      <c r="L770" s="158"/>
      <c r="N770" s="158"/>
      <c r="P770" s="20"/>
      <c r="Q770" s="20"/>
    </row>
    <row r="771">
      <c r="B771" s="158"/>
      <c r="D771" s="158"/>
      <c r="F771" s="158"/>
      <c r="H771" s="158"/>
      <c r="J771" s="158"/>
      <c r="L771" s="158"/>
      <c r="N771" s="158"/>
      <c r="P771" s="20"/>
      <c r="Q771" s="20"/>
    </row>
    <row r="772">
      <c r="B772" s="158"/>
      <c r="D772" s="158"/>
      <c r="F772" s="158"/>
      <c r="H772" s="158"/>
      <c r="J772" s="158"/>
      <c r="L772" s="158"/>
      <c r="N772" s="158"/>
      <c r="P772" s="20"/>
      <c r="Q772" s="20"/>
    </row>
    <row r="773">
      <c r="B773" s="158"/>
      <c r="D773" s="158"/>
      <c r="F773" s="158"/>
      <c r="H773" s="158"/>
      <c r="J773" s="158"/>
      <c r="L773" s="158"/>
      <c r="N773" s="158"/>
      <c r="P773" s="20"/>
      <c r="Q773" s="20"/>
    </row>
    <row r="774">
      <c r="B774" s="158"/>
      <c r="D774" s="158"/>
      <c r="F774" s="158"/>
      <c r="H774" s="158"/>
      <c r="J774" s="158"/>
      <c r="L774" s="158"/>
      <c r="N774" s="158"/>
      <c r="P774" s="20"/>
      <c r="Q774" s="20"/>
    </row>
    <row r="775">
      <c r="B775" s="158"/>
      <c r="D775" s="158"/>
      <c r="F775" s="158"/>
      <c r="H775" s="158"/>
      <c r="J775" s="158"/>
      <c r="L775" s="158"/>
      <c r="N775" s="158"/>
      <c r="P775" s="20"/>
      <c r="Q775" s="20"/>
    </row>
    <row r="776">
      <c r="B776" s="158"/>
      <c r="D776" s="158"/>
      <c r="F776" s="158"/>
      <c r="H776" s="158"/>
      <c r="J776" s="158"/>
      <c r="L776" s="158"/>
      <c r="N776" s="158"/>
      <c r="P776" s="20"/>
      <c r="Q776" s="20"/>
    </row>
    <row r="777">
      <c r="B777" s="158"/>
      <c r="D777" s="158"/>
      <c r="F777" s="158"/>
      <c r="H777" s="158"/>
      <c r="J777" s="158"/>
      <c r="L777" s="158"/>
      <c r="N777" s="158"/>
      <c r="P777" s="20"/>
      <c r="Q777" s="20"/>
    </row>
    <row r="778">
      <c r="B778" s="158"/>
      <c r="D778" s="158"/>
      <c r="F778" s="158"/>
      <c r="H778" s="158"/>
      <c r="J778" s="158"/>
      <c r="L778" s="158"/>
      <c r="N778" s="158"/>
      <c r="P778" s="20"/>
      <c r="Q778" s="20"/>
    </row>
    <row r="779">
      <c r="B779" s="158"/>
      <c r="D779" s="158"/>
      <c r="F779" s="158"/>
      <c r="H779" s="158"/>
      <c r="J779" s="158"/>
      <c r="L779" s="158"/>
      <c r="N779" s="158"/>
      <c r="P779" s="20"/>
      <c r="Q779" s="20"/>
    </row>
    <row r="780">
      <c r="B780" s="158"/>
      <c r="D780" s="158"/>
      <c r="F780" s="158"/>
      <c r="H780" s="158"/>
      <c r="J780" s="158"/>
      <c r="L780" s="158"/>
      <c r="N780" s="158"/>
      <c r="P780" s="20"/>
      <c r="Q780" s="20"/>
    </row>
    <row r="781">
      <c r="B781" s="158"/>
      <c r="D781" s="158"/>
      <c r="F781" s="158"/>
      <c r="H781" s="158"/>
      <c r="J781" s="158"/>
      <c r="L781" s="158"/>
      <c r="N781" s="158"/>
      <c r="P781" s="20"/>
      <c r="Q781" s="20"/>
    </row>
    <row r="782">
      <c r="B782" s="158"/>
      <c r="D782" s="158"/>
      <c r="F782" s="158"/>
      <c r="H782" s="158"/>
      <c r="J782" s="158"/>
      <c r="L782" s="158"/>
      <c r="N782" s="158"/>
      <c r="P782" s="20"/>
      <c r="Q782" s="20"/>
    </row>
    <row r="783">
      <c r="B783" s="158"/>
      <c r="D783" s="158"/>
      <c r="F783" s="158"/>
      <c r="H783" s="158"/>
      <c r="J783" s="158"/>
      <c r="L783" s="158"/>
      <c r="N783" s="158"/>
      <c r="P783" s="20"/>
      <c r="Q783" s="20"/>
    </row>
    <row r="784">
      <c r="B784" s="158"/>
      <c r="D784" s="158"/>
      <c r="F784" s="158"/>
      <c r="H784" s="158"/>
      <c r="J784" s="158"/>
      <c r="L784" s="158"/>
      <c r="N784" s="158"/>
      <c r="P784" s="20"/>
      <c r="Q784" s="20"/>
    </row>
    <row r="785">
      <c r="B785" s="158"/>
      <c r="D785" s="158"/>
      <c r="F785" s="158"/>
      <c r="H785" s="158"/>
      <c r="J785" s="158"/>
      <c r="L785" s="158"/>
      <c r="N785" s="158"/>
      <c r="P785" s="20"/>
      <c r="Q785" s="20"/>
    </row>
    <row r="786">
      <c r="B786" s="158"/>
      <c r="D786" s="158"/>
      <c r="F786" s="158"/>
      <c r="H786" s="158"/>
      <c r="J786" s="158"/>
      <c r="L786" s="158"/>
      <c r="N786" s="158"/>
      <c r="P786" s="20"/>
      <c r="Q786" s="20"/>
    </row>
    <row r="787">
      <c r="B787" s="158"/>
      <c r="D787" s="158"/>
      <c r="F787" s="158"/>
      <c r="H787" s="158"/>
      <c r="J787" s="158"/>
      <c r="L787" s="158"/>
      <c r="N787" s="158"/>
      <c r="P787" s="20"/>
      <c r="Q787" s="20"/>
    </row>
    <row r="788">
      <c r="B788" s="158"/>
      <c r="D788" s="158"/>
      <c r="F788" s="158"/>
      <c r="H788" s="158"/>
      <c r="J788" s="158"/>
      <c r="L788" s="158"/>
      <c r="N788" s="158"/>
      <c r="P788" s="20"/>
      <c r="Q788" s="20"/>
    </row>
    <row r="789">
      <c r="B789" s="158"/>
      <c r="D789" s="158"/>
      <c r="F789" s="158"/>
      <c r="H789" s="158"/>
      <c r="J789" s="158"/>
      <c r="L789" s="158"/>
      <c r="N789" s="158"/>
      <c r="P789" s="20"/>
      <c r="Q789" s="20"/>
    </row>
    <row r="790">
      <c r="B790" s="158"/>
      <c r="D790" s="158"/>
      <c r="F790" s="158"/>
      <c r="H790" s="158"/>
      <c r="J790" s="158"/>
      <c r="L790" s="158"/>
      <c r="N790" s="158"/>
      <c r="P790" s="20"/>
      <c r="Q790" s="20"/>
    </row>
    <row r="791">
      <c r="B791" s="158"/>
      <c r="D791" s="158"/>
      <c r="F791" s="158"/>
      <c r="H791" s="158"/>
      <c r="J791" s="158"/>
      <c r="L791" s="158"/>
      <c r="N791" s="158"/>
      <c r="P791" s="20"/>
      <c r="Q791" s="20"/>
    </row>
    <row r="792">
      <c r="B792" s="158"/>
      <c r="D792" s="158"/>
      <c r="F792" s="158"/>
      <c r="H792" s="158"/>
      <c r="J792" s="158"/>
      <c r="L792" s="158"/>
      <c r="N792" s="158"/>
      <c r="P792" s="20"/>
      <c r="Q792" s="20"/>
    </row>
    <row r="793">
      <c r="B793" s="158"/>
      <c r="D793" s="158"/>
      <c r="F793" s="158"/>
      <c r="H793" s="158"/>
      <c r="J793" s="158"/>
      <c r="L793" s="158"/>
      <c r="N793" s="158"/>
      <c r="P793" s="20"/>
      <c r="Q793" s="20"/>
    </row>
    <row r="794">
      <c r="B794" s="158"/>
      <c r="D794" s="158"/>
      <c r="F794" s="158"/>
      <c r="H794" s="158"/>
      <c r="J794" s="158"/>
      <c r="L794" s="158"/>
      <c r="N794" s="158"/>
      <c r="P794" s="20"/>
      <c r="Q794" s="20"/>
    </row>
    <row r="795">
      <c r="B795" s="158"/>
      <c r="D795" s="158"/>
      <c r="F795" s="158"/>
      <c r="H795" s="158"/>
      <c r="J795" s="158"/>
      <c r="L795" s="158"/>
      <c r="N795" s="158"/>
      <c r="P795" s="20"/>
      <c r="Q795" s="20"/>
    </row>
    <row r="796">
      <c r="B796" s="158"/>
      <c r="D796" s="158"/>
      <c r="F796" s="158"/>
      <c r="H796" s="158"/>
      <c r="J796" s="158"/>
      <c r="L796" s="158"/>
      <c r="N796" s="158"/>
      <c r="P796" s="20"/>
      <c r="Q796" s="20"/>
    </row>
    <row r="797">
      <c r="B797" s="158"/>
      <c r="D797" s="158"/>
      <c r="F797" s="158"/>
      <c r="H797" s="158"/>
      <c r="J797" s="158"/>
      <c r="L797" s="158"/>
      <c r="N797" s="158"/>
      <c r="P797" s="20"/>
      <c r="Q797" s="20"/>
    </row>
    <row r="798">
      <c r="B798" s="158"/>
      <c r="D798" s="158"/>
      <c r="F798" s="158"/>
      <c r="H798" s="158"/>
      <c r="J798" s="158"/>
      <c r="L798" s="158"/>
      <c r="N798" s="158"/>
      <c r="P798" s="20"/>
      <c r="Q798" s="20"/>
    </row>
    <row r="799">
      <c r="B799" s="158"/>
      <c r="D799" s="158"/>
      <c r="F799" s="158"/>
      <c r="H799" s="158"/>
      <c r="J799" s="158"/>
      <c r="L799" s="158"/>
      <c r="N799" s="158"/>
      <c r="P799" s="20"/>
      <c r="Q799" s="20"/>
    </row>
    <row r="800">
      <c r="B800" s="158"/>
      <c r="D800" s="158"/>
      <c r="F800" s="158"/>
      <c r="H800" s="158"/>
      <c r="J800" s="158"/>
      <c r="L800" s="158"/>
      <c r="N800" s="158"/>
      <c r="P800" s="20"/>
      <c r="Q800" s="20"/>
    </row>
    <row r="801">
      <c r="B801" s="158"/>
      <c r="D801" s="158"/>
      <c r="F801" s="158"/>
      <c r="H801" s="158"/>
      <c r="J801" s="158"/>
      <c r="L801" s="158"/>
      <c r="N801" s="158"/>
      <c r="P801" s="20"/>
      <c r="Q801" s="20"/>
    </row>
    <row r="802">
      <c r="B802" s="158"/>
      <c r="D802" s="158"/>
      <c r="F802" s="158"/>
      <c r="H802" s="158"/>
      <c r="J802" s="158"/>
      <c r="L802" s="158"/>
      <c r="N802" s="158"/>
      <c r="P802" s="20"/>
      <c r="Q802" s="20"/>
    </row>
    <row r="803">
      <c r="B803" s="158"/>
      <c r="D803" s="158"/>
      <c r="F803" s="158"/>
      <c r="H803" s="158"/>
      <c r="J803" s="158"/>
      <c r="L803" s="158"/>
      <c r="N803" s="158"/>
      <c r="P803" s="20"/>
      <c r="Q803" s="20"/>
    </row>
    <row r="804">
      <c r="B804" s="158"/>
      <c r="D804" s="158"/>
      <c r="F804" s="158"/>
      <c r="H804" s="158"/>
      <c r="J804" s="158"/>
      <c r="L804" s="158"/>
      <c r="N804" s="158"/>
      <c r="P804" s="20"/>
      <c r="Q804" s="20"/>
    </row>
    <row r="805">
      <c r="B805" s="158"/>
      <c r="D805" s="158"/>
      <c r="F805" s="158"/>
      <c r="H805" s="158"/>
      <c r="J805" s="158"/>
      <c r="L805" s="158"/>
      <c r="N805" s="158"/>
      <c r="P805" s="20"/>
      <c r="Q805" s="20"/>
    </row>
    <row r="806">
      <c r="B806" s="158"/>
      <c r="D806" s="158"/>
      <c r="F806" s="158"/>
      <c r="H806" s="158"/>
      <c r="J806" s="158"/>
      <c r="L806" s="158"/>
      <c r="N806" s="158"/>
      <c r="P806" s="20"/>
      <c r="Q806" s="20"/>
    </row>
    <row r="807">
      <c r="B807" s="158"/>
      <c r="D807" s="158"/>
      <c r="F807" s="158"/>
      <c r="H807" s="158"/>
      <c r="J807" s="158"/>
      <c r="L807" s="158"/>
      <c r="N807" s="158"/>
      <c r="P807" s="20"/>
      <c r="Q807" s="20"/>
    </row>
    <row r="808">
      <c r="B808" s="158"/>
      <c r="D808" s="158"/>
      <c r="F808" s="158"/>
      <c r="H808" s="158"/>
      <c r="J808" s="158"/>
      <c r="L808" s="158"/>
      <c r="N808" s="158"/>
      <c r="P808" s="20"/>
      <c r="Q808" s="20"/>
    </row>
    <row r="809">
      <c r="B809" s="158"/>
      <c r="D809" s="158"/>
      <c r="F809" s="158"/>
      <c r="H809" s="158"/>
      <c r="J809" s="158"/>
      <c r="L809" s="158"/>
      <c r="N809" s="158"/>
      <c r="P809" s="20"/>
      <c r="Q809" s="20"/>
    </row>
    <row r="810">
      <c r="B810" s="158"/>
      <c r="D810" s="158"/>
      <c r="F810" s="158"/>
      <c r="H810" s="158"/>
      <c r="J810" s="158"/>
      <c r="L810" s="158"/>
      <c r="N810" s="158"/>
      <c r="P810" s="20"/>
      <c r="Q810" s="20"/>
    </row>
    <row r="811">
      <c r="B811" s="158"/>
      <c r="D811" s="158"/>
      <c r="F811" s="158"/>
      <c r="H811" s="158"/>
      <c r="J811" s="158"/>
      <c r="L811" s="158"/>
      <c r="N811" s="158"/>
      <c r="P811" s="20"/>
      <c r="Q811" s="20"/>
    </row>
    <row r="812">
      <c r="B812" s="158"/>
      <c r="D812" s="158"/>
      <c r="F812" s="158"/>
      <c r="H812" s="158"/>
      <c r="J812" s="158"/>
      <c r="L812" s="158"/>
      <c r="N812" s="158"/>
      <c r="P812" s="20"/>
      <c r="Q812" s="20"/>
    </row>
    <row r="813">
      <c r="B813" s="158"/>
      <c r="D813" s="158"/>
      <c r="F813" s="158"/>
      <c r="H813" s="158"/>
      <c r="J813" s="158"/>
      <c r="L813" s="158"/>
      <c r="N813" s="158"/>
      <c r="P813" s="20"/>
      <c r="Q813" s="20"/>
    </row>
    <row r="814">
      <c r="B814" s="158"/>
      <c r="D814" s="158"/>
      <c r="F814" s="158"/>
      <c r="H814" s="158"/>
      <c r="J814" s="158"/>
      <c r="L814" s="158"/>
      <c r="N814" s="158"/>
      <c r="P814" s="20"/>
      <c r="Q814" s="20"/>
    </row>
    <row r="815">
      <c r="B815" s="158"/>
      <c r="D815" s="158"/>
      <c r="F815" s="158"/>
      <c r="H815" s="158"/>
      <c r="J815" s="158"/>
      <c r="L815" s="158"/>
      <c r="N815" s="158"/>
      <c r="P815" s="20"/>
      <c r="Q815" s="20"/>
    </row>
    <row r="816">
      <c r="B816" s="158"/>
      <c r="D816" s="158"/>
      <c r="F816" s="158"/>
      <c r="H816" s="158"/>
      <c r="J816" s="158"/>
      <c r="L816" s="158"/>
      <c r="N816" s="158"/>
      <c r="P816" s="20"/>
      <c r="Q816" s="20"/>
    </row>
    <row r="817">
      <c r="B817" s="158"/>
      <c r="D817" s="158"/>
      <c r="F817" s="158"/>
      <c r="H817" s="158"/>
      <c r="J817" s="158"/>
      <c r="L817" s="158"/>
      <c r="N817" s="158"/>
      <c r="P817" s="20"/>
      <c r="Q817" s="20"/>
    </row>
    <row r="818">
      <c r="B818" s="158"/>
      <c r="D818" s="158"/>
      <c r="F818" s="158"/>
      <c r="H818" s="158"/>
      <c r="J818" s="158"/>
      <c r="L818" s="158"/>
      <c r="N818" s="158"/>
      <c r="P818" s="20"/>
      <c r="Q818" s="20"/>
    </row>
    <row r="819">
      <c r="B819" s="158"/>
      <c r="D819" s="158"/>
      <c r="F819" s="158"/>
      <c r="H819" s="158"/>
      <c r="J819" s="158"/>
      <c r="L819" s="158"/>
      <c r="N819" s="158"/>
      <c r="P819" s="20"/>
      <c r="Q819" s="20"/>
    </row>
    <row r="820">
      <c r="B820" s="158"/>
      <c r="D820" s="158"/>
      <c r="F820" s="158"/>
      <c r="H820" s="158"/>
      <c r="J820" s="158"/>
      <c r="L820" s="158"/>
      <c r="N820" s="158"/>
      <c r="P820" s="20"/>
      <c r="Q820" s="20"/>
    </row>
    <row r="821">
      <c r="B821" s="158"/>
      <c r="D821" s="158"/>
      <c r="F821" s="158"/>
      <c r="H821" s="158"/>
      <c r="J821" s="158"/>
      <c r="L821" s="158"/>
      <c r="N821" s="158"/>
      <c r="P821" s="20"/>
      <c r="Q821" s="20"/>
    </row>
    <row r="822">
      <c r="B822" s="158"/>
      <c r="D822" s="158"/>
      <c r="F822" s="158"/>
      <c r="H822" s="158"/>
      <c r="J822" s="158"/>
      <c r="L822" s="158"/>
      <c r="N822" s="158"/>
      <c r="P822" s="20"/>
      <c r="Q822" s="20"/>
    </row>
    <row r="823">
      <c r="B823" s="158"/>
      <c r="D823" s="158"/>
      <c r="F823" s="158"/>
      <c r="H823" s="158"/>
      <c r="J823" s="158"/>
      <c r="L823" s="158"/>
      <c r="N823" s="158"/>
      <c r="P823" s="20"/>
      <c r="Q823" s="20"/>
    </row>
    <row r="824">
      <c r="B824" s="158"/>
      <c r="D824" s="158"/>
      <c r="F824" s="158"/>
      <c r="H824" s="158"/>
      <c r="J824" s="158"/>
      <c r="L824" s="158"/>
      <c r="N824" s="158"/>
      <c r="P824" s="20"/>
      <c r="Q824" s="20"/>
    </row>
    <row r="825">
      <c r="B825" s="158"/>
      <c r="D825" s="158"/>
      <c r="F825" s="158"/>
      <c r="H825" s="158"/>
      <c r="J825" s="158"/>
      <c r="L825" s="158"/>
      <c r="N825" s="158"/>
      <c r="P825" s="20"/>
      <c r="Q825" s="20"/>
    </row>
    <row r="826">
      <c r="B826" s="158"/>
      <c r="D826" s="158"/>
      <c r="F826" s="158"/>
      <c r="H826" s="158"/>
      <c r="J826" s="158"/>
      <c r="L826" s="158"/>
      <c r="N826" s="158"/>
      <c r="P826" s="20"/>
      <c r="Q826" s="20"/>
    </row>
    <row r="827">
      <c r="B827" s="158"/>
      <c r="D827" s="158"/>
      <c r="F827" s="158"/>
      <c r="H827" s="158"/>
      <c r="J827" s="158"/>
      <c r="L827" s="158"/>
      <c r="N827" s="158"/>
      <c r="P827" s="20"/>
      <c r="Q827" s="20"/>
    </row>
    <row r="828">
      <c r="B828" s="158"/>
      <c r="D828" s="158"/>
      <c r="F828" s="158"/>
      <c r="H828" s="158"/>
      <c r="J828" s="158"/>
      <c r="L828" s="158"/>
      <c r="N828" s="158"/>
      <c r="P828" s="20"/>
      <c r="Q828" s="20"/>
    </row>
    <row r="829">
      <c r="B829" s="158"/>
      <c r="D829" s="158"/>
      <c r="F829" s="158"/>
      <c r="H829" s="158"/>
      <c r="J829" s="158"/>
      <c r="L829" s="158"/>
      <c r="N829" s="158"/>
      <c r="P829" s="20"/>
      <c r="Q829" s="20"/>
    </row>
    <row r="830">
      <c r="B830" s="158"/>
      <c r="D830" s="158"/>
      <c r="F830" s="158"/>
      <c r="H830" s="158"/>
      <c r="J830" s="158"/>
      <c r="L830" s="158"/>
      <c r="N830" s="158"/>
      <c r="P830" s="20"/>
      <c r="Q830" s="20"/>
    </row>
    <row r="831">
      <c r="B831" s="158"/>
      <c r="D831" s="158"/>
      <c r="F831" s="158"/>
      <c r="H831" s="158"/>
      <c r="J831" s="158"/>
      <c r="L831" s="158"/>
      <c r="N831" s="158"/>
      <c r="P831" s="20"/>
      <c r="Q831" s="20"/>
    </row>
    <row r="832">
      <c r="B832" s="158"/>
      <c r="D832" s="158"/>
      <c r="F832" s="158"/>
      <c r="H832" s="158"/>
      <c r="J832" s="158"/>
      <c r="L832" s="158"/>
      <c r="N832" s="158"/>
      <c r="P832" s="20"/>
      <c r="Q832" s="20"/>
    </row>
    <row r="833">
      <c r="B833" s="158"/>
      <c r="D833" s="158"/>
      <c r="F833" s="158"/>
      <c r="H833" s="158"/>
      <c r="J833" s="158"/>
      <c r="L833" s="158"/>
      <c r="N833" s="158"/>
      <c r="P833" s="20"/>
      <c r="Q833" s="20"/>
    </row>
    <row r="834">
      <c r="B834" s="158"/>
      <c r="D834" s="158"/>
      <c r="F834" s="158"/>
      <c r="H834" s="158"/>
      <c r="J834" s="158"/>
      <c r="L834" s="158"/>
      <c r="N834" s="158"/>
      <c r="P834" s="20"/>
      <c r="Q834" s="20"/>
    </row>
    <row r="835">
      <c r="B835" s="158"/>
      <c r="D835" s="158"/>
      <c r="F835" s="158"/>
      <c r="H835" s="158"/>
      <c r="J835" s="158"/>
      <c r="L835" s="158"/>
      <c r="N835" s="158"/>
      <c r="P835" s="20"/>
      <c r="Q835" s="20"/>
    </row>
    <row r="836">
      <c r="B836" s="158"/>
      <c r="D836" s="158"/>
      <c r="F836" s="158"/>
      <c r="H836" s="158"/>
      <c r="J836" s="158"/>
      <c r="L836" s="158"/>
      <c r="N836" s="158"/>
      <c r="P836" s="20"/>
      <c r="Q836" s="20"/>
    </row>
    <row r="837">
      <c r="B837" s="158"/>
      <c r="D837" s="158"/>
      <c r="F837" s="158"/>
      <c r="H837" s="158"/>
      <c r="J837" s="158"/>
      <c r="L837" s="158"/>
      <c r="N837" s="158"/>
      <c r="P837" s="20"/>
      <c r="Q837" s="20"/>
    </row>
    <row r="838">
      <c r="B838" s="158"/>
      <c r="D838" s="158"/>
      <c r="F838" s="158"/>
      <c r="H838" s="158"/>
      <c r="J838" s="158"/>
      <c r="L838" s="158"/>
      <c r="N838" s="158"/>
      <c r="P838" s="20"/>
      <c r="Q838" s="20"/>
    </row>
    <row r="839">
      <c r="B839" s="158"/>
      <c r="D839" s="158"/>
      <c r="F839" s="158"/>
      <c r="H839" s="158"/>
      <c r="J839" s="158"/>
      <c r="L839" s="158"/>
      <c r="N839" s="158"/>
      <c r="P839" s="20"/>
      <c r="Q839" s="20"/>
    </row>
    <row r="840">
      <c r="B840" s="158"/>
      <c r="D840" s="158"/>
      <c r="F840" s="158"/>
      <c r="H840" s="158"/>
      <c r="J840" s="158"/>
      <c r="L840" s="158"/>
      <c r="N840" s="158"/>
      <c r="P840" s="20"/>
      <c r="Q840" s="20"/>
    </row>
    <row r="841">
      <c r="B841" s="158"/>
      <c r="D841" s="158"/>
      <c r="F841" s="158"/>
      <c r="H841" s="158"/>
      <c r="J841" s="158"/>
      <c r="L841" s="158"/>
      <c r="N841" s="158"/>
      <c r="P841" s="20"/>
      <c r="Q841" s="20"/>
    </row>
    <row r="842">
      <c r="B842" s="158"/>
      <c r="D842" s="158"/>
      <c r="F842" s="158"/>
      <c r="H842" s="158"/>
      <c r="J842" s="158"/>
      <c r="L842" s="158"/>
      <c r="N842" s="158"/>
      <c r="P842" s="20"/>
      <c r="Q842" s="20"/>
    </row>
    <row r="843">
      <c r="B843" s="158"/>
      <c r="D843" s="158"/>
      <c r="F843" s="158"/>
      <c r="H843" s="158"/>
      <c r="J843" s="158"/>
      <c r="L843" s="158"/>
      <c r="N843" s="158"/>
      <c r="P843" s="20"/>
      <c r="Q843" s="20"/>
    </row>
    <row r="844">
      <c r="B844" s="158"/>
      <c r="D844" s="158"/>
      <c r="F844" s="158"/>
      <c r="H844" s="158"/>
      <c r="J844" s="158"/>
      <c r="L844" s="158"/>
      <c r="N844" s="158"/>
      <c r="P844" s="20"/>
      <c r="Q844" s="20"/>
    </row>
    <row r="845">
      <c r="B845" s="158"/>
      <c r="D845" s="158"/>
      <c r="F845" s="158"/>
      <c r="H845" s="158"/>
      <c r="J845" s="158"/>
      <c r="L845" s="158"/>
      <c r="N845" s="158"/>
      <c r="P845" s="20"/>
      <c r="Q845" s="20"/>
    </row>
    <row r="846">
      <c r="B846" s="158"/>
      <c r="D846" s="158"/>
      <c r="F846" s="158"/>
      <c r="H846" s="158"/>
      <c r="J846" s="158"/>
      <c r="L846" s="158"/>
      <c r="N846" s="158"/>
      <c r="P846" s="20"/>
      <c r="Q846" s="20"/>
    </row>
    <row r="847">
      <c r="B847" s="158"/>
      <c r="D847" s="158"/>
      <c r="F847" s="158"/>
      <c r="H847" s="158"/>
      <c r="J847" s="158"/>
      <c r="L847" s="158"/>
      <c r="N847" s="158"/>
      <c r="P847" s="20"/>
      <c r="Q847" s="20"/>
    </row>
    <row r="848">
      <c r="B848" s="158"/>
      <c r="D848" s="158"/>
      <c r="F848" s="158"/>
      <c r="H848" s="158"/>
      <c r="J848" s="158"/>
      <c r="L848" s="158"/>
      <c r="N848" s="158"/>
      <c r="P848" s="20"/>
      <c r="Q848" s="20"/>
    </row>
    <row r="849">
      <c r="B849" s="158"/>
      <c r="D849" s="158"/>
      <c r="F849" s="158"/>
      <c r="H849" s="158"/>
      <c r="J849" s="158"/>
      <c r="L849" s="158"/>
      <c r="N849" s="158"/>
      <c r="P849" s="20"/>
      <c r="Q849" s="20"/>
    </row>
    <row r="850">
      <c r="B850" s="158"/>
      <c r="D850" s="158"/>
      <c r="F850" s="158"/>
      <c r="H850" s="158"/>
      <c r="J850" s="158"/>
      <c r="L850" s="158"/>
      <c r="N850" s="158"/>
      <c r="P850" s="20"/>
      <c r="Q850" s="20"/>
    </row>
    <row r="851">
      <c r="B851" s="158"/>
      <c r="D851" s="158"/>
      <c r="F851" s="158"/>
      <c r="H851" s="158"/>
      <c r="J851" s="158"/>
      <c r="L851" s="158"/>
      <c r="N851" s="158"/>
      <c r="P851" s="20"/>
      <c r="Q851" s="20"/>
    </row>
    <row r="852">
      <c r="B852" s="158"/>
      <c r="D852" s="158"/>
      <c r="F852" s="158"/>
      <c r="H852" s="158"/>
      <c r="J852" s="158"/>
      <c r="L852" s="158"/>
      <c r="N852" s="158"/>
      <c r="P852" s="20"/>
      <c r="Q852" s="20"/>
    </row>
    <row r="853">
      <c r="B853" s="158"/>
      <c r="D853" s="158"/>
      <c r="F853" s="158"/>
      <c r="H853" s="158"/>
      <c r="J853" s="158"/>
      <c r="L853" s="158"/>
      <c r="N853" s="158"/>
      <c r="P853" s="20"/>
      <c r="Q853" s="20"/>
    </row>
    <row r="854">
      <c r="B854" s="158"/>
      <c r="D854" s="158"/>
      <c r="F854" s="158"/>
      <c r="H854" s="158"/>
      <c r="J854" s="158"/>
      <c r="L854" s="158"/>
      <c r="N854" s="158"/>
      <c r="P854" s="20"/>
      <c r="Q854" s="20"/>
    </row>
    <row r="855">
      <c r="B855" s="158"/>
      <c r="D855" s="158"/>
      <c r="F855" s="158"/>
      <c r="H855" s="158"/>
      <c r="J855" s="158"/>
      <c r="L855" s="158"/>
      <c r="N855" s="158"/>
      <c r="P855" s="20"/>
      <c r="Q855" s="20"/>
    </row>
    <row r="856">
      <c r="B856" s="158"/>
      <c r="D856" s="158"/>
      <c r="F856" s="158"/>
      <c r="H856" s="158"/>
      <c r="J856" s="158"/>
      <c r="L856" s="158"/>
      <c r="N856" s="158"/>
      <c r="P856" s="20"/>
      <c r="Q856" s="20"/>
    </row>
    <row r="857">
      <c r="B857" s="158"/>
      <c r="D857" s="158"/>
      <c r="F857" s="158"/>
      <c r="H857" s="158"/>
      <c r="J857" s="158"/>
      <c r="L857" s="158"/>
      <c r="N857" s="158"/>
      <c r="P857" s="20"/>
      <c r="Q857" s="20"/>
    </row>
    <row r="858">
      <c r="B858" s="158"/>
      <c r="D858" s="158"/>
      <c r="F858" s="158"/>
      <c r="H858" s="158"/>
      <c r="J858" s="158"/>
      <c r="L858" s="158"/>
      <c r="N858" s="158"/>
      <c r="P858" s="20"/>
      <c r="Q858" s="20"/>
    </row>
    <row r="859">
      <c r="B859" s="158"/>
      <c r="D859" s="158"/>
      <c r="F859" s="158"/>
      <c r="H859" s="158"/>
      <c r="J859" s="158"/>
      <c r="L859" s="158"/>
      <c r="N859" s="158"/>
      <c r="P859" s="20"/>
      <c r="Q859" s="20"/>
    </row>
    <row r="860">
      <c r="B860" s="158"/>
      <c r="D860" s="158"/>
      <c r="F860" s="158"/>
      <c r="H860" s="158"/>
      <c r="J860" s="158"/>
      <c r="L860" s="158"/>
      <c r="N860" s="158"/>
      <c r="P860" s="20"/>
      <c r="Q860" s="20"/>
    </row>
    <row r="861">
      <c r="B861" s="158"/>
      <c r="D861" s="158"/>
      <c r="F861" s="158"/>
      <c r="H861" s="158"/>
      <c r="J861" s="158"/>
      <c r="L861" s="158"/>
      <c r="N861" s="158"/>
      <c r="P861" s="20"/>
      <c r="Q861" s="20"/>
    </row>
    <row r="862">
      <c r="B862" s="158"/>
      <c r="D862" s="158"/>
      <c r="F862" s="158"/>
      <c r="H862" s="158"/>
      <c r="J862" s="158"/>
      <c r="L862" s="158"/>
      <c r="N862" s="158"/>
      <c r="P862" s="20"/>
      <c r="Q862" s="20"/>
    </row>
    <row r="863">
      <c r="B863" s="158"/>
      <c r="D863" s="158"/>
      <c r="F863" s="158"/>
      <c r="H863" s="158"/>
      <c r="J863" s="158"/>
      <c r="L863" s="158"/>
      <c r="N863" s="158"/>
      <c r="P863" s="20"/>
      <c r="Q863" s="20"/>
    </row>
    <row r="864">
      <c r="B864" s="158"/>
      <c r="D864" s="158"/>
      <c r="F864" s="158"/>
      <c r="H864" s="158"/>
      <c r="J864" s="158"/>
      <c r="L864" s="158"/>
      <c r="N864" s="158"/>
      <c r="P864" s="20"/>
      <c r="Q864" s="20"/>
    </row>
    <row r="865">
      <c r="B865" s="158"/>
      <c r="D865" s="158"/>
      <c r="F865" s="158"/>
      <c r="H865" s="158"/>
      <c r="J865" s="158"/>
      <c r="L865" s="158"/>
      <c r="N865" s="158"/>
      <c r="P865" s="20"/>
      <c r="Q865" s="20"/>
    </row>
    <row r="866">
      <c r="B866" s="158"/>
      <c r="D866" s="158"/>
      <c r="F866" s="158"/>
      <c r="H866" s="158"/>
      <c r="J866" s="158"/>
      <c r="L866" s="158"/>
      <c r="N866" s="158"/>
      <c r="P866" s="20"/>
      <c r="Q866" s="20"/>
    </row>
    <row r="867">
      <c r="B867" s="158"/>
      <c r="D867" s="158"/>
      <c r="F867" s="158"/>
      <c r="H867" s="158"/>
      <c r="J867" s="158"/>
      <c r="L867" s="158"/>
      <c r="N867" s="158"/>
      <c r="P867" s="20"/>
      <c r="Q867" s="20"/>
    </row>
    <row r="868">
      <c r="B868" s="158"/>
      <c r="D868" s="158"/>
      <c r="F868" s="158"/>
      <c r="H868" s="158"/>
      <c r="J868" s="158"/>
      <c r="L868" s="158"/>
      <c r="N868" s="158"/>
      <c r="P868" s="20"/>
      <c r="Q868" s="20"/>
    </row>
    <row r="869">
      <c r="B869" s="158"/>
      <c r="D869" s="158"/>
      <c r="F869" s="158"/>
      <c r="H869" s="158"/>
      <c r="J869" s="158"/>
      <c r="L869" s="158"/>
      <c r="N869" s="158"/>
      <c r="P869" s="20"/>
      <c r="Q869" s="20"/>
    </row>
    <row r="870">
      <c r="B870" s="158"/>
      <c r="D870" s="158"/>
      <c r="F870" s="158"/>
      <c r="H870" s="158"/>
      <c r="J870" s="158"/>
      <c r="L870" s="158"/>
      <c r="N870" s="158"/>
      <c r="P870" s="20"/>
      <c r="Q870" s="20"/>
    </row>
    <row r="871">
      <c r="B871" s="158"/>
      <c r="D871" s="158"/>
      <c r="F871" s="158"/>
      <c r="H871" s="158"/>
      <c r="J871" s="158"/>
      <c r="L871" s="158"/>
      <c r="N871" s="158"/>
      <c r="P871" s="20"/>
      <c r="Q871" s="20"/>
    </row>
    <row r="872">
      <c r="B872" s="158"/>
      <c r="D872" s="158"/>
      <c r="F872" s="158"/>
      <c r="H872" s="158"/>
      <c r="J872" s="158"/>
      <c r="L872" s="158"/>
      <c r="N872" s="158"/>
      <c r="P872" s="20"/>
      <c r="Q872" s="20"/>
    </row>
    <row r="873">
      <c r="B873" s="158"/>
      <c r="D873" s="158"/>
      <c r="F873" s="158"/>
      <c r="H873" s="158"/>
      <c r="J873" s="158"/>
      <c r="L873" s="158"/>
      <c r="N873" s="158"/>
      <c r="P873" s="20"/>
      <c r="Q873" s="20"/>
    </row>
    <row r="874">
      <c r="B874" s="158"/>
      <c r="D874" s="158"/>
      <c r="F874" s="158"/>
      <c r="H874" s="158"/>
      <c r="J874" s="158"/>
      <c r="L874" s="158"/>
      <c r="N874" s="158"/>
      <c r="P874" s="20"/>
      <c r="Q874" s="20"/>
    </row>
    <row r="875">
      <c r="B875" s="158"/>
      <c r="D875" s="158"/>
      <c r="F875" s="158"/>
      <c r="H875" s="158"/>
      <c r="J875" s="158"/>
      <c r="L875" s="158"/>
      <c r="N875" s="158"/>
      <c r="P875" s="20"/>
      <c r="Q875" s="20"/>
    </row>
    <row r="876">
      <c r="B876" s="158"/>
      <c r="D876" s="158"/>
      <c r="F876" s="158"/>
      <c r="H876" s="158"/>
      <c r="J876" s="158"/>
      <c r="L876" s="158"/>
      <c r="N876" s="158"/>
      <c r="P876" s="20"/>
      <c r="Q876" s="20"/>
    </row>
    <row r="877">
      <c r="B877" s="158"/>
      <c r="D877" s="158"/>
      <c r="F877" s="158"/>
      <c r="H877" s="158"/>
      <c r="J877" s="158"/>
      <c r="L877" s="158"/>
      <c r="N877" s="158"/>
      <c r="P877" s="20"/>
      <c r="Q877" s="20"/>
    </row>
    <row r="878">
      <c r="B878" s="158"/>
      <c r="D878" s="158"/>
      <c r="F878" s="158"/>
      <c r="H878" s="158"/>
      <c r="J878" s="158"/>
      <c r="L878" s="158"/>
      <c r="N878" s="158"/>
      <c r="P878" s="20"/>
      <c r="Q878" s="20"/>
    </row>
    <row r="879">
      <c r="B879" s="158"/>
      <c r="D879" s="158"/>
      <c r="F879" s="158"/>
      <c r="H879" s="158"/>
      <c r="J879" s="158"/>
      <c r="L879" s="158"/>
      <c r="N879" s="158"/>
      <c r="P879" s="20"/>
      <c r="Q879" s="20"/>
    </row>
    <row r="880">
      <c r="B880" s="158"/>
      <c r="D880" s="158"/>
      <c r="F880" s="158"/>
      <c r="H880" s="158"/>
      <c r="J880" s="158"/>
      <c r="L880" s="158"/>
      <c r="N880" s="158"/>
      <c r="P880" s="20"/>
      <c r="Q880" s="20"/>
    </row>
    <row r="881">
      <c r="B881" s="158"/>
      <c r="D881" s="158"/>
      <c r="F881" s="158"/>
      <c r="H881" s="158"/>
      <c r="J881" s="158"/>
      <c r="L881" s="158"/>
      <c r="N881" s="158"/>
      <c r="P881" s="20"/>
      <c r="Q881" s="20"/>
    </row>
    <row r="882">
      <c r="B882" s="158"/>
      <c r="D882" s="158"/>
      <c r="F882" s="158"/>
      <c r="H882" s="158"/>
      <c r="J882" s="158"/>
      <c r="L882" s="158"/>
      <c r="N882" s="158"/>
      <c r="P882" s="20"/>
      <c r="Q882" s="20"/>
    </row>
    <row r="883">
      <c r="B883" s="158"/>
      <c r="D883" s="158"/>
      <c r="F883" s="158"/>
      <c r="H883" s="158"/>
      <c r="J883" s="158"/>
      <c r="L883" s="158"/>
      <c r="N883" s="158"/>
      <c r="P883" s="20"/>
      <c r="Q883" s="20"/>
    </row>
    <row r="884">
      <c r="B884" s="158"/>
      <c r="D884" s="158"/>
      <c r="F884" s="158"/>
      <c r="H884" s="158"/>
      <c r="J884" s="158"/>
      <c r="L884" s="158"/>
      <c r="N884" s="158"/>
      <c r="P884" s="20"/>
      <c r="Q884" s="20"/>
    </row>
    <row r="885">
      <c r="B885" s="158"/>
      <c r="D885" s="158"/>
      <c r="F885" s="158"/>
      <c r="H885" s="158"/>
      <c r="J885" s="158"/>
      <c r="L885" s="158"/>
      <c r="N885" s="158"/>
      <c r="P885" s="20"/>
      <c r="Q885" s="20"/>
    </row>
    <row r="886">
      <c r="B886" s="158"/>
      <c r="D886" s="158"/>
      <c r="F886" s="158"/>
      <c r="H886" s="158"/>
      <c r="J886" s="158"/>
      <c r="L886" s="158"/>
      <c r="N886" s="158"/>
      <c r="P886" s="20"/>
      <c r="Q886" s="20"/>
    </row>
    <row r="887">
      <c r="B887" s="158"/>
      <c r="D887" s="158"/>
      <c r="F887" s="158"/>
      <c r="H887" s="158"/>
      <c r="J887" s="158"/>
      <c r="L887" s="158"/>
      <c r="N887" s="158"/>
      <c r="P887" s="20"/>
      <c r="Q887" s="20"/>
    </row>
    <row r="888">
      <c r="B888" s="158"/>
      <c r="D888" s="158"/>
      <c r="F888" s="158"/>
      <c r="H888" s="158"/>
      <c r="J888" s="158"/>
      <c r="L888" s="158"/>
      <c r="N888" s="158"/>
      <c r="P888" s="20"/>
      <c r="Q888" s="20"/>
    </row>
    <row r="889">
      <c r="B889" s="158"/>
      <c r="D889" s="158"/>
      <c r="F889" s="158"/>
      <c r="H889" s="158"/>
      <c r="J889" s="158"/>
      <c r="L889" s="158"/>
      <c r="N889" s="158"/>
      <c r="P889" s="20"/>
      <c r="Q889" s="20"/>
    </row>
    <row r="890">
      <c r="B890" s="158"/>
      <c r="D890" s="158"/>
      <c r="F890" s="158"/>
      <c r="H890" s="158"/>
      <c r="J890" s="158"/>
      <c r="L890" s="158"/>
      <c r="N890" s="158"/>
      <c r="P890" s="20"/>
      <c r="Q890" s="20"/>
    </row>
    <row r="891">
      <c r="B891" s="158"/>
      <c r="D891" s="158"/>
      <c r="F891" s="158"/>
      <c r="H891" s="158"/>
      <c r="J891" s="158"/>
      <c r="L891" s="158"/>
      <c r="N891" s="158"/>
      <c r="P891" s="20"/>
      <c r="Q891" s="20"/>
    </row>
    <row r="892">
      <c r="B892" s="158"/>
      <c r="D892" s="158"/>
      <c r="F892" s="158"/>
      <c r="H892" s="158"/>
      <c r="J892" s="158"/>
      <c r="L892" s="158"/>
      <c r="N892" s="158"/>
      <c r="P892" s="20"/>
      <c r="Q892" s="20"/>
    </row>
    <row r="893">
      <c r="B893" s="158"/>
      <c r="D893" s="158"/>
      <c r="F893" s="158"/>
      <c r="H893" s="158"/>
      <c r="J893" s="158"/>
      <c r="L893" s="158"/>
      <c r="N893" s="158"/>
      <c r="P893" s="20"/>
      <c r="Q893" s="20"/>
    </row>
    <row r="894">
      <c r="B894" s="158"/>
      <c r="D894" s="158"/>
      <c r="F894" s="158"/>
      <c r="H894" s="158"/>
      <c r="J894" s="158"/>
      <c r="L894" s="158"/>
      <c r="N894" s="158"/>
      <c r="P894" s="20"/>
      <c r="Q894" s="20"/>
    </row>
    <row r="895">
      <c r="B895" s="158"/>
      <c r="D895" s="158"/>
      <c r="F895" s="158"/>
      <c r="H895" s="158"/>
      <c r="J895" s="158"/>
      <c r="L895" s="158"/>
      <c r="N895" s="158"/>
      <c r="P895" s="20"/>
      <c r="Q895" s="20"/>
    </row>
    <row r="896">
      <c r="B896" s="158"/>
      <c r="D896" s="158"/>
      <c r="F896" s="158"/>
      <c r="H896" s="158"/>
      <c r="J896" s="158"/>
      <c r="L896" s="158"/>
      <c r="N896" s="158"/>
      <c r="P896" s="20"/>
      <c r="Q896" s="20"/>
    </row>
    <row r="897">
      <c r="B897" s="158"/>
      <c r="D897" s="158"/>
      <c r="F897" s="158"/>
      <c r="H897" s="158"/>
      <c r="J897" s="158"/>
      <c r="L897" s="158"/>
      <c r="N897" s="158"/>
      <c r="P897" s="20"/>
      <c r="Q897" s="20"/>
    </row>
    <row r="898">
      <c r="B898" s="158"/>
      <c r="D898" s="158"/>
      <c r="F898" s="158"/>
      <c r="H898" s="158"/>
      <c r="J898" s="158"/>
      <c r="L898" s="158"/>
      <c r="N898" s="158"/>
      <c r="P898" s="20"/>
      <c r="Q898" s="20"/>
    </row>
    <row r="899">
      <c r="B899" s="158"/>
      <c r="D899" s="158"/>
      <c r="F899" s="158"/>
      <c r="H899" s="158"/>
      <c r="J899" s="158"/>
      <c r="L899" s="158"/>
      <c r="N899" s="158"/>
      <c r="P899" s="20"/>
      <c r="Q899" s="20"/>
    </row>
    <row r="900">
      <c r="B900" s="158"/>
      <c r="D900" s="158"/>
      <c r="F900" s="158"/>
      <c r="H900" s="158"/>
      <c r="J900" s="158"/>
      <c r="L900" s="158"/>
      <c r="N900" s="158"/>
      <c r="P900" s="20"/>
      <c r="Q900" s="20"/>
    </row>
    <row r="901">
      <c r="B901" s="158"/>
      <c r="D901" s="158"/>
      <c r="F901" s="158"/>
      <c r="H901" s="158"/>
      <c r="J901" s="158"/>
      <c r="L901" s="158"/>
      <c r="N901" s="158"/>
      <c r="P901" s="20"/>
      <c r="Q901" s="20"/>
    </row>
    <row r="902">
      <c r="B902" s="158"/>
      <c r="D902" s="158"/>
      <c r="F902" s="158"/>
      <c r="H902" s="158"/>
      <c r="J902" s="158"/>
      <c r="L902" s="158"/>
      <c r="N902" s="158"/>
      <c r="P902" s="20"/>
      <c r="Q902" s="20"/>
    </row>
    <row r="903">
      <c r="B903" s="158"/>
      <c r="D903" s="158"/>
      <c r="F903" s="158"/>
      <c r="H903" s="158"/>
      <c r="J903" s="158"/>
      <c r="L903" s="158"/>
      <c r="N903" s="158"/>
      <c r="P903" s="20"/>
      <c r="Q903" s="20"/>
    </row>
    <row r="904">
      <c r="B904" s="158"/>
      <c r="D904" s="158"/>
      <c r="F904" s="158"/>
      <c r="H904" s="158"/>
      <c r="J904" s="158"/>
      <c r="L904" s="158"/>
      <c r="N904" s="158"/>
      <c r="P904" s="20"/>
      <c r="Q904" s="20"/>
    </row>
    <row r="905">
      <c r="B905" s="158"/>
      <c r="D905" s="158"/>
      <c r="F905" s="158"/>
      <c r="H905" s="158"/>
      <c r="J905" s="158"/>
      <c r="L905" s="158"/>
      <c r="N905" s="158"/>
      <c r="P905" s="20"/>
      <c r="Q905" s="20"/>
    </row>
    <row r="906">
      <c r="B906" s="158"/>
      <c r="D906" s="158"/>
      <c r="F906" s="158"/>
      <c r="H906" s="158"/>
      <c r="J906" s="158"/>
      <c r="L906" s="158"/>
      <c r="N906" s="158"/>
      <c r="P906" s="20"/>
      <c r="Q906" s="20"/>
    </row>
    <row r="907">
      <c r="B907" s="158"/>
      <c r="D907" s="158"/>
      <c r="F907" s="158"/>
      <c r="H907" s="158"/>
      <c r="J907" s="158"/>
      <c r="L907" s="158"/>
      <c r="N907" s="158"/>
      <c r="P907" s="20"/>
      <c r="Q907" s="20"/>
    </row>
    <row r="908">
      <c r="B908" s="158"/>
      <c r="D908" s="158"/>
      <c r="F908" s="158"/>
      <c r="H908" s="158"/>
      <c r="J908" s="158"/>
      <c r="L908" s="158"/>
      <c r="N908" s="158"/>
      <c r="P908" s="20"/>
      <c r="Q908" s="20"/>
    </row>
    <row r="909">
      <c r="B909" s="158"/>
      <c r="D909" s="158"/>
      <c r="F909" s="158"/>
      <c r="H909" s="158"/>
      <c r="J909" s="158"/>
      <c r="L909" s="158"/>
      <c r="N909" s="158"/>
      <c r="P909" s="20"/>
      <c r="Q909" s="20"/>
    </row>
    <row r="910">
      <c r="B910" s="158"/>
      <c r="D910" s="158"/>
      <c r="F910" s="158"/>
      <c r="H910" s="158"/>
      <c r="J910" s="158"/>
      <c r="L910" s="158"/>
      <c r="N910" s="158"/>
      <c r="P910" s="20"/>
      <c r="Q910" s="20"/>
    </row>
    <row r="911">
      <c r="B911" s="158"/>
      <c r="D911" s="158"/>
      <c r="F911" s="158"/>
      <c r="H911" s="158"/>
      <c r="J911" s="158"/>
      <c r="L911" s="158"/>
      <c r="N911" s="158"/>
      <c r="P911" s="20"/>
      <c r="Q911" s="20"/>
    </row>
    <row r="912">
      <c r="B912" s="158"/>
      <c r="D912" s="158"/>
      <c r="F912" s="158"/>
      <c r="H912" s="158"/>
      <c r="J912" s="158"/>
      <c r="L912" s="158"/>
      <c r="N912" s="158"/>
      <c r="P912" s="20"/>
      <c r="Q912" s="20"/>
    </row>
    <row r="913">
      <c r="B913" s="158"/>
      <c r="D913" s="158"/>
      <c r="F913" s="158"/>
      <c r="H913" s="158"/>
      <c r="J913" s="158"/>
      <c r="L913" s="158"/>
      <c r="N913" s="158"/>
      <c r="P913" s="20"/>
      <c r="Q913" s="20"/>
    </row>
    <row r="914">
      <c r="B914" s="158"/>
      <c r="D914" s="158"/>
      <c r="F914" s="158"/>
      <c r="H914" s="158"/>
      <c r="J914" s="158"/>
      <c r="L914" s="158"/>
      <c r="N914" s="158"/>
      <c r="P914" s="20"/>
      <c r="Q914" s="20"/>
    </row>
    <row r="915">
      <c r="B915" s="158"/>
      <c r="D915" s="158"/>
      <c r="F915" s="158"/>
      <c r="H915" s="158"/>
      <c r="J915" s="158"/>
      <c r="L915" s="158"/>
      <c r="N915" s="158"/>
      <c r="P915" s="20"/>
      <c r="Q915" s="20"/>
    </row>
    <row r="916">
      <c r="B916" s="158"/>
      <c r="D916" s="158"/>
      <c r="F916" s="158"/>
      <c r="H916" s="158"/>
      <c r="J916" s="158"/>
      <c r="L916" s="158"/>
      <c r="N916" s="158"/>
      <c r="P916" s="20"/>
      <c r="Q916" s="20"/>
    </row>
    <row r="917">
      <c r="B917" s="158"/>
      <c r="D917" s="158"/>
      <c r="F917" s="158"/>
      <c r="H917" s="158"/>
      <c r="J917" s="158"/>
      <c r="L917" s="158"/>
      <c r="N917" s="158"/>
      <c r="P917" s="20"/>
      <c r="Q917" s="20"/>
    </row>
    <row r="918">
      <c r="B918" s="158"/>
      <c r="D918" s="158"/>
      <c r="F918" s="158"/>
      <c r="H918" s="158"/>
      <c r="J918" s="158"/>
      <c r="L918" s="158"/>
      <c r="N918" s="158"/>
      <c r="P918" s="20"/>
      <c r="Q918" s="20"/>
    </row>
    <row r="919">
      <c r="B919" s="158"/>
      <c r="D919" s="158"/>
      <c r="F919" s="158"/>
      <c r="H919" s="158"/>
      <c r="J919" s="158"/>
      <c r="L919" s="158"/>
      <c r="N919" s="158"/>
      <c r="P919" s="20"/>
      <c r="Q919" s="20"/>
    </row>
    <row r="920">
      <c r="B920" s="158"/>
      <c r="D920" s="158"/>
      <c r="F920" s="158"/>
      <c r="H920" s="158"/>
      <c r="J920" s="158"/>
      <c r="L920" s="158"/>
      <c r="N920" s="158"/>
      <c r="P920" s="20"/>
      <c r="Q920" s="20"/>
    </row>
    <row r="921">
      <c r="B921" s="158"/>
      <c r="D921" s="158"/>
      <c r="F921" s="158"/>
      <c r="H921" s="158"/>
      <c r="J921" s="158"/>
      <c r="L921" s="158"/>
      <c r="N921" s="158"/>
      <c r="P921" s="20"/>
      <c r="Q921" s="20"/>
    </row>
    <row r="922">
      <c r="B922" s="158"/>
      <c r="D922" s="158"/>
      <c r="F922" s="158"/>
      <c r="H922" s="158"/>
      <c r="J922" s="158"/>
      <c r="L922" s="158"/>
      <c r="N922" s="158"/>
      <c r="P922" s="20"/>
      <c r="Q922" s="20"/>
    </row>
    <row r="923">
      <c r="B923" s="158"/>
      <c r="D923" s="158"/>
      <c r="F923" s="158"/>
      <c r="H923" s="158"/>
      <c r="J923" s="158"/>
      <c r="L923" s="158"/>
      <c r="N923" s="158"/>
      <c r="P923" s="20"/>
      <c r="Q923" s="20"/>
    </row>
    <row r="924">
      <c r="B924" s="158"/>
      <c r="D924" s="158"/>
      <c r="F924" s="158"/>
      <c r="H924" s="158"/>
      <c r="J924" s="158"/>
      <c r="L924" s="158"/>
      <c r="N924" s="158"/>
      <c r="P924" s="20"/>
      <c r="Q924" s="20"/>
    </row>
    <row r="925">
      <c r="B925" s="158"/>
      <c r="D925" s="158"/>
      <c r="F925" s="158"/>
      <c r="H925" s="158"/>
      <c r="J925" s="158"/>
      <c r="L925" s="158"/>
      <c r="N925" s="158"/>
      <c r="P925" s="20"/>
      <c r="Q925" s="20"/>
    </row>
    <row r="926">
      <c r="B926" s="158"/>
      <c r="D926" s="158"/>
      <c r="F926" s="158"/>
      <c r="H926" s="158"/>
      <c r="J926" s="158"/>
      <c r="L926" s="158"/>
      <c r="N926" s="158"/>
      <c r="P926" s="20"/>
      <c r="Q926" s="20"/>
    </row>
    <row r="927">
      <c r="B927" s="158"/>
      <c r="D927" s="158"/>
      <c r="F927" s="158"/>
      <c r="H927" s="158"/>
      <c r="J927" s="158"/>
      <c r="L927" s="158"/>
      <c r="N927" s="158"/>
      <c r="P927" s="20"/>
      <c r="Q927" s="20"/>
    </row>
    <row r="928">
      <c r="B928" s="158"/>
      <c r="D928" s="158"/>
      <c r="F928" s="158"/>
      <c r="H928" s="158"/>
      <c r="J928" s="158"/>
      <c r="L928" s="158"/>
      <c r="N928" s="158"/>
      <c r="P928" s="20"/>
      <c r="Q928" s="20"/>
    </row>
    <row r="929">
      <c r="B929" s="158"/>
      <c r="D929" s="158"/>
      <c r="F929" s="158"/>
      <c r="H929" s="158"/>
      <c r="J929" s="158"/>
      <c r="L929" s="158"/>
      <c r="N929" s="158"/>
      <c r="P929" s="20"/>
      <c r="Q929" s="20"/>
    </row>
    <row r="930">
      <c r="B930" s="158"/>
      <c r="D930" s="158"/>
      <c r="F930" s="158"/>
      <c r="H930" s="158"/>
      <c r="J930" s="158"/>
      <c r="L930" s="158"/>
      <c r="N930" s="158"/>
      <c r="P930" s="20"/>
      <c r="Q930" s="20"/>
    </row>
    <row r="931">
      <c r="B931" s="158"/>
      <c r="D931" s="158"/>
      <c r="F931" s="158"/>
      <c r="H931" s="158"/>
      <c r="J931" s="158"/>
      <c r="L931" s="158"/>
      <c r="N931" s="158"/>
      <c r="P931" s="20"/>
      <c r="Q931" s="20"/>
    </row>
    <row r="932">
      <c r="B932" s="158"/>
      <c r="D932" s="158"/>
      <c r="F932" s="158"/>
      <c r="H932" s="158"/>
      <c r="J932" s="158"/>
      <c r="L932" s="158"/>
      <c r="N932" s="158"/>
      <c r="P932" s="20"/>
      <c r="Q932" s="20"/>
    </row>
    <row r="933">
      <c r="B933" s="158"/>
      <c r="D933" s="158"/>
      <c r="F933" s="158"/>
      <c r="H933" s="158"/>
      <c r="J933" s="158"/>
      <c r="L933" s="158"/>
      <c r="N933" s="158"/>
      <c r="P933" s="20"/>
      <c r="Q933" s="20"/>
    </row>
    <row r="934">
      <c r="B934" s="158"/>
      <c r="D934" s="158"/>
      <c r="F934" s="158"/>
      <c r="H934" s="158"/>
      <c r="J934" s="158"/>
      <c r="L934" s="158"/>
      <c r="N934" s="158"/>
      <c r="P934" s="20"/>
      <c r="Q934" s="20"/>
    </row>
    <row r="935">
      <c r="B935" s="158"/>
      <c r="D935" s="158"/>
      <c r="F935" s="158"/>
      <c r="H935" s="158"/>
      <c r="J935" s="158"/>
      <c r="L935" s="158"/>
      <c r="N935" s="158"/>
      <c r="P935" s="20"/>
      <c r="Q935" s="20"/>
    </row>
    <row r="936">
      <c r="B936" s="158"/>
      <c r="D936" s="158"/>
      <c r="F936" s="158"/>
      <c r="H936" s="158"/>
      <c r="J936" s="158"/>
      <c r="L936" s="158"/>
      <c r="N936" s="158"/>
      <c r="P936" s="20"/>
      <c r="Q936" s="20"/>
    </row>
    <row r="937">
      <c r="B937" s="158"/>
      <c r="D937" s="158"/>
      <c r="F937" s="158"/>
      <c r="H937" s="158"/>
      <c r="J937" s="158"/>
      <c r="L937" s="158"/>
      <c r="N937" s="158"/>
      <c r="P937" s="20"/>
      <c r="Q937" s="20"/>
    </row>
    <row r="938">
      <c r="B938" s="158"/>
      <c r="D938" s="158"/>
      <c r="F938" s="158"/>
      <c r="H938" s="158"/>
      <c r="J938" s="158"/>
      <c r="L938" s="158"/>
      <c r="N938" s="158"/>
      <c r="P938" s="20"/>
      <c r="Q938" s="20"/>
    </row>
    <row r="939">
      <c r="B939" s="158"/>
      <c r="D939" s="158"/>
      <c r="F939" s="158"/>
      <c r="H939" s="158"/>
      <c r="J939" s="158"/>
      <c r="L939" s="158"/>
      <c r="N939" s="158"/>
      <c r="P939" s="20"/>
      <c r="Q939" s="20"/>
    </row>
    <row r="940">
      <c r="B940" s="158"/>
      <c r="D940" s="158"/>
      <c r="F940" s="158"/>
      <c r="H940" s="158"/>
      <c r="J940" s="158"/>
      <c r="L940" s="158"/>
      <c r="N940" s="158"/>
      <c r="P940" s="20"/>
      <c r="Q940" s="20"/>
    </row>
    <row r="941">
      <c r="B941" s="158"/>
      <c r="D941" s="158"/>
      <c r="F941" s="158"/>
      <c r="H941" s="158"/>
      <c r="J941" s="158"/>
      <c r="L941" s="158"/>
      <c r="N941" s="158"/>
      <c r="P941" s="20"/>
      <c r="Q941" s="20"/>
    </row>
    <row r="942">
      <c r="B942" s="158"/>
      <c r="D942" s="158"/>
      <c r="F942" s="158"/>
      <c r="H942" s="158"/>
      <c r="J942" s="158"/>
      <c r="L942" s="158"/>
      <c r="N942" s="158"/>
      <c r="P942" s="20"/>
      <c r="Q942" s="20"/>
    </row>
    <row r="943">
      <c r="B943" s="158"/>
      <c r="D943" s="158"/>
      <c r="F943" s="158"/>
      <c r="H943" s="158"/>
      <c r="J943" s="158"/>
      <c r="L943" s="158"/>
      <c r="N943" s="158"/>
      <c r="P943" s="20"/>
      <c r="Q943" s="20"/>
    </row>
    <row r="944">
      <c r="B944" s="158"/>
      <c r="D944" s="158"/>
      <c r="F944" s="158"/>
      <c r="H944" s="158"/>
      <c r="J944" s="158"/>
      <c r="L944" s="158"/>
      <c r="N944" s="158"/>
      <c r="P944" s="20"/>
      <c r="Q944" s="20"/>
    </row>
    <row r="945">
      <c r="B945" s="158"/>
      <c r="D945" s="158"/>
      <c r="F945" s="158"/>
      <c r="H945" s="158"/>
      <c r="J945" s="158"/>
      <c r="L945" s="158"/>
      <c r="N945" s="158"/>
      <c r="P945" s="20"/>
      <c r="Q945" s="20"/>
    </row>
    <row r="946">
      <c r="B946" s="158"/>
      <c r="D946" s="158"/>
      <c r="F946" s="158"/>
      <c r="H946" s="158"/>
      <c r="J946" s="158"/>
      <c r="L946" s="158"/>
      <c r="N946" s="158"/>
      <c r="P946" s="20"/>
      <c r="Q946" s="20"/>
    </row>
    <row r="947">
      <c r="B947" s="158"/>
      <c r="D947" s="158"/>
      <c r="F947" s="158"/>
      <c r="H947" s="158"/>
      <c r="J947" s="158"/>
      <c r="L947" s="158"/>
      <c r="N947" s="158"/>
      <c r="P947" s="20"/>
      <c r="Q947" s="20"/>
    </row>
    <row r="948">
      <c r="B948" s="158"/>
      <c r="D948" s="158"/>
      <c r="F948" s="158"/>
      <c r="H948" s="158"/>
      <c r="J948" s="158"/>
      <c r="L948" s="158"/>
      <c r="N948" s="158"/>
      <c r="P948" s="20"/>
      <c r="Q948" s="20"/>
    </row>
    <row r="949">
      <c r="B949" s="158"/>
      <c r="D949" s="158"/>
      <c r="F949" s="158"/>
      <c r="H949" s="158"/>
      <c r="J949" s="158"/>
      <c r="L949" s="158"/>
      <c r="N949" s="158"/>
      <c r="P949" s="20"/>
      <c r="Q949" s="20"/>
    </row>
    <row r="950">
      <c r="B950" s="158"/>
      <c r="D950" s="158"/>
      <c r="F950" s="158"/>
      <c r="H950" s="158"/>
      <c r="J950" s="158"/>
      <c r="L950" s="158"/>
      <c r="N950" s="158"/>
      <c r="P950" s="20"/>
      <c r="Q950" s="20"/>
    </row>
    <row r="951">
      <c r="B951" s="158"/>
      <c r="D951" s="158"/>
      <c r="F951" s="158"/>
      <c r="H951" s="158"/>
      <c r="J951" s="158"/>
      <c r="L951" s="158"/>
      <c r="N951" s="158"/>
      <c r="P951" s="20"/>
      <c r="Q951" s="20"/>
    </row>
    <row r="952">
      <c r="B952" s="158"/>
      <c r="D952" s="158"/>
      <c r="F952" s="158"/>
      <c r="H952" s="158"/>
      <c r="J952" s="158"/>
      <c r="L952" s="158"/>
      <c r="N952" s="158"/>
      <c r="P952" s="20"/>
      <c r="Q952" s="20"/>
    </row>
    <row r="953">
      <c r="B953" s="158"/>
      <c r="D953" s="158"/>
      <c r="F953" s="158"/>
      <c r="H953" s="158"/>
      <c r="J953" s="158"/>
      <c r="L953" s="158"/>
      <c r="N953" s="158"/>
      <c r="P953" s="20"/>
      <c r="Q953" s="20"/>
    </row>
    <row r="954">
      <c r="B954" s="158"/>
      <c r="D954" s="158"/>
      <c r="F954" s="158"/>
      <c r="H954" s="158"/>
      <c r="J954" s="158"/>
      <c r="L954" s="158"/>
      <c r="N954" s="158"/>
      <c r="P954" s="20"/>
      <c r="Q954" s="20"/>
    </row>
    <row r="955">
      <c r="B955" s="158"/>
      <c r="D955" s="158"/>
      <c r="F955" s="158"/>
      <c r="H955" s="158"/>
      <c r="J955" s="158"/>
      <c r="L955" s="158"/>
      <c r="N955" s="158"/>
      <c r="P955" s="20"/>
      <c r="Q955" s="20"/>
    </row>
    <row r="956">
      <c r="B956" s="158"/>
      <c r="D956" s="158"/>
      <c r="F956" s="158"/>
      <c r="H956" s="158"/>
      <c r="J956" s="158"/>
      <c r="L956" s="158"/>
      <c r="N956" s="158"/>
      <c r="P956" s="20"/>
      <c r="Q956" s="20"/>
    </row>
    <row r="957">
      <c r="B957" s="158"/>
      <c r="D957" s="158"/>
      <c r="F957" s="158"/>
      <c r="H957" s="158"/>
      <c r="J957" s="158"/>
      <c r="L957" s="158"/>
      <c r="N957" s="158"/>
      <c r="P957" s="20"/>
      <c r="Q957" s="20"/>
    </row>
    <row r="958">
      <c r="B958" s="158"/>
      <c r="D958" s="158"/>
      <c r="F958" s="158"/>
      <c r="H958" s="158"/>
      <c r="J958" s="158"/>
      <c r="L958" s="158"/>
      <c r="N958" s="158"/>
      <c r="P958" s="20"/>
      <c r="Q958" s="20"/>
    </row>
    <row r="959">
      <c r="B959" s="158"/>
      <c r="D959" s="158"/>
      <c r="F959" s="158"/>
      <c r="H959" s="158"/>
      <c r="J959" s="158"/>
      <c r="L959" s="158"/>
      <c r="N959" s="158"/>
      <c r="P959" s="20"/>
      <c r="Q959" s="20"/>
    </row>
    <row r="960">
      <c r="B960" s="158"/>
      <c r="D960" s="158"/>
      <c r="F960" s="158"/>
      <c r="H960" s="158"/>
      <c r="J960" s="158"/>
      <c r="L960" s="158"/>
      <c r="N960" s="158"/>
      <c r="P960" s="20"/>
      <c r="Q960" s="20"/>
    </row>
    <row r="961">
      <c r="B961" s="158"/>
      <c r="D961" s="158"/>
      <c r="F961" s="158"/>
      <c r="H961" s="158"/>
      <c r="J961" s="158"/>
      <c r="L961" s="158"/>
      <c r="N961" s="158"/>
      <c r="P961" s="20"/>
      <c r="Q961" s="20"/>
    </row>
    <row r="962">
      <c r="B962" s="158"/>
      <c r="D962" s="158"/>
      <c r="F962" s="158"/>
      <c r="H962" s="158"/>
      <c r="J962" s="158"/>
      <c r="L962" s="158"/>
      <c r="N962" s="158"/>
      <c r="P962" s="20"/>
      <c r="Q962" s="20"/>
    </row>
    <row r="963">
      <c r="B963" s="158"/>
      <c r="D963" s="158"/>
      <c r="F963" s="158"/>
      <c r="H963" s="158"/>
      <c r="J963" s="158"/>
      <c r="L963" s="158"/>
      <c r="N963" s="158"/>
      <c r="P963" s="20"/>
      <c r="Q963" s="20"/>
    </row>
    <row r="964">
      <c r="B964" s="158"/>
      <c r="D964" s="158"/>
      <c r="F964" s="158"/>
      <c r="H964" s="158"/>
      <c r="J964" s="158"/>
      <c r="L964" s="158"/>
      <c r="N964" s="158"/>
      <c r="P964" s="20"/>
      <c r="Q964" s="20"/>
    </row>
    <row r="965">
      <c r="B965" s="158"/>
      <c r="D965" s="158"/>
      <c r="F965" s="158"/>
      <c r="H965" s="158"/>
      <c r="J965" s="158"/>
      <c r="L965" s="158"/>
      <c r="N965" s="158"/>
      <c r="P965" s="20"/>
      <c r="Q965" s="20"/>
    </row>
    <row r="966">
      <c r="B966" s="158"/>
      <c r="D966" s="158"/>
      <c r="F966" s="158"/>
      <c r="H966" s="158"/>
      <c r="J966" s="158"/>
      <c r="L966" s="158"/>
      <c r="N966" s="158"/>
      <c r="P966" s="20"/>
      <c r="Q966" s="20"/>
    </row>
    <row r="967">
      <c r="B967" s="158"/>
      <c r="D967" s="158"/>
      <c r="F967" s="158"/>
      <c r="H967" s="158"/>
      <c r="J967" s="158"/>
      <c r="L967" s="158"/>
      <c r="N967" s="158"/>
      <c r="P967" s="20"/>
      <c r="Q967" s="20"/>
    </row>
    <row r="968">
      <c r="B968" s="158"/>
      <c r="D968" s="158"/>
      <c r="F968" s="158"/>
      <c r="H968" s="158"/>
      <c r="J968" s="158"/>
      <c r="L968" s="158"/>
      <c r="N968" s="158"/>
      <c r="P968" s="20"/>
      <c r="Q968" s="20"/>
    </row>
    <row r="969">
      <c r="B969" s="158"/>
      <c r="D969" s="158"/>
      <c r="F969" s="158"/>
      <c r="H969" s="158"/>
      <c r="J969" s="158"/>
      <c r="L969" s="158"/>
      <c r="N969" s="158"/>
      <c r="P969" s="20"/>
      <c r="Q969" s="20"/>
    </row>
    <row r="970">
      <c r="B970" s="158"/>
      <c r="D970" s="158"/>
      <c r="F970" s="158"/>
      <c r="H970" s="158"/>
      <c r="J970" s="158"/>
      <c r="L970" s="158"/>
      <c r="N970" s="158"/>
      <c r="P970" s="20"/>
      <c r="Q970" s="20"/>
    </row>
    <row r="971">
      <c r="B971" s="158"/>
      <c r="D971" s="158"/>
      <c r="F971" s="158"/>
      <c r="H971" s="158"/>
      <c r="J971" s="158"/>
      <c r="L971" s="158"/>
      <c r="N971" s="158"/>
      <c r="P971" s="20"/>
      <c r="Q971" s="20"/>
    </row>
    <row r="972">
      <c r="B972" s="158"/>
      <c r="D972" s="158"/>
      <c r="F972" s="158"/>
      <c r="H972" s="158"/>
      <c r="J972" s="158"/>
      <c r="L972" s="158"/>
      <c r="N972" s="158"/>
      <c r="P972" s="20"/>
      <c r="Q972" s="20"/>
    </row>
    <row r="973">
      <c r="B973" s="158"/>
      <c r="D973" s="158"/>
      <c r="F973" s="158"/>
      <c r="H973" s="158"/>
      <c r="J973" s="158"/>
      <c r="L973" s="158"/>
      <c r="N973" s="158"/>
      <c r="P973" s="20"/>
      <c r="Q973" s="20"/>
    </row>
    <row r="974">
      <c r="B974" s="158"/>
      <c r="D974" s="158"/>
      <c r="F974" s="158"/>
      <c r="H974" s="158"/>
      <c r="J974" s="158"/>
      <c r="L974" s="158"/>
      <c r="N974" s="158"/>
      <c r="P974" s="20"/>
      <c r="Q974" s="20"/>
    </row>
    <row r="975">
      <c r="B975" s="158"/>
      <c r="D975" s="158"/>
      <c r="F975" s="158"/>
      <c r="H975" s="158"/>
      <c r="J975" s="158"/>
      <c r="L975" s="158"/>
      <c r="N975" s="158"/>
      <c r="P975" s="20"/>
      <c r="Q975" s="20"/>
    </row>
    <row r="976">
      <c r="B976" s="158"/>
      <c r="D976" s="158"/>
      <c r="F976" s="158"/>
      <c r="H976" s="158"/>
      <c r="J976" s="158"/>
      <c r="L976" s="158"/>
      <c r="N976" s="158"/>
      <c r="P976" s="20"/>
      <c r="Q976" s="20"/>
    </row>
    <row r="977">
      <c r="B977" s="158"/>
      <c r="D977" s="158"/>
      <c r="F977" s="158"/>
      <c r="H977" s="158"/>
      <c r="J977" s="158"/>
      <c r="L977" s="158"/>
      <c r="N977" s="158"/>
      <c r="P977" s="20"/>
      <c r="Q977" s="20"/>
    </row>
    <row r="978">
      <c r="B978" s="158"/>
      <c r="D978" s="158"/>
      <c r="F978" s="158"/>
      <c r="H978" s="158"/>
      <c r="J978" s="158"/>
      <c r="L978" s="158"/>
      <c r="N978" s="158"/>
      <c r="P978" s="20"/>
      <c r="Q978" s="20"/>
    </row>
    <row r="979">
      <c r="B979" s="158"/>
      <c r="D979" s="158"/>
      <c r="F979" s="158"/>
      <c r="H979" s="158"/>
      <c r="J979" s="158"/>
      <c r="L979" s="158"/>
      <c r="N979" s="158"/>
      <c r="P979" s="20"/>
      <c r="Q979" s="20"/>
    </row>
    <row r="980">
      <c r="B980" s="158"/>
      <c r="D980" s="158"/>
      <c r="F980" s="158"/>
      <c r="H980" s="158"/>
      <c r="J980" s="158"/>
      <c r="L980" s="158"/>
      <c r="N980" s="158"/>
      <c r="P980" s="20"/>
      <c r="Q980" s="20"/>
    </row>
    <row r="981">
      <c r="B981" s="158"/>
      <c r="D981" s="158"/>
      <c r="F981" s="158"/>
      <c r="H981" s="158"/>
      <c r="J981" s="158"/>
      <c r="L981" s="158"/>
      <c r="N981" s="158"/>
      <c r="P981" s="20"/>
      <c r="Q981" s="20"/>
    </row>
    <row r="982">
      <c r="B982" s="158"/>
      <c r="D982" s="158"/>
      <c r="F982" s="158"/>
      <c r="H982" s="158"/>
      <c r="J982" s="158"/>
      <c r="L982" s="158"/>
      <c r="N982" s="158"/>
      <c r="P982" s="20"/>
      <c r="Q982" s="20"/>
    </row>
    <row r="983">
      <c r="B983" s="158"/>
      <c r="D983" s="158"/>
      <c r="F983" s="158"/>
      <c r="H983" s="158"/>
      <c r="J983" s="158"/>
      <c r="L983" s="158"/>
      <c r="N983" s="158"/>
      <c r="P983" s="20"/>
      <c r="Q983" s="20"/>
    </row>
    <row r="984">
      <c r="B984" s="158"/>
      <c r="D984" s="158"/>
      <c r="F984" s="158"/>
      <c r="H984" s="158"/>
      <c r="J984" s="158"/>
      <c r="L984" s="158"/>
      <c r="N984" s="158"/>
      <c r="P984" s="20"/>
      <c r="Q984" s="20"/>
    </row>
    <row r="985">
      <c r="B985" s="158"/>
      <c r="D985" s="158"/>
      <c r="F985" s="158"/>
      <c r="H985" s="158"/>
      <c r="J985" s="158"/>
      <c r="L985" s="158"/>
      <c r="N985" s="158"/>
      <c r="P985" s="20"/>
      <c r="Q985" s="20"/>
    </row>
    <row r="986">
      <c r="B986" s="158"/>
      <c r="D986" s="158"/>
      <c r="F986" s="158"/>
      <c r="H986" s="158"/>
      <c r="J986" s="158"/>
      <c r="L986" s="158"/>
      <c r="N986" s="158"/>
      <c r="P986" s="20"/>
      <c r="Q986" s="20"/>
    </row>
    <row r="987">
      <c r="B987" s="158"/>
      <c r="D987" s="158"/>
      <c r="F987" s="158"/>
      <c r="H987" s="158"/>
      <c r="J987" s="158"/>
      <c r="L987" s="158"/>
      <c r="N987" s="158"/>
      <c r="P987" s="20"/>
      <c r="Q987" s="20"/>
    </row>
    <row r="988">
      <c r="B988" s="158"/>
      <c r="D988" s="158"/>
      <c r="F988" s="158"/>
      <c r="H988" s="158"/>
      <c r="J988" s="158"/>
      <c r="L988" s="158"/>
      <c r="N988" s="158"/>
      <c r="P988" s="20"/>
      <c r="Q988" s="20"/>
    </row>
    <row r="989">
      <c r="B989" s="158"/>
      <c r="D989" s="158"/>
      <c r="F989" s="158"/>
      <c r="H989" s="158"/>
      <c r="J989" s="158"/>
      <c r="L989" s="158"/>
      <c r="N989" s="158"/>
      <c r="P989" s="20"/>
      <c r="Q989" s="20"/>
    </row>
    <row r="990">
      <c r="B990" s="158"/>
      <c r="D990" s="158"/>
      <c r="F990" s="158"/>
      <c r="H990" s="158"/>
      <c r="J990" s="158"/>
      <c r="L990" s="158"/>
      <c r="N990" s="158"/>
      <c r="P990" s="20"/>
      <c r="Q990" s="20"/>
    </row>
    <row r="991">
      <c r="B991" s="158"/>
      <c r="D991" s="158"/>
      <c r="F991" s="158"/>
      <c r="H991" s="158"/>
      <c r="J991" s="158"/>
      <c r="L991" s="158"/>
      <c r="N991" s="158"/>
      <c r="P991" s="20"/>
      <c r="Q991" s="20"/>
    </row>
    <row r="992">
      <c r="B992" s="158"/>
      <c r="D992" s="158"/>
      <c r="F992" s="158"/>
      <c r="H992" s="158"/>
      <c r="J992" s="158"/>
      <c r="L992" s="158"/>
      <c r="N992" s="158"/>
      <c r="P992" s="20"/>
      <c r="Q992" s="20"/>
    </row>
    <row r="993">
      <c r="B993" s="158"/>
      <c r="D993" s="158"/>
      <c r="F993" s="158"/>
      <c r="H993" s="158"/>
      <c r="J993" s="158"/>
      <c r="L993" s="158"/>
      <c r="N993" s="158"/>
      <c r="P993" s="20"/>
      <c r="Q993" s="20"/>
    </row>
    <row r="994">
      <c r="B994" s="158"/>
      <c r="D994" s="158"/>
      <c r="F994" s="158"/>
      <c r="H994" s="158"/>
      <c r="J994" s="158"/>
      <c r="L994" s="158"/>
      <c r="N994" s="158"/>
      <c r="P994" s="20"/>
      <c r="Q994" s="20"/>
    </row>
    <row r="995">
      <c r="B995" s="158"/>
      <c r="D995" s="158"/>
      <c r="F995" s="158"/>
      <c r="H995" s="158"/>
      <c r="J995" s="158"/>
      <c r="L995" s="158"/>
      <c r="N995" s="158"/>
      <c r="P995" s="20"/>
      <c r="Q995" s="20"/>
    </row>
    <row r="996">
      <c r="B996" s="158"/>
      <c r="D996" s="158"/>
      <c r="F996" s="158"/>
      <c r="H996" s="158"/>
      <c r="J996" s="158"/>
      <c r="L996" s="158"/>
      <c r="N996" s="158"/>
      <c r="P996" s="20"/>
      <c r="Q996" s="20"/>
    </row>
    <row r="997">
      <c r="B997" s="158"/>
      <c r="D997" s="158"/>
      <c r="F997" s="158"/>
      <c r="H997" s="158"/>
      <c r="J997" s="158"/>
      <c r="L997" s="158"/>
      <c r="N997" s="158"/>
      <c r="P997" s="20"/>
      <c r="Q997" s="20"/>
    </row>
    <row r="998">
      <c r="B998" s="158"/>
      <c r="D998" s="158"/>
      <c r="F998" s="158"/>
      <c r="H998" s="158"/>
      <c r="J998" s="158"/>
      <c r="L998" s="158"/>
      <c r="N998" s="158"/>
      <c r="P998" s="20"/>
      <c r="Q998" s="20"/>
    </row>
    <row r="999">
      <c r="B999" s="158"/>
      <c r="D999" s="158"/>
      <c r="F999" s="158"/>
      <c r="H999" s="158"/>
      <c r="J999" s="158"/>
      <c r="L999" s="158"/>
      <c r="N999" s="158"/>
      <c r="P999" s="20"/>
      <c r="Q999" s="20"/>
    </row>
    <row r="1000">
      <c r="B1000" s="158"/>
      <c r="D1000" s="158"/>
      <c r="F1000" s="158"/>
      <c r="H1000" s="158"/>
      <c r="J1000" s="158"/>
      <c r="L1000" s="158"/>
      <c r="N1000" s="158"/>
      <c r="P1000" s="20"/>
      <c r="Q1000" s="20"/>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5"/>
    <col customWidth="1" min="2" max="2" width="21.25"/>
    <col customWidth="1" min="3" max="3" width="15.5"/>
    <col customWidth="1" min="5" max="5" width="23.25"/>
    <col customWidth="1" min="6" max="6" width="26.88"/>
    <col customWidth="1" min="8" max="8" width="21.5"/>
    <col customWidth="1" min="11" max="11" width="14.0"/>
    <col customWidth="1" min="12" max="12" width="16.88"/>
    <col customWidth="1" min="13" max="13" width="22.38"/>
    <col customWidth="1" min="14" max="14" width="34.13"/>
    <col customWidth="1" min="15" max="15" width="99.25"/>
  </cols>
  <sheetData>
    <row r="1">
      <c r="A1" s="38" t="s">
        <v>21</v>
      </c>
      <c r="B1" s="39" t="s">
        <v>22</v>
      </c>
      <c r="C1" s="40" t="s">
        <v>23</v>
      </c>
      <c r="D1" s="39" t="s">
        <v>24</v>
      </c>
      <c r="E1" s="40" t="s">
        <v>25</v>
      </c>
      <c r="F1" s="39" t="s">
        <v>26</v>
      </c>
      <c r="G1" s="40" t="s">
        <v>27</v>
      </c>
      <c r="H1" s="41" t="s">
        <v>28</v>
      </c>
      <c r="I1" s="42" t="s">
        <v>29</v>
      </c>
      <c r="J1" s="43" t="s">
        <v>30</v>
      </c>
      <c r="K1" s="42" t="s">
        <v>31</v>
      </c>
      <c r="L1" s="39" t="s">
        <v>30</v>
      </c>
      <c r="M1" s="40" t="s">
        <v>32</v>
      </c>
      <c r="N1" s="39" t="s">
        <v>33</v>
      </c>
      <c r="O1" s="40" t="s">
        <v>34</v>
      </c>
      <c r="P1" s="44" t="s">
        <v>35</v>
      </c>
      <c r="Q1" s="45">
        <f>SUM(H2:H27)</f>
        <v>1982.62</v>
      </c>
    </row>
    <row r="2">
      <c r="A2" s="132" t="s">
        <v>164</v>
      </c>
      <c r="B2" s="117"/>
      <c r="C2" s="182"/>
      <c r="D2" s="52">
        <v>1.0</v>
      </c>
      <c r="E2" s="46" t="s">
        <v>142</v>
      </c>
      <c r="F2" s="137" t="s">
        <v>165</v>
      </c>
      <c r="G2" s="123">
        <v>191.88</v>
      </c>
      <c r="H2" s="51">
        <f t="shared" ref="H2:H3" si="1">G2*D2</f>
        <v>191.88</v>
      </c>
      <c r="I2" s="49" t="s">
        <v>166</v>
      </c>
      <c r="J2" s="49" t="s">
        <v>39</v>
      </c>
      <c r="K2" s="52" t="s">
        <v>166</v>
      </c>
      <c r="L2" s="53" t="s">
        <v>39</v>
      </c>
      <c r="M2" s="61" t="s">
        <v>3</v>
      </c>
      <c r="N2" s="169"/>
      <c r="O2" s="181"/>
      <c r="P2" s="19"/>
      <c r="Q2" s="1"/>
      <c r="R2" s="1"/>
      <c r="S2" s="1"/>
      <c r="T2" s="1"/>
      <c r="U2" s="1"/>
      <c r="V2" s="1"/>
      <c r="W2" s="1"/>
      <c r="X2" s="1"/>
      <c r="Y2" s="1"/>
      <c r="Z2" s="1"/>
    </row>
    <row r="3">
      <c r="A3" s="137" t="s">
        <v>167</v>
      </c>
      <c r="B3" s="149"/>
      <c r="C3" s="76"/>
      <c r="D3" s="48">
        <v>1.0</v>
      </c>
      <c r="E3" s="183" t="s">
        <v>168</v>
      </c>
      <c r="F3" s="137" t="s">
        <v>169</v>
      </c>
      <c r="G3" s="50">
        <v>950.23</v>
      </c>
      <c r="H3" s="51">
        <f t="shared" si="1"/>
        <v>950.23</v>
      </c>
      <c r="I3" s="49" t="s">
        <v>166</v>
      </c>
      <c r="J3" s="49" t="s">
        <v>39</v>
      </c>
      <c r="K3" s="52" t="s">
        <v>166</v>
      </c>
      <c r="L3" s="53" t="s">
        <v>39</v>
      </c>
      <c r="M3" s="61" t="s">
        <v>3</v>
      </c>
      <c r="N3" s="169"/>
      <c r="O3" s="181"/>
      <c r="P3" s="19"/>
      <c r="Q3" s="1"/>
      <c r="R3" s="1"/>
      <c r="S3" s="1"/>
      <c r="T3" s="1"/>
      <c r="U3" s="1"/>
      <c r="V3" s="1"/>
      <c r="W3" s="1"/>
      <c r="X3" s="1"/>
      <c r="Y3" s="1"/>
      <c r="Z3" s="1"/>
    </row>
    <row r="4">
      <c r="A4" s="96" t="s">
        <v>170</v>
      </c>
      <c r="B4" s="184"/>
      <c r="C4" s="91"/>
      <c r="D4" s="48">
        <v>1.0</v>
      </c>
      <c r="E4" s="137" t="s">
        <v>171</v>
      </c>
      <c r="F4" s="137" t="s">
        <v>171</v>
      </c>
      <c r="G4" s="127">
        <v>315.98</v>
      </c>
      <c r="H4" s="47">
        <v>315.98</v>
      </c>
      <c r="I4" s="48" t="s">
        <v>166</v>
      </c>
      <c r="J4" s="49" t="s">
        <v>39</v>
      </c>
      <c r="K4" s="48" t="s">
        <v>172</v>
      </c>
      <c r="L4" s="49" t="s">
        <v>39</v>
      </c>
      <c r="M4" s="61" t="s">
        <v>3</v>
      </c>
      <c r="N4" s="169"/>
      <c r="O4" s="181"/>
      <c r="P4" s="19"/>
      <c r="Q4" s="1"/>
      <c r="R4" s="1"/>
      <c r="S4" s="1"/>
      <c r="T4" s="1"/>
      <c r="U4" s="1"/>
      <c r="V4" s="1"/>
      <c r="W4" s="1"/>
      <c r="X4" s="1"/>
      <c r="Y4" s="1"/>
      <c r="Z4" s="1"/>
    </row>
    <row r="5">
      <c r="A5" s="96" t="s">
        <v>173</v>
      </c>
      <c r="B5" s="128"/>
      <c r="C5" s="149"/>
      <c r="D5" s="48">
        <v>1.0</v>
      </c>
      <c r="E5" s="185" t="s">
        <v>171</v>
      </c>
      <c r="F5" s="137" t="s">
        <v>171</v>
      </c>
      <c r="G5" s="127">
        <v>51.83</v>
      </c>
      <c r="H5" s="74">
        <f t="shared" ref="H5:H33" si="2">G5*D5</f>
        <v>51.83</v>
      </c>
      <c r="I5" s="48" t="s">
        <v>174</v>
      </c>
      <c r="J5" s="49" t="s">
        <v>39</v>
      </c>
      <c r="K5" s="48" t="s">
        <v>174</v>
      </c>
      <c r="L5" s="49" t="s">
        <v>39</v>
      </c>
      <c r="M5" s="61" t="s">
        <v>3</v>
      </c>
      <c r="N5" s="169"/>
      <c r="O5" s="181"/>
      <c r="P5" s="19"/>
      <c r="Q5" s="1"/>
      <c r="R5" s="1"/>
      <c r="S5" s="1"/>
      <c r="T5" s="1"/>
      <c r="U5" s="1"/>
      <c r="V5" s="1"/>
      <c r="W5" s="1"/>
      <c r="X5" s="1"/>
      <c r="Y5" s="1"/>
      <c r="Z5" s="1"/>
    </row>
    <row r="6">
      <c r="A6" s="155" t="s">
        <v>175</v>
      </c>
      <c r="B6" s="186">
        <v>1.6635042E7</v>
      </c>
      <c r="C6" s="187">
        <v>20.0</v>
      </c>
      <c r="D6" s="83">
        <v>1.0</v>
      </c>
      <c r="E6" s="188" t="s">
        <v>176</v>
      </c>
      <c r="F6" s="188" t="s">
        <v>125</v>
      </c>
      <c r="G6" s="189">
        <v>38.0</v>
      </c>
      <c r="H6" s="51">
        <f t="shared" si="2"/>
        <v>38</v>
      </c>
      <c r="I6" s="116" t="s">
        <v>177</v>
      </c>
      <c r="J6" s="83" t="s">
        <v>39</v>
      </c>
      <c r="K6" s="190" t="s">
        <v>178</v>
      </c>
      <c r="L6" s="49" t="s">
        <v>39</v>
      </c>
      <c r="M6" s="191" t="s">
        <v>179</v>
      </c>
      <c r="N6" s="181"/>
      <c r="O6" s="181"/>
      <c r="P6" s="19"/>
      <c r="Q6" s="1"/>
      <c r="R6" s="1"/>
      <c r="S6" s="1"/>
      <c r="T6" s="1"/>
      <c r="U6" s="1"/>
      <c r="V6" s="1"/>
      <c r="W6" s="1"/>
      <c r="X6" s="1"/>
      <c r="Y6" s="1"/>
      <c r="Z6" s="1"/>
    </row>
    <row r="7">
      <c r="A7" s="57" t="s">
        <v>180</v>
      </c>
      <c r="B7" s="58" t="s">
        <v>181</v>
      </c>
      <c r="C7" s="59">
        <v>1.0</v>
      </c>
      <c r="D7" s="93">
        <v>4.0</v>
      </c>
      <c r="E7" s="192" t="s">
        <v>44</v>
      </c>
      <c r="F7" s="55" t="s">
        <v>45</v>
      </c>
      <c r="G7" s="50">
        <v>18.32</v>
      </c>
      <c r="H7" s="128">
        <f t="shared" si="2"/>
        <v>73.28</v>
      </c>
      <c r="I7" s="48" t="s">
        <v>182</v>
      </c>
      <c r="J7" s="83" t="s">
        <v>39</v>
      </c>
      <c r="K7" s="193" t="s">
        <v>183</v>
      </c>
      <c r="L7" s="194"/>
      <c r="M7" s="61" t="s">
        <v>3</v>
      </c>
      <c r="N7" s="169"/>
      <c r="O7" s="181"/>
      <c r="P7" s="19"/>
      <c r="Q7" s="1"/>
      <c r="R7" s="1"/>
      <c r="S7" s="1"/>
      <c r="T7" s="1"/>
      <c r="U7" s="1"/>
      <c r="V7" s="1"/>
      <c r="W7" s="1"/>
      <c r="X7" s="1"/>
      <c r="Y7" s="1"/>
      <c r="Z7" s="1"/>
    </row>
    <row r="8">
      <c r="A8" s="170" t="s">
        <v>184</v>
      </c>
      <c r="B8" s="51" t="s">
        <v>185</v>
      </c>
      <c r="C8" s="149">
        <v>200.0</v>
      </c>
      <c r="D8" s="72">
        <v>2.0</v>
      </c>
      <c r="E8" s="82" t="s">
        <v>186</v>
      </c>
      <c r="F8" s="169" t="s">
        <v>77</v>
      </c>
      <c r="G8" s="195">
        <v>32.61</v>
      </c>
      <c r="H8" s="128">
        <f t="shared" si="2"/>
        <v>65.22</v>
      </c>
      <c r="I8" s="48" t="s">
        <v>182</v>
      </c>
      <c r="J8" s="83" t="s">
        <v>39</v>
      </c>
      <c r="K8" s="190" t="s">
        <v>187</v>
      </c>
      <c r="L8" s="49" t="s">
        <v>39</v>
      </c>
      <c r="M8" s="61" t="s">
        <v>3</v>
      </c>
      <c r="N8" s="169"/>
      <c r="O8" s="181"/>
      <c r="P8" s="19"/>
      <c r="Q8" s="1"/>
      <c r="R8" s="1"/>
      <c r="S8" s="1"/>
      <c r="T8" s="1"/>
      <c r="U8" s="1"/>
      <c r="V8" s="1"/>
      <c r="W8" s="1"/>
      <c r="X8" s="1"/>
      <c r="Y8" s="1"/>
      <c r="Z8" s="1"/>
    </row>
    <row r="9">
      <c r="A9" s="170" t="s">
        <v>188</v>
      </c>
      <c r="B9" s="51" t="s">
        <v>189</v>
      </c>
      <c r="C9" s="149" t="s">
        <v>190</v>
      </c>
      <c r="D9" s="72">
        <v>4.0</v>
      </c>
      <c r="E9" s="169" t="s">
        <v>77</v>
      </c>
      <c r="F9" s="172" t="s">
        <v>77</v>
      </c>
      <c r="G9" s="47">
        <v>12.6</v>
      </c>
      <c r="H9" s="128">
        <f t="shared" si="2"/>
        <v>50.4</v>
      </c>
      <c r="I9" s="48" t="s">
        <v>182</v>
      </c>
      <c r="J9" s="83" t="s">
        <v>39</v>
      </c>
      <c r="K9" s="190" t="s">
        <v>191</v>
      </c>
      <c r="L9" s="83" t="s">
        <v>39</v>
      </c>
      <c r="M9" s="61" t="s">
        <v>3</v>
      </c>
      <c r="N9" s="169"/>
      <c r="O9" s="181"/>
      <c r="P9" s="19"/>
      <c r="Q9" s="1"/>
      <c r="R9" s="1"/>
      <c r="S9" s="1"/>
      <c r="T9" s="1"/>
      <c r="U9" s="1"/>
      <c r="V9" s="1"/>
      <c r="W9" s="1"/>
      <c r="X9" s="1"/>
      <c r="Y9" s="1"/>
      <c r="Z9" s="1"/>
    </row>
    <row r="10">
      <c r="A10" s="170" t="s">
        <v>192</v>
      </c>
      <c r="B10" s="51" t="s">
        <v>193</v>
      </c>
      <c r="C10" s="149" t="s">
        <v>194</v>
      </c>
      <c r="D10" s="72">
        <v>4.0</v>
      </c>
      <c r="E10" s="169" t="s">
        <v>77</v>
      </c>
      <c r="F10" s="172" t="s">
        <v>77</v>
      </c>
      <c r="G10" s="47">
        <v>16.4</v>
      </c>
      <c r="H10" s="128">
        <f t="shared" si="2"/>
        <v>65.6</v>
      </c>
      <c r="I10" s="48" t="s">
        <v>182</v>
      </c>
      <c r="J10" s="83" t="s">
        <v>39</v>
      </c>
      <c r="K10" s="190" t="s">
        <v>191</v>
      </c>
      <c r="L10" s="83" t="s">
        <v>39</v>
      </c>
      <c r="M10" s="61" t="s">
        <v>3</v>
      </c>
      <c r="N10" s="196"/>
      <c r="O10" s="181"/>
      <c r="P10" s="170"/>
      <c r="Q10" s="170"/>
      <c r="R10" s="170"/>
      <c r="S10" s="170"/>
      <c r="T10" s="170"/>
      <c r="U10" s="170"/>
      <c r="V10" s="170"/>
      <c r="W10" s="170"/>
      <c r="X10" s="170"/>
      <c r="Y10" s="170"/>
      <c r="Z10" s="170"/>
    </row>
    <row r="11">
      <c r="A11" s="16" t="s">
        <v>195</v>
      </c>
      <c r="B11" s="169"/>
      <c r="C11" s="48">
        <v>1.0</v>
      </c>
      <c r="D11" s="49">
        <v>1.0</v>
      </c>
      <c r="E11" s="137" t="s">
        <v>171</v>
      </c>
      <c r="F11" s="137" t="s">
        <v>171</v>
      </c>
      <c r="G11" s="50">
        <v>39.7</v>
      </c>
      <c r="H11" s="51">
        <f t="shared" si="2"/>
        <v>39.7</v>
      </c>
      <c r="I11" s="48" t="s">
        <v>196</v>
      </c>
      <c r="J11" s="83" t="s">
        <v>39</v>
      </c>
      <c r="K11" s="48" t="s">
        <v>196</v>
      </c>
      <c r="L11" s="83" t="s">
        <v>39</v>
      </c>
      <c r="M11" s="61" t="s">
        <v>3</v>
      </c>
      <c r="N11" s="169"/>
      <c r="O11" s="16"/>
      <c r="P11" s="19"/>
      <c r="Q11" s="1"/>
      <c r="R11" s="1"/>
      <c r="S11" s="1"/>
      <c r="T11" s="1"/>
      <c r="U11" s="1"/>
      <c r="V11" s="1"/>
      <c r="W11" s="1"/>
      <c r="X11" s="1"/>
      <c r="Y11" s="1"/>
      <c r="Z11" s="1"/>
    </row>
    <row r="12">
      <c r="A12" s="16" t="s">
        <v>197</v>
      </c>
      <c r="B12" s="22" t="s">
        <v>198</v>
      </c>
      <c r="C12" s="48">
        <v>12.0</v>
      </c>
      <c r="D12" s="49">
        <v>1.0</v>
      </c>
      <c r="E12" s="137" t="s">
        <v>77</v>
      </c>
      <c r="F12" s="96" t="s">
        <v>77</v>
      </c>
      <c r="G12" s="137">
        <v>15.5</v>
      </c>
      <c r="H12" s="51">
        <f t="shared" si="2"/>
        <v>15.5</v>
      </c>
      <c r="I12" s="48" t="s">
        <v>199</v>
      </c>
      <c r="J12" s="83" t="s">
        <v>39</v>
      </c>
      <c r="K12" s="52" t="s">
        <v>200</v>
      </c>
      <c r="L12" s="83" t="s">
        <v>39</v>
      </c>
      <c r="M12" s="61" t="s">
        <v>3</v>
      </c>
      <c r="N12" s="96"/>
      <c r="O12" s="197" t="s">
        <v>201</v>
      </c>
      <c r="P12" s="19"/>
      <c r="Q12" s="1"/>
      <c r="R12" s="1"/>
      <c r="S12" s="1"/>
      <c r="T12" s="1"/>
      <c r="U12" s="1"/>
      <c r="V12" s="1"/>
      <c r="W12" s="1"/>
      <c r="X12" s="1"/>
      <c r="Y12" s="1"/>
      <c r="Z12" s="1"/>
    </row>
    <row r="13">
      <c r="A13" s="198" t="s">
        <v>202</v>
      </c>
      <c r="B13" s="199"/>
      <c r="C13" s="200">
        <v>1.0</v>
      </c>
      <c r="D13" s="200">
        <v>1.0</v>
      </c>
      <c r="E13" s="201" t="s">
        <v>203</v>
      </c>
      <c r="F13" s="202" t="s">
        <v>203</v>
      </c>
      <c r="G13" s="203">
        <v>125.0</v>
      </c>
      <c r="H13" s="51">
        <f t="shared" si="2"/>
        <v>125</v>
      </c>
      <c r="I13" s="52" t="s">
        <v>204</v>
      </c>
      <c r="J13" s="83" t="s">
        <v>39</v>
      </c>
      <c r="K13" s="52" t="s">
        <v>205</v>
      </c>
      <c r="L13" s="53"/>
      <c r="M13" s="46" t="s">
        <v>179</v>
      </c>
      <c r="N13" s="16" t="s">
        <v>206</v>
      </c>
      <c r="O13" s="204" t="s">
        <v>207</v>
      </c>
      <c r="P13" s="205"/>
      <c r="Q13" s="152"/>
      <c r="R13" s="152"/>
      <c r="S13" s="152"/>
      <c r="T13" s="152"/>
      <c r="U13" s="152"/>
      <c r="V13" s="152"/>
      <c r="W13" s="152"/>
      <c r="X13" s="152"/>
      <c r="Y13" s="152"/>
      <c r="Z13" s="152"/>
    </row>
    <row r="14">
      <c r="A14" s="198"/>
      <c r="B14" s="199"/>
      <c r="C14" s="200"/>
      <c r="D14" s="200"/>
      <c r="E14" s="201"/>
      <c r="F14" s="202"/>
      <c r="G14" s="203"/>
      <c r="H14" s="74">
        <f t="shared" si="2"/>
        <v>0</v>
      </c>
      <c r="I14" s="48"/>
      <c r="J14" s="49"/>
      <c r="K14" s="52"/>
      <c r="L14" s="53"/>
      <c r="M14" s="52"/>
      <c r="N14" s="176"/>
      <c r="O14" s="206"/>
      <c r="P14" s="205"/>
      <c r="Q14" s="152"/>
      <c r="R14" s="152"/>
      <c r="S14" s="152"/>
      <c r="T14" s="152"/>
      <c r="U14" s="152"/>
      <c r="V14" s="152"/>
      <c r="W14" s="152"/>
      <c r="X14" s="152"/>
      <c r="Y14" s="152"/>
      <c r="Z14" s="152"/>
    </row>
    <row r="15">
      <c r="A15" s="16"/>
      <c r="B15" s="71"/>
      <c r="C15" s="48"/>
      <c r="D15" s="91"/>
      <c r="E15" s="137"/>
      <c r="F15" s="18"/>
      <c r="G15" s="137"/>
      <c r="H15" s="74">
        <f t="shared" si="2"/>
        <v>0</v>
      </c>
      <c r="I15" s="48"/>
      <c r="J15" s="49"/>
      <c r="K15" s="52"/>
      <c r="L15" s="53"/>
      <c r="M15" s="52"/>
      <c r="N15" s="16"/>
      <c r="O15" s="96"/>
      <c r="P15" s="1"/>
      <c r="Q15" s="1"/>
      <c r="R15" s="1"/>
      <c r="S15" s="1"/>
      <c r="T15" s="1"/>
      <c r="U15" s="1"/>
      <c r="V15" s="1"/>
      <c r="W15" s="1"/>
      <c r="X15" s="1"/>
      <c r="Y15" s="1"/>
      <c r="Z15" s="1"/>
    </row>
    <row r="16">
      <c r="A16" s="16"/>
      <c r="B16" s="71"/>
      <c r="C16" s="48"/>
      <c r="D16" s="91"/>
      <c r="E16" s="137"/>
      <c r="F16" s="18"/>
      <c r="G16" s="137"/>
      <c r="H16" s="74">
        <f t="shared" si="2"/>
        <v>0</v>
      </c>
      <c r="I16" s="48"/>
      <c r="J16" s="49"/>
      <c r="K16" s="52"/>
      <c r="L16" s="53"/>
      <c r="M16" s="52"/>
      <c r="N16" s="16"/>
      <c r="O16" s="169"/>
      <c r="P16" s="1"/>
      <c r="Q16" s="1"/>
      <c r="R16" s="1"/>
      <c r="S16" s="1"/>
      <c r="T16" s="1"/>
      <c r="U16" s="1"/>
      <c r="V16" s="1"/>
      <c r="W16" s="1"/>
      <c r="X16" s="1"/>
      <c r="Y16" s="1"/>
      <c r="Z16" s="1"/>
    </row>
    <row r="17">
      <c r="A17" s="16"/>
      <c r="B17" s="71"/>
      <c r="C17" s="48"/>
      <c r="D17" s="91"/>
      <c r="E17" s="137"/>
      <c r="F17" s="18"/>
      <c r="G17" s="137"/>
      <c r="H17" s="74">
        <f t="shared" si="2"/>
        <v>0</v>
      </c>
      <c r="I17" s="48"/>
      <c r="J17" s="49"/>
      <c r="K17" s="52"/>
      <c r="L17" s="53"/>
      <c r="M17" s="52"/>
      <c r="N17" s="16"/>
      <c r="O17" s="169"/>
      <c r="P17" s="1"/>
      <c r="Q17" s="1"/>
      <c r="R17" s="1"/>
      <c r="S17" s="1"/>
      <c r="T17" s="1"/>
      <c r="U17" s="1"/>
      <c r="V17" s="1"/>
      <c r="W17" s="1"/>
      <c r="X17" s="1"/>
      <c r="Y17" s="1"/>
      <c r="Z17" s="1"/>
    </row>
    <row r="18">
      <c r="A18" s="207"/>
      <c r="B18" s="49"/>
      <c r="C18" s="208"/>
      <c r="D18" s="49"/>
      <c r="E18" s="209"/>
      <c r="F18" s="185"/>
      <c r="G18" s="127"/>
      <c r="H18" s="74">
        <f t="shared" si="2"/>
        <v>0</v>
      </c>
      <c r="I18" s="48"/>
      <c r="J18" s="49"/>
      <c r="K18" s="52"/>
      <c r="L18" s="53"/>
      <c r="M18" s="52"/>
      <c r="N18" s="210"/>
      <c r="O18" s="149"/>
      <c r="P18" s="211"/>
      <c r="Q18" s="212"/>
      <c r="R18" s="212"/>
      <c r="S18" s="212"/>
      <c r="T18" s="212"/>
      <c r="U18" s="212"/>
      <c r="V18" s="212"/>
      <c r="W18" s="212"/>
      <c r="X18" s="212"/>
      <c r="Y18" s="212"/>
      <c r="Z18" s="212"/>
    </row>
    <row r="19">
      <c r="A19" s="213"/>
      <c r="B19" s="78"/>
      <c r="C19" s="78"/>
      <c r="D19" s="79"/>
      <c r="E19" s="203"/>
      <c r="F19" s="185"/>
      <c r="G19" s="46"/>
      <c r="H19" s="74">
        <f t="shared" si="2"/>
        <v>0</v>
      </c>
      <c r="I19" s="48"/>
      <c r="J19" s="49"/>
      <c r="K19" s="52"/>
      <c r="L19" s="53"/>
      <c r="M19" s="52"/>
      <c r="N19" s="96"/>
      <c r="O19" s="181"/>
      <c r="P19" s="19"/>
      <c r="Q19" s="1"/>
      <c r="R19" s="1"/>
      <c r="S19" s="1"/>
      <c r="T19" s="1"/>
      <c r="U19" s="1"/>
      <c r="V19" s="1"/>
      <c r="W19" s="1"/>
      <c r="X19" s="1"/>
      <c r="Y19" s="1"/>
      <c r="Z19" s="1"/>
    </row>
    <row r="20">
      <c r="A20" s="163"/>
      <c r="B20" s="164"/>
      <c r="C20" s="163"/>
      <c r="D20" s="164"/>
      <c r="E20" s="163"/>
      <c r="F20" s="164"/>
      <c r="G20" s="163"/>
      <c r="H20" s="74">
        <f t="shared" si="2"/>
        <v>0</v>
      </c>
      <c r="I20" s="163"/>
      <c r="J20" s="164"/>
      <c r="K20" s="163"/>
      <c r="L20" s="164"/>
      <c r="M20" s="163"/>
      <c r="N20" s="164"/>
      <c r="O20" s="163"/>
      <c r="P20" s="20"/>
    </row>
    <row r="21">
      <c r="A21" s="163"/>
      <c r="B21" s="164"/>
      <c r="C21" s="163"/>
      <c r="D21" s="164"/>
      <c r="E21" s="163"/>
      <c r="F21" s="164"/>
      <c r="G21" s="163"/>
      <c r="H21" s="74">
        <f t="shared" si="2"/>
        <v>0</v>
      </c>
      <c r="I21" s="163"/>
      <c r="J21" s="164"/>
      <c r="K21" s="163"/>
      <c r="L21" s="164"/>
      <c r="M21" s="163"/>
      <c r="N21" s="164"/>
      <c r="O21" s="163"/>
      <c r="P21" s="20"/>
    </row>
    <row r="22">
      <c r="A22" s="163"/>
      <c r="B22" s="164"/>
      <c r="C22" s="163"/>
      <c r="D22" s="164"/>
      <c r="E22" s="163"/>
      <c r="F22" s="164"/>
      <c r="G22" s="163"/>
      <c r="H22" s="74">
        <f t="shared" si="2"/>
        <v>0</v>
      </c>
      <c r="I22" s="163"/>
      <c r="J22" s="164"/>
      <c r="K22" s="163"/>
      <c r="L22" s="164"/>
      <c r="M22" s="163"/>
      <c r="N22" s="164"/>
      <c r="O22" s="163"/>
      <c r="P22" s="20"/>
    </row>
    <row r="23">
      <c r="A23" s="163"/>
      <c r="B23" s="164"/>
      <c r="C23" s="163"/>
      <c r="D23" s="164"/>
      <c r="E23" s="163"/>
      <c r="F23" s="164"/>
      <c r="G23" s="163"/>
      <c r="H23" s="74">
        <f t="shared" si="2"/>
        <v>0</v>
      </c>
      <c r="I23" s="163"/>
      <c r="J23" s="164"/>
      <c r="K23" s="163"/>
      <c r="L23" s="164"/>
      <c r="M23" s="163"/>
      <c r="N23" s="164"/>
      <c r="O23" s="163"/>
      <c r="P23" s="20"/>
    </row>
    <row r="24">
      <c r="A24" s="163"/>
      <c r="B24" s="164"/>
      <c r="C24" s="163"/>
      <c r="D24" s="164"/>
      <c r="E24" s="163"/>
      <c r="F24" s="164"/>
      <c r="G24" s="163"/>
      <c r="H24" s="74">
        <f t="shared" si="2"/>
        <v>0</v>
      </c>
      <c r="I24" s="163"/>
      <c r="J24" s="164"/>
      <c r="K24" s="163"/>
      <c r="L24" s="164"/>
      <c r="M24" s="163"/>
      <c r="N24" s="164"/>
      <c r="O24" s="163"/>
      <c r="P24" s="20"/>
    </row>
    <row r="25">
      <c r="A25" s="163"/>
      <c r="B25" s="164"/>
      <c r="C25" s="163"/>
      <c r="D25" s="164"/>
      <c r="E25" s="163"/>
      <c r="F25" s="164"/>
      <c r="G25" s="163"/>
      <c r="H25" s="74">
        <f t="shared" si="2"/>
        <v>0</v>
      </c>
      <c r="I25" s="163"/>
      <c r="J25" s="164"/>
      <c r="K25" s="163"/>
      <c r="L25" s="164"/>
      <c r="M25" s="163"/>
      <c r="N25" s="164"/>
      <c r="O25" s="163"/>
      <c r="P25" s="20"/>
    </row>
    <row r="26">
      <c r="A26" s="163"/>
      <c r="B26" s="164"/>
      <c r="C26" s="163"/>
      <c r="D26" s="164"/>
      <c r="E26" s="163"/>
      <c r="F26" s="164"/>
      <c r="G26" s="163"/>
      <c r="H26" s="74">
        <f t="shared" si="2"/>
        <v>0</v>
      </c>
      <c r="I26" s="163"/>
      <c r="J26" s="164"/>
      <c r="K26" s="163"/>
      <c r="L26" s="164"/>
      <c r="M26" s="163"/>
      <c r="N26" s="164"/>
      <c r="O26" s="163"/>
      <c r="P26" s="20"/>
    </row>
    <row r="27">
      <c r="A27" s="163"/>
      <c r="B27" s="164"/>
      <c r="C27" s="163"/>
      <c r="D27" s="164"/>
      <c r="E27" s="163"/>
      <c r="F27" s="164"/>
      <c r="G27" s="163"/>
      <c r="H27" s="74">
        <f t="shared" si="2"/>
        <v>0</v>
      </c>
      <c r="I27" s="163"/>
      <c r="J27" s="164"/>
      <c r="K27" s="163"/>
      <c r="L27" s="164"/>
      <c r="M27" s="163"/>
      <c r="N27" s="164"/>
      <c r="O27" s="163"/>
      <c r="P27" s="20"/>
    </row>
    <row r="28">
      <c r="A28" s="163"/>
      <c r="B28" s="164"/>
      <c r="C28" s="163"/>
      <c r="D28" s="164"/>
      <c r="E28" s="163"/>
      <c r="F28" s="164"/>
      <c r="G28" s="163"/>
      <c r="H28" s="74">
        <f t="shared" si="2"/>
        <v>0</v>
      </c>
      <c r="I28" s="163"/>
      <c r="J28" s="164"/>
      <c r="K28" s="163"/>
      <c r="L28" s="164"/>
      <c r="M28" s="163"/>
      <c r="N28" s="164"/>
      <c r="O28" s="163"/>
      <c r="P28" s="20"/>
    </row>
    <row r="29">
      <c r="A29" s="163"/>
      <c r="B29" s="164"/>
      <c r="C29" s="163"/>
      <c r="D29" s="164"/>
      <c r="E29" s="163"/>
      <c r="F29" s="164"/>
      <c r="G29" s="163"/>
      <c r="H29" s="74">
        <f t="shared" si="2"/>
        <v>0</v>
      </c>
      <c r="I29" s="163"/>
      <c r="J29" s="164"/>
      <c r="K29" s="163"/>
      <c r="L29" s="164"/>
      <c r="M29" s="163"/>
      <c r="N29" s="164"/>
      <c r="O29" s="163"/>
      <c r="P29" s="20"/>
    </row>
    <row r="30">
      <c r="A30" s="163"/>
      <c r="B30" s="164"/>
      <c r="C30" s="163"/>
      <c r="D30" s="164"/>
      <c r="E30" s="163"/>
      <c r="F30" s="164"/>
      <c r="G30" s="163"/>
      <c r="H30" s="74">
        <f t="shared" si="2"/>
        <v>0</v>
      </c>
      <c r="I30" s="163"/>
      <c r="J30" s="164"/>
      <c r="K30" s="163"/>
      <c r="L30" s="164"/>
      <c r="M30" s="163"/>
      <c r="N30" s="164"/>
      <c r="O30" s="163"/>
      <c r="P30" s="20"/>
    </row>
    <row r="31">
      <c r="A31" s="163"/>
      <c r="B31" s="164"/>
      <c r="C31" s="163"/>
      <c r="D31" s="164"/>
      <c r="E31" s="163"/>
      <c r="F31" s="164"/>
      <c r="G31" s="163"/>
      <c r="H31" s="74">
        <f t="shared" si="2"/>
        <v>0</v>
      </c>
      <c r="I31" s="163"/>
      <c r="J31" s="164"/>
      <c r="K31" s="163"/>
      <c r="L31" s="164"/>
      <c r="M31" s="163"/>
      <c r="N31" s="164"/>
      <c r="O31" s="163"/>
      <c r="P31" s="20"/>
    </row>
    <row r="32">
      <c r="A32" s="163"/>
      <c r="B32" s="164"/>
      <c r="C32" s="163"/>
      <c r="D32" s="164"/>
      <c r="E32" s="163"/>
      <c r="F32" s="164"/>
      <c r="G32" s="163"/>
      <c r="H32" s="74">
        <f t="shared" si="2"/>
        <v>0</v>
      </c>
      <c r="I32" s="163"/>
      <c r="J32" s="164"/>
      <c r="K32" s="163"/>
      <c r="L32" s="164"/>
      <c r="M32" s="163"/>
      <c r="N32" s="164"/>
      <c r="O32" s="163"/>
      <c r="P32" s="20"/>
    </row>
    <row r="33">
      <c r="A33" s="163"/>
      <c r="B33" s="164"/>
      <c r="C33" s="163"/>
      <c r="D33" s="164"/>
      <c r="E33" s="163"/>
      <c r="F33" s="164"/>
      <c r="G33" s="163"/>
      <c r="H33" s="74">
        <f t="shared" si="2"/>
        <v>0</v>
      </c>
      <c r="I33" s="163"/>
      <c r="J33" s="164"/>
      <c r="K33" s="163"/>
      <c r="L33" s="164"/>
      <c r="M33" s="163"/>
      <c r="N33" s="164"/>
      <c r="O33" s="163"/>
      <c r="P33" s="20"/>
    </row>
    <row r="34">
      <c r="A34" s="163"/>
      <c r="B34" s="164"/>
      <c r="C34" s="163"/>
      <c r="D34" s="164"/>
      <c r="E34" s="163"/>
      <c r="F34" s="164"/>
      <c r="G34" s="163"/>
      <c r="H34" s="164"/>
      <c r="I34" s="163"/>
      <c r="J34" s="164"/>
      <c r="K34" s="163"/>
      <c r="L34" s="164"/>
      <c r="M34" s="163"/>
      <c r="N34" s="164"/>
      <c r="O34" s="163"/>
      <c r="P34" s="20"/>
    </row>
    <row r="35">
      <c r="B35" s="158"/>
      <c r="D35" s="158"/>
      <c r="F35" s="158"/>
      <c r="H35" s="158"/>
      <c r="J35" s="158"/>
      <c r="L35" s="158"/>
      <c r="N35" s="158"/>
      <c r="P35" s="20"/>
    </row>
    <row r="36">
      <c r="B36" s="158"/>
      <c r="D36" s="158"/>
      <c r="F36" s="158"/>
      <c r="H36" s="158"/>
      <c r="J36" s="158"/>
      <c r="L36" s="158"/>
      <c r="N36" s="158"/>
      <c r="P36" s="20"/>
    </row>
    <row r="37">
      <c r="B37" s="158"/>
      <c r="D37" s="158"/>
      <c r="F37" s="158"/>
      <c r="H37" s="158"/>
      <c r="J37" s="158"/>
      <c r="L37" s="158"/>
      <c r="N37" s="158"/>
      <c r="P37" s="20"/>
    </row>
    <row r="38">
      <c r="B38" s="158"/>
      <c r="D38" s="158"/>
      <c r="F38" s="158"/>
      <c r="H38" s="158"/>
      <c r="J38" s="158"/>
      <c r="L38" s="158"/>
      <c r="N38" s="158"/>
      <c r="P38" s="20"/>
    </row>
    <row r="39">
      <c r="B39" s="158"/>
      <c r="D39" s="158"/>
      <c r="F39" s="158"/>
      <c r="H39" s="158"/>
      <c r="J39" s="158"/>
      <c r="L39" s="158"/>
      <c r="N39" s="158"/>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sheetData>
  <hyperlinks>
    <hyperlink r:id="rId4" ref="E3"/>
    <hyperlink r:id="rId5" ref="O12"/>
  </hyperlinks>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 customWidth="1" min="5" max="5" width="23.25"/>
    <col customWidth="1" min="6" max="6" width="25.25"/>
    <col customWidth="1" min="8" max="8" width="21.5"/>
    <col customWidth="1" min="9" max="9" width="33.0"/>
    <col customWidth="1" min="11" max="11" width="17.38"/>
    <col customWidth="1" min="13" max="13" width="19.13"/>
    <col customWidth="1" min="15" max="15" width="141.13"/>
    <col customWidth="1" min="16" max="17" width="16.25"/>
  </cols>
  <sheetData>
    <row r="1">
      <c r="A1" s="38" t="s">
        <v>21</v>
      </c>
      <c r="B1" s="39" t="s">
        <v>22</v>
      </c>
      <c r="C1" s="40" t="s">
        <v>23</v>
      </c>
      <c r="D1" s="39" t="s">
        <v>24</v>
      </c>
      <c r="E1" s="40" t="s">
        <v>25</v>
      </c>
      <c r="F1" s="39" t="s">
        <v>26</v>
      </c>
      <c r="G1" s="40" t="s">
        <v>27</v>
      </c>
      <c r="H1" s="41" t="s">
        <v>28</v>
      </c>
      <c r="I1" s="42" t="s">
        <v>29</v>
      </c>
      <c r="J1" s="43" t="s">
        <v>30</v>
      </c>
      <c r="K1" s="42" t="s">
        <v>31</v>
      </c>
      <c r="L1" s="39" t="s">
        <v>30</v>
      </c>
      <c r="M1" s="40" t="s">
        <v>32</v>
      </c>
      <c r="N1" s="39" t="s">
        <v>33</v>
      </c>
      <c r="O1" s="40" t="s">
        <v>34</v>
      </c>
      <c r="P1" s="214"/>
      <c r="Q1" s="44" t="s">
        <v>35</v>
      </c>
      <c r="R1" s="45">
        <f>SUM(H2:H26)</f>
        <v>1062.9</v>
      </c>
    </row>
    <row r="2">
      <c r="A2" s="198" t="s">
        <v>208</v>
      </c>
      <c r="B2" s="199"/>
      <c r="C2" s="200" t="s">
        <v>209</v>
      </c>
      <c r="D2" s="200">
        <v>1.0</v>
      </c>
      <c r="E2" s="215" t="s">
        <v>210</v>
      </c>
      <c r="F2" s="201" t="s">
        <v>210</v>
      </c>
      <c r="G2" s="80">
        <v>197.97</v>
      </c>
      <c r="H2" s="175">
        <f t="shared" ref="H2:H4" si="1">G2*D2</f>
        <v>197.97</v>
      </c>
      <c r="I2" s="216" t="s">
        <v>211</v>
      </c>
      <c r="J2" s="200" t="s">
        <v>39</v>
      </c>
      <c r="K2" s="81" t="s">
        <v>212</v>
      </c>
      <c r="L2" s="122" t="s">
        <v>39</v>
      </c>
      <c r="M2" s="61" t="s">
        <v>3</v>
      </c>
      <c r="N2" s="206"/>
      <c r="O2" s="203" t="s">
        <v>213</v>
      </c>
      <c r="P2" s="217"/>
      <c r="Q2" s="134"/>
      <c r="R2" s="135"/>
      <c r="S2" s="135"/>
      <c r="T2" s="135"/>
      <c r="U2" s="135"/>
      <c r="V2" s="135"/>
      <c r="W2" s="135"/>
      <c r="X2" s="135"/>
      <c r="Y2" s="135"/>
      <c r="Z2" s="135"/>
      <c r="AA2" s="135"/>
    </row>
    <row r="3">
      <c r="A3" s="172" t="s">
        <v>214</v>
      </c>
      <c r="B3" s="51">
        <v>23008.0</v>
      </c>
      <c r="C3" s="149" t="s">
        <v>215</v>
      </c>
      <c r="D3" s="218">
        <v>1.0</v>
      </c>
      <c r="E3" s="169" t="s">
        <v>216</v>
      </c>
      <c r="F3" s="170" t="s">
        <v>216</v>
      </c>
      <c r="G3" s="58">
        <v>54.0</v>
      </c>
      <c r="H3" s="175">
        <f t="shared" si="1"/>
        <v>54</v>
      </c>
      <c r="I3" s="216" t="s">
        <v>211</v>
      </c>
      <c r="J3" s="200" t="s">
        <v>39</v>
      </c>
      <c r="K3" s="81" t="s">
        <v>217</v>
      </c>
      <c r="L3" s="122" t="s">
        <v>39</v>
      </c>
      <c r="M3" s="61" t="s">
        <v>3</v>
      </c>
      <c r="N3" s="169"/>
      <c r="O3" s="219" t="s">
        <v>218</v>
      </c>
      <c r="P3" s="19"/>
      <c r="Q3" s="19"/>
      <c r="R3" s="1"/>
      <c r="S3" s="1"/>
      <c r="T3" s="1"/>
      <c r="U3" s="1"/>
      <c r="V3" s="1"/>
      <c r="W3" s="1"/>
      <c r="X3" s="1"/>
      <c r="Y3" s="1"/>
      <c r="Z3" s="1"/>
      <c r="AA3" s="1"/>
    </row>
    <row r="4">
      <c r="A4" s="155" t="s">
        <v>219</v>
      </c>
      <c r="B4" s="51">
        <v>1.1597273E7</v>
      </c>
      <c r="C4" s="149">
        <v>1.0</v>
      </c>
      <c r="D4" s="218">
        <v>2.0</v>
      </c>
      <c r="E4" s="17" t="s">
        <v>220</v>
      </c>
      <c r="F4" s="172" t="s">
        <v>125</v>
      </c>
      <c r="G4" s="47">
        <v>1.76</v>
      </c>
      <c r="H4" s="175">
        <f t="shared" si="1"/>
        <v>3.52</v>
      </c>
      <c r="I4" s="216" t="s">
        <v>200</v>
      </c>
      <c r="J4" s="200" t="s">
        <v>39</v>
      </c>
      <c r="K4" s="81" t="s">
        <v>221</v>
      </c>
      <c r="L4" s="122" t="s">
        <v>39</v>
      </c>
      <c r="M4" s="61" t="s">
        <v>3</v>
      </c>
      <c r="N4" s="169"/>
      <c r="O4" s="138" t="s">
        <v>222</v>
      </c>
      <c r="P4" s="19"/>
      <c r="Q4" s="19"/>
      <c r="R4" s="1"/>
      <c r="S4" s="1"/>
      <c r="T4" s="1"/>
      <c r="U4" s="1"/>
      <c r="V4" s="1"/>
      <c r="W4" s="1"/>
      <c r="X4" s="1"/>
      <c r="Y4" s="1"/>
      <c r="Z4" s="1"/>
      <c r="AA4" s="1"/>
    </row>
    <row r="5">
      <c r="A5" s="220" t="s">
        <v>223</v>
      </c>
      <c r="B5" s="22" t="s">
        <v>224</v>
      </c>
      <c r="C5" s="48" t="s">
        <v>225</v>
      </c>
      <c r="D5" s="53">
        <v>1.0</v>
      </c>
      <c r="E5" s="130" t="s">
        <v>226</v>
      </c>
      <c r="F5" s="221" t="s">
        <v>227</v>
      </c>
      <c r="G5" s="127" t="s">
        <v>228</v>
      </c>
      <c r="H5" s="80">
        <v>0.0</v>
      </c>
      <c r="I5" s="216" t="s">
        <v>200</v>
      </c>
      <c r="J5" s="200" t="s">
        <v>39</v>
      </c>
      <c r="K5" s="81" t="s">
        <v>229</v>
      </c>
      <c r="L5" s="122" t="s">
        <v>39</v>
      </c>
      <c r="M5" s="61" t="s">
        <v>3</v>
      </c>
      <c r="N5" s="169"/>
      <c r="O5" s="222" t="s">
        <v>230</v>
      </c>
      <c r="P5" s="223" t="s">
        <v>231</v>
      </c>
      <c r="Q5" s="19"/>
      <c r="R5" s="1"/>
      <c r="S5" s="1"/>
      <c r="T5" s="1"/>
      <c r="U5" s="1"/>
      <c r="V5" s="1"/>
      <c r="W5" s="1"/>
      <c r="X5" s="1"/>
      <c r="Y5" s="1"/>
      <c r="Z5" s="1"/>
      <c r="AA5" s="1"/>
    </row>
    <row r="6">
      <c r="A6" s="220" t="s">
        <v>232</v>
      </c>
      <c r="B6" s="22" t="s">
        <v>233</v>
      </c>
      <c r="C6" s="48" t="s">
        <v>234</v>
      </c>
      <c r="D6" s="49">
        <v>1.0</v>
      </c>
      <c r="E6" s="130" t="s">
        <v>226</v>
      </c>
      <c r="F6" s="221" t="s">
        <v>227</v>
      </c>
      <c r="G6" s="50" t="s">
        <v>228</v>
      </c>
      <c r="H6" s="80">
        <v>0.0</v>
      </c>
      <c r="I6" s="216" t="s">
        <v>200</v>
      </c>
      <c r="J6" s="200" t="s">
        <v>39</v>
      </c>
      <c r="K6" s="81" t="s">
        <v>229</v>
      </c>
      <c r="L6" s="122" t="s">
        <v>39</v>
      </c>
      <c r="M6" s="61" t="s">
        <v>3</v>
      </c>
      <c r="N6" s="169"/>
      <c r="O6" s="224" t="s">
        <v>235</v>
      </c>
      <c r="P6" s="169" t="s">
        <v>236</v>
      </c>
      <c r="Q6" s="19"/>
      <c r="R6" s="1"/>
      <c r="S6" s="1"/>
      <c r="T6" s="1"/>
      <c r="U6" s="1"/>
      <c r="V6" s="1"/>
      <c r="W6" s="1"/>
      <c r="X6" s="1"/>
      <c r="Y6" s="1"/>
      <c r="Z6" s="1"/>
      <c r="AA6" s="1"/>
    </row>
    <row r="7">
      <c r="A7" s="155" t="s">
        <v>237</v>
      </c>
      <c r="B7" s="225">
        <v>1.7504044E7</v>
      </c>
      <c r="C7" s="149" t="s">
        <v>238</v>
      </c>
      <c r="D7" s="72">
        <v>2.0</v>
      </c>
      <c r="E7" s="172" t="s">
        <v>239</v>
      </c>
      <c r="F7" s="169" t="s">
        <v>125</v>
      </c>
      <c r="G7" s="50">
        <v>118.04</v>
      </c>
      <c r="H7" s="175">
        <f t="shared" ref="H7:H36" si="2">G7*D7</f>
        <v>236.08</v>
      </c>
      <c r="I7" s="48" t="s">
        <v>240</v>
      </c>
      <c r="J7" s="200" t="s">
        <v>39</v>
      </c>
      <c r="K7" s="81" t="s">
        <v>241</v>
      </c>
      <c r="L7" s="122" t="s">
        <v>39</v>
      </c>
      <c r="M7" s="61" t="s">
        <v>3</v>
      </c>
      <c r="N7" s="169"/>
      <c r="O7" s="181"/>
      <c r="P7" s="19"/>
      <c r="Q7" s="19"/>
      <c r="R7" s="1"/>
      <c r="S7" s="1"/>
      <c r="T7" s="1"/>
      <c r="U7" s="1"/>
      <c r="V7" s="1"/>
      <c r="W7" s="1"/>
      <c r="X7" s="1"/>
      <c r="Y7" s="1"/>
      <c r="Z7" s="1"/>
      <c r="AA7" s="1"/>
    </row>
    <row r="8">
      <c r="A8" s="226" t="s">
        <v>242</v>
      </c>
      <c r="B8" s="148">
        <v>1.4175053E7</v>
      </c>
      <c r="C8" s="79" t="s">
        <v>243</v>
      </c>
      <c r="D8" s="49">
        <v>6.0</v>
      </c>
      <c r="E8" s="170" t="s">
        <v>244</v>
      </c>
      <c r="F8" s="55" t="s">
        <v>45</v>
      </c>
      <c r="G8" s="50">
        <v>14.14</v>
      </c>
      <c r="H8" s="128">
        <f t="shared" si="2"/>
        <v>84.84</v>
      </c>
      <c r="I8" s="48" t="s">
        <v>240</v>
      </c>
      <c r="J8" s="200" t="s">
        <v>39</v>
      </c>
      <c r="K8" s="81" t="s">
        <v>245</v>
      </c>
      <c r="L8" s="122" t="s">
        <v>39</v>
      </c>
      <c r="M8" s="61" t="s">
        <v>3</v>
      </c>
      <c r="N8" s="169"/>
      <c r="O8" s="181"/>
      <c r="P8" s="1"/>
      <c r="Q8" s="19"/>
      <c r="R8" s="1"/>
      <c r="S8" s="1"/>
      <c r="T8" s="1"/>
      <c r="U8" s="1"/>
      <c r="V8" s="1"/>
      <c r="W8" s="1"/>
      <c r="X8" s="1"/>
      <c r="Y8" s="1"/>
      <c r="Z8" s="1"/>
      <c r="AA8" s="1"/>
    </row>
    <row r="9">
      <c r="A9" s="137" t="s">
        <v>246</v>
      </c>
      <c r="B9" s="169"/>
      <c r="C9" s="48">
        <v>1.0</v>
      </c>
      <c r="D9" s="49">
        <v>1.0</v>
      </c>
      <c r="E9" s="137" t="s">
        <v>171</v>
      </c>
      <c r="F9" s="96" t="s">
        <v>171</v>
      </c>
      <c r="G9" s="137">
        <v>49.87</v>
      </c>
      <c r="H9" s="51">
        <f t="shared" si="2"/>
        <v>49.87</v>
      </c>
      <c r="I9" s="48" t="s">
        <v>247</v>
      </c>
      <c r="J9" s="200" t="s">
        <v>39</v>
      </c>
      <c r="K9" s="48" t="s">
        <v>241</v>
      </c>
      <c r="L9" s="122" t="s">
        <v>39</v>
      </c>
      <c r="M9" s="61" t="s">
        <v>3</v>
      </c>
      <c r="N9" s="169"/>
      <c r="O9" s="181"/>
      <c r="P9" s="1"/>
      <c r="Q9" s="19"/>
      <c r="R9" s="1"/>
      <c r="S9" s="1"/>
      <c r="T9" s="1"/>
      <c r="U9" s="1"/>
      <c r="V9" s="1"/>
      <c r="W9" s="1"/>
      <c r="X9" s="1"/>
      <c r="Y9" s="1"/>
      <c r="Z9" s="1"/>
      <c r="AA9" s="1"/>
    </row>
    <row r="10">
      <c r="A10" s="137" t="s">
        <v>248</v>
      </c>
      <c r="B10" s="169"/>
      <c r="C10" s="48" t="s">
        <v>249</v>
      </c>
      <c r="D10" s="49">
        <v>1.0</v>
      </c>
      <c r="E10" s="215" t="s">
        <v>210</v>
      </c>
      <c r="F10" s="201" t="s">
        <v>210</v>
      </c>
      <c r="G10" s="96">
        <v>436.62</v>
      </c>
      <c r="H10" s="51">
        <f t="shared" si="2"/>
        <v>436.62</v>
      </c>
      <c r="I10" s="48" t="s">
        <v>250</v>
      </c>
      <c r="J10" s="49" t="s">
        <v>39</v>
      </c>
      <c r="K10" s="52" t="s">
        <v>251</v>
      </c>
      <c r="L10" s="53" t="s">
        <v>39</v>
      </c>
      <c r="M10" s="61" t="s">
        <v>3</v>
      </c>
      <c r="N10" s="169"/>
      <c r="O10" s="181"/>
      <c r="P10" s="1"/>
      <c r="Q10" s="19"/>
      <c r="R10" s="1"/>
      <c r="S10" s="1"/>
      <c r="T10" s="1"/>
      <c r="U10" s="1"/>
      <c r="V10" s="1"/>
      <c r="W10" s="1"/>
      <c r="X10" s="1"/>
      <c r="Y10" s="1"/>
      <c r="Z10" s="1"/>
      <c r="AA10" s="1"/>
    </row>
    <row r="11">
      <c r="A11" s="163"/>
      <c r="B11" s="164"/>
      <c r="C11" s="163"/>
      <c r="D11" s="164"/>
      <c r="E11" s="163"/>
      <c r="F11" s="164"/>
      <c r="G11" s="163"/>
      <c r="H11" s="74">
        <f t="shared" si="2"/>
        <v>0</v>
      </c>
      <c r="I11" s="163"/>
      <c r="J11" s="164"/>
      <c r="K11" s="163"/>
      <c r="L11" s="164"/>
      <c r="M11" s="163"/>
      <c r="N11" s="164"/>
      <c r="O11" s="163"/>
      <c r="Q11" s="20"/>
    </row>
    <row r="12">
      <c r="A12" s="163"/>
      <c r="B12" s="164"/>
      <c r="C12" s="163"/>
      <c r="D12" s="164"/>
      <c r="E12" s="163"/>
      <c r="F12" s="164"/>
      <c r="G12" s="163"/>
      <c r="H12" s="74">
        <f t="shared" si="2"/>
        <v>0</v>
      </c>
      <c r="I12" s="163"/>
      <c r="J12" s="164"/>
      <c r="K12" s="163"/>
      <c r="L12" s="164"/>
      <c r="M12" s="163"/>
      <c r="N12" s="164"/>
      <c r="O12" s="163"/>
      <c r="Q12" s="20"/>
    </row>
    <row r="13">
      <c r="A13" s="163"/>
      <c r="B13" s="164"/>
      <c r="C13" s="163"/>
      <c r="D13" s="164"/>
      <c r="E13" s="163"/>
      <c r="F13" s="164"/>
      <c r="G13" s="163"/>
      <c r="H13" s="74">
        <f t="shared" si="2"/>
        <v>0</v>
      </c>
      <c r="I13" s="163"/>
      <c r="J13" s="164"/>
      <c r="K13" s="163"/>
      <c r="L13" s="164"/>
      <c r="M13" s="163"/>
      <c r="N13" s="164"/>
      <c r="O13" s="163"/>
      <c r="Q13" s="20"/>
    </row>
    <row r="14">
      <c r="A14" s="163"/>
      <c r="B14" s="164"/>
      <c r="C14" s="163"/>
      <c r="D14" s="164"/>
      <c r="E14" s="163"/>
      <c r="F14" s="164"/>
      <c r="G14" s="163"/>
      <c r="H14" s="74">
        <f t="shared" si="2"/>
        <v>0</v>
      </c>
      <c r="I14" s="163"/>
      <c r="J14" s="164"/>
      <c r="K14" s="163"/>
      <c r="L14" s="164"/>
      <c r="M14" s="163"/>
      <c r="N14" s="164"/>
      <c r="O14" s="163"/>
      <c r="Q14" s="20"/>
    </row>
    <row r="15">
      <c r="A15" s="163"/>
      <c r="B15" s="164"/>
      <c r="C15" s="163"/>
      <c r="D15" s="164"/>
      <c r="E15" s="163"/>
      <c r="F15" s="164"/>
      <c r="G15" s="163"/>
      <c r="H15" s="74">
        <f t="shared" si="2"/>
        <v>0</v>
      </c>
      <c r="I15" s="163"/>
      <c r="J15" s="164"/>
      <c r="K15" s="163"/>
      <c r="L15" s="164"/>
      <c r="M15" s="163"/>
      <c r="N15" s="164"/>
      <c r="O15" s="163"/>
      <c r="Q15" s="20"/>
    </row>
    <row r="16">
      <c r="A16" s="163"/>
      <c r="B16" s="164"/>
      <c r="C16" s="163"/>
      <c r="D16" s="164"/>
      <c r="E16" s="163"/>
      <c r="F16" s="164"/>
      <c r="G16" s="163"/>
      <c r="H16" s="74">
        <f t="shared" si="2"/>
        <v>0</v>
      </c>
      <c r="I16" s="163"/>
      <c r="J16" s="164"/>
      <c r="K16" s="163"/>
      <c r="L16" s="164"/>
      <c r="M16" s="163"/>
      <c r="N16" s="164"/>
      <c r="O16" s="163"/>
      <c r="Q16" s="20"/>
    </row>
    <row r="17">
      <c r="A17" s="163"/>
      <c r="B17" s="164"/>
      <c r="C17" s="163"/>
      <c r="D17" s="164"/>
      <c r="E17" s="163"/>
      <c r="F17" s="164"/>
      <c r="G17" s="163"/>
      <c r="H17" s="74">
        <f t="shared" si="2"/>
        <v>0</v>
      </c>
      <c r="I17" s="163"/>
      <c r="J17" s="164"/>
      <c r="K17" s="163"/>
      <c r="L17" s="164"/>
      <c r="M17" s="163"/>
      <c r="N17" s="164"/>
      <c r="O17" s="163"/>
      <c r="Q17" s="20"/>
    </row>
    <row r="18">
      <c r="A18" s="163"/>
      <c r="B18" s="164"/>
      <c r="C18" s="163"/>
      <c r="D18" s="164"/>
      <c r="E18" s="163"/>
      <c r="F18" s="164"/>
      <c r="G18" s="163"/>
      <c r="H18" s="74">
        <f t="shared" si="2"/>
        <v>0</v>
      </c>
      <c r="I18" s="163"/>
      <c r="J18" s="164"/>
      <c r="K18" s="163"/>
      <c r="L18" s="164"/>
      <c r="M18" s="163"/>
      <c r="N18" s="164"/>
      <c r="O18" s="163"/>
      <c r="Q18" s="20"/>
    </row>
    <row r="19">
      <c r="A19" s="163"/>
      <c r="B19" s="164"/>
      <c r="C19" s="163"/>
      <c r="D19" s="164"/>
      <c r="E19" s="163"/>
      <c r="F19" s="164"/>
      <c r="G19" s="163"/>
      <c r="H19" s="74">
        <f t="shared" si="2"/>
        <v>0</v>
      </c>
      <c r="I19" s="163"/>
      <c r="J19" s="164"/>
      <c r="K19" s="163"/>
      <c r="L19" s="164"/>
      <c r="M19" s="163"/>
      <c r="N19" s="164"/>
      <c r="O19" s="163"/>
      <c r="Q19" s="20"/>
    </row>
    <row r="20">
      <c r="A20" s="163"/>
      <c r="B20" s="164"/>
      <c r="C20" s="163"/>
      <c r="D20" s="164"/>
      <c r="E20" s="163"/>
      <c r="F20" s="164"/>
      <c r="G20" s="163"/>
      <c r="H20" s="74">
        <f t="shared" si="2"/>
        <v>0</v>
      </c>
      <c r="I20" s="163"/>
      <c r="J20" s="164"/>
      <c r="K20" s="163"/>
      <c r="L20" s="164"/>
      <c r="M20" s="163"/>
      <c r="N20" s="164"/>
      <c r="O20" s="163"/>
      <c r="Q20" s="20"/>
    </row>
    <row r="21">
      <c r="A21" s="163"/>
      <c r="B21" s="164"/>
      <c r="C21" s="163"/>
      <c r="D21" s="164"/>
      <c r="E21" s="163"/>
      <c r="F21" s="164"/>
      <c r="G21" s="163"/>
      <c r="H21" s="74">
        <f t="shared" si="2"/>
        <v>0</v>
      </c>
      <c r="I21" s="163"/>
      <c r="J21" s="164"/>
      <c r="K21" s="163"/>
      <c r="L21" s="164"/>
      <c r="M21" s="163"/>
      <c r="N21" s="164"/>
      <c r="O21" s="163"/>
      <c r="Q21" s="20"/>
    </row>
    <row r="22">
      <c r="A22" s="163"/>
      <c r="B22" s="164"/>
      <c r="C22" s="163"/>
      <c r="D22" s="164"/>
      <c r="E22" s="163"/>
      <c r="F22" s="164"/>
      <c r="G22" s="163"/>
      <c r="H22" s="74">
        <f t="shared" si="2"/>
        <v>0</v>
      </c>
      <c r="I22" s="163"/>
      <c r="J22" s="164"/>
      <c r="K22" s="163"/>
      <c r="L22" s="164"/>
      <c r="M22" s="163"/>
      <c r="N22" s="164"/>
      <c r="O22" s="163"/>
      <c r="Q22" s="20"/>
    </row>
    <row r="23">
      <c r="A23" s="163"/>
      <c r="B23" s="164"/>
      <c r="C23" s="163"/>
      <c r="D23" s="164"/>
      <c r="E23" s="163"/>
      <c r="F23" s="164"/>
      <c r="G23" s="163"/>
      <c r="H23" s="74">
        <f t="shared" si="2"/>
        <v>0</v>
      </c>
      <c r="I23" s="163"/>
      <c r="J23" s="164"/>
      <c r="K23" s="163"/>
      <c r="L23" s="164"/>
      <c r="M23" s="163"/>
      <c r="N23" s="164"/>
      <c r="O23" s="163"/>
      <c r="Q23" s="20"/>
    </row>
    <row r="24">
      <c r="A24" s="163"/>
      <c r="B24" s="164"/>
      <c r="C24" s="163"/>
      <c r="D24" s="164"/>
      <c r="E24" s="163"/>
      <c r="F24" s="164"/>
      <c r="G24" s="163"/>
      <c r="H24" s="74">
        <f t="shared" si="2"/>
        <v>0</v>
      </c>
      <c r="I24" s="163"/>
      <c r="J24" s="164"/>
      <c r="K24" s="163"/>
      <c r="L24" s="164"/>
      <c r="M24" s="163"/>
      <c r="N24" s="164"/>
      <c r="O24" s="163"/>
      <c r="Q24" s="20"/>
    </row>
    <row r="25">
      <c r="A25" s="163"/>
      <c r="B25" s="164"/>
      <c r="C25" s="163"/>
      <c r="D25" s="164"/>
      <c r="E25" s="163"/>
      <c r="F25" s="164"/>
      <c r="G25" s="163"/>
      <c r="H25" s="74">
        <f t="shared" si="2"/>
        <v>0</v>
      </c>
      <c r="I25" s="163"/>
      <c r="J25" s="164"/>
      <c r="K25" s="163"/>
      <c r="L25" s="164"/>
      <c r="M25" s="163"/>
      <c r="N25" s="164"/>
      <c r="O25" s="163"/>
      <c r="Q25" s="20"/>
    </row>
    <row r="26">
      <c r="A26" s="163"/>
      <c r="B26" s="164"/>
      <c r="C26" s="163"/>
      <c r="D26" s="164"/>
      <c r="E26" s="163"/>
      <c r="F26" s="164"/>
      <c r="G26" s="163"/>
      <c r="H26" s="74">
        <f t="shared" si="2"/>
        <v>0</v>
      </c>
      <c r="I26" s="163"/>
      <c r="J26" s="164"/>
      <c r="K26" s="163"/>
      <c r="L26" s="164"/>
      <c r="M26" s="163"/>
      <c r="N26" s="164"/>
      <c r="O26" s="163"/>
      <c r="Q26" s="20"/>
    </row>
    <row r="27">
      <c r="A27" s="163"/>
      <c r="B27" s="164"/>
      <c r="C27" s="163"/>
      <c r="D27" s="164"/>
      <c r="E27" s="163"/>
      <c r="F27" s="164"/>
      <c r="G27" s="163"/>
      <c r="H27" s="74">
        <f t="shared" si="2"/>
        <v>0</v>
      </c>
      <c r="I27" s="163"/>
      <c r="J27" s="164"/>
      <c r="K27" s="163"/>
      <c r="L27" s="164"/>
      <c r="M27" s="163"/>
      <c r="N27" s="164"/>
      <c r="O27" s="163"/>
      <c r="Q27" s="20"/>
    </row>
    <row r="28">
      <c r="A28" s="163"/>
      <c r="B28" s="164"/>
      <c r="C28" s="163"/>
      <c r="D28" s="164"/>
      <c r="E28" s="163"/>
      <c r="F28" s="164"/>
      <c r="G28" s="163"/>
      <c r="H28" s="74">
        <f t="shared" si="2"/>
        <v>0</v>
      </c>
      <c r="I28" s="163"/>
      <c r="J28" s="164"/>
      <c r="K28" s="163"/>
      <c r="L28" s="164"/>
      <c r="M28" s="163"/>
      <c r="N28" s="164"/>
      <c r="O28" s="163"/>
      <c r="Q28" s="20"/>
    </row>
    <row r="29">
      <c r="A29" s="163"/>
      <c r="B29" s="164"/>
      <c r="C29" s="163"/>
      <c r="D29" s="164"/>
      <c r="E29" s="163"/>
      <c r="F29" s="164"/>
      <c r="G29" s="163"/>
      <c r="H29" s="74">
        <f t="shared" si="2"/>
        <v>0</v>
      </c>
      <c r="I29" s="163"/>
      <c r="J29" s="164"/>
      <c r="K29" s="163"/>
      <c r="L29" s="164"/>
      <c r="M29" s="163"/>
      <c r="N29" s="164"/>
      <c r="O29" s="163"/>
      <c r="Q29" s="20"/>
    </row>
    <row r="30">
      <c r="A30" s="163"/>
      <c r="B30" s="164"/>
      <c r="C30" s="163"/>
      <c r="D30" s="164"/>
      <c r="E30" s="163"/>
      <c r="F30" s="164"/>
      <c r="G30" s="163"/>
      <c r="H30" s="74">
        <f t="shared" si="2"/>
        <v>0</v>
      </c>
      <c r="I30" s="163"/>
      <c r="J30" s="164"/>
      <c r="K30" s="163"/>
      <c r="L30" s="164"/>
      <c r="M30" s="163"/>
      <c r="N30" s="164"/>
      <c r="O30" s="163"/>
      <c r="Q30" s="20"/>
    </row>
    <row r="31">
      <c r="A31" s="163"/>
      <c r="B31" s="164"/>
      <c r="C31" s="163"/>
      <c r="D31" s="164"/>
      <c r="E31" s="163"/>
      <c r="F31" s="164"/>
      <c r="G31" s="163"/>
      <c r="H31" s="74">
        <f t="shared" si="2"/>
        <v>0</v>
      </c>
      <c r="I31" s="163"/>
      <c r="J31" s="164"/>
      <c r="K31" s="163"/>
      <c r="L31" s="164"/>
      <c r="M31" s="163"/>
      <c r="N31" s="164"/>
      <c r="O31" s="163"/>
      <c r="Q31" s="20"/>
    </row>
    <row r="32">
      <c r="A32" s="163"/>
      <c r="B32" s="164"/>
      <c r="C32" s="163"/>
      <c r="D32" s="164"/>
      <c r="E32" s="163"/>
      <c r="F32" s="164"/>
      <c r="G32" s="163"/>
      <c r="H32" s="74">
        <f t="shared" si="2"/>
        <v>0</v>
      </c>
      <c r="I32" s="163"/>
      <c r="J32" s="164"/>
      <c r="K32" s="163"/>
      <c r="L32" s="164"/>
      <c r="M32" s="163"/>
      <c r="N32" s="164"/>
      <c r="O32" s="163"/>
      <c r="Q32" s="20"/>
    </row>
    <row r="33">
      <c r="A33" s="163"/>
      <c r="B33" s="164"/>
      <c r="C33" s="163"/>
      <c r="D33" s="164"/>
      <c r="E33" s="163"/>
      <c r="F33" s="164"/>
      <c r="G33" s="163"/>
      <c r="H33" s="74">
        <f t="shared" si="2"/>
        <v>0</v>
      </c>
      <c r="I33" s="163"/>
      <c r="J33" s="164"/>
      <c r="K33" s="163"/>
      <c r="L33" s="164"/>
      <c r="M33" s="163"/>
      <c r="N33" s="164"/>
      <c r="O33" s="163"/>
      <c r="Q33" s="20"/>
    </row>
    <row r="34">
      <c r="A34" s="163"/>
      <c r="B34" s="164"/>
      <c r="C34" s="163"/>
      <c r="D34" s="164"/>
      <c r="E34" s="163"/>
      <c r="F34" s="164"/>
      <c r="G34" s="163"/>
      <c r="H34" s="74">
        <f t="shared" si="2"/>
        <v>0</v>
      </c>
      <c r="I34" s="163"/>
      <c r="J34" s="164"/>
      <c r="K34" s="163"/>
      <c r="L34" s="164"/>
      <c r="M34" s="163"/>
      <c r="N34" s="164"/>
      <c r="O34" s="163"/>
      <c r="Q34" s="20"/>
    </row>
    <row r="35">
      <c r="A35" s="163"/>
      <c r="B35" s="164"/>
      <c r="C35" s="163"/>
      <c r="D35" s="164"/>
      <c r="E35" s="163"/>
      <c r="F35" s="164"/>
      <c r="G35" s="163"/>
      <c r="H35" s="74">
        <f t="shared" si="2"/>
        <v>0</v>
      </c>
      <c r="I35" s="163"/>
      <c r="J35" s="164"/>
      <c r="K35" s="163"/>
      <c r="L35" s="164"/>
      <c r="M35" s="163"/>
      <c r="N35" s="164"/>
      <c r="O35" s="163"/>
      <c r="Q35" s="20"/>
    </row>
    <row r="36">
      <c r="A36" s="163"/>
      <c r="B36" s="164"/>
      <c r="C36" s="163"/>
      <c r="D36" s="164"/>
      <c r="E36" s="163"/>
      <c r="F36" s="164"/>
      <c r="G36" s="163"/>
      <c r="H36" s="74">
        <f t="shared" si="2"/>
        <v>0</v>
      </c>
      <c r="I36" s="163"/>
      <c r="J36" s="164"/>
      <c r="K36" s="163"/>
      <c r="L36" s="164"/>
      <c r="M36" s="163"/>
      <c r="N36" s="164"/>
      <c r="O36" s="163"/>
      <c r="Q36" s="20"/>
    </row>
    <row r="37">
      <c r="A37" s="163"/>
      <c r="B37" s="164"/>
      <c r="C37" s="163"/>
      <c r="D37" s="164"/>
      <c r="E37" s="163"/>
      <c r="F37" s="164"/>
      <c r="G37" s="163"/>
      <c r="H37" s="164"/>
      <c r="I37" s="163"/>
      <c r="J37" s="164"/>
      <c r="K37" s="163"/>
      <c r="L37" s="164"/>
      <c r="M37" s="163"/>
      <c r="N37" s="164"/>
      <c r="O37" s="163"/>
      <c r="Q37" s="20"/>
    </row>
    <row r="38">
      <c r="B38" s="158"/>
      <c r="D38" s="158"/>
      <c r="F38" s="158"/>
      <c r="H38" s="158"/>
      <c r="J38" s="158"/>
      <c r="L38" s="158"/>
      <c r="N38" s="158"/>
      <c r="Q38" s="20"/>
    </row>
    <row r="39">
      <c r="B39" s="158"/>
      <c r="D39" s="158"/>
      <c r="F39" s="158"/>
      <c r="H39" s="158"/>
      <c r="J39" s="158"/>
      <c r="L39" s="158"/>
      <c r="N39" s="158"/>
      <c r="Q39" s="20"/>
    </row>
    <row r="40">
      <c r="B40" s="158"/>
      <c r="D40" s="158"/>
      <c r="F40" s="158"/>
      <c r="H40" s="158"/>
      <c r="J40" s="158"/>
      <c r="L40" s="158"/>
      <c r="N40" s="158"/>
      <c r="Q40" s="20"/>
    </row>
    <row r="41">
      <c r="B41" s="158"/>
      <c r="D41" s="158"/>
      <c r="F41" s="158"/>
      <c r="H41" s="158"/>
      <c r="J41" s="158"/>
      <c r="L41" s="158"/>
      <c r="N41" s="158"/>
      <c r="Q41" s="20"/>
    </row>
    <row r="42">
      <c r="B42" s="158"/>
      <c r="D42" s="158"/>
      <c r="F42" s="158"/>
      <c r="H42" s="158"/>
      <c r="J42" s="158"/>
      <c r="L42" s="158"/>
      <c r="N42" s="158"/>
      <c r="Q42" s="20"/>
    </row>
    <row r="43">
      <c r="B43" s="158"/>
      <c r="D43" s="158"/>
      <c r="F43" s="158"/>
      <c r="H43" s="158"/>
      <c r="J43" s="158"/>
      <c r="L43" s="158"/>
      <c r="N43" s="158"/>
      <c r="Q43" s="20"/>
    </row>
    <row r="44">
      <c r="B44" s="158"/>
      <c r="D44" s="158"/>
      <c r="F44" s="158"/>
      <c r="H44" s="158"/>
      <c r="J44" s="158"/>
      <c r="L44" s="158"/>
      <c r="N44" s="158"/>
      <c r="Q44" s="20"/>
    </row>
    <row r="45">
      <c r="B45" s="158"/>
      <c r="D45" s="158"/>
      <c r="F45" s="158"/>
      <c r="H45" s="158"/>
      <c r="J45" s="158"/>
      <c r="L45" s="158"/>
      <c r="N45" s="158"/>
      <c r="Q45" s="20"/>
    </row>
    <row r="46">
      <c r="B46" s="158"/>
      <c r="D46" s="158"/>
      <c r="F46" s="158"/>
      <c r="H46" s="158"/>
      <c r="J46" s="158"/>
      <c r="L46" s="158"/>
      <c r="N46" s="158"/>
      <c r="Q46" s="20"/>
    </row>
    <row r="47">
      <c r="B47" s="158"/>
      <c r="D47" s="158"/>
      <c r="F47" s="158"/>
      <c r="H47" s="158"/>
      <c r="J47" s="158"/>
      <c r="L47" s="158"/>
      <c r="N47" s="158"/>
      <c r="Q47" s="20"/>
    </row>
    <row r="48">
      <c r="B48" s="158"/>
      <c r="D48" s="158"/>
      <c r="F48" s="158"/>
      <c r="H48" s="158"/>
      <c r="J48" s="158"/>
      <c r="L48" s="158"/>
      <c r="N48" s="158"/>
      <c r="Q48" s="20"/>
    </row>
    <row r="49">
      <c r="B49" s="158"/>
      <c r="D49" s="158"/>
      <c r="F49" s="158"/>
      <c r="H49" s="158"/>
      <c r="J49" s="158"/>
      <c r="L49" s="158"/>
      <c r="N49" s="158"/>
      <c r="Q49" s="20"/>
    </row>
    <row r="50">
      <c r="B50" s="158"/>
      <c r="D50" s="158"/>
      <c r="F50" s="158"/>
      <c r="H50" s="158"/>
      <c r="J50" s="158"/>
      <c r="L50" s="158"/>
      <c r="N50" s="158"/>
      <c r="Q50" s="20"/>
    </row>
    <row r="51">
      <c r="B51" s="158"/>
      <c r="D51" s="158"/>
      <c r="F51" s="158"/>
      <c r="H51" s="158"/>
      <c r="J51" s="158"/>
      <c r="L51" s="158"/>
      <c r="N51" s="158"/>
      <c r="Q51" s="20"/>
    </row>
    <row r="52">
      <c r="B52" s="158"/>
      <c r="D52" s="158"/>
      <c r="F52" s="158"/>
      <c r="H52" s="158"/>
      <c r="J52" s="158"/>
      <c r="L52" s="158"/>
      <c r="N52" s="158"/>
      <c r="Q52" s="20"/>
    </row>
    <row r="53">
      <c r="B53" s="158"/>
      <c r="D53" s="158"/>
      <c r="F53" s="158"/>
      <c r="H53" s="158"/>
      <c r="J53" s="158"/>
      <c r="L53" s="158"/>
      <c r="N53" s="158"/>
      <c r="Q53" s="20"/>
    </row>
    <row r="54">
      <c r="B54" s="158"/>
      <c r="D54" s="158"/>
      <c r="F54" s="158"/>
      <c r="H54" s="158"/>
      <c r="J54" s="158"/>
      <c r="L54" s="158"/>
      <c r="N54" s="158"/>
      <c r="Q54" s="20"/>
    </row>
    <row r="55">
      <c r="B55" s="158"/>
      <c r="D55" s="158"/>
      <c r="F55" s="158"/>
      <c r="H55" s="158"/>
      <c r="J55" s="158"/>
      <c r="L55" s="158"/>
      <c r="N55" s="158"/>
      <c r="Q55" s="20"/>
    </row>
    <row r="56">
      <c r="B56" s="158"/>
      <c r="D56" s="158"/>
      <c r="F56" s="158"/>
      <c r="H56" s="158"/>
      <c r="J56" s="158"/>
      <c r="L56" s="158"/>
      <c r="N56" s="158"/>
      <c r="Q56" s="20"/>
    </row>
    <row r="57">
      <c r="B57" s="158"/>
      <c r="D57" s="158"/>
      <c r="F57" s="158"/>
      <c r="H57" s="158"/>
      <c r="J57" s="158"/>
      <c r="L57" s="158"/>
      <c r="N57" s="158"/>
      <c r="Q57" s="20"/>
    </row>
    <row r="58">
      <c r="B58" s="158"/>
      <c r="D58" s="158"/>
      <c r="F58" s="158"/>
      <c r="H58" s="158"/>
      <c r="J58" s="158"/>
      <c r="L58" s="158"/>
      <c r="N58" s="158"/>
      <c r="Q58" s="20"/>
    </row>
    <row r="59">
      <c r="B59" s="158"/>
      <c r="D59" s="158"/>
      <c r="F59" s="158"/>
      <c r="H59" s="158"/>
      <c r="J59" s="158"/>
      <c r="L59" s="158"/>
      <c r="N59" s="158"/>
      <c r="Q59" s="20"/>
    </row>
    <row r="60">
      <c r="B60" s="158"/>
      <c r="D60" s="158"/>
      <c r="F60" s="158"/>
      <c r="H60" s="158"/>
      <c r="J60" s="158"/>
      <c r="L60" s="158"/>
      <c r="N60" s="158"/>
      <c r="Q60" s="20"/>
    </row>
    <row r="61">
      <c r="B61" s="158"/>
      <c r="D61" s="158"/>
      <c r="F61" s="158"/>
      <c r="H61" s="158"/>
      <c r="J61" s="158"/>
      <c r="L61" s="158"/>
      <c r="N61" s="158"/>
      <c r="Q61" s="20"/>
    </row>
    <row r="62">
      <c r="B62" s="158"/>
      <c r="D62" s="158"/>
      <c r="F62" s="158"/>
      <c r="H62" s="158"/>
      <c r="J62" s="158"/>
      <c r="L62" s="158"/>
      <c r="N62" s="158"/>
      <c r="Q62" s="20"/>
    </row>
    <row r="63">
      <c r="B63" s="158"/>
      <c r="D63" s="158"/>
      <c r="F63" s="158"/>
      <c r="H63" s="158"/>
      <c r="J63" s="158"/>
      <c r="L63" s="158"/>
      <c r="N63" s="158"/>
      <c r="Q63" s="20"/>
    </row>
    <row r="64">
      <c r="B64" s="158"/>
      <c r="D64" s="158"/>
      <c r="F64" s="158"/>
      <c r="H64" s="158"/>
      <c r="J64" s="158"/>
      <c r="L64" s="158"/>
      <c r="N64" s="158"/>
      <c r="Q64" s="20"/>
    </row>
    <row r="65">
      <c r="B65" s="158"/>
      <c r="D65" s="158"/>
      <c r="F65" s="158"/>
      <c r="H65" s="158"/>
      <c r="J65" s="158"/>
      <c r="L65" s="158"/>
      <c r="N65" s="158"/>
      <c r="Q65" s="20"/>
    </row>
    <row r="66">
      <c r="B66" s="158"/>
      <c r="D66" s="158"/>
      <c r="F66" s="158"/>
      <c r="H66" s="158"/>
      <c r="J66" s="158"/>
      <c r="L66" s="158"/>
      <c r="N66" s="158"/>
      <c r="Q66" s="20"/>
    </row>
    <row r="67">
      <c r="B67" s="158"/>
      <c r="D67" s="158"/>
      <c r="F67" s="158"/>
      <c r="H67" s="158"/>
      <c r="J67" s="158"/>
      <c r="L67" s="158"/>
      <c r="N67" s="158"/>
      <c r="Q67" s="20"/>
    </row>
    <row r="68">
      <c r="B68" s="158"/>
      <c r="D68" s="158"/>
      <c r="F68" s="158"/>
      <c r="H68" s="158"/>
      <c r="J68" s="158"/>
      <c r="L68" s="158"/>
      <c r="N68" s="158"/>
      <c r="Q68" s="20"/>
    </row>
    <row r="69">
      <c r="B69" s="158"/>
      <c r="D69" s="158"/>
      <c r="F69" s="158"/>
      <c r="H69" s="158"/>
      <c r="J69" s="158"/>
      <c r="L69" s="158"/>
      <c r="N69" s="158"/>
      <c r="Q69" s="20"/>
    </row>
    <row r="70">
      <c r="B70" s="158"/>
      <c r="D70" s="158"/>
      <c r="F70" s="158"/>
      <c r="H70" s="158"/>
      <c r="J70" s="158"/>
      <c r="L70" s="158"/>
      <c r="N70" s="158"/>
      <c r="Q70" s="20"/>
    </row>
    <row r="71">
      <c r="B71" s="158"/>
      <c r="D71" s="158"/>
      <c r="F71" s="158"/>
      <c r="H71" s="158"/>
      <c r="J71" s="158"/>
      <c r="L71" s="158"/>
      <c r="N71" s="158"/>
      <c r="Q71" s="20"/>
    </row>
    <row r="72">
      <c r="B72" s="158"/>
      <c r="D72" s="158"/>
      <c r="F72" s="158"/>
      <c r="H72" s="158"/>
      <c r="J72" s="158"/>
      <c r="L72" s="158"/>
      <c r="N72" s="158"/>
      <c r="Q72" s="20"/>
    </row>
    <row r="73">
      <c r="B73" s="158"/>
      <c r="D73" s="158"/>
      <c r="F73" s="158"/>
      <c r="H73" s="158"/>
      <c r="J73" s="158"/>
      <c r="L73" s="158"/>
      <c r="N73" s="158"/>
      <c r="Q73" s="20"/>
    </row>
    <row r="74">
      <c r="B74" s="158"/>
      <c r="D74" s="158"/>
      <c r="F74" s="158"/>
      <c r="H74" s="158"/>
      <c r="J74" s="158"/>
      <c r="L74" s="158"/>
      <c r="N74" s="158"/>
      <c r="Q74" s="20"/>
    </row>
    <row r="75">
      <c r="B75" s="158"/>
      <c r="D75" s="158"/>
      <c r="F75" s="158"/>
      <c r="H75" s="158"/>
      <c r="J75" s="158"/>
      <c r="L75" s="158"/>
      <c r="N75" s="158"/>
      <c r="Q75" s="20"/>
    </row>
    <row r="76">
      <c r="B76" s="158"/>
      <c r="D76" s="158"/>
      <c r="F76" s="158"/>
      <c r="H76" s="158"/>
      <c r="J76" s="158"/>
      <c r="L76" s="158"/>
      <c r="N76" s="158"/>
      <c r="Q76" s="20"/>
    </row>
    <row r="77">
      <c r="B77" s="158"/>
      <c r="D77" s="158"/>
      <c r="F77" s="158"/>
      <c r="H77" s="158"/>
      <c r="J77" s="158"/>
      <c r="L77" s="158"/>
      <c r="N77" s="158"/>
      <c r="Q77" s="20"/>
    </row>
    <row r="78">
      <c r="B78" s="158"/>
      <c r="D78" s="158"/>
      <c r="F78" s="158"/>
      <c r="H78" s="158"/>
      <c r="J78" s="158"/>
      <c r="L78" s="158"/>
      <c r="N78" s="158"/>
      <c r="Q78" s="20"/>
    </row>
    <row r="79">
      <c r="B79" s="158"/>
      <c r="D79" s="158"/>
      <c r="F79" s="158"/>
      <c r="H79" s="158"/>
      <c r="J79" s="158"/>
      <c r="L79" s="158"/>
      <c r="N79" s="158"/>
      <c r="Q79" s="20"/>
    </row>
    <row r="80">
      <c r="B80" s="158"/>
      <c r="D80" s="158"/>
      <c r="F80" s="158"/>
      <c r="H80" s="158"/>
      <c r="J80" s="158"/>
      <c r="L80" s="158"/>
      <c r="N80" s="158"/>
      <c r="Q80" s="20"/>
    </row>
    <row r="81">
      <c r="B81" s="158"/>
      <c r="D81" s="158"/>
      <c r="F81" s="158"/>
      <c r="H81" s="158"/>
      <c r="J81" s="158"/>
      <c r="L81" s="158"/>
      <c r="N81" s="158"/>
      <c r="Q81" s="20"/>
    </row>
    <row r="82">
      <c r="B82" s="158"/>
      <c r="D82" s="158"/>
      <c r="F82" s="158"/>
      <c r="H82" s="158"/>
      <c r="J82" s="158"/>
      <c r="L82" s="158"/>
      <c r="N82" s="158"/>
      <c r="Q82" s="20"/>
    </row>
    <row r="83">
      <c r="B83" s="158"/>
      <c r="D83" s="158"/>
      <c r="F83" s="158"/>
      <c r="H83" s="158"/>
      <c r="J83" s="158"/>
      <c r="L83" s="158"/>
      <c r="N83" s="158"/>
      <c r="Q83" s="20"/>
    </row>
    <row r="84">
      <c r="B84" s="158"/>
      <c r="D84" s="158"/>
      <c r="F84" s="158"/>
      <c r="H84" s="158"/>
      <c r="J84" s="158"/>
      <c r="L84" s="158"/>
      <c r="N84" s="158"/>
      <c r="Q84" s="20"/>
    </row>
    <row r="85">
      <c r="B85" s="158"/>
      <c r="D85" s="158"/>
      <c r="F85" s="158"/>
      <c r="H85" s="158"/>
      <c r="J85" s="158"/>
      <c r="L85" s="158"/>
      <c r="N85" s="158"/>
      <c r="Q85" s="20"/>
    </row>
    <row r="86">
      <c r="B86" s="158"/>
      <c r="D86" s="158"/>
      <c r="F86" s="158"/>
      <c r="H86" s="158"/>
      <c r="J86" s="158"/>
      <c r="L86" s="158"/>
      <c r="N86" s="158"/>
      <c r="Q86" s="20"/>
    </row>
    <row r="87">
      <c r="B87" s="158"/>
      <c r="D87" s="158"/>
      <c r="F87" s="158"/>
      <c r="H87" s="158"/>
      <c r="J87" s="158"/>
      <c r="L87" s="158"/>
      <c r="N87" s="158"/>
      <c r="Q87" s="20"/>
    </row>
    <row r="88">
      <c r="B88" s="158"/>
      <c r="D88" s="158"/>
      <c r="F88" s="158"/>
      <c r="H88" s="158"/>
      <c r="J88" s="158"/>
      <c r="L88" s="158"/>
      <c r="N88" s="158"/>
      <c r="Q88" s="20"/>
    </row>
    <row r="89">
      <c r="B89" s="158"/>
      <c r="D89" s="158"/>
      <c r="F89" s="158"/>
      <c r="H89" s="158"/>
      <c r="J89" s="158"/>
      <c r="L89" s="158"/>
      <c r="N89" s="158"/>
      <c r="Q89" s="20"/>
    </row>
    <row r="90">
      <c r="B90" s="158"/>
      <c r="D90" s="158"/>
      <c r="F90" s="158"/>
      <c r="H90" s="158"/>
      <c r="J90" s="158"/>
      <c r="L90" s="158"/>
      <c r="N90" s="158"/>
      <c r="Q90" s="20"/>
    </row>
    <row r="91">
      <c r="B91" s="158"/>
      <c r="D91" s="158"/>
      <c r="F91" s="158"/>
      <c r="H91" s="158"/>
      <c r="J91" s="158"/>
      <c r="L91" s="158"/>
      <c r="N91" s="158"/>
      <c r="Q91" s="20"/>
    </row>
    <row r="92">
      <c r="B92" s="158"/>
      <c r="D92" s="158"/>
      <c r="F92" s="158"/>
      <c r="H92" s="158"/>
      <c r="J92" s="158"/>
      <c r="L92" s="158"/>
      <c r="N92" s="158"/>
      <c r="Q92" s="20"/>
    </row>
    <row r="93">
      <c r="B93" s="158"/>
      <c r="D93" s="158"/>
      <c r="F93" s="158"/>
      <c r="H93" s="158"/>
      <c r="J93" s="158"/>
      <c r="L93" s="158"/>
      <c r="N93" s="158"/>
      <c r="Q93" s="20"/>
    </row>
    <row r="94">
      <c r="B94" s="158"/>
      <c r="D94" s="158"/>
      <c r="F94" s="158"/>
      <c r="H94" s="158"/>
      <c r="J94" s="158"/>
      <c r="L94" s="158"/>
      <c r="N94" s="158"/>
      <c r="Q94" s="20"/>
    </row>
    <row r="95">
      <c r="B95" s="158"/>
      <c r="D95" s="158"/>
      <c r="F95" s="158"/>
      <c r="H95" s="158"/>
      <c r="J95" s="158"/>
      <c r="L95" s="158"/>
      <c r="N95" s="158"/>
      <c r="Q95" s="20"/>
    </row>
    <row r="96">
      <c r="B96" s="158"/>
      <c r="D96" s="158"/>
      <c r="F96" s="158"/>
      <c r="H96" s="158"/>
      <c r="J96" s="158"/>
      <c r="L96" s="158"/>
      <c r="N96" s="158"/>
      <c r="Q96" s="20"/>
    </row>
    <row r="97">
      <c r="B97" s="158"/>
      <c r="D97" s="158"/>
      <c r="F97" s="158"/>
      <c r="H97" s="158"/>
      <c r="J97" s="158"/>
      <c r="L97" s="158"/>
      <c r="N97" s="158"/>
      <c r="Q97" s="20"/>
    </row>
    <row r="98">
      <c r="B98" s="158"/>
      <c r="D98" s="158"/>
      <c r="F98" s="158"/>
      <c r="H98" s="158"/>
      <c r="J98" s="158"/>
      <c r="L98" s="158"/>
      <c r="N98" s="158"/>
      <c r="Q98" s="20"/>
    </row>
    <row r="99">
      <c r="B99" s="158"/>
      <c r="D99" s="158"/>
      <c r="F99" s="158"/>
      <c r="H99" s="158"/>
      <c r="J99" s="158"/>
      <c r="L99" s="158"/>
      <c r="N99" s="158"/>
      <c r="Q99" s="20"/>
    </row>
    <row r="100">
      <c r="B100" s="158"/>
      <c r="D100" s="158"/>
      <c r="F100" s="158"/>
      <c r="H100" s="158"/>
      <c r="J100" s="158"/>
      <c r="L100" s="158"/>
      <c r="N100" s="158"/>
      <c r="Q100" s="20"/>
    </row>
    <row r="101">
      <c r="B101" s="158"/>
      <c r="D101" s="158"/>
      <c r="F101" s="158"/>
      <c r="H101" s="158"/>
      <c r="J101" s="158"/>
      <c r="L101" s="158"/>
      <c r="N101" s="158"/>
      <c r="Q101" s="20"/>
    </row>
    <row r="102">
      <c r="B102" s="158"/>
      <c r="D102" s="158"/>
      <c r="F102" s="158"/>
      <c r="H102" s="158"/>
      <c r="J102" s="158"/>
      <c r="L102" s="158"/>
      <c r="N102" s="158"/>
      <c r="Q102" s="20"/>
    </row>
    <row r="103">
      <c r="B103" s="158"/>
      <c r="D103" s="158"/>
      <c r="F103" s="158"/>
      <c r="H103" s="158"/>
      <c r="J103" s="158"/>
      <c r="L103" s="158"/>
      <c r="N103" s="158"/>
      <c r="Q103" s="20"/>
    </row>
    <row r="104">
      <c r="B104" s="158"/>
      <c r="D104" s="158"/>
      <c r="F104" s="158"/>
      <c r="H104" s="158"/>
      <c r="J104" s="158"/>
      <c r="L104" s="158"/>
      <c r="N104" s="158"/>
      <c r="Q104" s="20"/>
    </row>
    <row r="105">
      <c r="B105" s="158"/>
      <c r="D105" s="158"/>
      <c r="F105" s="158"/>
      <c r="H105" s="158"/>
      <c r="J105" s="158"/>
      <c r="L105" s="158"/>
      <c r="N105" s="158"/>
      <c r="Q105" s="20"/>
    </row>
    <row r="106">
      <c r="B106" s="158"/>
      <c r="D106" s="158"/>
      <c r="F106" s="158"/>
      <c r="H106" s="158"/>
      <c r="J106" s="158"/>
      <c r="L106" s="158"/>
      <c r="N106" s="158"/>
      <c r="Q106" s="20"/>
    </row>
    <row r="107">
      <c r="B107" s="158"/>
      <c r="D107" s="158"/>
      <c r="F107" s="158"/>
      <c r="H107" s="158"/>
      <c r="J107" s="158"/>
      <c r="L107" s="158"/>
      <c r="N107" s="158"/>
      <c r="Q107" s="20"/>
    </row>
    <row r="108">
      <c r="B108" s="158"/>
      <c r="D108" s="158"/>
      <c r="F108" s="158"/>
      <c r="H108" s="158"/>
      <c r="J108" s="158"/>
      <c r="L108" s="158"/>
      <c r="N108" s="158"/>
      <c r="Q108" s="20"/>
    </row>
    <row r="109">
      <c r="B109" s="158"/>
      <c r="D109" s="158"/>
      <c r="F109" s="158"/>
      <c r="H109" s="158"/>
      <c r="J109" s="158"/>
      <c r="L109" s="158"/>
      <c r="N109" s="158"/>
      <c r="Q109" s="20"/>
    </row>
    <row r="110">
      <c r="B110" s="158"/>
      <c r="D110" s="158"/>
      <c r="F110" s="158"/>
      <c r="H110" s="158"/>
      <c r="J110" s="158"/>
      <c r="L110" s="158"/>
      <c r="N110" s="158"/>
      <c r="Q110" s="20"/>
    </row>
    <row r="111">
      <c r="B111" s="158"/>
      <c r="D111" s="158"/>
      <c r="F111" s="158"/>
      <c r="H111" s="158"/>
      <c r="J111" s="158"/>
      <c r="L111" s="158"/>
      <c r="N111" s="158"/>
      <c r="Q111" s="20"/>
    </row>
    <row r="112">
      <c r="B112" s="158"/>
      <c r="D112" s="158"/>
      <c r="F112" s="158"/>
      <c r="H112" s="158"/>
      <c r="J112" s="158"/>
      <c r="L112" s="158"/>
      <c r="N112" s="158"/>
      <c r="Q112" s="20"/>
    </row>
    <row r="113">
      <c r="B113" s="158"/>
      <c r="D113" s="158"/>
      <c r="F113" s="158"/>
      <c r="H113" s="158"/>
      <c r="J113" s="158"/>
      <c r="L113" s="158"/>
      <c r="N113" s="158"/>
      <c r="Q113" s="20"/>
    </row>
    <row r="114">
      <c r="B114" s="158"/>
      <c r="D114" s="158"/>
      <c r="F114" s="158"/>
      <c r="H114" s="158"/>
      <c r="J114" s="158"/>
      <c r="L114" s="158"/>
      <c r="N114" s="158"/>
      <c r="Q114" s="20"/>
    </row>
    <row r="115">
      <c r="B115" s="158"/>
      <c r="D115" s="158"/>
      <c r="F115" s="158"/>
      <c r="H115" s="158"/>
      <c r="J115" s="158"/>
      <c r="L115" s="158"/>
      <c r="N115" s="158"/>
      <c r="Q115" s="20"/>
    </row>
    <row r="116">
      <c r="B116" s="158"/>
      <c r="D116" s="158"/>
      <c r="F116" s="158"/>
      <c r="H116" s="158"/>
      <c r="J116" s="158"/>
      <c r="L116" s="158"/>
      <c r="N116" s="158"/>
      <c r="Q116" s="20"/>
    </row>
    <row r="117">
      <c r="B117" s="158"/>
      <c r="D117" s="158"/>
      <c r="F117" s="158"/>
      <c r="H117" s="158"/>
      <c r="J117" s="158"/>
      <c r="L117" s="158"/>
      <c r="N117" s="158"/>
      <c r="Q117" s="20"/>
    </row>
    <row r="118">
      <c r="B118" s="158"/>
      <c r="D118" s="158"/>
      <c r="F118" s="158"/>
      <c r="H118" s="158"/>
      <c r="J118" s="158"/>
      <c r="L118" s="158"/>
      <c r="N118" s="158"/>
      <c r="Q118" s="20"/>
    </row>
    <row r="119">
      <c r="B119" s="158"/>
      <c r="D119" s="158"/>
      <c r="F119" s="158"/>
      <c r="H119" s="158"/>
      <c r="J119" s="158"/>
      <c r="L119" s="158"/>
      <c r="N119" s="158"/>
      <c r="Q119" s="20"/>
    </row>
    <row r="120">
      <c r="B120" s="158"/>
      <c r="D120" s="158"/>
      <c r="F120" s="158"/>
      <c r="H120" s="158"/>
      <c r="J120" s="158"/>
      <c r="L120" s="158"/>
      <c r="N120" s="158"/>
      <c r="Q120" s="20"/>
    </row>
    <row r="121">
      <c r="B121" s="158"/>
      <c r="D121" s="158"/>
      <c r="F121" s="158"/>
      <c r="H121" s="158"/>
      <c r="J121" s="158"/>
      <c r="L121" s="158"/>
      <c r="N121" s="158"/>
      <c r="Q121" s="20"/>
    </row>
    <row r="122">
      <c r="B122" s="158"/>
      <c r="D122" s="158"/>
      <c r="F122" s="158"/>
      <c r="H122" s="158"/>
      <c r="J122" s="158"/>
      <c r="L122" s="158"/>
      <c r="N122" s="158"/>
      <c r="Q122" s="20"/>
    </row>
    <row r="123">
      <c r="B123" s="158"/>
      <c r="D123" s="158"/>
      <c r="F123" s="158"/>
      <c r="H123" s="158"/>
      <c r="J123" s="158"/>
      <c r="L123" s="158"/>
      <c r="N123" s="158"/>
      <c r="Q123" s="20"/>
    </row>
    <row r="124">
      <c r="B124" s="158"/>
      <c r="D124" s="158"/>
      <c r="F124" s="158"/>
      <c r="H124" s="158"/>
      <c r="J124" s="158"/>
      <c r="L124" s="158"/>
      <c r="N124" s="158"/>
      <c r="Q124" s="20"/>
    </row>
    <row r="125">
      <c r="B125" s="158"/>
      <c r="D125" s="158"/>
      <c r="F125" s="158"/>
      <c r="H125" s="158"/>
      <c r="J125" s="158"/>
      <c r="L125" s="158"/>
      <c r="N125" s="158"/>
      <c r="Q125" s="20"/>
    </row>
    <row r="126">
      <c r="B126" s="158"/>
      <c r="D126" s="158"/>
      <c r="F126" s="158"/>
      <c r="H126" s="158"/>
      <c r="J126" s="158"/>
      <c r="L126" s="158"/>
      <c r="N126" s="158"/>
      <c r="Q126" s="20"/>
    </row>
    <row r="127">
      <c r="B127" s="158"/>
      <c r="D127" s="158"/>
      <c r="F127" s="158"/>
      <c r="H127" s="158"/>
      <c r="J127" s="158"/>
      <c r="L127" s="158"/>
      <c r="N127" s="158"/>
      <c r="Q127" s="20"/>
    </row>
    <row r="128">
      <c r="B128" s="158"/>
      <c r="D128" s="158"/>
      <c r="F128" s="158"/>
      <c r="H128" s="158"/>
      <c r="J128" s="158"/>
      <c r="L128" s="158"/>
      <c r="N128" s="158"/>
      <c r="Q128" s="20"/>
    </row>
    <row r="129">
      <c r="B129" s="158"/>
      <c r="D129" s="158"/>
      <c r="F129" s="158"/>
      <c r="H129" s="158"/>
      <c r="J129" s="158"/>
      <c r="L129" s="158"/>
      <c r="N129" s="158"/>
      <c r="Q129" s="20"/>
    </row>
    <row r="130">
      <c r="B130" s="158"/>
      <c r="D130" s="158"/>
      <c r="F130" s="158"/>
      <c r="H130" s="158"/>
      <c r="J130" s="158"/>
      <c r="L130" s="158"/>
      <c r="N130" s="158"/>
      <c r="Q130" s="20"/>
    </row>
    <row r="131">
      <c r="B131" s="158"/>
      <c r="D131" s="158"/>
      <c r="F131" s="158"/>
      <c r="H131" s="158"/>
      <c r="J131" s="158"/>
      <c r="L131" s="158"/>
      <c r="N131" s="158"/>
      <c r="Q131" s="20"/>
    </row>
    <row r="132">
      <c r="B132" s="158"/>
      <c r="D132" s="158"/>
      <c r="F132" s="158"/>
      <c r="H132" s="158"/>
      <c r="J132" s="158"/>
      <c r="L132" s="158"/>
      <c r="N132" s="158"/>
      <c r="Q132" s="20"/>
    </row>
    <row r="133">
      <c r="B133" s="158"/>
      <c r="D133" s="158"/>
      <c r="F133" s="158"/>
      <c r="H133" s="158"/>
      <c r="J133" s="158"/>
      <c r="L133" s="158"/>
      <c r="N133" s="158"/>
      <c r="Q133" s="20"/>
    </row>
    <row r="134">
      <c r="B134" s="158"/>
      <c r="D134" s="158"/>
      <c r="F134" s="158"/>
      <c r="H134" s="158"/>
      <c r="J134" s="158"/>
      <c r="L134" s="158"/>
      <c r="N134" s="158"/>
      <c r="Q134" s="20"/>
    </row>
    <row r="135">
      <c r="B135" s="158"/>
      <c r="D135" s="158"/>
      <c r="F135" s="158"/>
      <c r="H135" s="158"/>
      <c r="J135" s="158"/>
      <c r="L135" s="158"/>
      <c r="N135" s="158"/>
      <c r="Q135" s="20"/>
    </row>
    <row r="136">
      <c r="B136" s="158"/>
      <c r="D136" s="158"/>
      <c r="F136" s="158"/>
      <c r="H136" s="158"/>
      <c r="J136" s="158"/>
      <c r="L136" s="158"/>
      <c r="N136" s="158"/>
      <c r="Q136" s="20"/>
    </row>
    <row r="137">
      <c r="B137" s="158"/>
      <c r="D137" s="158"/>
      <c r="F137" s="158"/>
      <c r="H137" s="158"/>
      <c r="J137" s="158"/>
      <c r="L137" s="158"/>
      <c r="N137" s="158"/>
      <c r="Q137" s="20"/>
    </row>
    <row r="138">
      <c r="B138" s="158"/>
      <c r="D138" s="158"/>
      <c r="F138" s="158"/>
      <c r="H138" s="158"/>
      <c r="J138" s="158"/>
      <c r="L138" s="158"/>
      <c r="N138" s="158"/>
      <c r="Q138" s="20"/>
    </row>
    <row r="139">
      <c r="B139" s="158"/>
      <c r="D139" s="158"/>
      <c r="F139" s="158"/>
      <c r="H139" s="158"/>
      <c r="J139" s="158"/>
      <c r="L139" s="158"/>
      <c r="N139" s="158"/>
      <c r="Q139" s="20"/>
    </row>
    <row r="140">
      <c r="B140" s="158"/>
      <c r="D140" s="158"/>
      <c r="F140" s="158"/>
      <c r="H140" s="158"/>
      <c r="J140" s="158"/>
      <c r="L140" s="158"/>
      <c r="N140" s="158"/>
      <c r="Q140" s="20"/>
    </row>
    <row r="141">
      <c r="B141" s="158"/>
      <c r="D141" s="158"/>
      <c r="F141" s="158"/>
      <c r="H141" s="158"/>
      <c r="J141" s="158"/>
      <c r="L141" s="158"/>
      <c r="N141" s="158"/>
      <c r="Q141" s="20"/>
    </row>
    <row r="142">
      <c r="B142" s="158"/>
      <c r="D142" s="158"/>
      <c r="F142" s="158"/>
      <c r="H142" s="158"/>
      <c r="J142" s="158"/>
      <c r="L142" s="158"/>
      <c r="N142" s="158"/>
      <c r="Q142" s="20"/>
    </row>
    <row r="143">
      <c r="B143" s="158"/>
      <c r="D143" s="158"/>
      <c r="F143" s="158"/>
      <c r="H143" s="158"/>
      <c r="J143" s="158"/>
      <c r="L143" s="158"/>
      <c r="N143" s="158"/>
      <c r="Q143" s="20"/>
    </row>
    <row r="144">
      <c r="B144" s="158"/>
      <c r="D144" s="158"/>
      <c r="F144" s="158"/>
      <c r="H144" s="158"/>
      <c r="J144" s="158"/>
      <c r="L144" s="158"/>
      <c r="N144" s="158"/>
      <c r="Q144" s="20"/>
    </row>
    <row r="145">
      <c r="B145" s="158"/>
      <c r="D145" s="158"/>
      <c r="F145" s="158"/>
      <c r="H145" s="158"/>
      <c r="J145" s="158"/>
      <c r="L145" s="158"/>
      <c r="N145" s="158"/>
      <c r="Q145" s="20"/>
    </row>
    <row r="146">
      <c r="B146" s="158"/>
      <c r="D146" s="158"/>
      <c r="F146" s="158"/>
      <c r="H146" s="158"/>
      <c r="J146" s="158"/>
      <c r="L146" s="158"/>
      <c r="N146" s="158"/>
      <c r="Q146" s="20"/>
    </row>
    <row r="147">
      <c r="B147" s="158"/>
      <c r="D147" s="158"/>
      <c r="F147" s="158"/>
      <c r="H147" s="158"/>
      <c r="J147" s="158"/>
      <c r="L147" s="158"/>
      <c r="N147" s="158"/>
      <c r="Q147" s="20"/>
    </row>
    <row r="148">
      <c r="B148" s="158"/>
      <c r="D148" s="158"/>
      <c r="F148" s="158"/>
      <c r="H148" s="158"/>
      <c r="J148" s="158"/>
      <c r="L148" s="158"/>
      <c r="N148" s="158"/>
      <c r="Q148" s="20"/>
    </row>
    <row r="149">
      <c r="B149" s="158"/>
      <c r="D149" s="158"/>
      <c r="F149" s="158"/>
      <c r="H149" s="158"/>
      <c r="J149" s="158"/>
      <c r="L149" s="158"/>
      <c r="N149" s="158"/>
      <c r="Q149" s="20"/>
    </row>
    <row r="150">
      <c r="B150" s="158"/>
      <c r="D150" s="158"/>
      <c r="F150" s="158"/>
      <c r="H150" s="158"/>
      <c r="J150" s="158"/>
      <c r="L150" s="158"/>
      <c r="N150" s="158"/>
      <c r="Q150" s="20"/>
    </row>
    <row r="151">
      <c r="B151" s="158"/>
      <c r="D151" s="158"/>
      <c r="F151" s="158"/>
      <c r="H151" s="158"/>
      <c r="J151" s="158"/>
      <c r="L151" s="158"/>
      <c r="N151" s="158"/>
      <c r="Q151" s="20"/>
    </row>
    <row r="152">
      <c r="B152" s="158"/>
      <c r="D152" s="158"/>
      <c r="F152" s="158"/>
      <c r="H152" s="158"/>
      <c r="J152" s="158"/>
      <c r="L152" s="158"/>
      <c r="N152" s="158"/>
      <c r="Q152" s="20"/>
    </row>
    <row r="153">
      <c r="B153" s="158"/>
      <c r="D153" s="158"/>
      <c r="F153" s="158"/>
      <c r="H153" s="158"/>
      <c r="J153" s="158"/>
      <c r="L153" s="158"/>
      <c r="N153" s="158"/>
      <c r="Q153" s="20"/>
    </row>
    <row r="154">
      <c r="B154" s="158"/>
      <c r="D154" s="158"/>
      <c r="F154" s="158"/>
      <c r="H154" s="158"/>
      <c r="J154" s="158"/>
      <c r="L154" s="158"/>
      <c r="N154" s="158"/>
      <c r="Q154" s="20"/>
    </row>
    <row r="155">
      <c r="B155" s="158"/>
      <c r="D155" s="158"/>
      <c r="F155" s="158"/>
      <c r="H155" s="158"/>
      <c r="J155" s="158"/>
      <c r="L155" s="158"/>
      <c r="N155" s="158"/>
      <c r="Q155" s="20"/>
    </row>
    <row r="156">
      <c r="B156" s="158"/>
      <c r="D156" s="158"/>
      <c r="F156" s="158"/>
      <c r="H156" s="158"/>
      <c r="J156" s="158"/>
      <c r="L156" s="158"/>
      <c r="N156" s="158"/>
      <c r="Q156" s="20"/>
    </row>
    <row r="157">
      <c r="B157" s="158"/>
      <c r="D157" s="158"/>
      <c r="F157" s="158"/>
      <c r="H157" s="158"/>
      <c r="J157" s="158"/>
      <c r="L157" s="158"/>
      <c r="N157" s="158"/>
      <c r="Q157" s="20"/>
    </row>
    <row r="158">
      <c r="B158" s="158"/>
      <c r="D158" s="158"/>
      <c r="F158" s="158"/>
      <c r="H158" s="158"/>
      <c r="J158" s="158"/>
      <c r="L158" s="158"/>
      <c r="N158" s="158"/>
      <c r="Q158" s="20"/>
    </row>
    <row r="159">
      <c r="B159" s="158"/>
      <c r="D159" s="158"/>
      <c r="F159" s="158"/>
      <c r="H159" s="158"/>
      <c r="J159" s="158"/>
      <c r="L159" s="158"/>
      <c r="N159" s="158"/>
      <c r="Q159" s="20"/>
    </row>
    <row r="160">
      <c r="B160" s="158"/>
      <c r="D160" s="158"/>
      <c r="F160" s="158"/>
      <c r="H160" s="158"/>
      <c r="J160" s="158"/>
      <c r="L160" s="158"/>
      <c r="N160" s="158"/>
      <c r="Q160" s="20"/>
    </row>
    <row r="161">
      <c r="B161" s="158"/>
      <c r="D161" s="158"/>
      <c r="F161" s="158"/>
      <c r="H161" s="158"/>
      <c r="J161" s="158"/>
      <c r="L161" s="158"/>
      <c r="N161" s="158"/>
      <c r="Q161" s="20"/>
    </row>
    <row r="162">
      <c r="B162" s="158"/>
      <c r="D162" s="158"/>
      <c r="F162" s="158"/>
      <c r="H162" s="158"/>
      <c r="J162" s="158"/>
      <c r="L162" s="158"/>
      <c r="N162" s="158"/>
      <c r="Q162" s="20"/>
    </row>
    <row r="163">
      <c r="B163" s="158"/>
      <c r="D163" s="158"/>
      <c r="F163" s="158"/>
      <c r="H163" s="158"/>
      <c r="J163" s="158"/>
      <c r="L163" s="158"/>
      <c r="N163" s="158"/>
      <c r="Q163" s="20"/>
    </row>
    <row r="164">
      <c r="B164" s="158"/>
      <c r="D164" s="158"/>
      <c r="F164" s="158"/>
      <c r="H164" s="158"/>
      <c r="J164" s="158"/>
      <c r="L164" s="158"/>
      <c r="N164" s="158"/>
      <c r="Q164" s="20"/>
    </row>
    <row r="165">
      <c r="B165" s="158"/>
      <c r="D165" s="158"/>
      <c r="F165" s="158"/>
      <c r="H165" s="158"/>
      <c r="J165" s="158"/>
      <c r="L165" s="158"/>
      <c r="N165" s="158"/>
      <c r="Q165" s="20"/>
    </row>
    <row r="166">
      <c r="B166" s="158"/>
      <c r="D166" s="158"/>
      <c r="F166" s="158"/>
      <c r="H166" s="158"/>
      <c r="J166" s="158"/>
      <c r="L166" s="158"/>
      <c r="N166" s="158"/>
      <c r="Q166" s="20"/>
    </row>
    <row r="167">
      <c r="B167" s="158"/>
      <c r="D167" s="158"/>
      <c r="F167" s="158"/>
      <c r="H167" s="158"/>
      <c r="J167" s="158"/>
      <c r="L167" s="158"/>
      <c r="N167" s="158"/>
      <c r="Q167" s="20"/>
    </row>
    <row r="168">
      <c r="B168" s="158"/>
      <c r="D168" s="158"/>
      <c r="F168" s="158"/>
      <c r="H168" s="158"/>
      <c r="J168" s="158"/>
      <c r="L168" s="158"/>
      <c r="N168" s="158"/>
      <c r="Q168" s="20"/>
    </row>
    <row r="169">
      <c r="B169" s="158"/>
      <c r="D169" s="158"/>
      <c r="F169" s="158"/>
      <c r="H169" s="158"/>
      <c r="J169" s="158"/>
      <c r="L169" s="158"/>
      <c r="N169" s="158"/>
      <c r="Q169" s="20"/>
    </row>
    <row r="170">
      <c r="B170" s="158"/>
      <c r="D170" s="158"/>
      <c r="F170" s="158"/>
      <c r="H170" s="158"/>
      <c r="J170" s="158"/>
      <c r="L170" s="158"/>
      <c r="N170" s="158"/>
      <c r="Q170" s="20"/>
    </row>
    <row r="171">
      <c r="B171" s="158"/>
      <c r="D171" s="158"/>
      <c r="F171" s="158"/>
      <c r="H171" s="158"/>
      <c r="J171" s="158"/>
      <c r="L171" s="158"/>
      <c r="N171" s="158"/>
      <c r="Q171" s="20"/>
    </row>
    <row r="172">
      <c r="B172" s="158"/>
      <c r="D172" s="158"/>
      <c r="F172" s="158"/>
      <c r="H172" s="158"/>
      <c r="J172" s="158"/>
      <c r="L172" s="158"/>
      <c r="N172" s="158"/>
      <c r="Q172" s="20"/>
    </row>
    <row r="173">
      <c r="B173" s="158"/>
      <c r="D173" s="158"/>
      <c r="F173" s="158"/>
      <c r="H173" s="158"/>
      <c r="J173" s="158"/>
      <c r="L173" s="158"/>
      <c r="N173" s="158"/>
      <c r="Q173" s="20"/>
    </row>
    <row r="174">
      <c r="B174" s="158"/>
      <c r="D174" s="158"/>
      <c r="F174" s="158"/>
      <c r="H174" s="158"/>
      <c r="J174" s="158"/>
      <c r="L174" s="158"/>
      <c r="N174" s="158"/>
      <c r="Q174" s="20"/>
    </row>
    <row r="175">
      <c r="B175" s="158"/>
      <c r="D175" s="158"/>
      <c r="F175" s="158"/>
      <c r="H175" s="158"/>
      <c r="J175" s="158"/>
      <c r="L175" s="158"/>
      <c r="N175" s="158"/>
      <c r="Q175" s="20"/>
    </row>
    <row r="176">
      <c r="B176" s="158"/>
      <c r="D176" s="158"/>
      <c r="F176" s="158"/>
      <c r="H176" s="158"/>
      <c r="J176" s="158"/>
      <c r="L176" s="158"/>
      <c r="N176" s="158"/>
      <c r="Q176" s="20"/>
    </row>
    <row r="177">
      <c r="B177" s="158"/>
      <c r="D177" s="158"/>
      <c r="F177" s="158"/>
      <c r="H177" s="158"/>
      <c r="J177" s="158"/>
      <c r="L177" s="158"/>
      <c r="N177" s="158"/>
      <c r="Q177" s="20"/>
    </row>
    <row r="178">
      <c r="B178" s="158"/>
      <c r="D178" s="158"/>
      <c r="F178" s="158"/>
      <c r="H178" s="158"/>
      <c r="J178" s="158"/>
      <c r="L178" s="158"/>
      <c r="N178" s="158"/>
      <c r="Q178" s="20"/>
    </row>
    <row r="179">
      <c r="B179" s="158"/>
      <c r="D179" s="158"/>
      <c r="F179" s="158"/>
      <c r="H179" s="158"/>
      <c r="J179" s="158"/>
      <c r="L179" s="158"/>
      <c r="N179" s="158"/>
      <c r="Q179" s="20"/>
    </row>
    <row r="180">
      <c r="B180" s="158"/>
      <c r="D180" s="158"/>
      <c r="F180" s="158"/>
      <c r="H180" s="158"/>
      <c r="J180" s="158"/>
      <c r="L180" s="158"/>
      <c r="N180" s="158"/>
      <c r="Q180" s="20"/>
    </row>
    <row r="181">
      <c r="B181" s="158"/>
      <c r="D181" s="158"/>
      <c r="F181" s="158"/>
      <c r="H181" s="158"/>
      <c r="J181" s="158"/>
      <c r="L181" s="158"/>
      <c r="N181" s="158"/>
      <c r="Q181" s="20"/>
    </row>
    <row r="182">
      <c r="B182" s="158"/>
      <c r="D182" s="158"/>
      <c r="F182" s="158"/>
      <c r="H182" s="158"/>
      <c r="J182" s="158"/>
      <c r="L182" s="158"/>
      <c r="N182" s="158"/>
      <c r="Q182" s="20"/>
    </row>
    <row r="183">
      <c r="B183" s="158"/>
      <c r="D183" s="158"/>
      <c r="F183" s="158"/>
      <c r="H183" s="158"/>
      <c r="J183" s="158"/>
      <c r="L183" s="158"/>
      <c r="N183" s="158"/>
      <c r="Q183" s="20"/>
    </row>
    <row r="184">
      <c r="B184" s="158"/>
      <c r="D184" s="158"/>
      <c r="F184" s="158"/>
      <c r="H184" s="158"/>
      <c r="J184" s="158"/>
      <c r="L184" s="158"/>
      <c r="N184" s="158"/>
      <c r="Q184" s="20"/>
    </row>
    <row r="185">
      <c r="B185" s="158"/>
      <c r="D185" s="158"/>
      <c r="F185" s="158"/>
      <c r="H185" s="158"/>
      <c r="J185" s="158"/>
      <c r="L185" s="158"/>
      <c r="N185" s="158"/>
      <c r="Q185" s="20"/>
    </row>
    <row r="186">
      <c r="B186" s="158"/>
      <c r="D186" s="158"/>
      <c r="F186" s="158"/>
      <c r="H186" s="158"/>
      <c r="J186" s="158"/>
      <c r="L186" s="158"/>
      <c r="N186" s="158"/>
      <c r="Q186" s="20"/>
    </row>
    <row r="187">
      <c r="B187" s="158"/>
      <c r="D187" s="158"/>
      <c r="F187" s="158"/>
      <c r="H187" s="158"/>
      <c r="J187" s="158"/>
      <c r="L187" s="158"/>
      <c r="N187" s="158"/>
      <c r="Q187" s="20"/>
    </row>
    <row r="188">
      <c r="B188" s="158"/>
      <c r="D188" s="158"/>
      <c r="F188" s="158"/>
      <c r="H188" s="158"/>
      <c r="J188" s="158"/>
      <c r="L188" s="158"/>
      <c r="N188" s="158"/>
      <c r="Q188" s="20"/>
    </row>
    <row r="189">
      <c r="B189" s="158"/>
      <c r="D189" s="158"/>
      <c r="F189" s="158"/>
      <c r="H189" s="158"/>
      <c r="J189" s="158"/>
      <c r="L189" s="158"/>
      <c r="N189" s="158"/>
      <c r="Q189" s="20"/>
    </row>
    <row r="190">
      <c r="B190" s="158"/>
      <c r="D190" s="158"/>
      <c r="F190" s="158"/>
      <c r="H190" s="158"/>
      <c r="J190" s="158"/>
      <c r="L190" s="158"/>
      <c r="N190" s="158"/>
      <c r="Q190" s="20"/>
    </row>
    <row r="191">
      <c r="B191" s="158"/>
      <c r="D191" s="158"/>
      <c r="F191" s="158"/>
      <c r="H191" s="158"/>
      <c r="J191" s="158"/>
      <c r="L191" s="158"/>
      <c r="N191" s="158"/>
      <c r="Q191" s="20"/>
    </row>
    <row r="192">
      <c r="B192" s="158"/>
      <c r="D192" s="158"/>
      <c r="F192" s="158"/>
      <c r="H192" s="158"/>
      <c r="J192" s="158"/>
      <c r="L192" s="158"/>
      <c r="N192" s="158"/>
      <c r="Q192" s="20"/>
    </row>
    <row r="193">
      <c r="B193" s="158"/>
      <c r="D193" s="158"/>
      <c r="F193" s="158"/>
      <c r="H193" s="158"/>
      <c r="J193" s="158"/>
      <c r="L193" s="158"/>
      <c r="N193" s="158"/>
      <c r="Q193" s="20"/>
    </row>
    <row r="194">
      <c r="B194" s="158"/>
      <c r="D194" s="158"/>
      <c r="F194" s="158"/>
      <c r="H194" s="158"/>
      <c r="J194" s="158"/>
      <c r="L194" s="158"/>
      <c r="N194" s="158"/>
      <c r="Q194" s="20"/>
    </row>
    <row r="195">
      <c r="B195" s="158"/>
      <c r="D195" s="158"/>
      <c r="F195" s="158"/>
      <c r="H195" s="158"/>
      <c r="J195" s="158"/>
      <c r="L195" s="158"/>
      <c r="N195" s="158"/>
      <c r="Q195" s="20"/>
    </row>
    <row r="196">
      <c r="B196" s="158"/>
      <c r="D196" s="158"/>
      <c r="F196" s="158"/>
      <c r="H196" s="158"/>
      <c r="J196" s="158"/>
      <c r="L196" s="158"/>
      <c r="N196" s="158"/>
      <c r="Q196" s="20"/>
    </row>
    <row r="197">
      <c r="B197" s="158"/>
      <c r="D197" s="158"/>
      <c r="F197" s="158"/>
      <c r="H197" s="158"/>
      <c r="J197" s="158"/>
      <c r="L197" s="158"/>
      <c r="N197" s="158"/>
      <c r="Q197" s="20"/>
    </row>
    <row r="198">
      <c r="B198" s="158"/>
      <c r="D198" s="158"/>
      <c r="F198" s="158"/>
      <c r="H198" s="158"/>
      <c r="J198" s="158"/>
      <c r="L198" s="158"/>
      <c r="N198" s="158"/>
      <c r="Q198" s="20"/>
    </row>
    <row r="199">
      <c r="B199" s="158"/>
      <c r="D199" s="158"/>
      <c r="F199" s="158"/>
      <c r="H199" s="158"/>
      <c r="J199" s="158"/>
      <c r="L199" s="158"/>
      <c r="N199" s="158"/>
      <c r="Q199" s="20"/>
    </row>
    <row r="200">
      <c r="B200" s="158"/>
      <c r="D200" s="158"/>
      <c r="F200" s="158"/>
      <c r="H200" s="158"/>
      <c r="J200" s="158"/>
      <c r="L200" s="158"/>
      <c r="N200" s="158"/>
      <c r="Q200" s="20"/>
    </row>
    <row r="201">
      <c r="B201" s="158"/>
      <c r="D201" s="158"/>
      <c r="F201" s="158"/>
      <c r="H201" s="158"/>
      <c r="J201" s="158"/>
      <c r="L201" s="158"/>
      <c r="N201" s="158"/>
      <c r="Q201" s="20"/>
    </row>
    <row r="202">
      <c r="B202" s="158"/>
      <c r="D202" s="158"/>
      <c r="F202" s="158"/>
      <c r="H202" s="158"/>
      <c r="J202" s="158"/>
      <c r="L202" s="158"/>
      <c r="N202" s="158"/>
      <c r="Q202" s="20"/>
    </row>
    <row r="203">
      <c r="B203" s="158"/>
      <c r="D203" s="158"/>
      <c r="F203" s="158"/>
      <c r="H203" s="158"/>
      <c r="J203" s="158"/>
      <c r="L203" s="158"/>
      <c r="N203" s="158"/>
      <c r="Q203" s="20"/>
    </row>
    <row r="204">
      <c r="B204" s="158"/>
      <c r="D204" s="158"/>
      <c r="F204" s="158"/>
      <c r="H204" s="158"/>
      <c r="J204" s="158"/>
      <c r="L204" s="158"/>
      <c r="N204" s="158"/>
      <c r="Q204" s="20"/>
    </row>
    <row r="205">
      <c r="B205" s="158"/>
      <c r="D205" s="158"/>
      <c r="F205" s="158"/>
      <c r="H205" s="158"/>
      <c r="J205" s="158"/>
      <c r="L205" s="158"/>
      <c r="N205" s="158"/>
      <c r="Q205" s="20"/>
    </row>
    <row r="206">
      <c r="B206" s="158"/>
      <c r="D206" s="158"/>
      <c r="F206" s="158"/>
      <c r="H206" s="158"/>
      <c r="J206" s="158"/>
      <c r="L206" s="158"/>
      <c r="N206" s="158"/>
      <c r="Q206" s="20"/>
    </row>
    <row r="207">
      <c r="B207" s="158"/>
      <c r="D207" s="158"/>
      <c r="F207" s="158"/>
      <c r="H207" s="158"/>
      <c r="J207" s="158"/>
      <c r="L207" s="158"/>
      <c r="N207" s="158"/>
      <c r="Q207" s="20"/>
    </row>
    <row r="208">
      <c r="B208" s="158"/>
      <c r="D208" s="158"/>
      <c r="F208" s="158"/>
      <c r="H208" s="158"/>
      <c r="J208" s="158"/>
      <c r="L208" s="158"/>
      <c r="N208" s="158"/>
      <c r="Q208" s="20"/>
    </row>
    <row r="209">
      <c r="B209" s="158"/>
      <c r="D209" s="158"/>
      <c r="F209" s="158"/>
      <c r="H209" s="158"/>
      <c r="J209" s="158"/>
      <c r="L209" s="158"/>
      <c r="N209" s="158"/>
      <c r="Q209" s="20"/>
    </row>
    <row r="210">
      <c r="B210" s="158"/>
      <c r="D210" s="158"/>
      <c r="F210" s="158"/>
      <c r="H210" s="158"/>
      <c r="J210" s="158"/>
      <c r="L210" s="158"/>
      <c r="N210" s="158"/>
      <c r="Q210" s="20"/>
    </row>
    <row r="211">
      <c r="B211" s="158"/>
      <c r="D211" s="158"/>
      <c r="F211" s="158"/>
      <c r="H211" s="158"/>
      <c r="J211" s="158"/>
      <c r="L211" s="158"/>
      <c r="N211" s="158"/>
      <c r="Q211" s="20"/>
    </row>
    <row r="212">
      <c r="B212" s="158"/>
      <c r="D212" s="158"/>
      <c r="F212" s="158"/>
      <c r="H212" s="158"/>
      <c r="J212" s="158"/>
      <c r="L212" s="158"/>
      <c r="N212" s="158"/>
      <c r="Q212" s="20"/>
    </row>
    <row r="213">
      <c r="B213" s="158"/>
      <c r="D213" s="158"/>
      <c r="F213" s="158"/>
      <c r="H213" s="158"/>
      <c r="J213" s="158"/>
      <c r="L213" s="158"/>
      <c r="N213" s="158"/>
      <c r="Q213" s="20"/>
    </row>
    <row r="214">
      <c r="B214" s="158"/>
      <c r="D214" s="158"/>
      <c r="F214" s="158"/>
      <c r="H214" s="158"/>
      <c r="J214" s="158"/>
      <c r="L214" s="158"/>
      <c r="N214" s="158"/>
      <c r="Q214" s="20"/>
    </row>
    <row r="215">
      <c r="B215" s="158"/>
      <c r="D215" s="158"/>
      <c r="F215" s="158"/>
      <c r="H215" s="158"/>
      <c r="J215" s="158"/>
      <c r="L215" s="158"/>
      <c r="N215" s="158"/>
      <c r="Q215" s="20"/>
    </row>
    <row r="216">
      <c r="B216" s="158"/>
      <c r="D216" s="158"/>
      <c r="F216" s="158"/>
      <c r="H216" s="158"/>
      <c r="J216" s="158"/>
      <c r="L216" s="158"/>
      <c r="N216" s="158"/>
      <c r="Q216" s="20"/>
    </row>
    <row r="217">
      <c r="B217" s="158"/>
      <c r="D217" s="158"/>
      <c r="F217" s="158"/>
      <c r="H217" s="158"/>
      <c r="J217" s="158"/>
      <c r="L217" s="158"/>
      <c r="N217" s="158"/>
      <c r="Q217" s="20"/>
    </row>
    <row r="218">
      <c r="B218" s="158"/>
      <c r="D218" s="158"/>
      <c r="F218" s="158"/>
      <c r="H218" s="158"/>
      <c r="J218" s="158"/>
      <c r="L218" s="158"/>
      <c r="N218" s="158"/>
      <c r="Q218" s="20"/>
    </row>
    <row r="219">
      <c r="B219" s="158"/>
      <c r="D219" s="158"/>
      <c r="F219" s="158"/>
      <c r="H219" s="158"/>
      <c r="J219" s="158"/>
      <c r="L219" s="158"/>
      <c r="N219" s="158"/>
      <c r="Q219" s="20"/>
    </row>
    <row r="220">
      <c r="B220" s="158"/>
      <c r="D220" s="158"/>
      <c r="F220" s="158"/>
      <c r="H220" s="158"/>
      <c r="J220" s="158"/>
      <c r="L220" s="158"/>
      <c r="N220" s="158"/>
      <c r="Q220" s="20"/>
    </row>
    <row r="221">
      <c r="B221" s="158"/>
      <c r="D221" s="158"/>
      <c r="F221" s="158"/>
      <c r="H221" s="158"/>
      <c r="J221" s="158"/>
      <c r="L221" s="158"/>
      <c r="N221" s="158"/>
      <c r="Q221" s="20"/>
    </row>
    <row r="222">
      <c r="B222" s="158"/>
      <c r="D222" s="158"/>
      <c r="F222" s="158"/>
      <c r="H222" s="158"/>
      <c r="J222" s="158"/>
      <c r="L222" s="158"/>
      <c r="N222" s="158"/>
      <c r="Q222" s="20"/>
    </row>
    <row r="223">
      <c r="B223" s="158"/>
      <c r="D223" s="158"/>
      <c r="F223" s="158"/>
      <c r="H223" s="158"/>
      <c r="J223" s="158"/>
      <c r="L223" s="158"/>
      <c r="N223" s="158"/>
      <c r="Q223" s="20"/>
    </row>
    <row r="224">
      <c r="B224" s="158"/>
      <c r="D224" s="158"/>
      <c r="F224" s="158"/>
      <c r="H224" s="158"/>
      <c r="J224" s="158"/>
      <c r="L224" s="158"/>
      <c r="N224" s="158"/>
      <c r="Q224" s="20"/>
    </row>
    <row r="225">
      <c r="B225" s="158"/>
      <c r="D225" s="158"/>
      <c r="F225" s="158"/>
      <c r="H225" s="158"/>
      <c r="J225" s="158"/>
      <c r="L225" s="158"/>
      <c r="N225" s="158"/>
      <c r="Q225" s="20"/>
    </row>
    <row r="226">
      <c r="B226" s="158"/>
      <c r="D226" s="158"/>
      <c r="F226" s="158"/>
      <c r="H226" s="158"/>
      <c r="J226" s="158"/>
      <c r="L226" s="158"/>
      <c r="N226" s="158"/>
      <c r="Q226" s="20"/>
    </row>
    <row r="227">
      <c r="B227" s="158"/>
      <c r="D227" s="158"/>
      <c r="F227" s="158"/>
      <c r="H227" s="158"/>
      <c r="J227" s="158"/>
      <c r="L227" s="158"/>
      <c r="N227" s="158"/>
      <c r="Q227" s="20"/>
    </row>
    <row r="228">
      <c r="B228" s="158"/>
      <c r="D228" s="158"/>
      <c r="F228" s="158"/>
      <c r="H228" s="158"/>
      <c r="J228" s="158"/>
      <c r="L228" s="158"/>
      <c r="N228" s="158"/>
      <c r="Q228" s="20"/>
    </row>
    <row r="229">
      <c r="B229" s="158"/>
      <c r="D229" s="158"/>
      <c r="F229" s="158"/>
      <c r="H229" s="158"/>
      <c r="J229" s="158"/>
      <c r="L229" s="158"/>
      <c r="N229" s="158"/>
      <c r="Q229" s="20"/>
    </row>
    <row r="230">
      <c r="B230" s="158"/>
      <c r="D230" s="158"/>
      <c r="F230" s="158"/>
      <c r="H230" s="158"/>
      <c r="J230" s="158"/>
      <c r="L230" s="158"/>
      <c r="N230" s="158"/>
      <c r="Q230" s="20"/>
    </row>
    <row r="231">
      <c r="B231" s="158"/>
      <c r="D231" s="158"/>
      <c r="F231" s="158"/>
      <c r="H231" s="158"/>
      <c r="J231" s="158"/>
      <c r="L231" s="158"/>
      <c r="N231" s="158"/>
      <c r="Q231" s="20"/>
    </row>
    <row r="232">
      <c r="B232" s="158"/>
      <c r="D232" s="158"/>
      <c r="F232" s="158"/>
      <c r="H232" s="158"/>
      <c r="J232" s="158"/>
      <c r="L232" s="158"/>
      <c r="N232" s="158"/>
      <c r="Q232" s="20"/>
    </row>
    <row r="233">
      <c r="B233" s="158"/>
      <c r="D233" s="158"/>
      <c r="F233" s="158"/>
      <c r="H233" s="158"/>
      <c r="J233" s="158"/>
      <c r="L233" s="158"/>
      <c r="N233" s="158"/>
      <c r="Q233" s="20"/>
    </row>
    <row r="234">
      <c r="B234" s="158"/>
      <c r="D234" s="158"/>
      <c r="F234" s="158"/>
      <c r="H234" s="158"/>
      <c r="J234" s="158"/>
      <c r="L234" s="158"/>
      <c r="N234" s="158"/>
      <c r="Q234" s="20"/>
    </row>
    <row r="235">
      <c r="B235" s="158"/>
      <c r="D235" s="158"/>
      <c r="F235" s="158"/>
      <c r="H235" s="158"/>
      <c r="J235" s="158"/>
      <c r="L235" s="158"/>
      <c r="N235" s="158"/>
      <c r="Q235" s="20"/>
    </row>
    <row r="236">
      <c r="B236" s="158"/>
      <c r="D236" s="158"/>
      <c r="F236" s="158"/>
      <c r="H236" s="158"/>
      <c r="J236" s="158"/>
      <c r="L236" s="158"/>
      <c r="N236" s="158"/>
      <c r="Q236" s="20"/>
    </row>
    <row r="237">
      <c r="B237" s="158"/>
      <c r="D237" s="158"/>
      <c r="F237" s="158"/>
      <c r="H237" s="158"/>
      <c r="J237" s="158"/>
      <c r="L237" s="158"/>
      <c r="N237" s="158"/>
      <c r="Q237" s="20"/>
    </row>
    <row r="238">
      <c r="B238" s="158"/>
      <c r="D238" s="158"/>
      <c r="F238" s="158"/>
      <c r="H238" s="158"/>
      <c r="J238" s="158"/>
      <c r="L238" s="158"/>
      <c r="N238" s="158"/>
      <c r="Q238" s="20"/>
    </row>
    <row r="239">
      <c r="B239" s="158"/>
      <c r="D239" s="158"/>
      <c r="F239" s="158"/>
      <c r="H239" s="158"/>
      <c r="J239" s="158"/>
      <c r="L239" s="158"/>
      <c r="N239" s="158"/>
      <c r="Q239" s="20"/>
    </row>
    <row r="240">
      <c r="B240" s="158"/>
      <c r="D240" s="158"/>
      <c r="F240" s="158"/>
      <c r="H240" s="158"/>
      <c r="J240" s="158"/>
      <c r="L240" s="158"/>
      <c r="N240" s="158"/>
      <c r="Q240" s="20"/>
    </row>
    <row r="241">
      <c r="B241" s="158"/>
      <c r="D241" s="158"/>
      <c r="F241" s="158"/>
      <c r="H241" s="158"/>
      <c r="J241" s="158"/>
      <c r="L241" s="158"/>
      <c r="N241" s="158"/>
      <c r="Q241" s="20"/>
    </row>
    <row r="242">
      <c r="B242" s="158"/>
      <c r="D242" s="158"/>
      <c r="F242" s="158"/>
      <c r="H242" s="158"/>
      <c r="J242" s="158"/>
      <c r="L242" s="158"/>
      <c r="N242" s="158"/>
      <c r="Q242" s="20"/>
    </row>
    <row r="243">
      <c r="B243" s="158"/>
      <c r="D243" s="158"/>
      <c r="F243" s="158"/>
      <c r="H243" s="158"/>
      <c r="J243" s="158"/>
      <c r="L243" s="158"/>
      <c r="N243" s="158"/>
      <c r="Q243" s="20"/>
    </row>
    <row r="244">
      <c r="B244" s="158"/>
      <c r="D244" s="158"/>
      <c r="F244" s="158"/>
      <c r="H244" s="158"/>
      <c r="J244" s="158"/>
      <c r="L244" s="158"/>
      <c r="N244" s="158"/>
      <c r="Q244" s="20"/>
    </row>
    <row r="245">
      <c r="B245" s="158"/>
      <c r="D245" s="158"/>
      <c r="F245" s="158"/>
      <c r="H245" s="158"/>
      <c r="J245" s="158"/>
      <c r="L245" s="158"/>
      <c r="N245" s="158"/>
      <c r="Q245" s="20"/>
    </row>
    <row r="246">
      <c r="B246" s="158"/>
      <c r="D246" s="158"/>
      <c r="F246" s="158"/>
      <c r="H246" s="158"/>
      <c r="J246" s="158"/>
      <c r="L246" s="158"/>
      <c r="N246" s="158"/>
      <c r="Q246" s="20"/>
    </row>
    <row r="247">
      <c r="B247" s="158"/>
      <c r="D247" s="158"/>
      <c r="F247" s="158"/>
      <c r="H247" s="158"/>
      <c r="J247" s="158"/>
      <c r="L247" s="158"/>
      <c r="N247" s="158"/>
      <c r="Q247" s="20"/>
    </row>
    <row r="248">
      <c r="B248" s="158"/>
      <c r="D248" s="158"/>
      <c r="F248" s="158"/>
      <c r="H248" s="158"/>
      <c r="J248" s="158"/>
      <c r="L248" s="158"/>
      <c r="N248" s="158"/>
      <c r="Q248" s="20"/>
    </row>
    <row r="249">
      <c r="B249" s="158"/>
      <c r="D249" s="158"/>
      <c r="F249" s="158"/>
      <c r="H249" s="158"/>
      <c r="J249" s="158"/>
      <c r="L249" s="158"/>
      <c r="N249" s="158"/>
      <c r="Q249" s="20"/>
    </row>
    <row r="250">
      <c r="B250" s="158"/>
      <c r="D250" s="158"/>
      <c r="F250" s="158"/>
      <c r="H250" s="158"/>
      <c r="J250" s="158"/>
      <c r="L250" s="158"/>
      <c r="N250" s="158"/>
      <c r="Q250" s="20"/>
    </row>
    <row r="251">
      <c r="B251" s="158"/>
      <c r="D251" s="158"/>
      <c r="F251" s="158"/>
      <c r="H251" s="158"/>
      <c r="J251" s="158"/>
      <c r="L251" s="158"/>
      <c r="N251" s="158"/>
      <c r="Q251" s="20"/>
    </row>
    <row r="252">
      <c r="B252" s="158"/>
      <c r="D252" s="158"/>
      <c r="F252" s="158"/>
      <c r="H252" s="158"/>
      <c r="J252" s="158"/>
      <c r="L252" s="158"/>
      <c r="N252" s="158"/>
      <c r="Q252" s="20"/>
    </row>
    <row r="253">
      <c r="B253" s="158"/>
      <c r="D253" s="158"/>
      <c r="F253" s="158"/>
      <c r="H253" s="158"/>
      <c r="J253" s="158"/>
      <c r="L253" s="158"/>
      <c r="N253" s="158"/>
      <c r="Q253" s="20"/>
    </row>
    <row r="254">
      <c r="B254" s="158"/>
      <c r="D254" s="158"/>
      <c r="F254" s="158"/>
      <c r="H254" s="158"/>
      <c r="J254" s="158"/>
      <c r="L254" s="158"/>
      <c r="N254" s="158"/>
      <c r="Q254" s="20"/>
    </row>
    <row r="255">
      <c r="B255" s="158"/>
      <c r="D255" s="158"/>
      <c r="F255" s="158"/>
      <c r="H255" s="158"/>
      <c r="J255" s="158"/>
      <c r="L255" s="158"/>
      <c r="N255" s="158"/>
      <c r="Q255" s="20"/>
    </row>
    <row r="256">
      <c r="B256" s="158"/>
      <c r="D256" s="158"/>
      <c r="F256" s="158"/>
      <c r="H256" s="158"/>
      <c r="J256" s="158"/>
      <c r="L256" s="158"/>
      <c r="N256" s="158"/>
      <c r="Q256" s="20"/>
    </row>
    <row r="257">
      <c r="B257" s="158"/>
      <c r="D257" s="158"/>
      <c r="F257" s="158"/>
      <c r="H257" s="158"/>
      <c r="J257" s="158"/>
      <c r="L257" s="158"/>
      <c r="N257" s="158"/>
      <c r="Q257" s="20"/>
    </row>
    <row r="258">
      <c r="B258" s="158"/>
      <c r="D258" s="158"/>
      <c r="F258" s="158"/>
      <c r="H258" s="158"/>
      <c r="J258" s="158"/>
      <c r="L258" s="158"/>
      <c r="N258" s="158"/>
      <c r="Q258" s="20"/>
    </row>
    <row r="259">
      <c r="B259" s="158"/>
      <c r="D259" s="158"/>
      <c r="F259" s="158"/>
      <c r="H259" s="158"/>
      <c r="J259" s="158"/>
      <c r="L259" s="158"/>
      <c r="N259" s="158"/>
      <c r="Q259" s="20"/>
    </row>
    <row r="260">
      <c r="B260" s="158"/>
      <c r="D260" s="158"/>
      <c r="F260" s="158"/>
      <c r="H260" s="158"/>
      <c r="J260" s="158"/>
      <c r="L260" s="158"/>
      <c r="N260" s="158"/>
      <c r="Q260" s="20"/>
    </row>
    <row r="261">
      <c r="B261" s="158"/>
      <c r="D261" s="158"/>
      <c r="F261" s="158"/>
      <c r="H261" s="158"/>
      <c r="J261" s="158"/>
      <c r="L261" s="158"/>
      <c r="N261" s="158"/>
      <c r="Q261" s="20"/>
    </row>
    <row r="262">
      <c r="B262" s="158"/>
      <c r="D262" s="158"/>
      <c r="F262" s="158"/>
      <c r="H262" s="158"/>
      <c r="J262" s="158"/>
      <c r="L262" s="158"/>
      <c r="N262" s="158"/>
      <c r="Q262" s="20"/>
    </row>
    <row r="263">
      <c r="B263" s="158"/>
      <c r="D263" s="158"/>
      <c r="F263" s="158"/>
      <c r="H263" s="158"/>
      <c r="J263" s="158"/>
      <c r="L263" s="158"/>
      <c r="N263" s="158"/>
      <c r="Q263" s="20"/>
    </row>
    <row r="264">
      <c r="B264" s="158"/>
      <c r="D264" s="158"/>
      <c r="F264" s="158"/>
      <c r="H264" s="158"/>
      <c r="J264" s="158"/>
      <c r="L264" s="158"/>
      <c r="N264" s="158"/>
      <c r="Q264" s="20"/>
    </row>
    <row r="265">
      <c r="B265" s="158"/>
      <c r="D265" s="158"/>
      <c r="F265" s="158"/>
      <c r="H265" s="158"/>
      <c r="J265" s="158"/>
      <c r="L265" s="158"/>
      <c r="N265" s="158"/>
      <c r="Q265" s="20"/>
    </row>
    <row r="266">
      <c r="B266" s="158"/>
      <c r="D266" s="158"/>
      <c r="F266" s="158"/>
      <c r="H266" s="158"/>
      <c r="J266" s="158"/>
      <c r="L266" s="158"/>
      <c r="N266" s="158"/>
      <c r="Q266" s="20"/>
    </row>
    <row r="267">
      <c r="B267" s="158"/>
      <c r="D267" s="158"/>
      <c r="F267" s="158"/>
      <c r="H267" s="158"/>
      <c r="J267" s="158"/>
      <c r="L267" s="158"/>
      <c r="N267" s="158"/>
      <c r="Q267" s="20"/>
    </row>
    <row r="268">
      <c r="B268" s="158"/>
      <c r="D268" s="158"/>
      <c r="F268" s="158"/>
      <c r="H268" s="158"/>
      <c r="J268" s="158"/>
      <c r="L268" s="158"/>
      <c r="N268" s="158"/>
      <c r="Q268" s="20"/>
    </row>
    <row r="269">
      <c r="B269" s="158"/>
      <c r="D269" s="158"/>
      <c r="F269" s="158"/>
      <c r="H269" s="158"/>
      <c r="J269" s="158"/>
      <c r="L269" s="158"/>
      <c r="N269" s="158"/>
      <c r="Q269" s="20"/>
    </row>
    <row r="270">
      <c r="B270" s="158"/>
      <c r="D270" s="158"/>
      <c r="F270" s="158"/>
      <c r="H270" s="158"/>
      <c r="J270" s="158"/>
      <c r="L270" s="158"/>
      <c r="N270" s="158"/>
      <c r="Q270" s="20"/>
    </row>
    <row r="271">
      <c r="B271" s="158"/>
      <c r="D271" s="158"/>
      <c r="F271" s="158"/>
      <c r="H271" s="158"/>
      <c r="J271" s="158"/>
      <c r="L271" s="158"/>
      <c r="N271" s="158"/>
      <c r="Q271" s="20"/>
    </row>
    <row r="272">
      <c r="B272" s="158"/>
      <c r="D272" s="158"/>
      <c r="F272" s="158"/>
      <c r="H272" s="158"/>
      <c r="J272" s="158"/>
      <c r="L272" s="158"/>
      <c r="N272" s="158"/>
      <c r="Q272" s="20"/>
    </row>
    <row r="273">
      <c r="B273" s="158"/>
      <c r="D273" s="158"/>
      <c r="F273" s="158"/>
      <c r="H273" s="158"/>
      <c r="J273" s="158"/>
      <c r="L273" s="158"/>
      <c r="N273" s="158"/>
      <c r="Q273" s="20"/>
    </row>
    <row r="274">
      <c r="B274" s="158"/>
      <c r="D274" s="158"/>
      <c r="F274" s="158"/>
      <c r="H274" s="158"/>
      <c r="J274" s="158"/>
      <c r="L274" s="158"/>
      <c r="N274" s="158"/>
      <c r="Q274" s="20"/>
    </row>
    <row r="275">
      <c r="B275" s="158"/>
      <c r="D275" s="158"/>
      <c r="F275" s="158"/>
      <c r="H275" s="158"/>
      <c r="J275" s="158"/>
      <c r="L275" s="158"/>
      <c r="N275" s="158"/>
      <c r="Q275" s="20"/>
    </row>
    <row r="276">
      <c r="B276" s="158"/>
      <c r="D276" s="158"/>
      <c r="F276" s="158"/>
      <c r="H276" s="158"/>
      <c r="J276" s="158"/>
      <c r="L276" s="158"/>
      <c r="N276" s="158"/>
      <c r="Q276" s="20"/>
    </row>
    <row r="277">
      <c r="B277" s="158"/>
      <c r="D277" s="158"/>
      <c r="F277" s="158"/>
      <c r="H277" s="158"/>
      <c r="J277" s="158"/>
      <c r="L277" s="158"/>
      <c r="N277" s="158"/>
      <c r="Q277" s="20"/>
    </row>
    <row r="278">
      <c r="B278" s="158"/>
      <c r="D278" s="158"/>
      <c r="F278" s="158"/>
      <c r="H278" s="158"/>
      <c r="J278" s="158"/>
      <c r="L278" s="158"/>
      <c r="N278" s="158"/>
      <c r="Q278" s="20"/>
    </row>
    <row r="279">
      <c r="B279" s="158"/>
      <c r="D279" s="158"/>
      <c r="F279" s="158"/>
      <c r="H279" s="158"/>
      <c r="J279" s="158"/>
      <c r="L279" s="158"/>
      <c r="N279" s="158"/>
      <c r="Q279" s="20"/>
    </row>
    <row r="280">
      <c r="B280" s="158"/>
      <c r="D280" s="158"/>
      <c r="F280" s="158"/>
      <c r="H280" s="158"/>
      <c r="J280" s="158"/>
      <c r="L280" s="158"/>
      <c r="N280" s="158"/>
      <c r="Q280" s="20"/>
    </row>
    <row r="281">
      <c r="B281" s="158"/>
      <c r="D281" s="158"/>
      <c r="F281" s="158"/>
      <c r="H281" s="158"/>
      <c r="J281" s="158"/>
      <c r="L281" s="158"/>
      <c r="N281" s="158"/>
      <c r="Q281" s="20"/>
    </row>
    <row r="282">
      <c r="B282" s="158"/>
      <c r="D282" s="158"/>
      <c r="F282" s="158"/>
      <c r="H282" s="158"/>
      <c r="J282" s="158"/>
      <c r="L282" s="158"/>
      <c r="N282" s="158"/>
      <c r="Q282" s="20"/>
    </row>
    <row r="283">
      <c r="B283" s="158"/>
      <c r="D283" s="158"/>
      <c r="F283" s="158"/>
      <c r="H283" s="158"/>
      <c r="J283" s="158"/>
      <c r="L283" s="158"/>
      <c r="N283" s="158"/>
      <c r="Q283" s="20"/>
    </row>
    <row r="284">
      <c r="B284" s="158"/>
      <c r="D284" s="158"/>
      <c r="F284" s="158"/>
      <c r="H284" s="158"/>
      <c r="J284" s="158"/>
      <c r="L284" s="158"/>
      <c r="N284" s="158"/>
      <c r="Q284" s="20"/>
    </row>
    <row r="285">
      <c r="B285" s="158"/>
      <c r="D285" s="158"/>
      <c r="F285" s="158"/>
      <c r="H285" s="158"/>
      <c r="J285" s="158"/>
      <c r="L285" s="158"/>
      <c r="N285" s="158"/>
      <c r="Q285" s="20"/>
    </row>
    <row r="286">
      <c r="B286" s="158"/>
      <c r="D286" s="158"/>
      <c r="F286" s="158"/>
      <c r="H286" s="158"/>
      <c r="J286" s="158"/>
      <c r="L286" s="158"/>
      <c r="N286" s="158"/>
      <c r="Q286" s="20"/>
    </row>
    <row r="287">
      <c r="B287" s="158"/>
      <c r="D287" s="158"/>
      <c r="F287" s="158"/>
      <c r="H287" s="158"/>
      <c r="J287" s="158"/>
      <c r="L287" s="158"/>
      <c r="N287" s="158"/>
      <c r="Q287" s="20"/>
    </row>
    <row r="288">
      <c r="B288" s="158"/>
      <c r="D288" s="158"/>
      <c r="F288" s="158"/>
      <c r="H288" s="158"/>
      <c r="J288" s="158"/>
      <c r="L288" s="158"/>
      <c r="N288" s="158"/>
      <c r="Q288" s="20"/>
    </row>
    <row r="289">
      <c r="B289" s="158"/>
      <c r="D289" s="158"/>
      <c r="F289" s="158"/>
      <c r="H289" s="158"/>
      <c r="J289" s="158"/>
      <c r="L289" s="158"/>
      <c r="N289" s="158"/>
      <c r="Q289" s="20"/>
    </row>
    <row r="290">
      <c r="B290" s="158"/>
      <c r="D290" s="158"/>
      <c r="F290" s="158"/>
      <c r="H290" s="158"/>
      <c r="J290" s="158"/>
      <c r="L290" s="158"/>
      <c r="N290" s="158"/>
      <c r="Q290" s="20"/>
    </row>
    <row r="291">
      <c r="B291" s="158"/>
      <c r="D291" s="158"/>
      <c r="F291" s="158"/>
      <c r="H291" s="158"/>
      <c r="J291" s="158"/>
      <c r="L291" s="158"/>
      <c r="N291" s="158"/>
      <c r="Q291" s="20"/>
    </row>
    <row r="292">
      <c r="B292" s="158"/>
      <c r="D292" s="158"/>
      <c r="F292" s="158"/>
      <c r="H292" s="158"/>
      <c r="J292" s="158"/>
      <c r="L292" s="158"/>
      <c r="N292" s="158"/>
      <c r="Q292" s="20"/>
    </row>
    <row r="293">
      <c r="B293" s="158"/>
      <c r="D293" s="158"/>
      <c r="F293" s="158"/>
      <c r="H293" s="158"/>
      <c r="J293" s="158"/>
      <c r="L293" s="158"/>
      <c r="N293" s="158"/>
      <c r="Q293" s="20"/>
    </row>
    <row r="294">
      <c r="B294" s="158"/>
      <c r="D294" s="158"/>
      <c r="F294" s="158"/>
      <c r="H294" s="158"/>
      <c r="J294" s="158"/>
      <c r="L294" s="158"/>
      <c r="N294" s="158"/>
      <c r="Q294" s="20"/>
    </row>
    <row r="295">
      <c r="B295" s="158"/>
      <c r="D295" s="158"/>
      <c r="F295" s="158"/>
      <c r="H295" s="158"/>
      <c r="J295" s="158"/>
      <c r="L295" s="158"/>
      <c r="N295" s="158"/>
      <c r="Q295" s="20"/>
    </row>
    <row r="296">
      <c r="B296" s="158"/>
      <c r="D296" s="158"/>
      <c r="F296" s="158"/>
      <c r="H296" s="158"/>
      <c r="J296" s="158"/>
      <c r="L296" s="158"/>
      <c r="N296" s="158"/>
      <c r="Q296" s="20"/>
    </row>
    <row r="297">
      <c r="B297" s="158"/>
      <c r="D297" s="158"/>
      <c r="F297" s="158"/>
      <c r="H297" s="158"/>
      <c r="J297" s="158"/>
      <c r="L297" s="158"/>
      <c r="N297" s="158"/>
      <c r="Q297" s="20"/>
    </row>
    <row r="298">
      <c r="B298" s="158"/>
      <c r="D298" s="158"/>
      <c r="F298" s="158"/>
      <c r="H298" s="158"/>
      <c r="J298" s="158"/>
      <c r="L298" s="158"/>
      <c r="N298" s="158"/>
      <c r="Q298" s="20"/>
    </row>
    <row r="299">
      <c r="B299" s="158"/>
      <c r="D299" s="158"/>
      <c r="F299" s="158"/>
      <c r="H299" s="158"/>
      <c r="J299" s="158"/>
      <c r="L299" s="158"/>
      <c r="N299" s="158"/>
      <c r="Q299" s="20"/>
    </row>
    <row r="300">
      <c r="B300" s="158"/>
      <c r="D300" s="158"/>
      <c r="F300" s="158"/>
      <c r="H300" s="158"/>
      <c r="J300" s="158"/>
      <c r="L300" s="158"/>
      <c r="N300" s="158"/>
      <c r="Q300" s="20"/>
    </row>
    <row r="301">
      <c r="B301" s="158"/>
      <c r="D301" s="158"/>
      <c r="F301" s="158"/>
      <c r="H301" s="158"/>
      <c r="J301" s="158"/>
      <c r="L301" s="158"/>
      <c r="N301" s="158"/>
      <c r="Q301" s="20"/>
    </row>
    <row r="302">
      <c r="B302" s="158"/>
      <c r="D302" s="158"/>
      <c r="F302" s="158"/>
      <c r="H302" s="158"/>
      <c r="J302" s="158"/>
      <c r="L302" s="158"/>
      <c r="N302" s="158"/>
      <c r="Q302" s="20"/>
    </row>
    <row r="303">
      <c r="B303" s="158"/>
      <c r="D303" s="158"/>
      <c r="F303" s="158"/>
      <c r="H303" s="158"/>
      <c r="J303" s="158"/>
      <c r="L303" s="158"/>
      <c r="N303" s="158"/>
      <c r="Q303" s="20"/>
    </row>
    <row r="304">
      <c r="B304" s="158"/>
      <c r="D304" s="158"/>
      <c r="F304" s="158"/>
      <c r="H304" s="158"/>
      <c r="J304" s="158"/>
      <c r="L304" s="158"/>
      <c r="N304" s="158"/>
      <c r="Q304" s="20"/>
    </row>
    <row r="305">
      <c r="B305" s="158"/>
      <c r="D305" s="158"/>
      <c r="F305" s="158"/>
      <c r="H305" s="158"/>
      <c r="J305" s="158"/>
      <c r="L305" s="158"/>
      <c r="N305" s="158"/>
      <c r="Q305" s="20"/>
    </row>
    <row r="306">
      <c r="B306" s="158"/>
      <c r="D306" s="158"/>
      <c r="F306" s="158"/>
      <c r="H306" s="158"/>
      <c r="J306" s="158"/>
      <c r="L306" s="158"/>
      <c r="N306" s="158"/>
      <c r="Q306" s="20"/>
    </row>
    <row r="307">
      <c r="B307" s="158"/>
      <c r="D307" s="158"/>
      <c r="F307" s="158"/>
      <c r="H307" s="158"/>
      <c r="J307" s="158"/>
      <c r="L307" s="158"/>
      <c r="N307" s="158"/>
      <c r="Q307" s="20"/>
    </row>
    <row r="308">
      <c r="B308" s="158"/>
      <c r="D308" s="158"/>
      <c r="F308" s="158"/>
      <c r="H308" s="158"/>
      <c r="J308" s="158"/>
      <c r="L308" s="158"/>
      <c r="N308" s="158"/>
      <c r="Q308" s="20"/>
    </row>
    <row r="309">
      <c r="B309" s="158"/>
      <c r="D309" s="158"/>
      <c r="F309" s="158"/>
      <c r="H309" s="158"/>
      <c r="J309" s="158"/>
      <c r="L309" s="158"/>
      <c r="N309" s="158"/>
      <c r="Q309" s="20"/>
    </row>
    <row r="310">
      <c r="B310" s="158"/>
      <c r="D310" s="158"/>
      <c r="F310" s="158"/>
      <c r="H310" s="158"/>
      <c r="J310" s="158"/>
      <c r="L310" s="158"/>
      <c r="N310" s="158"/>
      <c r="Q310" s="20"/>
    </row>
    <row r="311">
      <c r="B311" s="158"/>
      <c r="D311" s="158"/>
      <c r="F311" s="158"/>
      <c r="H311" s="158"/>
      <c r="J311" s="158"/>
      <c r="L311" s="158"/>
      <c r="N311" s="158"/>
      <c r="Q311" s="20"/>
    </row>
    <row r="312">
      <c r="B312" s="158"/>
      <c r="D312" s="158"/>
      <c r="F312" s="158"/>
      <c r="H312" s="158"/>
      <c r="J312" s="158"/>
      <c r="L312" s="158"/>
      <c r="N312" s="158"/>
      <c r="Q312" s="20"/>
    </row>
    <row r="313">
      <c r="B313" s="158"/>
      <c r="D313" s="158"/>
      <c r="F313" s="158"/>
      <c r="H313" s="158"/>
      <c r="J313" s="158"/>
      <c r="L313" s="158"/>
      <c r="N313" s="158"/>
      <c r="Q313" s="20"/>
    </row>
    <row r="314">
      <c r="B314" s="158"/>
      <c r="D314" s="158"/>
      <c r="F314" s="158"/>
      <c r="H314" s="158"/>
      <c r="J314" s="158"/>
      <c r="L314" s="158"/>
      <c r="N314" s="158"/>
      <c r="Q314" s="20"/>
    </row>
    <row r="315">
      <c r="B315" s="158"/>
      <c r="D315" s="158"/>
      <c r="F315" s="158"/>
      <c r="H315" s="158"/>
      <c r="J315" s="158"/>
      <c r="L315" s="158"/>
      <c r="N315" s="158"/>
      <c r="Q315" s="20"/>
    </row>
    <row r="316">
      <c r="B316" s="158"/>
      <c r="D316" s="158"/>
      <c r="F316" s="158"/>
      <c r="H316" s="158"/>
      <c r="J316" s="158"/>
      <c r="L316" s="158"/>
      <c r="N316" s="158"/>
      <c r="Q316" s="20"/>
    </row>
    <row r="317">
      <c r="B317" s="158"/>
      <c r="D317" s="158"/>
      <c r="F317" s="158"/>
      <c r="H317" s="158"/>
      <c r="J317" s="158"/>
      <c r="L317" s="158"/>
      <c r="N317" s="158"/>
      <c r="Q317" s="20"/>
    </row>
    <row r="318">
      <c r="B318" s="158"/>
      <c r="D318" s="158"/>
      <c r="F318" s="158"/>
      <c r="H318" s="158"/>
      <c r="J318" s="158"/>
      <c r="L318" s="158"/>
      <c r="N318" s="158"/>
      <c r="Q318" s="20"/>
    </row>
    <row r="319">
      <c r="B319" s="158"/>
      <c r="D319" s="158"/>
      <c r="F319" s="158"/>
      <c r="H319" s="158"/>
      <c r="J319" s="158"/>
      <c r="L319" s="158"/>
      <c r="N319" s="158"/>
      <c r="Q319" s="20"/>
    </row>
    <row r="320">
      <c r="B320" s="158"/>
      <c r="D320" s="158"/>
      <c r="F320" s="158"/>
      <c r="H320" s="158"/>
      <c r="J320" s="158"/>
      <c r="L320" s="158"/>
      <c r="N320" s="158"/>
      <c r="Q320" s="20"/>
    </row>
    <row r="321">
      <c r="B321" s="158"/>
      <c r="D321" s="158"/>
      <c r="F321" s="158"/>
      <c r="H321" s="158"/>
      <c r="J321" s="158"/>
      <c r="L321" s="158"/>
      <c r="N321" s="158"/>
      <c r="Q321" s="20"/>
    </row>
    <row r="322">
      <c r="B322" s="158"/>
      <c r="D322" s="158"/>
      <c r="F322" s="158"/>
      <c r="H322" s="158"/>
      <c r="J322" s="158"/>
      <c r="L322" s="158"/>
      <c r="N322" s="158"/>
      <c r="Q322" s="20"/>
    </row>
    <row r="323">
      <c r="B323" s="158"/>
      <c r="D323" s="158"/>
      <c r="F323" s="158"/>
      <c r="H323" s="158"/>
      <c r="J323" s="158"/>
      <c r="L323" s="158"/>
      <c r="N323" s="158"/>
      <c r="Q323" s="20"/>
    </row>
    <row r="324">
      <c r="B324" s="158"/>
      <c r="D324" s="158"/>
      <c r="F324" s="158"/>
      <c r="H324" s="158"/>
      <c r="J324" s="158"/>
      <c r="L324" s="158"/>
      <c r="N324" s="158"/>
      <c r="Q324" s="20"/>
    </row>
    <row r="325">
      <c r="B325" s="158"/>
      <c r="D325" s="158"/>
      <c r="F325" s="158"/>
      <c r="H325" s="158"/>
      <c r="J325" s="158"/>
      <c r="L325" s="158"/>
      <c r="N325" s="158"/>
      <c r="Q325" s="20"/>
    </row>
    <row r="326">
      <c r="B326" s="158"/>
      <c r="D326" s="158"/>
      <c r="F326" s="158"/>
      <c r="H326" s="158"/>
      <c r="J326" s="158"/>
      <c r="L326" s="158"/>
      <c r="N326" s="158"/>
      <c r="Q326" s="20"/>
    </row>
    <row r="327">
      <c r="B327" s="158"/>
      <c r="D327" s="158"/>
      <c r="F327" s="158"/>
      <c r="H327" s="158"/>
      <c r="J327" s="158"/>
      <c r="L327" s="158"/>
      <c r="N327" s="158"/>
      <c r="Q327" s="20"/>
    </row>
    <row r="328">
      <c r="B328" s="158"/>
      <c r="D328" s="158"/>
      <c r="F328" s="158"/>
      <c r="H328" s="158"/>
      <c r="J328" s="158"/>
      <c r="L328" s="158"/>
      <c r="N328" s="158"/>
      <c r="Q328" s="20"/>
    </row>
    <row r="329">
      <c r="B329" s="158"/>
      <c r="D329" s="158"/>
      <c r="F329" s="158"/>
      <c r="H329" s="158"/>
      <c r="J329" s="158"/>
      <c r="L329" s="158"/>
      <c r="N329" s="158"/>
      <c r="Q329" s="20"/>
    </row>
    <row r="330">
      <c r="B330" s="158"/>
      <c r="D330" s="158"/>
      <c r="F330" s="158"/>
      <c r="H330" s="158"/>
      <c r="J330" s="158"/>
      <c r="L330" s="158"/>
      <c r="N330" s="158"/>
      <c r="Q330" s="20"/>
    </row>
    <row r="331">
      <c r="B331" s="158"/>
      <c r="D331" s="158"/>
      <c r="F331" s="158"/>
      <c r="H331" s="158"/>
      <c r="J331" s="158"/>
      <c r="L331" s="158"/>
      <c r="N331" s="158"/>
      <c r="Q331" s="20"/>
    </row>
    <row r="332">
      <c r="B332" s="158"/>
      <c r="D332" s="158"/>
      <c r="F332" s="158"/>
      <c r="H332" s="158"/>
      <c r="J332" s="158"/>
      <c r="L332" s="158"/>
      <c r="N332" s="158"/>
      <c r="Q332" s="20"/>
    </row>
    <row r="333">
      <c r="B333" s="158"/>
      <c r="D333" s="158"/>
      <c r="F333" s="158"/>
      <c r="H333" s="158"/>
      <c r="J333" s="158"/>
      <c r="L333" s="158"/>
      <c r="N333" s="158"/>
      <c r="Q333" s="20"/>
    </row>
    <row r="334">
      <c r="B334" s="158"/>
      <c r="D334" s="158"/>
      <c r="F334" s="158"/>
      <c r="H334" s="158"/>
      <c r="J334" s="158"/>
      <c r="L334" s="158"/>
      <c r="N334" s="158"/>
      <c r="Q334" s="20"/>
    </row>
    <row r="335">
      <c r="B335" s="158"/>
      <c r="D335" s="158"/>
      <c r="F335" s="158"/>
      <c r="H335" s="158"/>
      <c r="J335" s="158"/>
      <c r="L335" s="158"/>
      <c r="N335" s="158"/>
      <c r="Q335" s="20"/>
    </row>
    <row r="336">
      <c r="B336" s="158"/>
      <c r="D336" s="158"/>
      <c r="F336" s="158"/>
      <c r="H336" s="158"/>
      <c r="J336" s="158"/>
      <c r="L336" s="158"/>
      <c r="N336" s="158"/>
      <c r="Q336" s="20"/>
    </row>
    <row r="337">
      <c r="B337" s="158"/>
      <c r="D337" s="158"/>
      <c r="F337" s="158"/>
      <c r="H337" s="158"/>
      <c r="J337" s="158"/>
      <c r="L337" s="158"/>
      <c r="N337" s="158"/>
      <c r="Q337" s="20"/>
    </row>
    <row r="338">
      <c r="B338" s="158"/>
      <c r="D338" s="158"/>
      <c r="F338" s="158"/>
      <c r="H338" s="158"/>
      <c r="J338" s="158"/>
      <c r="L338" s="158"/>
      <c r="N338" s="158"/>
      <c r="Q338" s="20"/>
    </row>
    <row r="339">
      <c r="B339" s="158"/>
      <c r="D339" s="158"/>
      <c r="F339" s="158"/>
      <c r="H339" s="158"/>
      <c r="J339" s="158"/>
      <c r="L339" s="158"/>
      <c r="N339" s="158"/>
      <c r="Q339" s="20"/>
    </row>
    <row r="340">
      <c r="B340" s="158"/>
      <c r="D340" s="158"/>
      <c r="F340" s="158"/>
      <c r="H340" s="158"/>
      <c r="J340" s="158"/>
      <c r="L340" s="158"/>
      <c r="N340" s="158"/>
      <c r="Q340" s="20"/>
    </row>
    <row r="341">
      <c r="B341" s="158"/>
      <c r="D341" s="158"/>
      <c r="F341" s="158"/>
      <c r="H341" s="158"/>
      <c r="J341" s="158"/>
      <c r="L341" s="158"/>
      <c r="N341" s="158"/>
      <c r="Q341" s="20"/>
    </row>
    <row r="342">
      <c r="B342" s="158"/>
      <c r="D342" s="158"/>
      <c r="F342" s="158"/>
      <c r="H342" s="158"/>
      <c r="J342" s="158"/>
      <c r="L342" s="158"/>
      <c r="N342" s="158"/>
      <c r="Q342" s="20"/>
    </row>
    <row r="343">
      <c r="B343" s="158"/>
      <c r="D343" s="158"/>
      <c r="F343" s="158"/>
      <c r="H343" s="158"/>
      <c r="J343" s="158"/>
      <c r="L343" s="158"/>
      <c r="N343" s="158"/>
      <c r="Q343" s="20"/>
    </row>
    <row r="344">
      <c r="B344" s="158"/>
      <c r="D344" s="158"/>
      <c r="F344" s="158"/>
      <c r="H344" s="158"/>
      <c r="J344" s="158"/>
      <c r="L344" s="158"/>
      <c r="N344" s="158"/>
      <c r="Q344" s="20"/>
    </row>
    <row r="345">
      <c r="B345" s="158"/>
      <c r="D345" s="158"/>
      <c r="F345" s="158"/>
      <c r="H345" s="158"/>
      <c r="J345" s="158"/>
      <c r="L345" s="158"/>
      <c r="N345" s="158"/>
      <c r="Q345" s="20"/>
    </row>
    <row r="346">
      <c r="B346" s="158"/>
      <c r="D346" s="158"/>
      <c r="F346" s="158"/>
      <c r="H346" s="158"/>
      <c r="J346" s="158"/>
      <c r="L346" s="158"/>
      <c r="N346" s="158"/>
      <c r="Q346" s="20"/>
    </row>
    <row r="347">
      <c r="B347" s="158"/>
      <c r="D347" s="158"/>
      <c r="F347" s="158"/>
      <c r="H347" s="158"/>
      <c r="J347" s="158"/>
      <c r="L347" s="158"/>
      <c r="N347" s="158"/>
      <c r="Q347" s="20"/>
    </row>
    <row r="348">
      <c r="B348" s="158"/>
      <c r="D348" s="158"/>
      <c r="F348" s="158"/>
      <c r="H348" s="158"/>
      <c r="J348" s="158"/>
      <c r="L348" s="158"/>
      <c r="N348" s="158"/>
      <c r="Q348" s="20"/>
    </row>
    <row r="349">
      <c r="B349" s="158"/>
      <c r="D349" s="158"/>
      <c r="F349" s="158"/>
      <c r="H349" s="158"/>
      <c r="J349" s="158"/>
      <c r="L349" s="158"/>
      <c r="N349" s="158"/>
      <c r="Q349" s="20"/>
    </row>
    <row r="350">
      <c r="B350" s="158"/>
      <c r="D350" s="158"/>
      <c r="F350" s="158"/>
      <c r="H350" s="158"/>
      <c r="J350" s="158"/>
      <c r="L350" s="158"/>
      <c r="N350" s="158"/>
      <c r="Q350" s="20"/>
    </row>
    <row r="351">
      <c r="B351" s="158"/>
      <c r="D351" s="158"/>
      <c r="F351" s="158"/>
      <c r="H351" s="158"/>
      <c r="J351" s="158"/>
      <c r="L351" s="158"/>
      <c r="N351" s="158"/>
      <c r="Q351" s="20"/>
    </row>
    <row r="352">
      <c r="B352" s="158"/>
      <c r="D352" s="158"/>
      <c r="F352" s="158"/>
      <c r="H352" s="158"/>
      <c r="J352" s="158"/>
      <c r="L352" s="158"/>
      <c r="N352" s="158"/>
      <c r="Q352" s="20"/>
    </row>
    <row r="353">
      <c r="B353" s="158"/>
      <c r="D353" s="158"/>
      <c r="F353" s="158"/>
      <c r="H353" s="158"/>
      <c r="J353" s="158"/>
      <c r="L353" s="158"/>
      <c r="N353" s="158"/>
      <c r="Q353" s="20"/>
    </row>
    <row r="354">
      <c r="B354" s="158"/>
      <c r="D354" s="158"/>
      <c r="F354" s="158"/>
      <c r="H354" s="158"/>
      <c r="J354" s="158"/>
      <c r="L354" s="158"/>
      <c r="N354" s="158"/>
      <c r="Q354" s="20"/>
    </row>
    <row r="355">
      <c r="B355" s="158"/>
      <c r="D355" s="158"/>
      <c r="F355" s="158"/>
      <c r="H355" s="158"/>
      <c r="J355" s="158"/>
      <c r="L355" s="158"/>
      <c r="N355" s="158"/>
      <c r="Q355" s="20"/>
    </row>
    <row r="356">
      <c r="B356" s="158"/>
      <c r="D356" s="158"/>
      <c r="F356" s="158"/>
      <c r="H356" s="158"/>
      <c r="J356" s="158"/>
      <c r="L356" s="158"/>
      <c r="N356" s="158"/>
      <c r="Q356" s="20"/>
    </row>
    <row r="357">
      <c r="B357" s="158"/>
      <c r="D357" s="158"/>
      <c r="F357" s="158"/>
      <c r="H357" s="158"/>
      <c r="J357" s="158"/>
      <c r="L357" s="158"/>
      <c r="N357" s="158"/>
      <c r="Q357" s="20"/>
    </row>
    <row r="358">
      <c r="B358" s="158"/>
      <c r="D358" s="158"/>
      <c r="F358" s="158"/>
      <c r="H358" s="158"/>
      <c r="J358" s="158"/>
      <c r="L358" s="158"/>
      <c r="N358" s="158"/>
      <c r="Q358" s="20"/>
    </row>
    <row r="359">
      <c r="B359" s="158"/>
      <c r="D359" s="158"/>
      <c r="F359" s="158"/>
      <c r="H359" s="158"/>
      <c r="J359" s="158"/>
      <c r="L359" s="158"/>
      <c r="N359" s="158"/>
      <c r="Q359" s="20"/>
    </row>
    <row r="360">
      <c r="B360" s="158"/>
      <c r="D360" s="158"/>
      <c r="F360" s="158"/>
      <c r="H360" s="158"/>
      <c r="J360" s="158"/>
      <c r="L360" s="158"/>
      <c r="N360" s="158"/>
      <c r="Q360" s="20"/>
    </row>
    <row r="361">
      <c r="B361" s="158"/>
      <c r="D361" s="158"/>
      <c r="F361" s="158"/>
      <c r="H361" s="158"/>
      <c r="J361" s="158"/>
      <c r="L361" s="158"/>
      <c r="N361" s="158"/>
      <c r="Q361" s="20"/>
    </row>
    <row r="362">
      <c r="B362" s="158"/>
      <c r="D362" s="158"/>
      <c r="F362" s="158"/>
      <c r="H362" s="158"/>
      <c r="J362" s="158"/>
      <c r="L362" s="158"/>
      <c r="N362" s="158"/>
      <c r="Q362" s="20"/>
    </row>
    <row r="363">
      <c r="B363" s="158"/>
      <c r="D363" s="158"/>
      <c r="F363" s="158"/>
      <c r="H363" s="158"/>
      <c r="J363" s="158"/>
      <c r="L363" s="158"/>
      <c r="N363" s="158"/>
      <c r="Q363" s="20"/>
    </row>
    <row r="364">
      <c r="B364" s="158"/>
      <c r="D364" s="158"/>
      <c r="F364" s="158"/>
      <c r="H364" s="158"/>
      <c r="J364" s="158"/>
      <c r="L364" s="158"/>
      <c r="N364" s="158"/>
      <c r="Q364" s="20"/>
    </row>
    <row r="365">
      <c r="B365" s="158"/>
      <c r="D365" s="158"/>
      <c r="F365" s="158"/>
      <c r="H365" s="158"/>
      <c r="J365" s="158"/>
      <c r="L365" s="158"/>
      <c r="N365" s="158"/>
      <c r="Q365" s="20"/>
    </row>
    <row r="366">
      <c r="B366" s="158"/>
      <c r="D366" s="158"/>
      <c r="F366" s="158"/>
      <c r="H366" s="158"/>
      <c r="J366" s="158"/>
      <c r="L366" s="158"/>
      <c r="N366" s="158"/>
      <c r="Q366" s="20"/>
    </row>
    <row r="367">
      <c r="B367" s="158"/>
      <c r="D367" s="158"/>
      <c r="F367" s="158"/>
      <c r="H367" s="158"/>
      <c r="J367" s="158"/>
      <c r="L367" s="158"/>
      <c r="N367" s="158"/>
      <c r="Q367" s="20"/>
    </row>
    <row r="368">
      <c r="B368" s="158"/>
      <c r="D368" s="158"/>
      <c r="F368" s="158"/>
      <c r="H368" s="158"/>
      <c r="J368" s="158"/>
      <c r="L368" s="158"/>
      <c r="N368" s="158"/>
      <c r="Q368" s="20"/>
    </row>
    <row r="369">
      <c r="B369" s="158"/>
      <c r="D369" s="158"/>
      <c r="F369" s="158"/>
      <c r="H369" s="158"/>
      <c r="J369" s="158"/>
      <c r="L369" s="158"/>
      <c r="N369" s="158"/>
      <c r="Q369" s="20"/>
    </row>
    <row r="370">
      <c r="B370" s="158"/>
      <c r="D370" s="158"/>
      <c r="F370" s="158"/>
      <c r="H370" s="158"/>
      <c r="J370" s="158"/>
      <c r="L370" s="158"/>
      <c r="N370" s="158"/>
      <c r="Q370" s="20"/>
    </row>
    <row r="371">
      <c r="B371" s="158"/>
      <c r="D371" s="158"/>
      <c r="F371" s="158"/>
      <c r="H371" s="158"/>
      <c r="J371" s="158"/>
      <c r="L371" s="158"/>
      <c r="N371" s="158"/>
      <c r="Q371" s="20"/>
    </row>
    <row r="372">
      <c r="B372" s="158"/>
      <c r="D372" s="158"/>
      <c r="F372" s="158"/>
      <c r="H372" s="158"/>
      <c r="J372" s="158"/>
      <c r="L372" s="158"/>
      <c r="N372" s="158"/>
      <c r="Q372" s="20"/>
    </row>
    <row r="373">
      <c r="B373" s="158"/>
      <c r="D373" s="158"/>
      <c r="F373" s="158"/>
      <c r="H373" s="158"/>
      <c r="J373" s="158"/>
      <c r="L373" s="158"/>
      <c r="N373" s="158"/>
      <c r="Q373" s="20"/>
    </row>
    <row r="374">
      <c r="B374" s="158"/>
      <c r="D374" s="158"/>
      <c r="F374" s="158"/>
      <c r="H374" s="158"/>
      <c r="J374" s="158"/>
      <c r="L374" s="158"/>
      <c r="N374" s="158"/>
      <c r="Q374" s="20"/>
    </row>
    <row r="375">
      <c r="B375" s="158"/>
      <c r="D375" s="158"/>
      <c r="F375" s="158"/>
      <c r="H375" s="158"/>
      <c r="J375" s="158"/>
      <c r="L375" s="158"/>
      <c r="N375" s="158"/>
      <c r="Q375" s="20"/>
    </row>
    <row r="376">
      <c r="B376" s="158"/>
      <c r="D376" s="158"/>
      <c r="F376" s="158"/>
      <c r="H376" s="158"/>
      <c r="J376" s="158"/>
      <c r="L376" s="158"/>
      <c r="N376" s="158"/>
      <c r="Q376" s="20"/>
    </row>
    <row r="377">
      <c r="B377" s="158"/>
      <c r="D377" s="158"/>
      <c r="F377" s="158"/>
      <c r="H377" s="158"/>
      <c r="J377" s="158"/>
      <c r="L377" s="158"/>
      <c r="N377" s="158"/>
      <c r="Q377" s="20"/>
    </row>
    <row r="378">
      <c r="B378" s="158"/>
      <c r="D378" s="158"/>
      <c r="F378" s="158"/>
      <c r="H378" s="158"/>
      <c r="J378" s="158"/>
      <c r="L378" s="158"/>
      <c r="N378" s="158"/>
      <c r="Q378" s="20"/>
    </row>
    <row r="379">
      <c r="B379" s="158"/>
      <c r="D379" s="158"/>
      <c r="F379" s="158"/>
      <c r="H379" s="158"/>
      <c r="J379" s="158"/>
      <c r="L379" s="158"/>
      <c r="N379" s="158"/>
      <c r="Q379" s="20"/>
    </row>
    <row r="380">
      <c r="B380" s="158"/>
      <c r="D380" s="158"/>
      <c r="F380" s="158"/>
      <c r="H380" s="158"/>
      <c r="J380" s="158"/>
      <c r="L380" s="158"/>
      <c r="N380" s="158"/>
      <c r="Q380" s="20"/>
    </row>
    <row r="381">
      <c r="B381" s="158"/>
      <c r="D381" s="158"/>
      <c r="F381" s="158"/>
      <c r="H381" s="158"/>
      <c r="J381" s="158"/>
      <c r="L381" s="158"/>
      <c r="N381" s="158"/>
      <c r="Q381" s="20"/>
    </row>
    <row r="382">
      <c r="B382" s="158"/>
      <c r="D382" s="158"/>
      <c r="F382" s="158"/>
      <c r="H382" s="158"/>
      <c r="J382" s="158"/>
      <c r="L382" s="158"/>
      <c r="N382" s="158"/>
      <c r="Q382" s="20"/>
    </row>
    <row r="383">
      <c r="B383" s="158"/>
      <c r="D383" s="158"/>
      <c r="F383" s="158"/>
      <c r="H383" s="158"/>
      <c r="J383" s="158"/>
      <c r="L383" s="158"/>
      <c r="N383" s="158"/>
      <c r="Q383" s="20"/>
    </row>
    <row r="384">
      <c r="B384" s="158"/>
      <c r="D384" s="158"/>
      <c r="F384" s="158"/>
      <c r="H384" s="158"/>
      <c r="J384" s="158"/>
      <c r="L384" s="158"/>
      <c r="N384" s="158"/>
      <c r="Q384" s="20"/>
    </row>
    <row r="385">
      <c r="B385" s="158"/>
      <c r="D385" s="158"/>
      <c r="F385" s="158"/>
      <c r="H385" s="158"/>
      <c r="J385" s="158"/>
      <c r="L385" s="158"/>
      <c r="N385" s="158"/>
      <c r="Q385" s="20"/>
    </row>
    <row r="386">
      <c r="B386" s="158"/>
      <c r="D386" s="158"/>
      <c r="F386" s="158"/>
      <c r="H386" s="158"/>
      <c r="J386" s="158"/>
      <c r="L386" s="158"/>
      <c r="N386" s="158"/>
      <c r="Q386" s="20"/>
    </row>
    <row r="387">
      <c r="B387" s="158"/>
      <c r="D387" s="158"/>
      <c r="F387" s="158"/>
      <c r="H387" s="158"/>
      <c r="J387" s="158"/>
      <c r="L387" s="158"/>
      <c r="N387" s="158"/>
      <c r="Q387" s="20"/>
    </row>
    <row r="388">
      <c r="B388" s="158"/>
      <c r="D388" s="158"/>
      <c r="F388" s="158"/>
      <c r="H388" s="158"/>
      <c r="J388" s="158"/>
      <c r="L388" s="158"/>
      <c r="N388" s="158"/>
      <c r="Q388" s="20"/>
    </row>
    <row r="389">
      <c r="B389" s="158"/>
      <c r="D389" s="158"/>
      <c r="F389" s="158"/>
      <c r="H389" s="158"/>
      <c r="J389" s="158"/>
      <c r="L389" s="158"/>
      <c r="N389" s="158"/>
      <c r="Q389" s="20"/>
    </row>
    <row r="390">
      <c r="B390" s="158"/>
      <c r="D390" s="158"/>
      <c r="F390" s="158"/>
      <c r="H390" s="158"/>
      <c r="J390" s="158"/>
      <c r="L390" s="158"/>
      <c r="N390" s="158"/>
      <c r="Q390" s="20"/>
    </row>
    <row r="391">
      <c r="B391" s="158"/>
      <c r="D391" s="158"/>
      <c r="F391" s="158"/>
      <c r="H391" s="158"/>
      <c r="J391" s="158"/>
      <c r="L391" s="158"/>
      <c r="N391" s="158"/>
      <c r="Q391" s="20"/>
    </row>
    <row r="392">
      <c r="B392" s="158"/>
      <c r="D392" s="158"/>
      <c r="F392" s="158"/>
      <c r="H392" s="158"/>
      <c r="J392" s="158"/>
      <c r="L392" s="158"/>
      <c r="N392" s="158"/>
      <c r="Q392" s="20"/>
    </row>
    <row r="393">
      <c r="B393" s="158"/>
      <c r="D393" s="158"/>
      <c r="F393" s="158"/>
      <c r="H393" s="158"/>
      <c r="J393" s="158"/>
      <c r="L393" s="158"/>
      <c r="N393" s="158"/>
      <c r="Q393" s="20"/>
    </row>
    <row r="394">
      <c r="B394" s="158"/>
      <c r="D394" s="158"/>
      <c r="F394" s="158"/>
      <c r="H394" s="158"/>
      <c r="J394" s="158"/>
      <c r="L394" s="158"/>
      <c r="N394" s="158"/>
      <c r="Q394" s="20"/>
    </row>
    <row r="395">
      <c r="B395" s="158"/>
      <c r="D395" s="158"/>
      <c r="F395" s="158"/>
      <c r="H395" s="158"/>
      <c r="J395" s="158"/>
      <c r="L395" s="158"/>
      <c r="N395" s="158"/>
      <c r="Q395" s="20"/>
    </row>
    <row r="396">
      <c r="B396" s="158"/>
      <c r="D396" s="158"/>
      <c r="F396" s="158"/>
      <c r="H396" s="158"/>
      <c r="J396" s="158"/>
      <c r="L396" s="158"/>
      <c r="N396" s="158"/>
      <c r="Q396" s="20"/>
    </row>
    <row r="397">
      <c r="B397" s="158"/>
      <c r="D397" s="158"/>
      <c r="F397" s="158"/>
      <c r="H397" s="158"/>
      <c r="J397" s="158"/>
      <c r="L397" s="158"/>
      <c r="N397" s="158"/>
      <c r="Q397" s="20"/>
    </row>
    <row r="398">
      <c r="B398" s="158"/>
      <c r="D398" s="158"/>
      <c r="F398" s="158"/>
      <c r="H398" s="158"/>
      <c r="J398" s="158"/>
      <c r="L398" s="158"/>
      <c r="N398" s="158"/>
      <c r="Q398" s="20"/>
    </row>
    <row r="399">
      <c r="B399" s="158"/>
      <c r="D399" s="158"/>
      <c r="F399" s="158"/>
      <c r="H399" s="158"/>
      <c r="J399" s="158"/>
      <c r="L399" s="158"/>
      <c r="N399" s="158"/>
      <c r="Q399" s="20"/>
    </row>
    <row r="400">
      <c r="B400" s="158"/>
      <c r="D400" s="158"/>
      <c r="F400" s="158"/>
      <c r="H400" s="158"/>
      <c r="J400" s="158"/>
      <c r="L400" s="158"/>
      <c r="N400" s="158"/>
      <c r="Q400" s="20"/>
    </row>
    <row r="401">
      <c r="B401" s="158"/>
      <c r="D401" s="158"/>
      <c r="F401" s="158"/>
      <c r="H401" s="158"/>
      <c r="J401" s="158"/>
      <c r="L401" s="158"/>
      <c r="N401" s="158"/>
      <c r="Q401" s="20"/>
    </row>
    <row r="402">
      <c r="B402" s="158"/>
      <c r="D402" s="158"/>
      <c r="F402" s="158"/>
      <c r="H402" s="158"/>
      <c r="J402" s="158"/>
      <c r="L402" s="158"/>
      <c r="N402" s="158"/>
      <c r="Q402" s="20"/>
    </row>
    <row r="403">
      <c r="B403" s="158"/>
      <c r="D403" s="158"/>
      <c r="F403" s="158"/>
      <c r="H403" s="158"/>
      <c r="J403" s="158"/>
      <c r="L403" s="158"/>
      <c r="N403" s="158"/>
      <c r="Q403" s="20"/>
    </row>
    <row r="404">
      <c r="B404" s="158"/>
      <c r="D404" s="158"/>
      <c r="F404" s="158"/>
      <c r="H404" s="158"/>
      <c r="J404" s="158"/>
      <c r="L404" s="158"/>
      <c r="N404" s="158"/>
      <c r="Q404" s="20"/>
    </row>
    <row r="405">
      <c r="B405" s="158"/>
      <c r="D405" s="158"/>
      <c r="F405" s="158"/>
      <c r="H405" s="158"/>
      <c r="J405" s="158"/>
      <c r="L405" s="158"/>
      <c r="N405" s="158"/>
      <c r="Q405" s="20"/>
    </row>
    <row r="406">
      <c r="B406" s="158"/>
      <c r="D406" s="158"/>
      <c r="F406" s="158"/>
      <c r="H406" s="158"/>
      <c r="J406" s="158"/>
      <c r="L406" s="158"/>
      <c r="N406" s="158"/>
      <c r="Q406" s="20"/>
    </row>
    <row r="407">
      <c r="B407" s="158"/>
      <c r="D407" s="158"/>
      <c r="F407" s="158"/>
      <c r="H407" s="158"/>
      <c r="J407" s="158"/>
      <c r="L407" s="158"/>
      <c r="N407" s="158"/>
      <c r="Q407" s="20"/>
    </row>
    <row r="408">
      <c r="B408" s="158"/>
      <c r="D408" s="158"/>
      <c r="F408" s="158"/>
      <c r="H408" s="158"/>
      <c r="J408" s="158"/>
      <c r="L408" s="158"/>
      <c r="N408" s="158"/>
      <c r="Q408" s="20"/>
    </row>
    <row r="409">
      <c r="B409" s="158"/>
      <c r="D409" s="158"/>
      <c r="F409" s="158"/>
      <c r="H409" s="158"/>
      <c r="J409" s="158"/>
      <c r="L409" s="158"/>
      <c r="N409" s="158"/>
      <c r="Q409" s="20"/>
    </row>
    <row r="410">
      <c r="B410" s="158"/>
      <c r="D410" s="158"/>
      <c r="F410" s="158"/>
      <c r="H410" s="158"/>
      <c r="J410" s="158"/>
      <c r="L410" s="158"/>
      <c r="N410" s="158"/>
      <c r="Q410" s="20"/>
    </row>
    <row r="411">
      <c r="B411" s="158"/>
      <c r="D411" s="158"/>
      <c r="F411" s="158"/>
      <c r="H411" s="158"/>
      <c r="J411" s="158"/>
      <c r="L411" s="158"/>
      <c r="N411" s="158"/>
      <c r="Q411" s="20"/>
    </row>
    <row r="412">
      <c r="B412" s="158"/>
      <c r="D412" s="158"/>
      <c r="F412" s="158"/>
      <c r="H412" s="158"/>
      <c r="J412" s="158"/>
      <c r="L412" s="158"/>
      <c r="N412" s="158"/>
      <c r="Q412" s="20"/>
    </row>
    <row r="413">
      <c r="B413" s="158"/>
      <c r="D413" s="158"/>
      <c r="F413" s="158"/>
      <c r="H413" s="158"/>
      <c r="J413" s="158"/>
      <c r="L413" s="158"/>
      <c r="N413" s="158"/>
      <c r="Q413" s="20"/>
    </row>
    <row r="414">
      <c r="B414" s="158"/>
      <c r="D414" s="158"/>
      <c r="F414" s="158"/>
      <c r="H414" s="158"/>
      <c r="J414" s="158"/>
      <c r="L414" s="158"/>
      <c r="N414" s="158"/>
      <c r="Q414" s="20"/>
    </row>
    <row r="415">
      <c r="B415" s="158"/>
      <c r="D415" s="158"/>
      <c r="F415" s="158"/>
      <c r="H415" s="158"/>
      <c r="J415" s="158"/>
      <c r="L415" s="158"/>
      <c r="N415" s="158"/>
      <c r="Q415" s="20"/>
    </row>
    <row r="416">
      <c r="B416" s="158"/>
      <c r="D416" s="158"/>
      <c r="F416" s="158"/>
      <c r="H416" s="158"/>
      <c r="J416" s="158"/>
      <c r="L416" s="158"/>
      <c r="N416" s="158"/>
      <c r="Q416" s="20"/>
    </row>
    <row r="417">
      <c r="B417" s="158"/>
      <c r="D417" s="158"/>
      <c r="F417" s="158"/>
      <c r="H417" s="158"/>
      <c r="J417" s="158"/>
      <c r="L417" s="158"/>
      <c r="N417" s="158"/>
      <c r="Q417" s="20"/>
    </row>
    <row r="418">
      <c r="B418" s="158"/>
      <c r="D418" s="158"/>
      <c r="F418" s="158"/>
      <c r="H418" s="158"/>
      <c r="J418" s="158"/>
      <c r="L418" s="158"/>
      <c r="N418" s="158"/>
      <c r="Q418" s="20"/>
    </row>
    <row r="419">
      <c r="B419" s="158"/>
      <c r="D419" s="158"/>
      <c r="F419" s="158"/>
      <c r="H419" s="158"/>
      <c r="J419" s="158"/>
      <c r="L419" s="158"/>
      <c r="N419" s="158"/>
      <c r="Q419" s="20"/>
    </row>
    <row r="420">
      <c r="B420" s="158"/>
      <c r="D420" s="158"/>
      <c r="F420" s="158"/>
      <c r="H420" s="158"/>
      <c r="J420" s="158"/>
      <c r="L420" s="158"/>
      <c r="N420" s="158"/>
      <c r="Q420" s="20"/>
    </row>
    <row r="421">
      <c r="B421" s="158"/>
      <c r="D421" s="158"/>
      <c r="F421" s="158"/>
      <c r="H421" s="158"/>
      <c r="J421" s="158"/>
      <c r="L421" s="158"/>
      <c r="N421" s="158"/>
      <c r="Q421" s="20"/>
    </row>
    <row r="422">
      <c r="B422" s="158"/>
      <c r="D422" s="158"/>
      <c r="F422" s="158"/>
      <c r="H422" s="158"/>
      <c r="J422" s="158"/>
      <c r="L422" s="158"/>
      <c r="N422" s="158"/>
      <c r="Q422" s="20"/>
    </row>
    <row r="423">
      <c r="B423" s="158"/>
      <c r="D423" s="158"/>
      <c r="F423" s="158"/>
      <c r="H423" s="158"/>
      <c r="J423" s="158"/>
      <c r="L423" s="158"/>
      <c r="N423" s="158"/>
      <c r="Q423" s="20"/>
    </row>
    <row r="424">
      <c r="B424" s="158"/>
      <c r="D424" s="158"/>
      <c r="F424" s="158"/>
      <c r="H424" s="158"/>
      <c r="J424" s="158"/>
      <c r="L424" s="158"/>
      <c r="N424" s="158"/>
      <c r="Q424" s="20"/>
    </row>
    <row r="425">
      <c r="B425" s="158"/>
      <c r="D425" s="158"/>
      <c r="F425" s="158"/>
      <c r="H425" s="158"/>
      <c r="J425" s="158"/>
      <c r="L425" s="158"/>
      <c r="N425" s="158"/>
      <c r="Q425" s="20"/>
    </row>
    <row r="426">
      <c r="B426" s="158"/>
      <c r="D426" s="158"/>
      <c r="F426" s="158"/>
      <c r="H426" s="158"/>
      <c r="J426" s="158"/>
      <c r="L426" s="158"/>
      <c r="N426" s="158"/>
      <c r="Q426" s="20"/>
    </row>
    <row r="427">
      <c r="B427" s="158"/>
      <c r="D427" s="158"/>
      <c r="F427" s="158"/>
      <c r="H427" s="158"/>
      <c r="J427" s="158"/>
      <c r="L427" s="158"/>
      <c r="N427" s="158"/>
      <c r="Q427" s="20"/>
    </row>
    <row r="428">
      <c r="B428" s="158"/>
      <c r="D428" s="158"/>
      <c r="F428" s="158"/>
      <c r="H428" s="158"/>
      <c r="J428" s="158"/>
      <c r="L428" s="158"/>
      <c r="N428" s="158"/>
      <c r="Q428" s="20"/>
    </row>
    <row r="429">
      <c r="B429" s="158"/>
      <c r="D429" s="158"/>
      <c r="F429" s="158"/>
      <c r="H429" s="158"/>
      <c r="J429" s="158"/>
      <c r="L429" s="158"/>
      <c r="N429" s="158"/>
      <c r="Q429" s="20"/>
    </row>
    <row r="430">
      <c r="B430" s="158"/>
      <c r="D430" s="158"/>
      <c r="F430" s="158"/>
      <c r="H430" s="158"/>
      <c r="J430" s="158"/>
      <c r="L430" s="158"/>
      <c r="N430" s="158"/>
      <c r="Q430" s="20"/>
    </row>
    <row r="431">
      <c r="B431" s="158"/>
      <c r="D431" s="158"/>
      <c r="F431" s="158"/>
      <c r="H431" s="158"/>
      <c r="J431" s="158"/>
      <c r="L431" s="158"/>
      <c r="N431" s="158"/>
      <c r="Q431" s="20"/>
    </row>
    <row r="432">
      <c r="B432" s="158"/>
      <c r="D432" s="158"/>
      <c r="F432" s="158"/>
      <c r="H432" s="158"/>
      <c r="J432" s="158"/>
      <c r="L432" s="158"/>
      <c r="N432" s="158"/>
      <c r="Q432" s="20"/>
    </row>
    <row r="433">
      <c r="B433" s="158"/>
      <c r="D433" s="158"/>
      <c r="F433" s="158"/>
      <c r="H433" s="158"/>
      <c r="J433" s="158"/>
      <c r="L433" s="158"/>
      <c r="N433" s="158"/>
      <c r="Q433" s="20"/>
    </row>
    <row r="434">
      <c r="B434" s="158"/>
      <c r="D434" s="158"/>
      <c r="F434" s="158"/>
      <c r="H434" s="158"/>
      <c r="J434" s="158"/>
      <c r="L434" s="158"/>
      <c r="N434" s="158"/>
      <c r="Q434" s="20"/>
    </row>
    <row r="435">
      <c r="B435" s="158"/>
      <c r="D435" s="158"/>
      <c r="F435" s="158"/>
      <c r="H435" s="158"/>
      <c r="J435" s="158"/>
      <c r="L435" s="158"/>
      <c r="N435" s="158"/>
      <c r="Q435" s="20"/>
    </row>
    <row r="436">
      <c r="B436" s="158"/>
      <c r="D436" s="158"/>
      <c r="F436" s="158"/>
      <c r="H436" s="158"/>
      <c r="J436" s="158"/>
      <c r="L436" s="158"/>
      <c r="N436" s="158"/>
      <c r="Q436" s="20"/>
    </row>
    <row r="437">
      <c r="B437" s="158"/>
      <c r="D437" s="158"/>
      <c r="F437" s="158"/>
      <c r="H437" s="158"/>
      <c r="J437" s="158"/>
      <c r="L437" s="158"/>
      <c r="N437" s="158"/>
      <c r="Q437" s="20"/>
    </row>
    <row r="438">
      <c r="B438" s="158"/>
      <c r="D438" s="158"/>
      <c r="F438" s="158"/>
      <c r="H438" s="158"/>
      <c r="J438" s="158"/>
      <c r="L438" s="158"/>
      <c r="N438" s="158"/>
      <c r="Q438" s="20"/>
    </row>
    <row r="439">
      <c r="B439" s="158"/>
      <c r="D439" s="158"/>
      <c r="F439" s="158"/>
      <c r="H439" s="158"/>
      <c r="J439" s="158"/>
      <c r="L439" s="158"/>
      <c r="N439" s="158"/>
      <c r="Q439" s="20"/>
    </row>
    <row r="440">
      <c r="B440" s="158"/>
      <c r="D440" s="158"/>
      <c r="F440" s="158"/>
      <c r="H440" s="158"/>
      <c r="J440" s="158"/>
      <c r="L440" s="158"/>
      <c r="N440" s="158"/>
      <c r="Q440" s="20"/>
    </row>
    <row r="441">
      <c r="B441" s="158"/>
      <c r="D441" s="158"/>
      <c r="F441" s="158"/>
      <c r="H441" s="158"/>
      <c r="J441" s="158"/>
      <c r="L441" s="158"/>
      <c r="N441" s="158"/>
      <c r="Q441" s="20"/>
    </row>
    <row r="442">
      <c r="B442" s="158"/>
      <c r="D442" s="158"/>
      <c r="F442" s="158"/>
      <c r="H442" s="158"/>
      <c r="J442" s="158"/>
      <c r="L442" s="158"/>
      <c r="N442" s="158"/>
      <c r="Q442" s="20"/>
    </row>
    <row r="443">
      <c r="B443" s="158"/>
      <c r="D443" s="158"/>
      <c r="F443" s="158"/>
      <c r="H443" s="158"/>
      <c r="J443" s="158"/>
      <c r="L443" s="158"/>
      <c r="N443" s="158"/>
      <c r="Q443" s="20"/>
    </row>
    <row r="444">
      <c r="B444" s="158"/>
      <c r="D444" s="158"/>
      <c r="F444" s="158"/>
      <c r="H444" s="158"/>
      <c r="J444" s="158"/>
      <c r="L444" s="158"/>
      <c r="N444" s="158"/>
      <c r="Q444" s="20"/>
    </row>
    <row r="445">
      <c r="B445" s="158"/>
      <c r="D445" s="158"/>
      <c r="F445" s="158"/>
      <c r="H445" s="158"/>
      <c r="J445" s="158"/>
      <c r="L445" s="158"/>
      <c r="N445" s="158"/>
      <c r="Q445" s="20"/>
    </row>
    <row r="446">
      <c r="B446" s="158"/>
      <c r="D446" s="158"/>
      <c r="F446" s="158"/>
      <c r="H446" s="158"/>
      <c r="J446" s="158"/>
      <c r="L446" s="158"/>
      <c r="N446" s="158"/>
      <c r="Q446" s="20"/>
    </row>
    <row r="447">
      <c r="B447" s="158"/>
      <c r="D447" s="158"/>
      <c r="F447" s="158"/>
      <c r="H447" s="158"/>
      <c r="J447" s="158"/>
      <c r="L447" s="158"/>
      <c r="N447" s="158"/>
      <c r="Q447" s="20"/>
    </row>
    <row r="448">
      <c r="B448" s="158"/>
      <c r="D448" s="158"/>
      <c r="F448" s="158"/>
      <c r="H448" s="158"/>
      <c r="J448" s="158"/>
      <c r="L448" s="158"/>
      <c r="N448" s="158"/>
      <c r="Q448" s="20"/>
    </row>
    <row r="449">
      <c r="B449" s="158"/>
      <c r="D449" s="158"/>
      <c r="F449" s="158"/>
      <c r="H449" s="158"/>
      <c r="J449" s="158"/>
      <c r="L449" s="158"/>
      <c r="N449" s="158"/>
      <c r="Q449" s="20"/>
    </row>
    <row r="450">
      <c r="B450" s="158"/>
      <c r="D450" s="158"/>
      <c r="F450" s="158"/>
      <c r="H450" s="158"/>
      <c r="J450" s="158"/>
      <c r="L450" s="158"/>
      <c r="N450" s="158"/>
      <c r="Q450" s="20"/>
    </row>
    <row r="451">
      <c r="B451" s="158"/>
      <c r="D451" s="158"/>
      <c r="F451" s="158"/>
      <c r="H451" s="158"/>
      <c r="J451" s="158"/>
      <c r="L451" s="158"/>
      <c r="N451" s="158"/>
      <c r="Q451" s="20"/>
    </row>
    <row r="452">
      <c r="B452" s="158"/>
      <c r="D452" s="158"/>
      <c r="F452" s="158"/>
      <c r="H452" s="158"/>
      <c r="J452" s="158"/>
      <c r="L452" s="158"/>
      <c r="N452" s="158"/>
      <c r="Q452" s="20"/>
    </row>
    <row r="453">
      <c r="B453" s="158"/>
      <c r="D453" s="158"/>
      <c r="F453" s="158"/>
      <c r="H453" s="158"/>
      <c r="J453" s="158"/>
      <c r="L453" s="158"/>
      <c r="N453" s="158"/>
      <c r="Q453" s="20"/>
    </row>
    <row r="454">
      <c r="B454" s="158"/>
      <c r="D454" s="158"/>
      <c r="F454" s="158"/>
      <c r="H454" s="158"/>
      <c r="J454" s="158"/>
      <c r="L454" s="158"/>
      <c r="N454" s="158"/>
      <c r="Q454" s="20"/>
    </row>
    <row r="455">
      <c r="B455" s="158"/>
      <c r="D455" s="158"/>
      <c r="F455" s="158"/>
      <c r="H455" s="158"/>
      <c r="J455" s="158"/>
      <c r="L455" s="158"/>
      <c r="N455" s="158"/>
      <c r="Q455" s="20"/>
    </row>
    <row r="456">
      <c r="B456" s="158"/>
      <c r="D456" s="158"/>
      <c r="F456" s="158"/>
      <c r="H456" s="158"/>
      <c r="J456" s="158"/>
      <c r="L456" s="158"/>
      <c r="N456" s="158"/>
      <c r="Q456" s="20"/>
    </row>
    <row r="457">
      <c r="B457" s="158"/>
      <c r="D457" s="158"/>
      <c r="F457" s="158"/>
      <c r="H457" s="158"/>
      <c r="J457" s="158"/>
      <c r="L457" s="158"/>
      <c r="N457" s="158"/>
      <c r="Q457" s="20"/>
    </row>
    <row r="458">
      <c r="B458" s="158"/>
      <c r="D458" s="158"/>
      <c r="F458" s="158"/>
      <c r="H458" s="158"/>
      <c r="J458" s="158"/>
      <c r="L458" s="158"/>
      <c r="N458" s="158"/>
      <c r="Q458" s="20"/>
    </row>
    <row r="459">
      <c r="B459" s="158"/>
      <c r="D459" s="158"/>
      <c r="F459" s="158"/>
      <c r="H459" s="158"/>
      <c r="J459" s="158"/>
      <c r="L459" s="158"/>
      <c r="N459" s="158"/>
      <c r="Q459" s="20"/>
    </row>
    <row r="460">
      <c r="B460" s="158"/>
      <c r="D460" s="158"/>
      <c r="F460" s="158"/>
      <c r="H460" s="158"/>
      <c r="J460" s="158"/>
      <c r="L460" s="158"/>
      <c r="N460" s="158"/>
      <c r="Q460" s="20"/>
    </row>
    <row r="461">
      <c r="B461" s="158"/>
      <c r="D461" s="158"/>
      <c r="F461" s="158"/>
      <c r="H461" s="158"/>
      <c r="J461" s="158"/>
      <c r="L461" s="158"/>
      <c r="N461" s="158"/>
      <c r="Q461" s="20"/>
    </row>
    <row r="462">
      <c r="B462" s="158"/>
      <c r="D462" s="158"/>
      <c r="F462" s="158"/>
      <c r="H462" s="158"/>
      <c r="J462" s="158"/>
      <c r="L462" s="158"/>
      <c r="N462" s="158"/>
      <c r="Q462" s="20"/>
    </row>
    <row r="463">
      <c r="B463" s="158"/>
      <c r="D463" s="158"/>
      <c r="F463" s="158"/>
      <c r="H463" s="158"/>
      <c r="J463" s="158"/>
      <c r="L463" s="158"/>
      <c r="N463" s="158"/>
      <c r="Q463" s="20"/>
    </row>
    <row r="464">
      <c r="B464" s="158"/>
      <c r="D464" s="158"/>
      <c r="F464" s="158"/>
      <c r="H464" s="158"/>
      <c r="J464" s="158"/>
      <c r="L464" s="158"/>
      <c r="N464" s="158"/>
      <c r="Q464" s="20"/>
    </row>
    <row r="465">
      <c r="B465" s="158"/>
      <c r="D465" s="158"/>
      <c r="F465" s="158"/>
      <c r="H465" s="158"/>
      <c r="J465" s="158"/>
      <c r="L465" s="158"/>
      <c r="N465" s="158"/>
      <c r="Q465" s="20"/>
    </row>
    <row r="466">
      <c r="B466" s="158"/>
      <c r="D466" s="158"/>
      <c r="F466" s="158"/>
      <c r="H466" s="158"/>
      <c r="J466" s="158"/>
      <c r="L466" s="158"/>
      <c r="N466" s="158"/>
      <c r="Q466" s="20"/>
    </row>
    <row r="467">
      <c r="B467" s="158"/>
      <c r="D467" s="158"/>
      <c r="F467" s="158"/>
      <c r="H467" s="158"/>
      <c r="J467" s="158"/>
      <c r="L467" s="158"/>
      <c r="N467" s="158"/>
      <c r="Q467" s="20"/>
    </row>
    <row r="468">
      <c r="B468" s="158"/>
      <c r="D468" s="158"/>
      <c r="F468" s="158"/>
      <c r="H468" s="158"/>
      <c r="J468" s="158"/>
      <c r="L468" s="158"/>
      <c r="N468" s="158"/>
      <c r="Q468" s="20"/>
    </row>
    <row r="469">
      <c r="B469" s="158"/>
      <c r="D469" s="158"/>
      <c r="F469" s="158"/>
      <c r="H469" s="158"/>
      <c r="J469" s="158"/>
      <c r="L469" s="158"/>
      <c r="N469" s="158"/>
      <c r="Q469" s="20"/>
    </row>
    <row r="470">
      <c r="B470" s="158"/>
      <c r="D470" s="158"/>
      <c r="F470" s="158"/>
      <c r="H470" s="158"/>
      <c r="J470" s="158"/>
      <c r="L470" s="158"/>
      <c r="N470" s="158"/>
      <c r="Q470" s="20"/>
    </row>
    <row r="471">
      <c r="B471" s="158"/>
      <c r="D471" s="158"/>
      <c r="F471" s="158"/>
      <c r="H471" s="158"/>
      <c r="J471" s="158"/>
      <c r="L471" s="158"/>
      <c r="N471" s="158"/>
      <c r="Q471" s="20"/>
    </row>
    <row r="472">
      <c r="B472" s="158"/>
      <c r="D472" s="158"/>
      <c r="F472" s="158"/>
      <c r="H472" s="158"/>
      <c r="J472" s="158"/>
      <c r="L472" s="158"/>
      <c r="N472" s="158"/>
      <c r="Q472" s="20"/>
    </row>
    <row r="473">
      <c r="B473" s="158"/>
      <c r="D473" s="158"/>
      <c r="F473" s="158"/>
      <c r="H473" s="158"/>
      <c r="J473" s="158"/>
      <c r="L473" s="158"/>
      <c r="N473" s="158"/>
      <c r="Q473" s="20"/>
    </row>
    <row r="474">
      <c r="B474" s="158"/>
      <c r="D474" s="158"/>
      <c r="F474" s="158"/>
      <c r="H474" s="158"/>
      <c r="J474" s="158"/>
      <c r="L474" s="158"/>
      <c r="N474" s="158"/>
      <c r="Q474" s="20"/>
    </row>
    <row r="475">
      <c r="B475" s="158"/>
      <c r="D475" s="158"/>
      <c r="F475" s="158"/>
      <c r="H475" s="158"/>
      <c r="J475" s="158"/>
      <c r="L475" s="158"/>
      <c r="N475" s="158"/>
      <c r="Q475" s="20"/>
    </row>
    <row r="476">
      <c r="B476" s="158"/>
      <c r="D476" s="158"/>
      <c r="F476" s="158"/>
      <c r="H476" s="158"/>
      <c r="J476" s="158"/>
      <c r="L476" s="158"/>
      <c r="N476" s="158"/>
      <c r="Q476" s="20"/>
    </row>
    <row r="477">
      <c r="B477" s="158"/>
      <c r="D477" s="158"/>
      <c r="F477" s="158"/>
      <c r="H477" s="158"/>
      <c r="J477" s="158"/>
      <c r="L477" s="158"/>
      <c r="N477" s="158"/>
      <c r="Q477" s="20"/>
    </row>
    <row r="478">
      <c r="B478" s="158"/>
      <c r="D478" s="158"/>
      <c r="F478" s="158"/>
      <c r="H478" s="158"/>
      <c r="J478" s="158"/>
      <c r="L478" s="158"/>
      <c r="N478" s="158"/>
      <c r="Q478" s="20"/>
    </row>
    <row r="479">
      <c r="B479" s="158"/>
      <c r="D479" s="158"/>
      <c r="F479" s="158"/>
      <c r="H479" s="158"/>
      <c r="J479" s="158"/>
      <c r="L479" s="158"/>
      <c r="N479" s="158"/>
      <c r="Q479" s="20"/>
    </row>
    <row r="480">
      <c r="B480" s="158"/>
      <c r="D480" s="158"/>
      <c r="F480" s="158"/>
      <c r="H480" s="158"/>
      <c r="J480" s="158"/>
      <c r="L480" s="158"/>
      <c r="N480" s="158"/>
      <c r="Q480" s="20"/>
    </row>
    <row r="481">
      <c r="B481" s="158"/>
      <c r="D481" s="158"/>
      <c r="F481" s="158"/>
      <c r="H481" s="158"/>
      <c r="J481" s="158"/>
      <c r="L481" s="158"/>
      <c r="N481" s="158"/>
      <c r="Q481" s="20"/>
    </row>
    <row r="482">
      <c r="B482" s="158"/>
      <c r="D482" s="158"/>
      <c r="F482" s="158"/>
      <c r="H482" s="158"/>
      <c r="J482" s="158"/>
      <c r="L482" s="158"/>
      <c r="N482" s="158"/>
      <c r="Q482" s="20"/>
    </row>
    <row r="483">
      <c r="B483" s="158"/>
      <c r="D483" s="158"/>
      <c r="F483" s="158"/>
      <c r="H483" s="158"/>
      <c r="J483" s="158"/>
      <c r="L483" s="158"/>
      <c r="N483" s="158"/>
      <c r="Q483" s="20"/>
    </row>
    <row r="484">
      <c r="B484" s="158"/>
      <c r="D484" s="158"/>
      <c r="F484" s="158"/>
      <c r="H484" s="158"/>
      <c r="J484" s="158"/>
      <c r="L484" s="158"/>
      <c r="N484" s="158"/>
      <c r="Q484" s="20"/>
    </row>
    <row r="485">
      <c r="B485" s="158"/>
      <c r="D485" s="158"/>
      <c r="F485" s="158"/>
      <c r="H485" s="158"/>
      <c r="J485" s="158"/>
      <c r="L485" s="158"/>
      <c r="N485" s="158"/>
      <c r="Q485" s="20"/>
    </row>
    <row r="486">
      <c r="B486" s="158"/>
      <c r="D486" s="158"/>
      <c r="F486" s="158"/>
      <c r="H486" s="158"/>
      <c r="J486" s="158"/>
      <c r="L486" s="158"/>
      <c r="N486" s="158"/>
      <c r="Q486" s="20"/>
    </row>
    <row r="487">
      <c r="B487" s="158"/>
      <c r="D487" s="158"/>
      <c r="F487" s="158"/>
      <c r="H487" s="158"/>
      <c r="J487" s="158"/>
      <c r="L487" s="158"/>
      <c r="N487" s="158"/>
      <c r="Q487" s="20"/>
    </row>
    <row r="488">
      <c r="B488" s="158"/>
      <c r="D488" s="158"/>
      <c r="F488" s="158"/>
      <c r="H488" s="158"/>
      <c r="J488" s="158"/>
      <c r="L488" s="158"/>
      <c r="N488" s="158"/>
      <c r="Q488" s="20"/>
    </row>
    <row r="489">
      <c r="B489" s="158"/>
      <c r="D489" s="158"/>
      <c r="F489" s="158"/>
      <c r="H489" s="158"/>
      <c r="J489" s="158"/>
      <c r="L489" s="158"/>
      <c r="N489" s="158"/>
      <c r="Q489" s="20"/>
    </row>
    <row r="490">
      <c r="B490" s="158"/>
      <c r="D490" s="158"/>
      <c r="F490" s="158"/>
      <c r="H490" s="158"/>
      <c r="J490" s="158"/>
      <c r="L490" s="158"/>
      <c r="N490" s="158"/>
      <c r="Q490" s="20"/>
    </row>
    <row r="491">
      <c r="B491" s="158"/>
      <c r="D491" s="158"/>
      <c r="F491" s="158"/>
      <c r="H491" s="158"/>
      <c r="J491" s="158"/>
      <c r="L491" s="158"/>
      <c r="N491" s="158"/>
      <c r="Q491" s="20"/>
    </row>
    <row r="492">
      <c r="B492" s="158"/>
      <c r="D492" s="158"/>
      <c r="F492" s="158"/>
      <c r="H492" s="158"/>
      <c r="J492" s="158"/>
      <c r="L492" s="158"/>
      <c r="N492" s="158"/>
      <c r="Q492" s="20"/>
    </row>
    <row r="493">
      <c r="B493" s="158"/>
      <c r="D493" s="158"/>
      <c r="F493" s="158"/>
      <c r="H493" s="158"/>
      <c r="J493" s="158"/>
      <c r="L493" s="158"/>
      <c r="N493" s="158"/>
      <c r="Q493" s="20"/>
    </row>
    <row r="494">
      <c r="B494" s="158"/>
      <c r="D494" s="158"/>
      <c r="F494" s="158"/>
      <c r="H494" s="158"/>
      <c r="J494" s="158"/>
      <c r="L494" s="158"/>
      <c r="N494" s="158"/>
      <c r="Q494" s="20"/>
    </row>
    <row r="495">
      <c r="B495" s="158"/>
      <c r="D495" s="158"/>
      <c r="F495" s="158"/>
      <c r="H495" s="158"/>
      <c r="J495" s="158"/>
      <c r="L495" s="158"/>
      <c r="N495" s="158"/>
      <c r="Q495" s="20"/>
    </row>
    <row r="496">
      <c r="B496" s="158"/>
      <c r="D496" s="158"/>
      <c r="F496" s="158"/>
      <c r="H496" s="158"/>
      <c r="J496" s="158"/>
      <c r="L496" s="158"/>
      <c r="N496" s="158"/>
      <c r="Q496" s="20"/>
    </row>
    <row r="497">
      <c r="B497" s="158"/>
      <c r="D497" s="158"/>
      <c r="F497" s="158"/>
      <c r="H497" s="158"/>
      <c r="J497" s="158"/>
      <c r="L497" s="158"/>
      <c r="N497" s="158"/>
      <c r="Q497" s="20"/>
    </row>
    <row r="498">
      <c r="B498" s="158"/>
      <c r="D498" s="158"/>
      <c r="F498" s="158"/>
      <c r="H498" s="158"/>
      <c r="J498" s="158"/>
      <c r="L498" s="158"/>
      <c r="N498" s="158"/>
      <c r="Q498" s="20"/>
    </row>
    <row r="499">
      <c r="B499" s="158"/>
      <c r="D499" s="158"/>
      <c r="F499" s="158"/>
      <c r="H499" s="158"/>
      <c r="J499" s="158"/>
      <c r="L499" s="158"/>
      <c r="N499" s="158"/>
      <c r="Q499" s="20"/>
    </row>
    <row r="500">
      <c r="B500" s="158"/>
      <c r="D500" s="158"/>
      <c r="F500" s="158"/>
      <c r="H500" s="158"/>
      <c r="J500" s="158"/>
      <c r="L500" s="158"/>
      <c r="N500" s="158"/>
      <c r="Q500" s="20"/>
    </row>
    <row r="501">
      <c r="B501" s="158"/>
      <c r="D501" s="158"/>
      <c r="F501" s="158"/>
      <c r="H501" s="158"/>
      <c r="J501" s="158"/>
      <c r="L501" s="158"/>
      <c r="N501" s="158"/>
      <c r="Q501" s="20"/>
    </row>
    <row r="502">
      <c r="B502" s="158"/>
      <c r="D502" s="158"/>
      <c r="F502" s="158"/>
      <c r="H502" s="158"/>
      <c r="J502" s="158"/>
      <c r="L502" s="158"/>
      <c r="N502" s="158"/>
      <c r="Q502" s="20"/>
    </row>
    <row r="503">
      <c r="B503" s="158"/>
      <c r="D503" s="158"/>
      <c r="F503" s="158"/>
      <c r="H503" s="158"/>
      <c r="J503" s="158"/>
      <c r="L503" s="158"/>
      <c r="N503" s="158"/>
      <c r="Q503" s="20"/>
    </row>
    <row r="504">
      <c r="B504" s="158"/>
      <c r="D504" s="158"/>
      <c r="F504" s="158"/>
      <c r="H504" s="158"/>
      <c r="J504" s="158"/>
      <c r="L504" s="158"/>
      <c r="N504" s="158"/>
      <c r="Q504" s="20"/>
    </row>
    <row r="505">
      <c r="B505" s="158"/>
      <c r="D505" s="158"/>
      <c r="F505" s="158"/>
      <c r="H505" s="158"/>
      <c r="J505" s="158"/>
      <c r="L505" s="158"/>
      <c r="N505" s="158"/>
      <c r="Q505" s="20"/>
    </row>
    <row r="506">
      <c r="B506" s="158"/>
      <c r="D506" s="158"/>
      <c r="F506" s="158"/>
      <c r="H506" s="158"/>
      <c r="J506" s="158"/>
      <c r="L506" s="158"/>
      <c r="N506" s="158"/>
      <c r="Q506" s="20"/>
    </row>
    <row r="507">
      <c r="B507" s="158"/>
      <c r="D507" s="158"/>
      <c r="F507" s="158"/>
      <c r="H507" s="158"/>
      <c r="J507" s="158"/>
      <c r="L507" s="158"/>
      <c r="N507" s="158"/>
      <c r="Q507" s="20"/>
    </row>
    <row r="508">
      <c r="B508" s="158"/>
      <c r="D508" s="158"/>
      <c r="F508" s="158"/>
      <c r="H508" s="158"/>
      <c r="J508" s="158"/>
      <c r="L508" s="158"/>
      <c r="N508" s="158"/>
      <c r="Q508" s="20"/>
    </row>
    <row r="509">
      <c r="B509" s="158"/>
      <c r="D509" s="158"/>
      <c r="F509" s="158"/>
      <c r="H509" s="158"/>
      <c r="J509" s="158"/>
      <c r="L509" s="158"/>
      <c r="N509" s="158"/>
      <c r="Q509" s="20"/>
    </row>
    <row r="510">
      <c r="B510" s="158"/>
      <c r="D510" s="158"/>
      <c r="F510" s="158"/>
      <c r="H510" s="158"/>
      <c r="J510" s="158"/>
      <c r="L510" s="158"/>
      <c r="N510" s="158"/>
      <c r="Q510" s="20"/>
    </row>
    <row r="511">
      <c r="B511" s="158"/>
      <c r="D511" s="158"/>
      <c r="F511" s="158"/>
      <c r="H511" s="158"/>
      <c r="J511" s="158"/>
      <c r="L511" s="158"/>
      <c r="N511" s="158"/>
      <c r="Q511" s="20"/>
    </row>
    <row r="512">
      <c r="B512" s="158"/>
      <c r="D512" s="158"/>
      <c r="F512" s="158"/>
      <c r="H512" s="158"/>
      <c r="J512" s="158"/>
      <c r="L512" s="158"/>
      <c r="N512" s="158"/>
      <c r="Q512" s="20"/>
    </row>
    <row r="513">
      <c r="B513" s="158"/>
      <c r="D513" s="158"/>
      <c r="F513" s="158"/>
      <c r="H513" s="158"/>
      <c r="J513" s="158"/>
      <c r="L513" s="158"/>
      <c r="N513" s="158"/>
      <c r="Q513" s="20"/>
    </row>
    <row r="514">
      <c r="B514" s="158"/>
      <c r="D514" s="158"/>
      <c r="F514" s="158"/>
      <c r="H514" s="158"/>
      <c r="J514" s="158"/>
      <c r="L514" s="158"/>
      <c r="N514" s="158"/>
      <c r="Q514" s="20"/>
    </row>
    <row r="515">
      <c r="B515" s="158"/>
      <c r="D515" s="158"/>
      <c r="F515" s="158"/>
      <c r="H515" s="158"/>
      <c r="J515" s="158"/>
      <c r="L515" s="158"/>
      <c r="N515" s="158"/>
      <c r="Q515" s="20"/>
    </row>
    <row r="516">
      <c r="B516" s="158"/>
      <c r="D516" s="158"/>
      <c r="F516" s="158"/>
      <c r="H516" s="158"/>
      <c r="J516" s="158"/>
      <c r="L516" s="158"/>
      <c r="N516" s="158"/>
      <c r="Q516" s="20"/>
    </row>
    <row r="517">
      <c r="B517" s="158"/>
      <c r="D517" s="158"/>
      <c r="F517" s="158"/>
      <c r="H517" s="158"/>
      <c r="J517" s="158"/>
      <c r="L517" s="158"/>
      <c r="N517" s="158"/>
      <c r="Q517" s="20"/>
    </row>
    <row r="518">
      <c r="B518" s="158"/>
      <c r="D518" s="158"/>
      <c r="F518" s="158"/>
      <c r="H518" s="158"/>
      <c r="J518" s="158"/>
      <c r="L518" s="158"/>
      <c r="N518" s="158"/>
      <c r="Q518" s="20"/>
    </row>
    <row r="519">
      <c r="B519" s="158"/>
      <c r="D519" s="158"/>
      <c r="F519" s="158"/>
      <c r="H519" s="158"/>
      <c r="J519" s="158"/>
      <c r="L519" s="158"/>
      <c r="N519" s="158"/>
      <c r="Q519" s="20"/>
    </row>
    <row r="520">
      <c r="B520" s="158"/>
      <c r="D520" s="158"/>
      <c r="F520" s="158"/>
      <c r="H520" s="158"/>
      <c r="J520" s="158"/>
      <c r="L520" s="158"/>
      <c r="N520" s="158"/>
      <c r="Q520" s="20"/>
    </row>
    <row r="521">
      <c r="B521" s="158"/>
      <c r="D521" s="158"/>
      <c r="F521" s="158"/>
      <c r="H521" s="158"/>
      <c r="J521" s="158"/>
      <c r="L521" s="158"/>
      <c r="N521" s="158"/>
      <c r="Q521" s="20"/>
    </row>
    <row r="522">
      <c r="B522" s="158"/>
      <c r="D522" s="158"/>
      <c r="F522" s="158"/>
      <c r="H522" s="158"/>
      <c r="J522" s="158"/>
      <c r="L522" s="158"/>
      <c r="N522" s="158"/>
      <c r="Q522" s="20"/>
    </row>
    <row r="523">
      <c r="B523" s="158"/>
      <c r="D523" s="158"/>
      <c r="F523" s="158"/>
      <c r="H523" s="158"/>
      <c r="J523" s="158"/>
      <c r="L523" s="158"/>
      <c r="N523" s="158"/>
      <c r="Q523" s="20"/>
    </row>
    <row r="524">
      <c r="B524" s="158"/>
      <c r="D524" s="158"/>
      <c r="F524" s="158"/>
      <c r="H524" s="158"/>
      <c r="J524" s="158"/>
      <c r="L524" s="158"/>
      <c r="N524" s="158"/>
      <c r="Q524" s="20"/>
    </row>
    <row r="525">
      <c r="B525" s="158"/>
      <c r="D525" s="158"/>
      <c r="F525" s="158"/>
      <c r="H525" s="158"/>
      <c r="J525" s="158"/>
      <c r="L525" s="158"/>
      <c r="N525" s="158"/>
      <c r="Q525" s="20"/>
    </row>
    <row r="526">
      <c r="B526" s="158"/>
      <c r="D526" s="158"/>
      <c r="F526" s="158"/>
      <c r="H526" s="158"/>
      <c r="J526" s="158"/>
      <c r="L526" s="158"/>
      <c r="N526" s="158"/>
      <c r="Q526" s="20"/>
    </row>
    <row r="527">
      <c r="B527" s="158"/>
      <c r="D527" s="158"/>
      <c r="F527" s="158"/>
      <c r="H527" s="158"/>
      <c r="J527" s="158"/>
      <c r="L527" s="158"/>
      <c r="N527" s="158"/>
      <c r="Q527" s="20"/>
    </row>
    <row r="528">
      <c r="B528" s="158"/>
      <c r="D528" s="158"/>
      <c r="F528" s="158"/>
      <c r="H528" s="158"/>
      <c r="J528" s="158"/>
      <c r="L528" s="158"/>
      <c r="N528" s="158"/>
      <c r="Q528" s="20"/>
    </row>
    <row r="529">
      <c r="B529" s="158"/>
      <c r="D529" s="158"/>
      <c r="F529" s="158"/>
      <c r="H529" s="158"/>
      <c r="J529" s="158"/>
      <c r="L529" s="158"/>
      <c r="N529" s="158"/>
      <c r="Q529" s="20"/>
    </row>
    <row r="530">
      <c r="B530" s="158"/>
      <c r="D530" s="158"/>
      <c r="F530" s="158"/>
      <c r="H530" s="158"/>
      <c r="J530" s="158"/>
      <c r="L530" s="158"/>
      <c r="N530" s="158"/>
      <c r="Q530" s="20"/>
    </row>
    <row r="531">
      <c r="B531" s="158"/>
      <c r="D531" s="158"/>
      <c r="F531" s="158"/>
      <c r="H531" s="158"/>
      <c r="J531" s="158"/>
      <c r="L531" s="158"/>
      <c r="N531" s="158"/>
      <c r="Q531" s="20"/>
    </row>
    <row r="532">
      <c r="B532" s="158"/>
      <c r="D532" s="158"/>
      <c r="F532" s="158"/>
      <c r="H532" s="158"/>
      <c r="J532" s="158"/>
      <c r="L532" s="158"/>
      <c r="N532" s="158"/>
      <c r="Q532" s="20"/>
    </row>
    <row r="533">
      <c r="B533" s="158"/>
      <c r="D533" s="158"/>
      <c r="F533" s="158"/>
      <c r="H533" s="158"/>
      <c r="J533" s="158"/>
      <c r="L533" s="158"/>
      <c r="N533" s="158"/>
      <c r="Q533" s="20"/>
    </row>
    <row r="534">
      <c r="B534" s="158"/>
      <c r="D534" s="158"/>
      <c r="F534" s="158"/>
      <c r="H534" s="158"/>
      <c r="J534" s="158"/>
      <c r="L534" s="158"/>
      <c r="N534" s="158"/>
      <c r="Q534" s="20"/>
    </row>
    <row r="535">
      <c r="B535" s="158"/>
      <c r="D535" s="158"/>
      <c r="F535" s="158"/>
      <c r="H535" s="158"/>
      <c r="J535" s="158"/>
      <c r="L535" s="158"/>
      <c r="N535" s="158"/>
      <c r="Q535" s="20"/>
    </row>
    <row r="536">
      <c r="B536" s="158"/>
      <c r="D536" s="158"/>
      <c r="F536" s="158"/>
      <c r="H536" s="158"/>
      <c r="J536" s="158"/>
      <c r="L536" s="158"/>
      <c r="N536" s="158"/>
      <c r="Q536" s="20"/>
    </row>
    <row r="537">
      <c r="B537" s="158"/>
      <c r="D537" s="158"/>
      <c r="F537" s="158"/>
      <c r="H537" s="158"/>
      <c r="J537" s="158"/>
      <c r="L537" s="158"/>
      <c r="N537" s="158"/>
      <c r="Q537" s="20"/>
    </row>
    <row r="538">
      <c r="B538" s="158"/>
      <c r="D538" s="158"/>
      <c r="F538" s="158"/>
      <c r="H538" s="158"/>
      <c r="J538" s="158"/>
      <c r="L538" s="158"/>
      <c r="N538" s="158"/>
      <c r="Q538" s="20"/>
    </row>
    <row r="539">
      <c r="B539" s="158"/>
      <c r="D539" s="158"/>
      <c r="F539" s="158"/>
      <c r="H539" s="158"/>
      <c r="J539" s="158"/>
      <c r="L539" s="158"/>
      <c r="N539" s="158"/>
      <c r="Q539" s="20"/>
    </row>
    <row r="540">
      <c r="B540" s="158"/>
      <c r="D540" s="158"/>
      <c r="F540" s="158"/>
      <c r="H540" s="158"/>
      <c r="J540" s="158"/>
      <c r="L540" s="158"/>
      <c r="N540" s="158"/>
      <c r="Q540" s="20"/>
    </row>
    <row r="541">
      <c r="B541" s="158"/>
      <c r="D541" s="158"/>
      <c r="F541" s="158"/>
      <c r="H541" s="158"/>
      <c r="J541" s="158"/>
      <c r="L541" s="158"/>
      <c r="N541" s="158"/>
      <c r="Q541" s="20"/>
    </row>
    <row r="542">
      <c r="B542" s="158"/>
      <c r="D542" s="158"/>
      <c r="F542" s="158"/>
      <c r="H542" s="158"/>
      <c r="J542" s="158"/>
      <c r="L542" s="158"/>
      <c r="N542" s="158"/>
      <c r="Q542" s="20"/>
    </row>
    <row r="543">
      <c r="B543" s="158"/>
      <c r="D543" s="158"/>
      <c r="F543" s="158"/>
      <c r="H543" s="158"/>
      <c r="J543" s="158"/>
      <c r="L543" s="158"/>
      <c r="N543" s="158"/>
      <c r="Q543" s="20"/>
    </row>
    <row r="544">
      <c r="B544" s="158"/>
      <c r="D544" s="158"/>
      <c r="F544" s="158"/>
      <c r="H544" s="158"/>
      <c r="J544" s="158"/>
      <c r="L544" s="158"/>
      <c r="N544" s="158"/>
      <c r="Q544" s="20"/>
    </row>
    <row r="545">
      <c r="B545" s="158"/>
      <c r="D545" s="158"/>
      <c r="F545" s="158"/>
      <c r="H545" s="158"/>
      <c r="J545" s="158"/>
      <c r="L545" s="158"/>
      <c r="N545" s="158"/>
      <c r="Q545" s="20"/>
    </row>
    <row r="546">
      <c r="B546" s="158"/>
      <c r="D546" s="158"/>
      <c r="F546" s="158"/>
      <c r="H546" s="158"/>
      <c r="J546" s="158"/>
      <c r="L546" s="158"/>
      <c r="N546" s="158"/>
      <c r="Q546" s="20"/>
    </row>
    <row r="547">
      <c r="B547" s="158"/>
      <c r="D547" s="158"/>
      <c r="F547" s="158"/>
      <c r="H547" s="158"/>
      <c r="J547" s="158"/>
      <c r="L547" s="158"/>
      <c r="N547" s="158"/>
      <c r="Q547" s="20"/>
    </row>
    <row r="548">
      <c r="B548" s="158"/>
      <c r="D548" s="158"/>
      <c r="F548" s="158"/>
      <c r="H548" s="158"/>
      <c r="J548" s="158"/>
      <c r="L548" s="158"/>
      <c r="N548" s="158"/>
      <c r="Q548" s="20"/>
    </row>
    <row r="549">
      <c r="B549" s="158"/>
      <c r="D549" s="158"/>
      <c r="F549" s="158"/>
      <c r="H549" s="158"/>
      <c r="J549" s="158"/>
      <c r="L549" s="158"/>
      <c r="N549" s="158"/>
      <c r="Q549" s="20"/>
    </row>
    <row r="550">
      <c r="B550" s="158"/>
      <c r="D550" s="158"/>
      <c r="F550" s="158"/>
      <c r="H550" s="158"/>
      <c r="J550" s="158"/>
      <c r="L550" s="158"/>
      <c r="N550" s="158"/>
      <c r="Q550" s="20"/>
    </row>
    <row r="551">
      <c r="B551" s="158"/>
      <c r="D551" s="158"/>
      <c r="F551" s="158"/>
      <c r="H551" s="158"/>
      <c r="J551" s="158"/>
      <c r="L551" s="158"/>
      <c r="N551" s="158"/>
      <c r="Q551" s="20"/>
    </row>
    <row r="552">
      <c r="B552" s="158"/>
      <c r="D552" s="158"/>
      <c r="F552" s="158"/>
      <c r="H552" s="158"/>
      <c r="J552" s="158"/>
      <c r="L552" s="158"/>
      <c r="N552" s="158"/>
      <c r="Q552" s="20"/>
    </row>
    <row r="553">
      <c r="B553" s="158"/>
      <c r="D553" s="158"/>
      <c r="F553" s="158"/>
      <c r="H553" s="158"/>
      <c r="J553" s="158"/>
      <c r="L553" s="158"/>
      <c r="N553" s="158"/>
      <c r="Q553" s="20"/>
    </row>
    <row r="554">
      <c r="B554" s="158"/>
      <c r="D554" s="158"/>
      <c r="F554" s="158"/>
      <c r="H554" s="158"/>
      <c r="J554" s="158"/>
      <c r="L554" s="158"/>
      <c r="N554" s="158"/>
      <c r="Q554" s="20"/>
    </row>
    <row r="555">
      <c r="B555" s="158"/>
      <c r="D555" s="158"/>
      <c r="F555" s="158"/>
      <c r="H555" s="158"/>
      <c r="J555" s="158"/>
      <c r="L555" s="158"/>
      <c r="N555" s="158"/>
      <c r="Q555" s="20"/>
    </row>
    <row r="556">
      <c r="B556" s="158"/>
      <c r="D556" s="158"/>
      <c r="F556" s="158"/>
      <c r="H556" s="158"/>
      <c r="J556" s="158"/>
      <c r="L556" s="158"/>
      <c r="N556" s="158"/>
      <c r="Q556" s="20"/>
    </row>
    <row r="557">
      <c r="B557" s="158"/>
      <c r="D557" s="158"/>
      <c r="F557" s="158"/>
      <c r="H557" s="158"/>
      <c r="J557" s="158"/>
      <c r="L557" s="158"/>
      <c r="N557" s="158"/>
      <c r="Q557" s="20"/>
    </row>
    <row r="558">
      <c r="B558" s="158"/>
      <c r="D558" s="158"/>
      <c r="F558" s="158"/>
      <c r="H558" s="158"/>
      <c r="J558" s="158"/>
      <c r="L558" s="158"/>
      <c r="N558" s="158"/>
      <c r="Q558" s="20"/>
    </row>
    <row r="559">
      <c r="B559" s="158"/>
      <c r="D559" s="158"/>
      <c r="F559" s="158"/>
      <c r="H559" s="158"/>
      <c r="J559" s="158"/>
      <c r="L559" s="158"/>
      <c r="N559" s="158"/>
      <c r="Q559" s="20"/>
    </row>
    <row r="560">
      <c r="B560" s="158"/>
      <c r="D560" s="158"/>
      <c r="F560" s="158"/>
      <c r="H560" s="158"/>
      <c r="J560" s="158"/>
      <c r="L560" s="158"/>
      <c r="N560" s="158"/>
      <c r="Q560" s="20"/>
    </row>
    <row r="561">
      <c r="B561" s="158"/>
      <c r="D561" s="158"/>
      <c r="F561" s="158"/>
      <c r="H561" s="158"/>
      <c r="J561" s="158"/>
      <c r="L561" s="158"/>
      <c r="N561" s="158"/>
      <c r="Q561" s="20"/>
    </row>
    <row r="562">
      <c r="B562" s="158"/>
      <c r="D562" s="158"/>
      <c r="F562" s="158"/>
      <c r="H562" s="158"/>
      <c r="J562" s="158"/>
      <c r="L562" s="158"/>
      <c r="N562" s="158"/>
      <c r="Q562" s="20"/>
    </row>
    <row r="563">
      <c r="B563" s="158"/>
      <c r="D563" s="158"/>
      <c r="F563" s="158"/>
      <c r="H563" s="158"/>
      <c r="J563" s="158"/>
      <c r="L563" s="158"/>
      <c r="N563" s="158"/>
      <c r="Q563" s="20"/>
    </row>
    <row r="564">
      <c r="B564" s="158"/>
      <c r="D564" s="158"/>
      <c r="F564" s="158"/>
      <c r="H564" s="158"/>
      <c r="J564" s="158"/>
      <c r="L564" s="158"/>
      <c r="N564" s="158"/>
      <c r="Q564" s="20"/>
    </row>
    <row r="565">
      <c r="B565" s="158"/>
      <c r="D565" s="158"/>
      <c r="F565" s="158"/>
      <c r="H565" s="158"/>
      <c r="J565" s="158"/>
      <c r="L565" s="158"/>
      <c r="N565" s="158"/>
      <c r="Q565" s="20"/>
    </row>
    <row r="566">
      <c r="B566" s="158"/>
      <c r="D566" s="158"/>
      <c r="F566" s="158"/>
      <c r="H566" s="158"/>
      <c r="J566" s="158"/>
      <c r="L566" s="158"/>
      <c r="N566" s="158"/>
      <c r="Q566" s="20"/>
    </row>
    <row r="567">
      <c r="B567" s="158"/>
      <c r="D567" s="158"/>
      <c r="F567" s="158"/>
      <c r="H567" s="158"/>
      <c r="J567" s="158"/>
      <c r="L567" s="158"/>
      <c r="N567" s="158"/>
      <c r="Q567" s="20"/>
    </row>
    <row r="568">
      <c r="B568" s="158"/>
      <c r="D568" s="158"/>
      <c r="F568" s="158"/>
      <c r="H568" s="158"/>
      <c r="J568" s="158"/>
      <c r="L568" s="158"/>
      <c r="N568" s="158"/>
      <c r="Q568" s="20"/>
    </row>
    <row r="569">
      <c r="B569" s="158"/>
      <c r="D569" s="158"/>
      <c r="F569" s="158"/>
      <c r="H569" s="158"/>
      <c r="J569" s="158"/>
      <c r="L569" s="158"/>
      <c r="N569" s="158"/>
      <c r="Q569" s="20"/>
    </row>
    <row r="570">
      <c r="B570" s="158"/>
      <c r="D570" s="158"/>
      <c r="F570" s="158"/>
      <c r="H570" s="158"/>
      <c r="J570" s="158"/>
      <c r="L570" s="158"/>
      <c r="N570" s="158"/>
      <c r="Q570" s="20"/>
    </row>
    <row r="571">
      <c r="B571" s="158"/>
      <c r="D571" s="158"/>
      <c r="F571" s="158"/>
      <c r="H571" s="158"/>
      <c r="J571" s="158"/>
      <c r="L571" s="158"/>
      <c r="N571" s="158"/>
      <c r="Q571" s="20"/>
    </row>
    <row r="572">
      <c r="B572" s="158"/>
      <c r="D572" s="158"/>
      <c r="F572" s="158"/>
      <c r="H572" s="158"/>
      <c r="J572" s="158"/>
      <c r="L572" s="158"/>
      <c r="N572" s="158"/>
      <c r="Q572" s="20"/>
    </row>
    <row r="573">
      <c r="B573" s="158"/>
      <c r="D573" s="158"/>
      <c r="F573" s="158"/>
      <c r="H573" s="158"/>
      <c r="J573" s="158"/>
      <c r="L573" s="158"/>
      <c r="N573" s="158"/>
      <c r="Q573" s="20"/>
    </row>
    <row r="574">
      <c r="B574" s="158"/>
      <c r="D574" s="158"/>
      <c r="F574" s="158"/>
      <c r="H574" s="158"/>
      <c r="J574" s="158"/>
      <c r="L574" s="158"/>
      <c r="N574" s="158"/>
      <c r="Q574" s="20"/>
    </row>
    <row r="575">
      <c r="B575" s="158"/>
      <c r="D575" s="158"/>
      <c r="F575" s="158"/>
      <c r="H575" s="158"/>
      <c r="J575" s="158"/>
      <c r="L575" s="158"/>
      <c r="N575" s="158"/>
      <c r="Q575" s="20"/>
    </row>
    <row r="576">
      <c r="B576" s="158"/>
      <c r="D576" s="158"/>
      <c r="F576" s="158"/>
      <c r="H576" s="158"/>
      <c r="J576" s="158"/>
      <c r="L576" s="158"/>
      <c r="N576" s="158"/>
      <c r="Q576" s="20"/>
    </row>
    <row r="577">
      <c r="B577" s="158"/>
      <c r="D577" s="158"/>
      <c r="F577" s="158"/>
      <c r="H577" s="158"/>
      <c r="J577" s="158"/>
      <c r="L577" s="158"/>
      <c r="N577" s="158"/>
      <c r="Q577" s="20"/>
    </row>
    <row r="578">
      <c r="B578" s="158"/>
      <c r="D578" s="158"/>
      <c r="F578" s="158"/>
      <c r="H578" s="158"/>
      <c r="J578" s="158"/>
      <c r="L578" s="158"/>
      <c r="N578" s="158"/>
      <c r="Q578" s="20"/>
    </row>
    <row r="579">
      <c r="B579" s="158"/>
      <c r="D579" s="158"/>
      <c r="F579" s="158"/>
      <c r="H579" s="158"/>
      <c r="J579" s="158"/>
      <c r="L579" s="158"/>
      <c r="N579" s="158"/>
      <c r="Q579" s="20"/>
    </row>
    <row r="580">
      <c r="B580" s="158"/>
      <c r="D580" s="158"/>
      <c r="F580" s="158"/>
      <c r="H580" s="158"/>
      <c r="J580" s="158"/>
      <c r="L580" s="158"/>
      <c r="N580" s="158"/>
      <c r="Q580" s="20"/>
    </row>
    <row r="581">
      <c r="B581" s="158"/>
      <c r="D581" s="158"/>
      <c r="F581" s="158"/>
      <c r="H581" s="158"/>
      <c r="J581" s="158"/>
      <c r="L581" s="158"/>
      <c r="N581" s="158"/>
      <c r="Q581" s="20"/>
    </row>
    <row r="582">
      <c r="B582" s="158"/>
      <c r="D582" s="158"/>
      <c r="F582" s="158"/>
      <c r="H582" s="158"/>
      <c r="J582" s="158"/>
      <c r="L582" s="158"/>
      <c r="N582" s="158"/>
      <c r="Q582" s="20"/>
    </row>
    <row r="583">
      <c r="B583" s="158"/>
      <c r="D583" s="158"/>
      <c r="F583" s="158"/>
      <c r="H583" s="158"/>
      <c r="J583" s="158"/>
      <c r="L583" s="158"/>
      <c r="N583" s="158"/>
      <c r="Q583" s="20"/>
    </row>
    <row r="584">
      <c r="B584" s="158"/>
      <c r="D584" s="158"/>
      <c r="F584" s="158"/>
      <c r="H584" s="158"/>
      <c r="J584" s="158"/>
      <c r="L584" s="158"/>
      <c r="N584" s="158"/>
      <c r="Q584" s="20"/>
    </row>
    <row r="585">
      <c r="B585" s="158"/>
      <c r="D585" s="158"/>
      <c r="F585" s="158"/>
      <c r="H585" s="158"/>
      <c r="J585" s="158"/>
      <c r="L585" s="158"/>
      <c r="N585" s="158"/>
      <c r="Q585" s="20"/>
    </row>
    <row r="586">
      <c r="B586" s="158"/>
      <c r="D586" s="158"/>
      <c r="F586" s="158"/>
      <c r="H586" s="158"/>
      <c r="J586" s="158"/>
      <c r="L586" s="158"/>
      <c r="N586" s="158"/>
      <c r="Q586" s="20"/>
    </row>
    <row r="587">
      <c r="B587" s="158"/>
      <c r="D587" s="158"/>
      <c r="F587" s="158"/>
      <c r="H587" s="158"/>
      <c r="J587" s="158"/>
      <c r="L587" s="158"/>
      <c r="N587" s="158"/>
      <c r="Q587" s="20"/>
    </row>
    <row r="588">
      <c r="B588" s="158"/>
      <c r="D588" s="158"/>
      <c r="F588" s="158"/>
      <c r="H588" s="158"/>
      <c r="J588" s="158"/>
      <c r="L588" s="158"/>
      <c r="N588" s="158"/>
      <c r="Q588" s="20"/>
    </row>
    <row r="589">
      <c r="B589" s="158"/>
      <c r="D589" s="158"/>
      <c r="F589" s="158"/>
      <c r="H589" s="158"/>
      <c r="J589" s="158"/>
      <c r="L589" s="158"/>
      <c r="N589" s="158"/>
      <c r="Q589" s="20"/>
    </row>
    <row r="590">
      <c r="B590" s="158"/>
      <c r="D590" s="158"/>
      <c r="F590" s="158"/>
      <c r="H590" s="158"/>
      <c r="J590" s="158"/>
      <c r="L590" s="158"/>
      <c r="N590" s="158"/>
      <c r="Q590" s="20"/>
    </row>
    <row r="591">
      <c r="B591" s="158"/>
      <c r="D591" s="158"/>
      <c r="F591" s="158"/>
      <c r="H591" s="158"/>
      <c r="J591" s="158"/>
      <c r="L591" s="158"/>
      <c r="N591" s="158"/>
      <c r="Q591" s="20"/>
    </row>
    <row r="592">
      <c r="B592" s="158"/>
      <c r="D592" s="158"/>
      <c r="F592" s="158"/>
      <c r="H592" s="158"/>
      <c r="J592" s="158"/>
      <c r="L592" s="158"/>
      <c r="N592" s="158"/>
      <c r="Q592" s="20"/>
    </row>
    <row r="593">
      <c r="B593" s="158"/>
      <c r="D593" s="158"/>
      <c r="F593" s="158"/>
      <c r="H593" s="158"/>
      <c r="J593" s="158"/>
      <c r="L593" s="158"/>
      <c r="N593" s="158"/>
      <c r="Q593" s="20"/>
    </row>
    <row r="594">
      <c r="B594" s="158"/>
      <c r="D594" s="158"/>
      <c r="F594" s="158"/>
      <c r="H594" s="158"/>
      <c r="J594" s="158"/>
      <c r="L594" s="158"/>
      <c r="N594" s="158"/>
      <c r="Q594" s="20"/>
    </row>
    <row r="595">
      <c r="B595" s="158"/>
      <c r="D595" s="158"/>
      <c r="F595" s="158"/>
      <c r="H595" s="158"/>
      <c r="J595" s="158"/>
      <c r="L595" s="158"/>
      <c r="N595" s="158"/>
      <c r="Q595" s="20"/>
    </row>
    <row r="596">
      <c r="B596" s="158"/>
      <c r="D596" s="158"/>
      <c r="F596" s="158"/>
      <c r="H596" s="158"/>
      <c r="J596" s="158"/>
      <c r="L596" s="158"/>
      <c r="N596" s="158"/>
      <c r="Q596" s="20"/>
    </row>
    <row r="597">
      <c r="B597" s="158"/>
      <c r="D597" s="158"/>
      <c r="F597" s="158"/>
      <c r="H597" s="158"/>
      <c r="J597" s="158"/>
      <c r="L597" s="158"/>
      <c r="N597" s="158"/>
      <c r="Q597" s="20"/>
    </row>
    <row r="598">
      <c r="B598" s="158"/>
      <c r="D598" s="158"/>
      <c r="F598" s="158"/>
      <c r="H598" s="158"/>
      <c r="J598" s="158"/>
      <c r="L598" s="158"/>
      <c r="N598" s="158"/>
      <c r="Q598" s="20"/>
    </row>
    <row r="599">
      <c r="B599" s="158"/>
      <c r="D599" s="158"/>
      <c r="F599" s="158"/>
      <c r="H599" s="158"/>
      <c r="J599" s="158"/>
      <c r="L599" s="158"/>
      <c r="N599" s="158"/>
      <c r="Q599" s="20"/>
    </row>
    <row r="600">
      <c r="B600" s="158"/>
      <c r="D600" s="158"/>
      <c r="F600" s="158"/>
      <c r="H600" s="158"/>
      <c r="J600" s="158"/>
      <c r="L600" s="158"/>
      <c r="N600" s="158"/>
      <c r="Q600" s="20"/>
    </row>
    <row r="601">
      <c r="B601" s="158"/>
      <c r="D601" s="158"/>
      <c r="F601" s="158"/>
      <c r="H601" s="158"/>
      <c r="J601" s="158"/>
      <c r="L601" s="158"/>
      <c r="N601" s="158"/>
      <c r="Q601" s="20"/>
    </row>
    <row r="602">
      <c r="B602" s="158"/>
      <c r="D602" s="158"/>
      <c r="F602" s="158"/>
      <c r="H602" s="158"/>
      <c r="J602" s="158"/>
      <c r="L602" s="158"/>
      <c r="N602" s="158"/>
      <c r="Q602" s="20"/>
    </row>
    <row r="603">
      <c r="B603" s="158"/>
      <c r="D603" s="158"/>
      <c r="F603" s="158"/>
      <c r="H603" s="158"/>
      <c r="J603" s="158"/>
      <c r="L603" s="158"/>
      <c r="N603" s="158"/>
      <c r="Q603" s="20"/>
    </row>
    <row r="604">
      <c r="B604" s="158"/>
      <c r="D604" s="158"/>
      <c r="F604" s="158"/>
      <c r="H604" s="158"/>
      <c r="J604" s="158"/>
      <c r="L604" s="158"/>
      <c r="N604" s="158"/>
      <c r="Q604" s="20"/>
    </row>
    <row r="605">
      <c r="B605" s="158"/>
      <c r="D605" s="158"/>
      <c r="F605" s="158"/>
      <c r="H605" s="158"/>
      <c r="J605" s="158"/>
      <c r="L605" s="158"/>
      <c r="N605" s="158"/>
      <c r="Q605" s="20"/>
    </row>
    <row r="606">
      <c r="B606" s="158"/>
      <c r="D606" s="158"/>
      <c r="F606" s="158"/>
      <c r="H606" s="158"/>
      <c r="J606" s="158"/>
      <c r="L606" s="158"/>
      <c r="N606" s="158"/>
      <c r="Q606" s="20"/>
    </row>
    <row r="607">
      <c r="B607" s="158"/>
      <c r="D607" s="158"/>
      <c r="F607" s="158"/>
      <c r="H607" s="158"/>
      <c r="J607" s="158"/>
      <c r="L607" s="158"/>
      <c r="N607" s="158"/>
      <c r="Q607" s="20"/>
    </row>
    <row r="608">
      <c r="B608" s="158"/>
      <c r="D608" s="158"/>
      <c r="F608" s="158"/>
      <c r="H608" s="158"/>
      <c r="J608" s="158"/>
      <c r="L608" s="158"/>
      <c r="N608" s="158"/>
      <c r="Q608" s="20"/>
    </row>
    <row r="609">
      <c r="B609" s="158"/>
      <c r="D609" s="158"/>
      <c r="F609" s="158"/>
      <c r="H609" s="158"/>
      <c r="J609" s="158"/>
      <c r="L609" s="158"/>
      <c r="N609" s="158"/>
      <c r="Q609" s="20"/>
    </row>
    <row r="610">
      <c r="B610" s="158"/>
      <c r="D610" s="158"/>
      <c r="F610" s="158"/>
      <c r="H610" s="158"/>
      <c r="J610" s="158"/>
      <c r="L610" s="158"/>
      <c r="N610" s="158"/>
      <c r="Q610" s="20"/>
    </row>
    <row r="611">
      <c r="B611" s="158"/>
      <c r="D611" s="158"/>
      <c r="F611" s="158"/>
      <c r="H611" s="158"/>
      <c r="J611" s="158"/>
      <c r="L611" s="158"/>
      <c r="N611" s="158"/>
      <c r="Q611" s="20"/>
    </row>
    <row r="612">
      <c r="B612" s="158"/>
      <c r="D612" s="158"/>
      <c r="F612" s="158"/>
      <c r="H612" s="158"/>
      <c r="J612" s="158"/>
      <c r="L612" s="158"/>
      <c r="N612" s="158"/>
      <c r="Q612" s="20"/>
    </row>
    <row r="613">
      <c r="B613" s="158"/>
      <c r="D613" s="158"/>
      <c r="F613" s="158"/>
      <c r="H613" s="158"/>
      <c r="J613" s="158"/>
      <c r="L613" s="158"/>
      <c r="N613" s="158"/>
      <c r="Q613" s="20"/>
    </row>
    <row r="614">
      <c r="B614" s="158"/>
      <c r="D614" s="158"/>
      <c r="F614" s="158"/>
      <c r="H614" s="158"/>
      <c r="J614" s="158"/>
      <c r="L614" s="158"/>
      <c r="N614" s="158"/>
      <c r="Q614" s="20"/>
    </row>
    <row r="615">
      <c r="B615" s="158"/>
      <c r="D615" s="158"/>
      <c r="F615" s="158"/>
      <c r="H615" s="158"/>
      <c r="J615" s="158"/>
      <c r="L615" s="158"/>
      <c r="N615" s="158"/>
      <c r="Q615" s="20"/>
    </row>
    <row r="616">
      <c r="B616" s="158"/>
      <c r="D616" s="158"/>
      <c r="F616" s="158"/>
      <c r="H616" s="158"/>
      <c r="J616" s="158"/>
      <c r="L616" s="158"/>
      <c r="N616" s="158"/>
      <c r="Q616" s="20"/>
    </row>
    <row r="617">
      <c r="B617" s="158"/>
      <c r="D617" s="158"/>
      <c r="F617" s="158"/>
      <c r="H617" s="158"/>
      <c r="J617" s="158"/>
      <c r="L617" s="158"/>
      <c r="N617" s="158"/>
      <c r="Q617" s="20"/>
    </row>
    <row r="618">
      <c r="B618" s="158"/>
      <c r="D618" s="158"/>
      <c r="F618" s="158"/>
      <c r="H618" s="158"/>
      <c r="J618" s="158"/>
      <c r="L618" s="158"/>
      <c r="N618" s="158"/>
      <c r="Q618" s="20"/>
    </row>
    <row r="619">
      <c r="B619" s="158"/>
      <c r="D619" s="158"/>
      <c r="F619" s="158"/>
      <c r="H619" s="158"/>
      <c r="J619" s="158"/>
      <c r="L619" s="158"/>
      <c r="N619" s="158"/>
      <c r="Q619" s="20"/>
    </row>
    <row r="620">
      <c r="B620" s="158"/>
      <c r="D620" s="158"/>
      <c r="F620" s="158"/>
      <c r="H620" s="158"/>
      <c r="J620" s="158"/>
      <c r="L620" s="158"/>
      <c r="N620" s="158"/>
      <c r="Q620" s="20"/>
    </row>
    <row r="621">
      <c r="B621" s="158"/>
      <c r="D621" s="158"/>
      <c r="F621" s="158"/>
      <c r="H621" s="158"/>
      <c r="J621" s="158"/>
      <c r="L621" s="158"/>
      <c r="N621" s="158"/>
      <c r="Q621" s="20"/>
    </row>
    <row r="622">
      <c r="B622" s="158"/>
      <c r="D622" s="158"/>
      <c r="F622" s="158"/>
      <c r="H622" s="158"/>
      <c r="J622" s="158"/>
      <c r="L622" s="158"/>
      <c r="N622" s="158"/>
      <c r="Q622" s="20"/>
    </row>
    <row r="623">
      <c r="B623" s="158"/>
      <c r="D623" s="158"/>
      <c r="F623" s="158"/>
      <c r="H623" s="158"/>
      <c r="J623" s="158"/>
      <c r="L623" s="158"/>
      <c r="N623" s="158"/>
      <c r="Q623" s="20"/>
    </row>
    <row r="624">
      <c r="B624" s="158"/>
      <c r="D624" s="158"/>
      <c r="F624" s="158"/>
      <c r="H624" s="158"/>
      <c r="J624" s="158"/>
      <c r="L624" s="158"/>
      <c r="N624" s="158"/>
      <c r="Q624" s="20"/>
    </row>
    <row r="625">
      <c r="B625" s="158"/>
      <c r="D625" s="158"/>
      <c r="F625" s="158"/>
      <c r="H625" s="158"/>
      <c r="J625" s="158"/>
      <c r="L625" s="158"/>
      <c r="N625" s="158"/>
      <c r="Q625" s="20"/>
    </row>
    <row r="626">
      <c r="B626" s="158"/>
      <c r="D626" s="158"/>
      <c r="F626" s="158"/>
      <c r="H626" s="158"/>
      <c r="J626" s="158"/>
      <c r="L626" s="158"/>
      <c r="N626" s="158"/>
      <c r="Q626" s="20"/>
    </row>
    <row r="627">
      <c r="B627" s="158"/>
      <c r="D627" s="158"/>
      <c r="F627" s="158"/>
      <c r="H627" s="158"/>
      <c r="J627" s="158"/>
      <c r="L627" s="158"/>
      <c r="N627" s="158"/>
      <c r="Q627" s="20"/>
    </row>
    <row r="628">
      <c r="B628" s="158"/>
      <c r="D628" s="158"/>
      <c r="F628" s="158"/>
      <c r="H628" s="158"/>
      <c r="J628" s="158"/>
      <c r="L628" s="158"/>
      <c r="N628" s="158"/>
      <c r="Q628" s="20"/>
    </row>
    <row r="629">
      <c r="B629" s="158"/>
      <c r="D629" s="158"/>
      <c r="F629" s="158"/>
      <c r="H629" s="158"/>
      <c r="J629" s="158"/>
      <c r="L629" s="158"/>
      <c r="N629" s="158"/>
      <c r="Q629" s="20"/>
    </row>
    <row r="630">
      <c r="B630" s="158"/>
      <c r="D630" s="158"/>
      <c r="F630" s="158"/>
      <c r="H630" s="158"/>
      <c r="J630" s="158"/>
      <c r="L630" s="158"/>
      <c r="N630" s="158"/>
      <c r="Q630" s="20"/>
    </row>
    <row r="631">
      <c r="B631" s="158"/>
      <c r="D631" s="158"/>
      <c r="F631" s="158"/>
      <c r="H631" s="158"/>
      <c r="J631" s="158"/>
      <c r="L631" s="158"/>
      <c r="N631" s="158"/>
      <c r="Q631" s="20"/>
    </row>
    <row r="632">
      <c r="B632" s="158"/>
      <c r="D632" s="158"/>
      <c r="F632" s="158"/>
      <c r="H632" s="158"/>
      <c r="J632" s="158"/>
      <c r="L632" s="158"/>
      <c r="N632" s="158"/>
      <c r="Q632" s="20"/>
    </row>
    <row r="633">
      <c r="B633" s="158"/>
      <c r="D633" s="158"/>
      <c r="F633" s="158"/>
      <c r="H633" s="158"/>
      <c r="J633" s="158"/>
      <c r="L633" s="158"/>
      <c r="N633" s="158"/>
      <c r="Q633" s="20"/>
    </row>
    <row r="634">
      <c r="B634" s="158"/>
      <c r="D634" s="158"/>
      <c r="F634" s="158"/>
      <c r="H634" s="158"/>
      <c r="J634" s="158"/>
      <c r="L634" s="158"/>
      <c r="N634" s="158"/>
      <c r="Q634" s="20"/>
    </row>
    <row r="635">
      <c r="B635" s="158"/>
      <c r="D635" s="158"/>
      <c r="F635" s="158"/>
      <c r="H635" s="158"/>
      <c r="J635" s="158"/>
      <c r="L635" s="158"/>
      <c r="N635" s="158"/>
      <c r="Q635" s="20"/>
    </row>
    <row r="636">
      <c r="B636" s="158"/>
      <c r="D636" s="158"/>
      <c r="F636" s="158"/>
      <c r="H636" s="158"/>
      <c r="J636" s="158"/>
      <c r="L636" s="158"/>
      <c r="N636" s="158"/>
      <c r="Q636" s="20"/>
    </row>
    <row r="637">
      <c r="B637" s="158"/>
      <c r="D637" s="158"/>
      <c r="F637" s="158"/>
      <c r="H637" s="158"/>
      <c r="J637" s="158"/>
      <c r="L637" s="158"/>
      <c r="N637" s="158"/>
      <c r="Q637" s="20"/>
    </row>
    <row r="638">
      <c r="B638" s="158"/>
      <c r="D638" s="158"/>
      <c r="F638" s="158"/>
      <c r="H638" s="158"/>
      <c r="J638" s="158"/>
      <c r="L638" s="158"/>
      <c r="N638" s="158"/>
      <c r="Q638" s="20"/>
    </row>
    <row r="639">
      <c r="B639" s="158"/>
      <c r="D639" s="158"/>
      <c r="F639" s="158"/>
      <c r="H639" s="158"/>
      <c r="J639" s="158"/>
      <c r="L639" s="158"/>
      <c r="N639" s="158"/>
      <c r="Q639" s="20"/>
    </row>
    <row r="640">
      <c r="B640" s="158"/>
      <c r="D640" s="158"/>
      <c r="F640" s="158"/>
      <c r="H640" s="158"/>
      <c r="J640" s="158"/>
      <c r="L640" s="158"/>
      <c r="N640" s="158"/>
      <c r="Q640" s="20"/>
    </row>
    <row r="641">
      <c r="B641" s="158"/>
      <c r="D641" s="158"/>
      <c r="F641" s="158"/>
      <c r="H641" s="158"/>
      <c r="J641" s="158"/>
      <c r="L641" s="158"/>
      <c r="N641" s="158"/>
      <c r="Q641" s="20"/>
    </row>
    <row r="642">
      <c r="B642" s="158"/>
      <c r="D642" s="158"/>
      <c r="F642" s="158"/>
      <c r="H642" s="158"/>
      <c r="J642" s="158"/>
      <c r="L642" s="158"/>
      <c r="N642" s="158"/>
      <c r="Q642" s="20"/>
    </row>
    <row r="643">
      <c r="B643" s="158"/>
      <c r="D643" s="158"/>
      <c r="F643" s="158"/>
      <c r="H643" s="158"/>
      <c r="J643" s="158"/>
      <c r="L643" s="158"/>
      <c r="N643" s="158"/>
      <c r="Q643" s="20"/>
    </row>
    <row r="644">
      <c r="B644" s="158"/>
      <c r="D644" s="158"/>
      <c r="F644" s="158"/>
      <c r="H644" s="158"/>
      <c r="J644" s="158"/>
      <c r="L644" s="158"/>
      <c r="N644" s="158"/>
      <c r="Q644" s="20"/>
    </row>
    <row r="645">
      <c r="B645" s="158"/>
      <c r="D645" s="158"/>
      <c r="F645" s="158"/>
      <c r="H645" s="158"/>
      <c r="J645" s="158"/>
      <c r="L645" s="158"/>
      <c r="N645" s="158"/>
      <c r="Q645" s="20"/>
    </row>
    <row r="646">
      <c r="B646" s="158"/>
      <c r="D646" s="158"/>
      <c r="F646" s="158"/>
      <c r="H646" s="158"/>
      <c r="J646" s="158"/>
      <c r="L646" s="158"/>
      <c r="N646" s="158"/>
      <c r="Q646" s="20"/>
    </row>
    <row r="647">
      <c r="B647" s="158"/>
      <c r="D647" s="158"/>
      <c r="F647" s="158"/>
      <c r="H647" s="158"/>
      <c r="J647" s="158"/>
      <c r="L647" s="158"/>
      <c r="N647" s="158"/>
      <c r="Q647" s="20"/>
    </row>
    <row r="648">
      <c r="B648" s="158"/>
      <c r="D648" s="158"/>
      <c r="F648" s="158"/>
      <c r="H648" s="158"/>
      <c r="J648" s="158"/>
      <c r="L648" s="158"/>
      <c r="N648" s="158"/>
      <c r="Q648" s="20"/>
    </row>
    <row r="649">
      <c r="B649" s="158"/>
      <c r="D649" s="158"/>
      <c r="F649" s="158"/>
      <c r="H649" s="158"/>
      <c r="J649" s="158"/>
      <c r="L649" s="158"/>
      <c r="N649" s="158"/>
      <c r="Q649" s="20"/>
    </row>
    <row r="650">
      <c r="B650" s="158"/>
      <c r="D650" s="158"/>
      <c r="F650" s="158"/>
      <c r="H650" s="158"/>
      <c r="J650" s="158"/>
      <c r="L650" s="158"/>
      <c r="N650" s="158"/>
      <c r="Q650" s="20"/>
    </row>
    <row r="651">
      <c r="B651" s="158"/>
      <c r="D651" s="158"/>
      <c r="F651" s="158"/>
      <c r="H651" s="158"/>
      <c r="J651" s="158"/>
      <c r="L651" s="158"/>
      <c r="N651" s="158"/>
      <c r="Q651" s="20"/>
    </row>
    <row r="652">
      <c r="B652" s="158"/>
      <c r="D652" s="158"/>
      <c r="F652" s="158"/>
      <c r="H652" s="158"/>
      <c r="J652" s="158"/>
      <c r="L652" s="158"/>
      <c r="N652" s="158"/>
      <c r="Q652" s="20"/>
    </row>
    <row r="653">
      <c r="B653" s="158"/>
      <c r="D653" s="158"/>
      <c r="F653" s="158"/>
      <c r="H653" s="158"/>
      <c r="J653" s="158"/>
      <c r="L653" s="158"/>
      <c r="N653" s="158"/>
      <c r="Q653" s="20"/>
    </row>
    <row r="654">
      <c r="B654" s="158"/>
      <c r="D654" s="158"/>
      <c r="F654" s="158"/>
      <c r="H654" s="158"/>
      <c r="J654" s="158"/>
      <c r="L654" s="158"/>
      <c r="N654" s="158"/>
      <c r="Q654" s="20"/>
    </row>
    <row r="655">
      <c r="B655" s="158"/>
      <c r="D655" s="158"/>
      <c r="F655" s="158"/>
      <c r="H655" s="158"/>
      <c r="J655" s="158"/>
      <c r="L655" s="158"/>
      <c r="N655" s="158"/>
      <c r="Q655" s="20"/>
    </row>
    <row r="656">
      <c r="B656" s="158"/>
      <c r="D656" s="158"/>
      <c r="F656" s="158"/>
      <c r="H656" s="158"/>
      <c r="J656" s="158"/>
      <c r="L656" s="158"/>
      <c r="N656" s="158"/>
      <c r="Q656" s="20"/>
    </row>
    <row r="657">
      <c r="B657" s="158"/>
      <c r="D657" s="158"/>
      <c r="F657" s="158"/>
      <c r="H657" s="158"/>
      <c r="J657" s="158"/>
      <c r="L657" s="158"/>
      <c r="N657" s="158"/>
      <c r="Q657" s="20"/>
    </row>
    <row r="658">
      <c r="B658" s="158"/>
      <c r="D658" s="158"/>
      <c r="F658" s="158"/>
      <c r="H658" s="158"/>
      <c r="J658" s="158"/>
      <c r="L658" s="158"/>
      <c r="N658" s="158"/>
      <c r="Q658" s="20"/>
    </row>
    <row r="659">
      <c r="B659" s="158"/>
      <c r="D659" s="158"/>
      <c r="F659" s="158"/>
      <c r="H659" s="158"/>
      <c r="J659" s="158"/>
      <c r="L659" s="158"/>
      <c r="N659" s="158"/>
      <c r="Q659" s="20"/>
    </row>
    <row r="660">
      <c r="B660" s="158"/>
      <c r="D660" s="158"/>
      <c r="F660" s="158"/>
      <c r="H660" s="158"/>
      <c r="J660" s="158"/>
      <c r="L660" s="158"/>
      <c r="N660" s="158"/>
      <c r="Q660" s="20"/>
    </row>
    <row r="661">
      <c r="B661" s="158"/>
      <c r="D661" s="158"/>
      <c r="F661" s="158"/>
      <c r="H661" s="158"/>
      <c r="J661" s="158"/>
      <c r="L661" s="158"/>
      <c r="N661" s="158"/>
      <c r="Q661" s="20"/>
    </row>
    <row r="662">
      <c r="B662" s="158"/>
      <c r="D662" s="158"/>
      <c r="F662" s="158"/>
      <c r="H662" s="158"/>
      <c r="J662" s="158"/>
      <c r="L662" s="158"/>
      <c r="N662" s="158"/>
      <c r="Q662" s="20"/>
    </row>
    <row r="663">
      <c r="B663" s="158"/>
      <c r="D663" s="158"/>
      <c r="F663" s="158"/>
      <c r="H663" s="158"/>
      <c r="J663" s="158"/>
      <c r="L663" s="158"/>
      <c r="N663" s="158"/>
      <c r="Q663" s="20"/>
    </row>
    <row r="664">
      <c r="B664" s="158"/>
      <c r="D664" s="158"/>
      <c r="F664" s="158"/>
      <c r="H664" s="158"/>
      <c r="J664" s="158"/>
      <c r="L664" s="158"/>
      <c r="N664" s="158"/>
      <c r="Q664" s="20"/>
    </row>
    <row r="665">
      <c r="B665" s="158"/>
      <c r="D665" s="158"/>
      <c r="F665" s="158"/>
      <c r="H665" s="158"/>
      <c r="J665" s="158"/>
      <c r="L665" s="158"/>
      <c r="N665" s="158"/>
      <c r="Q665" s="20"/>
    </row>
    <row r="666">
      <c r="B666" s="158"/>
      <c r="D666" s="158"/>
      <c r="F666" s="158"/>
      <c r="H666" s="158"/>
      <c r="J666" s="158"/>
      <c r="L666" s="158"/>
      <c r="N666" s="158"/>
      <c r="Q666" s="20"/>
    </row>
    <row r="667">
      <c r="B667" s="158"/>
      <c r="D667" s="158"/>
      <c r="F667" s="158"/>
      <c r="H667" s="158"/>
      <c r="J667" s="158"/>
      <c r="L667" s="158"/>
      <c r="N667" s="158"/>
      <c r="Q667" s="20"/>
    </row>
    <row r="668">
      <c r="B668" s="158"/>
      <c r="D668" s="158"/>
      <c r="F668" s="158"/>
      <c r="H668" s="158"/>
      <c r="J668" s="158"/>
      <c r="L668" s="158"/>
      <c r="N668" s="158"/>
      <c r="Q668" s="20"/>
    </row>
    <row r="669">
      <c r="B669" s="158"/>
      <c r="D669" s="158"/>
      <c r="F669" s="158"/>
      <c r="H669" s="158"/>
      <c r="J669" s="158"/>
      <c r="L669" s="158"/>
      <c r="N669" s="158"/>
      <c r="Q669" s="20"/>
    </row>
    <row r="670">
      <c r="B670" s="158"/>
      <c r="D670" s="158"/>
      <c r="F670" s="158"/>
      <c r="H670" s="158"/>
      <c r="J670" s="158"/>
      <c r="L670" s="158"/>
      <c r="N670" s="158"/>
      <c r="Q670" s="20"/>
    </row>
    <row r="671">
      <c r="B671" s="158"/>
      <c r="D671" s="158"/>
      <c r="F671" s="158"/>
      <c r="H671" s="158"/>
      <c r="J671" s="158"/>
      <c r="L671" s="158"/>
      <c r="N671" s="158"/>
      <c r="Q671" s="20"/>
    </row>
    <row r="672">
      <c r="B672" s="158"/>
      <c r="D672" s="158"/>
      <c r="F672" s="158"/>
      <c r="H672" s="158"/>
      <c r="J672" s="158"/>
      <c r="L672" s="158"/>
      <c r="N672" s="158"/>
      <c r="Q672" s="20"/>
    </row>
    <row r="673">
      <c r="B673" s="158"/>
      <c r="D673" s="158"/>
      <c r="F673" s="158"/>
      <c r="H673" s="158"/>
      <c r="J673" s="158"/>
      <c r="L673" s="158"/>
      <c r="N673" s="158"/>
      <c r="Q673" s="20"/>
    </row>
    <row r="674">
      <c r="B674" s="158"/>
      <c r="D674" s="158"/>
      <c r="F674" s="158"/>
      <c r="H674" s="158"/>
      <c r="J674" s="158"/>
      <c r="L674" s="158"/>
      <c r="N674" s="158"/>
      <c r="Q674" s="20"/>
    </row>
    <row r="675">
      <c r="B675" s="158"/>
      <c r="D675" s="158"/>
      <c r="F675" s="158"/>
      <c r="H675" s="158"/>
      <c r="J675" s="158"/>
      <c r="L675" s="158"/>
      <c r="N675" s="158"/>
      <c r="Q675" s="20"/>
    </row>
    <row r="676">
      <c r="B676" s="158"/>
      <c r="D676" s="158"/>
      <c r="F676" s="158"/>
      <c r="H676" s="158"/>
      <c r="J676" s="158"/>
      <c r="L676" s="158"/>
      <c r="N676" s="158"/>
      <c r="Q676" s="20"/>
    </row>
    <row r="677">
      <c r="B677" s="158"/>
      <c r="D677" s="158"/>
      <c r="F677" s="158"/>
      <c r="H677" s="158"/>
      <c r="J677" s="158"/>
      <c r="L677" s="158"/>
      <c r="N677" s="158"/>
      <c r="Q677" s="20"/>
    </row>
    <row r="678">
      <c r="B678" s="158"/>
      <c r="D678" s="158"/>
      <c r="F678" s="158"/>
      <c r="H678" s="158"/>
      <c r="J678" s="158"/>
      <c r="L678" s="158"/>
      <c r="N678" s="158"/>
      <c r="Q678" s="20"/>
    </row>
    <row r="679">
      <c r="B679" s="158"/>
      <c r="D679" s="158"/>
      <c r="F679" s="158"/>
      <c r="H679" s="158"/>
      <c r="J679" s="158"/>
      <c r="L679" s="158"/>
      <c r="N679" s="158"/>
      <c r="Q679" s="20"/>
    </row>
    <row r="680">
      <c r="B680" s="158"/>
      <c r="D680" s="158"/>
      <c r="F680" s="158"/>
      <c r="H680" s="158"/>
      <c r="J680" s="158"/>
      <c r="L680" s="158"/>
      <c r="N680" s="158"/>
      <c r="Q680" s="20"/>
    </row>
    <row r="681">
      <c r="B681" s="158"/>
      <c r="D681" s="158"/>
      <c r="F681" s="158"/>
      <c r="H681" s="158"/>
      <c r="J681" s="158"/>
      <c r="L681" s="158"/>
      <c r="N681" s="158"/>
      <c r="Q681" s="20"/>
    </row>
    <row r="682">
      <c r="B682" s="158"/>
      <c r="D682" s="158"/>
      <c r="F682" s="158"/>
      <c r="H682" s="158"/>
      <c r="J682" s="158"/>
      <c r="L682" s="158"/>
      <c r="N682" s="158"/>
      <c r="Q682" s="20"/>
    </row>
    <row r="683">
      <c r="B683" s="158"/>
      <c r="D683" s="158"/>
      <c r="F683" s="158"/>
      <c r="H683" s="158"/>
      <c r="J683" s="158"/>
      <c r="L683" s="158"/>
      <c r="N683" s="158"/>
      <c r="Q683" s="20"/>
    </row>
    <row r="684">
      <c r="B684" s="158"/>
      <c r="D684" s="158"/>
      <c r="F684" s="158"/>
      <c r="H684" s="158"/>
      <c r="J684" s="158"/>
      <c r="L684" s="158"/>
      <c r="N684" s="158"/>
      <c r="Q684" s="20"/>
    </row>
    <row r="685">
      <c r="B685" s="158"/>
      <c r="D685" s="158"/>
      <c r="F685" s="158"/>
      <c r="H685" s="158"/>
      <c r="J685" s="158"/>
      <c r="L685" s="158"/>
      <c r="N685" s="158"/>
      <c r="Q685" s="20"/>
    </row>
    <row r="686">
      <c r="B686" s="158"/>
      <c r="D686" s="158"/>
      <c r="F686" s="158"/>
      <c r="H686" s="158"/>
      <c r="J686" s="158"/>
      <c r="L686" s="158"/>
      <c r="N686" s="158"/>
      <c r="Q686" s="20"/>
    </row>
    <row r="687">
      <c r="B687" s="158"/>
      <c r="D687" s="158"/>
      <c r="F687" s="158"/>
      <c r="H687" s="158"/>
      <c r="J687" s="158"/>
      <c r="L687" s="158"/>
      <c r="N687" s="158"/>
      <c r="Q687" s="20"/>
    </row>
    <row r="688">
      <c r="B688" s="158"/>
      <c r="D688" s="158"/>
      <c r="F688" s="158"/>
      <c r="H688" s="158"/>
      <c r="J688" s="158"/>
      <c r="L688" s="158"/>
      <c r="N688" s="158"/>
      <c r="Q688" s="20"/>
    </row>
    <row r="689">
      <c r="B689" s="158"/>
      <c r="D689" s="158"/>
      <c r="F689" s="158"/>
      <c r="H689" s="158"/>
      <c r="J689" s="158"/>
      <c r="L689" s="158"/>
      <c r="N689" s="158"/>
      <c r="Q689" s="20"/>
    </row>
    <row r="690">
      <c r="B690" s="158"/>
      <c r="D690" s="158"/>
      <c r="F690" s="158"/>
      <c r="H690" s="158"/>
      <c r="J690" s="158"/>
      <c r="L690" s="158"/>
      <c r="N690" s="158"/>
      <c r="Q690" s="20"/>
    </row>
    <row r="691">
      <c r="B691" s="158"/>
      <c r="D691" s="158"/>
      <c r="F691" s="158"/>
      <c r="H691" s="158"/>
      <c r="J691" s="158"/>
      <c r="L691" s="158"/>
      <c r="N691" s="158"/>
      <c r="Q691" s="20"/>
    </row>
    <row r="692">
      <c r="B692" s="158"/>
      <c r="D692" s="158"/>
      <c r="F692" s="158"/>
      <c r="H692" s="158"/>
      <c r="J692" s="158"/>
      <c r="L692" s="158"/>
      <c r="N692" s="158"/>
      <c r="Q692" s="20"/>
    </row>
    <row r="693">
      <c r="B693" s="158"/>
      <c r="D693" s="158"/>
      <c r="F693" s="158"/>
      <c r="H693" s="158"/>
      <c r="J693" s="158"/>
      <c r="L693" s="158"/>
      <c r="N693" s="158"/>
      <c r="Q693" s="20"/>
    </row>
    <row r="694">
      <c r="B694" s="158"/>
      <c r="D694" s="158"/>
      <c r="F694" s="158"/>
      <c r="H694" s="158"/>
      <c r="J694" s="158"/>
      <c r="L694" s="158"/>
      <c r="N694" s="158"/>
      <c r="Q694" s="20"/>
    </row>
    <row r="695">
      <c r="B695" s="158"/>
      <c r="D695" s="158"/>
      <c r="F695" s="158"/>
      <c r="H695" s="158"/>
      <c r="J695" s="158"/>
      <c r="L695" s="158"/>
      <c r="N695" s="158"/>
      <c r="Q695" s="20"/>
    </row>
    <row r="696">
      <c r="B696" s="158"/>
      <c r="D696" s="158"/>
      <c r="F696" s="158"/>
      <c r="H696" s="158"/>
      <c r="J696" s="158"/>
      <c r="L696" s="158"/>
      <c r="N696" s="158"/>
      <c r="Q696" s="20"/>
    </row>
    <row r="697">
      <c r="B697" s="158"/>
      <c r="D697" s="158"/>
      <c r="F697" s="158"/>
      <c r="H697" s="158"/>
      <c r="J697" s="158"/>
      <c r="L697" s="158"/>
      <c r="N697" s="158"/>
      <c r="Q697" s="20"/>
    </row>
    <row r="698">
      <c r="B698" s="158"/>
      <c r="D698" s="158"/>
      <c r="F698" s="158"/>
      <c r="H698" s="158"/>
      <c r="J698" s="158"/>
      <c r="L698" s="158"/>
      <c r="N698" s="158"/>
      <c r="Q698" s="20"/>
    </row>
    <row r="699">
      <c r="B699" s="158"/>
      <c r="D699" s="158"/>
      <c r="F699" s="158"/>
      <c r="H699" s="158"/>
      <c r="J699" s="158"/>
      <c r="L699" s="158"/>
      <c r="N699" s="158"/>
      <c r="Q699" s="20"/>
    </row>
    <row r="700">
      <c r="B700" s="158"/>
      <c r="D700" s="158"/>
      <c r="F700" s="158"/>
      <c r="H700" s="158"/>
      <c r="J700" s="158"/>
      <c r="L700" s="158"/>
      <c r="N700" s="158"/>
      <c r="Q700" s="20"/>
    </row>
    <row r="701">
      <c r="B701" s="158"/>
      <c r="D701" s="158"/>
      <c r="F701" s="158"/>
      <c r="H701" s="158"/>
      <c r="J701" s="158"/>
      <c r="L701" s="158"/>
      <c r="N701" s="158"/>
      <c r="Q701" s="20"/>
    </row>
    <row r="702">
      <c r="B702" s="158"/>
      <c r="D702" s="158"/>
      <c r="F702" s="158"/>
      <c r="H702" s="158"/>
      <c r="J702" s="158"/>
      <c r="L702" s="158"/>
      <c r="N702" s="158"/>
      <c r="Q702" s="20"/>
    </row>
    <row r="703">
      <c r="B703" s="158"/>
      <c r="D703" s="158"/>
      <c r="F703" s="158"/>
      <c r="H703" s="158"/>
      <c r="J703" s="158"/>
      <c r="L703" s="158"/>
      <c r="N703" s="158"/>
      <c r="Q703" s="20"/>
    </row>
    <row r="704">
      <c r="B704" s="158"/>
      <c r="D704" s="158"/>
      <c r="F704" s="158"/>
      <c r="H704" s="158"/>
      <c r="J704" s="158"/>
      <c r="L704" s="158"/>
      <c r="N704" s="158"/>
      <c r="Q704" s="20"/>
    </row>
    <row r="705">
      <c r="B705" s="158"/>
      <c r="D705" s="158"/>
      <c r="F705" s="158"/>
      <c r="H705" s="158"/>
      <c r="J705" s="158"/>
      <c r="L705" s="158"/>
      <c r="N705" s="158"/>
      <c r="Q705" s="20"/>
    </row>
    <row r="706">
      <c r="B706" s="158"/>
      <c r="D706" s="158"/>
      <c r="F706" s="158"/>
      <c r="H706" s="158"/>
      <c r="J706" s="158"/>
      <c r="L706" s="158"/>
      <c r="N706" s="158"/>
      <c r="Q706" s="20"/>
    </row>
    <row r="707">
      <c r="B707" s="158"/>
      <c r="D707" s="158"/>
      <c r="F707" s="158"/>
      <c r="H707" s="158"/>
      <c r="J707" s="158"/>
      <c r="L707" s="158"/>
      <c r="N707" s="158"/>
      <c r="Q707" s="20"/>
    </row>
    <row r="708">
      <c r="B708" s="158"/>
      <c r="D708" s="158"/>
      <c r="F708" s="158"/>
      <c r="H708" s="158"/>
      <c r="J708" s="158"/>
      <c r="L708" s="158"/>
      <c r="N708" s="158"/>
      <c r="Q708" s="20"/>
    </row>
    <row r="709">
      <c r="B709" s="158"/>
      <c r="D709" s="158"/>
      <c r="F709" s="158"/>
      <c r="H709" s="158"/>
      <c r="J709" s="158"/>
      <c r="L709" s="158"/>
      <c r="N709" s="158"/>
      <c r="Q709" s="20"/>
    </row>
    <row r="710">
      <c r="B710" s="158"/>
      <c r="D710" s="158"/>
      <c r="F710" s="158"/>
      <c r="H710" s="158"/>
      <c r="J710" s="158"/>
      <c r="L710" s="158"/>
      <c r="N710" s="158"/>
      <c r="Q710" s="20"/>
    </row>
    <row r="711">
      <c r="B711" s="158"/>
      <c r="D711" s="158"/>
      <c r="F711" s="158"/>
      <c r="H711" s="158"/>
      <c r="J711" s="158"/>
      <c r="L711" s="158"/>
      <c r="N711" s="158"/>
      <c r="Q711" s="20"/>
    </row>
    <row r="712">
      <c r="B712" s="158"/>
      <c r="D712" s="158"/>
      <c r="F712" s="158"/>
      <c r="H712" s="158"/>
      <c r="J712" s="158"/>
      <c r="L712" s="158"/>
      <c r="N712" s="158"/>
      <c r="Q712" s="20"/>
    </row>
    <row r="713">
      <c r="B713" s="158"/>
      <c r="D713" s="158"/>
      <c r="F713" s="158"/>
      <c r="H713" s="158"/>
      <c r="J713" s="158"/>
      <c r="L713" s="158"/>
      <c r="N713" s="158"/>
      <c r="Q713" s="20"/>
    </row>
    <row r="714">
      <c r="B714" s="158"/>
      <c r="D714" s="158"/>
      <c r="F714" s="158"/>
      <c r="H714" s="158"/>
      <c r="J714" s="158"/>
      <c r="L714" s="158"/>
      <c r="N714" s="158"/>
      <c r="Q714" s="20"/>
    </row>
    <row r="715">
      <c r="B715" s="158"/>
      <c r="D715" s="158"/>
      <c r="F715" s="158"/>
      <c r="H715" s="158"/>
      <c r="J715" s="158"/>
      <c r="L715" s="158"/>
      <c r="N715" s="158"/>
      <c r="Q715" s="20"/>
    </row>
    <row r="716">
      <c r="B716" s="158"/>
      <c r="D716" s="158"/>
      <c r="F716" s="158"/>
      <c r="H716" s="158"/>
      <c r="J716" s="158"/>
      <c r="L716" s="158"/>
      <c r="N716" s="158"/>
      <c r="Q716" s="20"/>
    </row>
    <row r="717">
      <c r="B717" s="158"/>
      <c r="D717" s="158"/>
      <c r="F717" s="158"/>
      <c r="H717" s="158"/>
      <c r="J717" s="158"/>
      <c r="L717" s="158"/>
      <c r="N717" s="158"/>
      <c r="Q717" s="20"/>
    </row>
    <row r="718">
      <c r="B718" s="158"/>
      <c r="D718" s="158"/>
      <c r="F718" s="158"/>
      <c r="H718" s="158"/>
      <c r="J718" s="158"/>
      <c r="L718" s="158"/>
      <c r="N718" s="158"/>
      <c r="Q718" s="20"/>
    </row>
    <row r="719">
      <c r="B719" s="158"/>
      <c r="D719" s="158"/>
      <c r="F719" s="158"/>
      <c r="H719" s="158"/>
      <c r="J719" s="158"/>
      <c r="L719" s="158"/>
      <c r="N719" s="158"/>
      <c r="Q719" s="20"/>
    </row>
    <row r="720">
      <c r="B720" s="158"/>
      <c r="D720" s="158"/>
      <c r="F720" s="158"/>
      <c r="H720" s="158"/>
      <c r="J720" s="158"/>
      <c r="L720" s="158"/>
      <c r="N720" s="158"/>
      <c r="Q720" s="20"/>
    </row>
    <row r="721">
      <c r="B721" s="158"/>
      <c r="D721" s="158"/>
      <c r="F721" s="158"/>
      <c r="H721" s="158"/>
      <c r="J721" s="158"/>
      <c r="L721" s="158"/>
      <c r="N721" s="158"/>
      <c r="Q721" s="20"/>
    </row>
    <row r="722">
      <c r="B722" s="158"/>
      <c r="D722" s="158"/>
      <c r="F722" s="158"/>
      <c r="H722" s="158"/>
      <c r="J722" s="158"/>
      <c r="L722" s="158"/>
      <c r="N722" s="158"/>
      <c r="Q722" s="20"/>
    </row>
    <row r="723">
      <c r="B723" s="158"/>
      <c r="D723" s="158"/>
      <c r="F723" s="158"/>
      <c r="H723" s="158"/>
      <c r="J723" s="158"/>
      <c r="L723" s="158"/>
      <c r="N723" s="158"/>
      <c r="Q723" s="20"/>
    </row>
    <row r="724">
      <c r="B724" s="158"/>
      <c r="D724" s="158"/>
      <c r="F724" s="158"/>
      <c r="H724" s="158"/>
      <c r="J724" s="158"/>
      <c r="L724" s="158"/>
      <c r="N724" s="158"/>
      <c r="Q724" s="20"/>
    </row>
    <row r="725">
      <c r="B725" s="158"/>
      <c r="D725" s="158"/>
      <c r="F725" s="158"/>
      <c r="H725" s="158"/>
      <c r="J725" s="158"/>
      <c r="L725" s="158"/>
      <c r="N725" s="158"/>
      <c r="Q725" s="20"/>
    </row>
    <row r="726">
      <c r="B726" s="158"/>
      <c r="D726" s="158"/>
      <c r="F726" s="158"/>
      <c r="H726" s="158"/>
      <c r="J726" s="158"/>
      <c r="L726" s="158"/>
      <c r="N726" s="158"/>
      <c r="Q726" s="20"/>
    </row>
    <row r="727">
      <c r="B727" s="158"/>
      <c r="D727" s="158"/>
      <c r="F727" s="158"/>
      <c r="H727" s="158"/>
      <c r="J727" s="158"/>
      <c r="L727" s="158"/>
      <c r="N727" s="158"/>
      <c r="Q727" s="20"/>
    </row>
    <row r="728">
      <c r="B728" s="158"/>
      <c r="D728" s="158"/>
      <c r="F728" s="158"/>
      <c r="H728" s="158"/>
      <c r="J728" s="158"/>
      <c r="L728" s="158"/>
      <c r="N728" s="158"/>
      <c r="Q728" s="20"/>
    </row>
    <row r="729">
      <c r="B729" s="158"/>
      <c r="D729" s="158"/>
      <c r="F729" s="158"/>
      <c r="H729" s="158"/>
      <c r="J729" s="158"/>
      <c r="L729" s="158"/>
      <c r="N729" s="158"/>
      <c r="Q729" s="20"/>
    </row>
    <row r="730">
      <c r="B730" s="158"/>
      <c r="D730" s="158"/>
      <c r="F730" s="158"/>
      <c r="H730" s="158"/>
      <c r="J730" s="158"/>
      <c r="L730" s="158"/>
      <c r="N730" s="158"/>
      <c r="Q730" s="20"/>
    </row>
    <row r="731">
      <c r="B731" s="158"/>
      <c r="D731" s="158"/>
      <c r="F731" s="158"/>
      <c r="H731" s="158"/>
      <c r="J731" s="158"/>
      <c r="L731" s="158"/>
      <c r="N731" s="158"/>
      <c r="Q731" s="20"/>
    </row>
    <row r="732">
      <c r="B732" s="158"/>
      <c r="D732" s="158"/>
      <c r="F732" s="158"/>
      <c r="H732" s="158"/>
      <c r="J732" s="158"/>
      <c r="L732" s="158"/>
      <c r="N732" s="158"/>
      <c r="Q732" s="20"/>
    </row>
    <row r="733">
      <c r="B733" s="158"/>
      <c r="D733" s="158"/>
      <c r="F733" s="158"/>
      <c r="H733" s="158"/>
      <c r="J733" s="158"/>
      <c r="L733" s="158"/>
      <c r="N733" s="158"/>
      <c r="Q733" s="20"/>
    </row>
    <row r="734">
      <c r="B734" s="158"/>
      <c r="D734" s="158"/>
      <c r="F734" s="158"/>
      <c r="H734" s="158"/>
      <c r="J734" s="158"/>
      <c r="L734" s="158"/>
      <c r="N734" s="158"/>
      <c r="Q734" s="20"/>
    </row>
    <row r="735">
      <c r="B735" s="158"/>
      <c r="D735" s="158"/>
      <c r="F735" s="158"/>
      <c r="H735" s="158"/>
      <c r="J735" s="158"/>
      <c r="L735" s="158"/>
      <c r="N735" s="158"/>
      <c r="Q735" s="20"/>
    </row>
    <row r="736">
      <c r="B736" s="158"/>
      <c r="D736" s="158"/>
      <c r="F736" s="158"/>
      <c r="H736" s="158"/>
      <c r="J736" s="158"/>
      <c r="L736" s="158"/>
      <c r="N736" s="158"/>
      <c r="Q736" s="20"/>
    </row>
    <row r="737">
      <c r="B737" s="158"/>
      <c r="D737" s="158"/>
      <c r="F737" s="158"/>
      <c r="H737" s="158"/>
      <c r="J737" s="158"/>
      <c r="L737" s="158"/>
      <c r="N737" s="158"/>
      <c r="Q737" s="20"/>
    </row>
    <row r="738">
      <c r="B738" s="158"/>
      <c r="D738" s="158"/>
      <c r="F738" s="158"/>
      <c r="H738" s="158"/>
      <c r="J738" s="158"/>
      <c r="L738" s="158"/>
      <c r="N738" s="158"/>
      <c r="Q738" s="20"/>
    </row>
    <row r="739">
      <c r="B739" s="158"/>
      <c r="D739" s="158"/>
      <c r="F739" s="158"/>
      <c r="H739" s="158"/>
      <c r="J739" s="158"/>
      <c r="L739" s="158"/>
      <c r="N739" s="158"/>
      <c r="Q739" s="20"/>
    </row>
    <row r="740">
      <c r="B740" s="158"/>
      <c r="D740" s="158"/>
      <c r="F740" s="158"/>
      <c r="H740" s="158"/>
      <c r="J740" s="158"/>
      <c r="L740" s="158"/>
      <c r="N740" s="158"/>
      <c r="Q740" s="20"/>
    </row>
    <row r="741">
      <c r="B741" s="158"/>
      <c r="D741" s="158"/>
      <c r="F741" s="158"/>
      <c r="H741" s="158"/>
      <c r="J741" s="158"/>
      <c r="L741" s="158"/>
      <c r="N741" s="158"/>
      <c r="Q741" s="20"/>
    </row>
    <row r="742">
      <c r="B742" s="158"/>
      <c r="D742" s="158"/>
      <c r="F742" s="158"/>
      <c r="H742" s="158"/>
      <c r="J742" s="158"/>
      <c r="L742" s="158"/>
      <c r="N742" s="158"/>
      <c r="Q742" s="20"/>
    </row>
    <row r="743">
      <c r="B743" s="158"/>
      <c r="D743" s="158"/>
      <c r="F743" s="158"/>
      <c r="H743" s="158"/>
      <c r="J743" s="158"/>
      <c r="L743" s="158"/>
      <c r="N743" s="158"/>
      <c r="Q743" s="20"/>
    </row>
    <row r="744">
      <c r="B744" s="158"/>
      <c r="D744" s="158"/>
      <c r="F744" s="158"/>
      <c r="H744" s="158"/>
      <c r="J744" s="158"/>
      <c r="L744" s="158"/>
      <c r="N744" s="158"/>
      <c r="Q744" s="20"/>
    </row>
    <row r="745">
      <c r="B745" s="158"/>
      <c r="D745" s="158"/>
      <c r="F745" s="158"/>
      <c r="H745" s="158"/>
      <c r="J745" s="158"/>
      <c r="L745" s="158"/>
      <c r="N745" s="158"/>
      <c r="Q745" s="20"/>
    </row>
    <row r="746">
      <c r="B746" s="158"/>
      <c r="D746" s="158"/>
      <c r="F746" s="158"/>
      <c r="H746" s="158"/>
      <c r="J746" s="158"/>
      <c r="L746" s="158"/>
      <c r="N746" s="158"/>
      <c r="Q746" s="20"/>
    </row>
    <row r="747">
      <c r="B747" s="158"/>
      <c r="D747" s="158"/>
      <c r="F747" s="158"/>
      <c r="H747" s="158"/>
      <c r="J747" s="158"/>
      <c r="L747" s="158"/>
      <c r="N747" s="158"/>
      <c r="Q747" s="20"/>
    </row>
    <row r="748">
      <c r="B748" s="158"/>
      <c r="D748" s="158"/>
      <c r="F748" s="158"/>
      <c r="H748" s="158"/>
      <c r="J748" s="158"/>
      <c r="L748" s="158"/>
      <c r="N748" s="158"/>
      <c r="Q748" s="20"/>
    </row>
    <row r="749">
      <c r="B749" s="158"/>
      <c r="D749" s="158"/>
      <c r="F749" s="158"/>
      <c r="H749" s="158"/>
      <c r="J749" s="158"/>
      <c r="L749" s="158"/>
      <c r="N749" s="158"/>
      <c r="Q749" s="20"/>
    </row>
    <row r="750">
      <c r="B750" s="158"/>
      <c r="D750" s="158"/>
      <c r="F750" s="158"/>
      <c r="H750" s="158"/>
      <c r="J750" s="158"/>
      <c r="L750" s="158"/>
      <c r="N750" s="158"/>
      <c r="Q750" s="20"/>
    </row>
    <row r="751">
      <c r="B751" s="158"/>
      <c r="D751" s="158"/>
      <c r="F751" s="158"/>
      <c r="H751" s="158"/>
      <c r="J751" s="158"/>
      <c r="L751" s="158"/>
      <c r="N751" s="158"/>
      <c r="Q751" s="20"/>
    </row>
    <row r="752">
      <c r="B752" s="158"/>
      <c r="D752" s="158"/>
      <c r="F752" s="158"/>
      <c r="H752" s="158"/>
      <c r="J752" s="158"/>
      <c r="L752" s="158"/>
      <c r="N752" s="158"/>
      <c r="Q752" s="20"/>
    </row>
    <row r="753">
      <c r="B753" s="158"/>
      <c r="D753" s="158"/>
      <c r="F753" s="158"/>
      <c r="H753" s="158"/>
      <c r="J753" s="158"/>
      <c r="L753" s="158"/>
      <c r="N753" s="158"/>
      <c r="Q753" s="20"/>
    </row>
    <row r="754">
      <c r="B754" s="158"/>
      <c r="D754" s="158"/>
      <c r="F754" s="158"/>
      <c r="H754" s="158"/>
      <c r="J754" s="158"/>
      <c r="L754" s="158"/>
      <c r="N754" s="158"/>
      <c r="Q754" s="20"/>
    </row>
    <row r="755">
      <c r="B755" s="158"/>
      <c r="D755" s="158"/>
      <c r="F755" s="158"/>
      <c r="H755" s="158"/>
      <c r="J755" s="158"/>
      <c r="L755" s="158"/>
      <c r="N755" s="158"/>
      <c r="Q755" s="20"/>
    </row>
    <row r="756">
      <c r="B756" s="158"/>
      <c r="D756" s="158"/>
      <c r="F756" s="158"/>
      <c r="H756" s="158"/>
      <c r="J756" s="158"/>
      <c r="L756" s="158"/>
      <c r="N756" s="158"/>
      <c r="Q756" s="20"/>
    </row>
    <row r="757">
      <c r="B757" s="158"/>
      <c r="D757" s="158"/>
      <c r="F757" s="158"/>
      <c r="H757" s="158"/>
      <c r="J757" s="158"/>
      <c r="L757" s="158"/>
      <c r="N757" s="158"/>
      <c r="Q757" s="20"/>
    </row>
    <row r="758">
      <c r="B758" s="158"/>
      <c r="D758" s="158"/>
      <c r="F758" s="158"/>
      <c r="H758" s="158"/>
      <c r="J758" s="158"/>
      <c r="L758" s="158"/>
      <c r="N758" s="158"/>
      <c r="Q758" s="20"/>
    </row>
    <row r="759">
      <c r="B759" s="158"/>
      <c r="D759" s="158"/>
      <c r="F759" s="158"/>
      <c r="H759" s="158"/>
      <c r="J759" s="158"/>
      <c r="L759" s="158"/>
      <c r="N759" s="158"/>
      <c r="Q759" s="20"/>
    </row>
    <row r="760">
      <c r="B760" s="158"/>
      <c r="D760" s="158"/>
      <c r="F760" s="158"/>
      <c r="H760" s="158"/>
      <c r="J760" s="158"/>
      <c r="L760" s="158"/>
      <c r="N760" s="158"/>
      <c r="Q760" s="20"/>
    </row>
    <row r="761">
      <c r="B761" s="158"/>
      <c r="D761" s="158"/>
      <c r="F761" s="158"/>
      <c r="H761" s="158"/>
      <c r="J761" s="158"/>
      <c r="L761" s="158"/>
      <c r="N761" s="158"/>
      <c r="Q761" s="20"/>
    </row>
    <row r="762">
      <c r="B762" s="158"/>
      <c r="D762" s="158"/>
      <c r="F762" s="158"/>
      <c r="H762" s="158"/>
      <c r="J762" s="158"/>
      <c r="L762" s="158"/>
      <c r="N762" s="158"/>
      <c r="Q762" s="20"/>
    </row>
    <row r="763">
      <c r="B763" s="158"/>
      <c r="D763" s="158"/>
      <c r="F763" s="158"/>
      <c r="H763" s="158"/>
      <c r="J763" s="158"/>
      <c r="L763" s="158"/>
      <c r="N763" s="158"/>
      <c r="Q763" s="20"/>
    </row>
    <row r="764">
      <c r="B764" s="158"/>
      <c r="D764" s="158"/>
      <c r="F764" s="158"/>
      <c r="H764" s="158"/>
      <c r="J764" s="158"/>
      <c r="L764" s="158"/>
      <c r="N764" s="158"/>
      <c r="Q764" s="20"/>
    </row>
    <row r="765">
      <c r="B765" s="158"/>
      <c r="D765" s="158"/>
      <c r="F765" s="158"/>
      <c r="H765" s="158"/>
      <c r="J765" s="158"/>
      <c r="L765" s="158"/>
      <c r="N765" s="158"/>
      <c r="Q765" s="20"/>
    </row>
    <row r="766">
      <c r="B766" s="158"/>
      <c r="D766" s="158"/>
      <c r="F766" s="158"/>
      <c r="H766" s="158"/>
      <c r="J766" s="158"/>
      <c r="L766" s="158"/>
      <c r="N766" s="158"/>
      <c r="Q766" s="20"/>
    </row>
    <row r="767">
      <c r="B767" s="158"/>
      <c r="D767" s="158"/>
      <c r="F767" s="158"/>
      <c r="H767" s="158"/>
      <c r="J767" s="158"/>
      <c r="L767" s="158"/>
      <c r="N767" s="158"/>
      <c r="Q767" s="20"/>
    </row>
    <row r="768">
      <c r="B768" s="158"/>
      <c r="D768" s="158"/>
      <c r="F768" s="158"/>
      <c r="H768" s="158"/>
      <c r="J768" s="158"/>
      <c r="L768" s="158"/>
      <c r="N768" s="158"/>
      <c r="Q768" s="20"/>
    </row>
    <row r="769">
      <c r="B769" s="158"/>
      <c r="D769" s="158"/>
      <c r="F769" s="158"/>
      <c r="H769" s="158"/>
      <c r="J769" s="158"/>
      <c r="L769" s="158"/>
      <c r="N769" s="158"/>
      <c r="Q769" s="20"/>
    </row>
    <row r="770">
      <c r="B770" s="158"/>
      <c r="D770" s="158"/>
      <c r="F770" s="158"/>
      <c r="H770" s="158"/>
      <c r="J770" s="158"/>
      <c r="L770" s="158"/>
      <c r="N770" s="158"/>
      <c r="Q770" s="20"/>
    </row>
    <row r="771">
      <c r="B771" s="158"/>
      <c r="D771" s="158"/>
      <c r="F771" s="158"/>
      <c r="H771" s="158"/>
      <c r="J771" s="158"/>
      <c r="L771" s="158"/>
      <c r="N771" s="158"/>
      <c r="Q771" s="20"/>
    </row>
    <row r="772">
      <c r="B772" s="158"/>
      <c r="D772" s="158"/>
      <c r="F772" s="158"/>
      <c r="H772" s="158"/>
      <c r="J772" s="158"/>
      <c r="L772" s="158"/>
      <c r="N772" s="158"/>
      <c r="Q772" s="20"/>
    </row>
    <row r="773">
      <c r="B773" s="158"/>
      <c r="D773" s="158"/>
      <c r="F773" s="158"/>
      <c r="H773" s="158"/>
      <c r="J773" s="158"/>
      <c r="L773" s="158"/>
      <c r="N773" s="158"/>
      <c r="Q773" s="20"/>
    </row>
    <row r="774">
      <c r="B774" s="158"/>
      <c r="D774" s="158"/>
      <c r="F774" s="158"/>
      <c r="H774" s="158"/>
      <c r="J774" s="158"/>
      <c r="L774" s="158"/>
      <c r="N774" s="158"/>
      <c r="Q774" s="20"/>
    </row>
    <row r="775">
      <c r="B775" s="158"/>
      <c r="D775" s="158"/>
      <c r="F775" s="158"/>
      <c r="H775" s="158"/>
      <c r="J775" s="158"/>
      <c r="L775" s="158"/>
      <c r="N775" s="158"/>
      <c r="Q775" s="20"/>
    </row>
    <row r="776">
      <c r="B776" s="158"/>
      <c r="D776" s="158"/>
      <c r="F776" s="158"/>
      <c r="H776" s="158"/>
      <c r="J776" s="158"/>
      <c r="L776" s="158"/>
      <c r="N776" s="158"/>
      <c r="Q776" s="20"/>
    </row>
    <row r="777">
      <c r="B777" s="158"/>
      <c r="D777" s="158"/>
      <c r="F777" s="158"/>
      <c r="H777" s="158"/>
      <c r="J777" s="158"/>
      <c r="L777" s="158"/>
      <c r="N777" s="158"/>
      <c r="Q777" s="20"/>
    </row>
    <row r="778">
      <c r="B778" s="158"/>
      <c r="D778" s="158"/>
      <c r="F778" s="158"/>
      <c r="H778" s="158"/>
      <c r="J778" s="158"/>
      <c r="L778" s="158"/>
      <c r="N778" s="158"/>
      <c r="Q778" s="20"/>
    </row>
    <row r="779">
      <c r="B779" s="158"/>
      <c r="D779" s="158"/>
      <c r="F779" s="158"/>
      <c r="H779" s="158"/>
      <c r="J779" s="158"/>
      <c r="L779" s="158"/>
      <c r="N779" s="158"/>
      <c r="Q779" s="20"/>
    </row>
    <row r="780">
      <c r="B780" s="158"/>
      <c r="D780" s="158"/>
      <c r="F780" s="158"/>
      <c r="H780" s="158"/>
      <c r="J780" s="158"/>
      <c r="L780" s="158"/>
      <c r="N780" s="158"/>
      <c r="Q780" s="20"/>
    </row>
    <row r="781">
      <c r="B781" s="158"/>
      <c r="D781" s="158"/>
      <c r="F781" s="158"/>
      <c r="H781" s="158"/>
      <c r="J781" s="158"/>
      <c r="L781" s="158"/>
      <c r="N781" s="158"/>
      <c r="Q781" s="20"/>
    </row>
    <row r="782">
      <c r="B782" s="158"/>
      <c r="D782" s="158"/>
      <c r="F782" s="158"/>
      <c r="H782" s="158"/>
      <c r="J782" s="158"/>
      <c r="L782" s="158"/>
      <c r="N782" s="158"/>
      <c r="Q782" s="20"/>
    </row>
    <row r="783">
      <c r="B783" s="158"/>
      <c r="D783" s="158"/>
      <c r="F783" s="158"/>
      <c r="H783" s="158"/>
      <c r="J783" s="158"/>
      <c r="L783" s="158"/>
      <c r="N783" s="158"/>
      <c r="Q783" s="20"/>
    </row>
    <row r="784">
      <c r="B784" s="158"/>
      <c r="D784" s="158"/>
      <c r="F784" s="158"/>
      <c r="H784" s="158"/>
      <c r="J784" s="158"/>
      <c r="L784" s="158"/>
      <c r="N784" s="158"/>
      <c r="Q784" s="20"/>
    </row>
    <row r="785">
      <c r="B785" s="158"/>
      <c r="D785" s="158"/>
      <c r="F785" s="158"/>
      <c r="H785" s="158"/>
      <c r="J785" s="158"/>
      <c r="L785" s="158"/>
      <c r="N785" s="158"/>
      <c r="Q785" s="20"/>
    </row>
    <row r="786">
      <c r="B786" s="158"/>
      <c r="D786" s="158"/>
      <c r="F786" s="158"/>
      <c r="H786" s="158"/>
      <c r="J786" s="158"/>
      <c r="L786" s="158"/>
      <c r="N786" s="158"/>
      <c r="Q786" s="20"/>
    </row>
    <row r="787">
      <c r="B787" s="158"/>
      <c r="D787" s="158"/>
      <c r="F787" s="158"/>
      <c r="H787" s="158"/>
      <c r="J787" s="158"/>
      <c r="L787" s="158"/>
      <c r="N787" s="158"/>
      <c r="Q787" s="20"/>
    </row>
    <row r="788">
      <c r="B788" s="158"/>
      <c r="D788" s="158"/>
      <c r="F788" s="158"/>
      <c r="H788" s="158"/>
      <c r="J788" s="158"/>
      <c r="L788" s="158"/>
      <c r="N788" s="158"/>
      <c r="Q788" s="20"/>
    </row>
    <row r="789">
      <c r="B789" s="158"/>
      <c r="D789" s="158"/>
      <c r="F789" s="158"/>
      <c r="H789" s="158"/>
      <c r="J789" s="158"/>
      <c r="L789" s="158"/>
      <c r="N789" s="158"/>
      <c r="Q789" s="20"/>
    </row>
    <row r="790">
      <c r="B790" s="158"/>
      <c r="D790" s="158"/>
      <c r="F790" s="158"/>
      <c r="H790" s="158"/>
      <c r="J790" s="158"/>
      <c r="L790" s="158"/>
      <c r="N790" s="158"/>
      <c r="Q790" s="20"/>
    </row>
    <row r="791">
      <c r="B791" s="158"/>
      <c r="D791" s="158"/>
      <c r="F791" s="158"/>
      <c r="H791" s="158"/>
      <c r="J791" s="158"/>
      <c r="L791" s="158"/>
      <c r="N791" s="158"/>
      <c r="Q791" s="20"/>
    </row>
    <row r="792">
      <c r="B792" s="158"/>
      <c r="D792" s="158"/>
      <c r="F792" s="158"/>
      <c r="H792" s="158"/>
      <c r="J792" s="158"/>
      <c r="L792" s="158"/>
      <c r="N792" s="158"/>
      <c r="Q792" s="20"/>
    </row>
    <row r="793">
      <c r="B793" s="158"/>
      <c r="D793" s="158"/>
      <c r="F793" s="158"/>
      <c r="H793" s="158"/>
      <c r="J793" s="158"/>
      <c r="L793" s="158"/>
      <c r="N793" s="158"/>
      <c r="Q793" s="20"/>
    </row>
    <row r="794">
      <c r="B794" s="158"/>
      <c r="D794" s="158"/>
      <c r="F794" s="158"/>
      <c r="H794" s="158"/>
      <c r="J794" s="158"/>
      <c r="L794" s="158"/>
      <c r="N794" s="158"/>
      <c r="Q794" s="20"/>
    </row>
    <row r="795">
      <c r="B795" s="158"/>
      <c r="D795" s="158"/>
      <c r="F795" s="158"/>
      <c r="H795" s="158"/>
      <c r="J795" s="158"/>
      <c r="L795" s="158"/>
      <c r="N795" s="158"/>
      <c r="Q795" s="20"/>
    </row>
    <row r="796">
      <c r="B796" s="158"/>
      <c r="D796" s="158"/>
      <c r="F796" s="158"/>
      <c r="H796" s="158"/>
      <c r="J796" s="158"/>
      <c r="L796" s="158"/>
      <c r="N796" s="158"/>
      <c r="Q796" s="20"/>
    </row>
    <row r="797">
      <c r="B797" s="158"/>
      <c r="D797" s="158"/>
      <c r="F797" s="158"/>
      <c r="H797" s="158"/>
      <c r="J797" s="158"/>
      <c r="L797" s="158"/>
      <c r="N797" s="158"/>
      <c r="Q797" s="20"/>
    </row>
    <row r="798">
      <c r="B798" s="158"/>
      <c r="D798" s="158"/>
      <c r="F798" s="158"/>
      <c r="H798" s="158"/>
      <c r="J798" s="158"/>
      <c r="L798" s="158"/>
      <c r="N798" s="158"/>
      <c r="Q798" s="20"/>
    </row>
    <row r="799">
      <c r="B799" s="158"/>
      <c r="D799" s="158"/>
      <c r="F799" s="158"/>
      <c r="H799" s="158"/>
      <c r="J799" s="158"/>
      <c r="L799" s="158"/>
      <c r="N799" s="158"/>
      <c r="Q799" s="20"/>
    </row>
    <row r="800">
      <c r="B800" s="158"/>
      <c r="D800" s="158"/>
      <c r="F800" s="158"/>
      <c r="H800" s="158"/>
      <c r="J800" s="158"/>
      <c r="L800" s="158"/>
      <c r="N800" s="158"/>
      <c r="Q800" s="20"/>
    </row>
    <row r="801">
      <c r="B801" s="158"/>
      <c r="D801" s="158"/>
      <c r="F801" s="158"/>
      <c r="H801" s="158"/>
      <c r="J801" s="158"/>
      <c r="L801" s="158"/>
      <c r="N801" s="158"/>
      <c r="Q801" s="20"/>
    </row>
    <row r="802">
      <c r="B802" s="158"/>
      <c r="D802" s="158"/>
      <c r="F802" s="158"/>
      <c r="H802" s="158"/>
      <c r="J802" s="158"/>
      <c r="L802" s="158"/>
      <c r="N802" s="158"/>
      <c r="Q802" s="20"/>
    </row>
    <row r="803">
      <c r="B803" s="158"/>
      <c r="D803" s="158"/>
      <c r="F803" s="158"/>
      <c r="H803" s="158"/>
      <c r="J803" s="158"/>
      <c r="L803" s="158"/>
      <c r="N803" s="158"/>
      <c r="Q803" s="20"/>
    </row>
    <row r="804">
      <c r="B804" s="158"/>
      <c r="D804" s="158"/>
      <c r="F804" s="158"/>
      <c r="H804" s="158"/>
      <c r="J804" s="158"/>
      <c r="L804" s="158"/>
      <c r="N804" s="158"/>
      <c r="Q804" s="20"/>
    </row>
    <row r="805">
      <c r="B805" s="158"/>
      <c r="D805" s="158"/>
      <c r="F805" s="158"/>
      <c r="H805" s="158"/>
      <c r="J805" s="158"/>
      <c r="L805" s="158"/>
      <c r="N805" s="158"/>
      <c r="Q805" s="20"/>
    </row>
    <row r="806">
      <c r="B806" s="158"/>
      <c r="D806" s="158"/>
      <c r="F806" s="158"/>
      <c r="H806" s="158"/>
      <c r="J806" s="158"/>
      <c r="L806" s="158"/>
      <c r="N806" s="158"/>
      <c r="Q806" s="20"/>
    </row>
    <row r="807">
      <c r="B807" s="158"/>
      <c r="D807" s="158"/>
      <c r="F807" s="158"/>
      <c r="H807" s="158"/>
      <c r="J807" s="158"/>
      <c r="L807" s="158"/>
      <c r="N807" s="158"/>
      <c r="Q807" s="20"/>
    </row>
    <row r="808">
      <c r="B808" s="158"/>
      <c r="D808" s="158"/>
      <c r="F808" s="158"/>
      <c r="H808" s="158"/>
      <c r="J808" s="158"/>
      <c r="L808" s="158"/>
      <c r="N808" s="158"/>
      <c r="Q808" s="20"/>
    </row>
    <row r="809">
      <c r="B809" s="158"/>
      <c r="D809" s="158"/>
      <c r="F809" s="158"/>
      <c r="H809" s="158"/>
      <c r="J809" s="158"/>
      <c r="L809" s="158"/>
      <c r="N809" s="158"/>
      <c r="Q809" s="20"/>
    </row>
    <row r="810">
      <c r="B810" s="158"/>
      <c r="D810" s="158"/>
      <c r="F810" s="158"/>
      <c r="H810" s="158"/>
      <c r="J810" s="158"/>
      <c r="L810" s="158"/>
      <c r="N810" s="158"/>
      <c r="Q810" s="20"/>
    </row>
    <row r="811">
      <c r="B811" s="158"/>
      <c r="D811" s="158"/>
      <c r="F811" s="158"/>
      <c r="H811" s="158"/>
      <c r="J811" s="158"/>
      <c r="L811" s="158"/>
      <c r="N811" s="158"/>
      <c r="Q811" s="20"/>
    </row>
    <row r="812">
      <c r="B812" s="158"/>
      <c r="D812" s="158"/>
      <c r="F812" s="158"/>
      <c r="H812" s="158"/>
      <c r="J812" s="158"/>
      <c r="L812" s="158"/>
      <c r="N812" s="158"/>
      <c r="Q812" s="20"/>
    </row>
    <row r="813">
      <c r="B813" s="158"/>
      <c r="D813" s="158"/>
      <c r="F813" s="158"/>
      <c r="H813" s="158"/>
      <c r="J813" s="158"/>
      <c r="L813" s="158"/>
      <c r="N813" s="158"/>
      <c r="Q813" s="20"/>
    </row>
    <row r="814">
      <c r="B814" s="158"/>
      <c r="D814" s="158"/>
      <c r="F814" s="158"/>
      <c r="H814" s="158"/>
      <c r="J814" s="158"/>
      <c r="L814" s="158"/>
      <c r="N814" s="158"/>
      <c r="Q814" s="20"/>
    </row>
    <row r="815">
      <c r="B815" s="158"/>
      <c r="D815" s="158"/>
      <c r="F815" s="158"/>
      <c r="H815" s="158"/>
      <c r="J815" s="158"/>
      <c r="L815" s="158"/>
      <c r="N815" s="158"/>
      <c r="Q815" s="20"/>
    </row>
    <row r="816">
      <c r="B816" s="158"/>
      <c r="D816" s="158"/>
      <c r="F816" s="158"/>
      <c r="H816" s="158"/>
      <c r="J816" s="158"/>
      <c r="L816" s="158"/>
      <c r="N816" s="158"/>
      <c r="Q816" s="20"/>
    </row>
    <row r="817">
      <c r="B817" s="158"/>
      <c r="D817" s="158"/>
      <c r="F817" s="158"/>
      <c r="H817" s="158"/>
      <c r="J817" s="158"/>
      <c r="L817" s="158"/>
      <c r="N817" s="158"/>
      <c r="Q817" s="20"/>
    </row>
    <row r="818">
      <c r="B818" s="158"/>
      <c r="D818" s="158"/>
      <c r="F818" s="158"/>
      <c r="H818" s="158"/>
      <c r="J818" s="158"/>
      <c r="L818" s="158"/>
      <c r="N818" s="158"/>
      <c r="Q818" s="20"/>
    </row>
    <row r="819">
      <c r="B819" s="158"/>
      <c r="D819" s="158"/>
      <c r="F819" s="158"/>
      <c r="H819" s="158"/>
      <c r="J819" s="158"/>
      <c r="L819" s="158"/>
      <c r="N819" s="158"/>
      <c r="Q819" s="20"/>
    </row>
    <row r="820">
      <c r="B820" s="158"/>
      <c r="D820" s="158"/>
      <c r="F820" s="158"/>
      <c r="H820" s="158"/>
      <c r="J820" s="158"/>
      <c r="L820" s="158"/>
      <c r="N820" s="158"/>
      <c r="Q820" s="20"/>
    </row>
    <row r="821">
      <c r="B821" s="158"/>
      <c r="D821" s="158"/>
      <c r="F821" s="158"/>
      <c r="H821" s="158"/>
      <c r="J821" s="158"/>
      <c r="L821" s="158"/>
      <c r="N821" s="158"/>
      <c r="Q821" s="20"/>
    </row>
    <row r="822">
      <c r="B822" s="158"/>
      <c r="D822" s="158"/>
      <c r="F822" s="158"/>
      <c r="H822" s="158"/>
      <c r="J822" s="158"/>
      <c r="L822" s="158"/>
      <c r="N822" s="158"/>
      <c r="Q822" s="20"/>
    </row>
    <row r="823">
      <c r="B823" s="158"/>
      <c r="D823" s="158"/>
      <c r="F823" s="158"/>
      <c r="H823" s="158"/>
      <c r="J823" s="158"/>
      <c r="L823" s="158"/>
      <c r="N823" s="158"/>
      <c r="Q823" s="20"/>
    </row>
    <row r="824">
      <c r="B824" s="158"/>
      <c r="D824" s="158"/>
      <c r="F824" s="158"/>
      <c r="H824" s="158"/>
      <c r="J824" s="158"/>
      <c r="L824" s="158"/>
      <c r="N824" s="158"/>
      <c r="Q824" s="20"/>
    </row>
    <row r="825">
      <c r="B825" s="158"/>
      <c r="D825" s="158"/>
      <c r="F825" s="158"/>
      <c r="H825" s="158"/>
      <c r="J825" s="158"/>
      <c r="L825" s="158"/>
      <c r="N825" s="158"/>
      <c r="Q825" s="20"/>
    </row>
    <row r="826">
      <c r="B826" s="158"/>
      <c r="D826" s="158"/>
      <c r="F826" s="158"/>
      <c r="H826" s="158"/>
      <c r="J826" s="158"/>
      <c r="L826" s="158"/>
      <c r="N826" s="158"/>
      <c r="Q826" s="20"/>
    </row>
    <row r="827">
      <c r="B827" s="158"/>
      <c r="D827" s="158"/>
      <c r="F827" s="158"/>
      <c r="H827" s="158"/>
      <c r="J827" s="158"/>
      <c r="L827" s="158"/>
      <c r="N827" s="158"/>
      <c r="Q827" s="20"/>
    </row>
    <row r="828">
      <c r="B828" s="158"/>
      <c r="D828" s="158"/>
      <c r="F828" s="158"/>
      <c r="H828" s="158"/>
      <c r="J828" s="158"/>
      <c r="L828" s="158"/>
      <c r="N828" s="158"/>
      <c r="Q828" s="20"/>
    </row>
    <row r="829">
      <c r="B829" s="158"/>
      <c r="D829" s="158"/>
      <c r="F829" s="158"/>
      <c r="H829" s="158"/>
      <c r="J829" s="158"/>
      <c r="L829" s="158"/>
      <c r="N829" s="158"/>
      <c r="Q829" s="20"/>
    </row>
    <row r="830">
      <c r="B830" s="158"/>
      <c r="D830" s="158"/>
      <c r="F830" s="158"/>
      <c r="H830" s="158"/>
      <c r="J830" s="158"/>
      <c r="L830" s="158"/>
      <c r="N830" s="158"/>
      <c r="Q830" s="20"/>
    </row>
    <row r="831">
      <c r="B831" s="158"/>
      <c r="D831" s="158"/>
      <c r="F831" s="158"/>
      <c r="H831" s="158"/>
      <c r="J831" s="158"/>
      <c r="L831" s="158"/>
      <c r="N831" s="158"/>
      <c r="Q831" s="20"/>
    </row>
    <row r="832">
      <c r="B832" s="158"/>
      <c r="D832" s="158"/>
      <c r="F832" s="158"/>
      <c r="H832" s="158"/>
      <c r="J832" s="158"/>
      <c r="L832" s="158"/>
      <c r="N832" s="158"/>
      <c r="Q832" s="20"/>
    </row>
    <row r="833">
      <c r="B833" s="158"/>
      <c r="D833" s="158"/>
      <c r="F833" s="158"/>
      <c r="H833" s="158"/>
      <c r="J833" s="158"/>
      <c r="L833" s="158"/>
      <c r="N833" s="158"/>
      <c r="Q833" s="20"/>
    </row>
    <row r="834">
      <c r="B834" s="158"/>
      <c r="D834" s="158"/>
      <c r="F834" s="158"/>
      <c r="H834" s="158"/>
      <c r="J834" s="158"/>
      <c r="L834" s="158"/>
      <c r="N834" s="158"/>
      <c r="Q834" s="20"/>
    </row>
    <row r="835">
      <c r="B835" s="158"/>
      <c r="D835" s="158"/>
      <c r="F835" s="158"/>
      <c r="H835" s="158"/>
      <c r="J835" s="158"/>
      <c r="L835" s="158"/>
      <c r="N835" s="158"/>
      <c r="Q835" s="20"/>
    </row>
    <row r="836">
      <c r="B836" s="158"/>
      <c r="D836" s="158"/>
      <c r="F836" s="158"/>
      <c r="H836" s="158"/>
      <c r="J836" s="158"/>
      <c r="L836" s="158"/>
      <c r="N836" s="158"/>
      <c r="Q836" s="20"/>
    </row>
    <row r="837">
      <c r="B837" s="158"/>
      <c r="D837" s="158"/>
      <c r="F837" s="158"/>
      <c r="H837" s="158"/>
      <c r="J837" s="158"/>
      <c r="L837" s="158"/>
      <c r="N837" s="158"/>
      <c r="Q837" s="20"/>
    </row>
    <row r="838">
      <c r="B838" s="158"/>
      <c r="D838" s="158"/>
      <c r="F838" s="158"/>
      <c r="H838" s="158"/>
      <c r="J838" s="158"/>
      <c r="L838" s="158"/>
      <c r="N838" s="158"/>
      <c r="Q838" s="20"/>
    </row>
    <row r="839">
      <c r="B839" s="158"/>
      <c r="D839" s="158"/>
      <c r="F839" s="158"/>
      <c r="H839" s="158"/>
      <c r="J839" s="158"/>
      <c r="L839" s="158"/>
      <c r="N839" s="158"/>
      <c r="Q839" s="20"/>
    </row>
    <row r="840">
      <c r="B840" s="158"/>
      <c r="D840" s="158"/>
      <c r="F840" s="158"/>
      <c r="H840" s="158"/>
      <c r="J840" s="158"/>
      <c r="L840" s="158"/>
      <c r="N840" s="158"/>
      <c r="Q840" s="20"/>
    </row>
    <row r="841">
      <c r="B841" s="158"/>
      <c r="D841" s="158"/>
      <c r="F841" s="158"/>
      <c r="H841" s="158"/>
      <c r="J841" s="158"/>
      <c r="L841" s="158"/>
      <c r="N841" s="158"/>
      <c r="Q841" s="20"/>
    </row>
    <row r="842">
      <c r="B842" s="158"/>
      <c r="D842" s="158"/>
      <c r="F842" s="158"/>
      <c r="H842" s="158"/>
      <c r="J842" s="158"/>
      <c r="L842" s="158"/>
      <c r="N842" s="158"/>
      <c r="Q842" s="20"/>
    </row>
    <row r="843">
      <c r="B843" s="158"/>
      <c r="D843" s="158"/>
      <c r="F843" s="158"/>
      <c r="H843" s="158"/>
      <c r="J843" s="158"/>
      <c r="L843" s="158"/>
      <c r="N843" s="158"/>
      <c r="Q843" s="20"/>
    </row>
    <row r="844">
      <c r="B844" s="158"/>
      <c r="D844" s="158"/>
      <c r="F844" s="158"/>
      <c r="H844" s="158"/>
      <c r="J844" s="158"/>
      <c r="L844" s="158"/>
      <c r="N844" s="158"/>
      <c r="Q844" s="20"/>
    </row>
    <row r="845">
      <c r="B845" s="158"/>
      <c r="D845" s="158"/>
      <c r="F845" s="158"/>
      <c r="H845" s="158"/>
      <c r="J845" s="158"/>
      <c r="L845" s="158"/>
      <c r="N845" s="158"/>
      <c r="Q845" s="20"/>
    </row>
    <row r="846">
      <c r="B846" s="158"/>
      <c r="D846" s="158"/>
      <c r="F846" s="158"/>
      <c r="H846" s="158"/>
      <c r="J846" s="158"/>
      <c r="L846" s="158"/>
      <c r="N846" s="158"/>
      <c r="Q846" s="20"/>
    </row>
    <row r="847">
      <c r="B847" s="158"/>
      <c r="D847" s="158"/>
      <c r="F847" s="158"/>
      <c r="H847" s="158"/>
      <c r="J847" s="158"/>
      <c r="L847" s="158"/>
      <c r="N847" s="158"/>
      <c r="Q847" s="20"/>
    </row>
    <row r="848">
      <c r="B848" s="158"/>
      <c r="D848" s="158"/>
      <c r="F848" s="158"/>
      <c r="H848" s="158"/>
      <c r="J848" s="158"/>
      <c r="L848" s="158"/>
      <c r="N848" s="158"/>
      <c r="Q848" s="20"/>
    </row>
    <row r="849">
      <c r="B849" s="158"/>
      <c r="D849" s="158"/>
      <c r="F849" s="158"/>
      <c r="H849" s="158"/>
      <c r="J849" s="158"/>
      <c r="L849" s="158"/>
      <c r="N849" s="158"/>
      <c r="Q849" s="20"/>
    </row>
    <row r="850">
      <c r="B850" s="158"/>
      <c r="D850" s="158"/>
      <c r="F850" s="158"/>
      <c r="H850" s="158"/>
      <c r="J850" s="158"/>
      <c r="L850" s="158"/>
      <c r="N850" s="158"/>
      <c r="Q850" s="20"/>
    </row>
    <row r="851">
      <c r="B851" s="158"/>
      <c r="D851" s="158"/>
      <c r="F851" s="158"/>
      <c r="H851" s="158"/>
      <c r="J851" s="158"/>
      <c r="L851" s="158"/>
      <c r="N851" s="158"/>
      <c r="Q851" s="20"/>
    </row>
    <row r="852">
      <c r="B852" s="158"/>
      <c r="D852" s="158"/>
      <c r="F852" s="158"/>
      <c r="H852" s="158"/>
      <c r="J852" s="158"/>
      <c r="L852" s="158"/>
      <c r="N852" s="158"/>
      <c r="Q852" s="20"/>
    </row>
    <row r="853">
      <c r="B853" s="158"/>
      <c r="D853" s="158"/>
      <c r="F853" s="158"/>
      <c r="H853" s="158"/>
      <c r="J853" s="158"/>
      <c r="L853" s="158"/>
      <c r="N853" s="158"/>
      <c r="Q853" s="20"/>
    </row>
    <row r="854">
      <c r="B854" s="158"/>
      <c r="D854" s="158"/>
      <c r="F854" s="158"/>
      <c r="H854" s="158"/>
      <c r="J854" s="158"/>
      <c r="L854" s="158"/>
      <c r="N854" s="158"/>
      <c r="Q854" s="20"/>
    </row>
    <row r="855">
      <c r="B855" s="158"/>
      <c r="D855" s="158"/>
      <c r="F855" s="158"/>
      <c r="H855" s="158"/>
      <c r="J855" s="158"/>
      <c r="L855" s="158"/>
      <c r="N855" s="158"/>
      <c r="Q855" s="20"/>
    </row>
    <row r="856">
      <c r="B856" s="158"/>
      <c r="D856" s="158"/>
      <c r="F856" s="158"/>
      <c r="H856" s="158"/>
      <c r="J856" s="158"/>
      <c r="L856" s="158"/>
      <c r="N856" s="158"/>
      <c r="Q856" s="20"/>
    </row>
    <row r="857">
      <c r="B857" s="158"/>
      <c r="D857" s="158"/>
      <c r="F857" s="158"/>
      <c r="H857" s="158"/>
      <c r="J857" s="158"/>
      <c r="L857" s="158"/>
      <c r="N857" s="158"/>
      <c r="Q857" s="20"/>
    </row>
    <row r="858">
      <c r="B858" s="158"/>
      <c r="D858" s="158"/>
      <c r="F858" s="158"/>
      <c r="H858" s="158"/>
      <c r="J858" s="158"/>
      <c r="L858" s="158"/>
      <c r="N858" s="158"/>
      <c r="Q858" s="20"/>
    </row>
    <row r="859">
      <c r="B859" s="158"/>
      <c r="D859" s="158"/>
      <c r="F859" s="158"/>
      <c r="H859" s="158"/>
      <c r="J859" s="158"/>
      <c r="L859" s="158"/>
      <c r="N859" s="158"/>
      <c r="Q859" s="20"/>
    </row>
    <row r="860">
      <c r="B860" s="158"/>
      <c r="D860" s="158"/>
      <c r="F860" s="158"/>
      <c r="H860" s="158"/>
      <c r="J860" s="158"/>
      <c r="L860" s="158"/>
      <c r="N860" s="158"/>
      <c r="Q860" s="20"/>
    </row>
    <row r="861">
      <c r="B861" s="158"/>
      <c r="D861" s="158"/>
      <c r="F861" s="158"/>
      <c r="H861" s="158"/>
      <c r="J861" s="158"/>
      <c r="L861" s="158"/>
      <c r="N861" s="158"/>
      <c r="Q861" s="20"/>
    </row>
    <row r="862">
      <c r="B862" s="158"/>
      <c r="D862" s="158"/>
      <c r="F862" s="158"/>
      <c r="H862" s="158"/>
      <c r="J862" s="158"/>
      <c r="L862" s="158"/>
      <c r="N862" s="158"/>
      <c r="Q862" s="20"/>
    </row>
    <row r="863">
      <c r="B863" s="158"/>
      <c r="D863" s="158"/>
      <c r="F863" s="158"/>
      <c r="H863" s="158"/>
      <c r="J863" s="158"/>
      <c r="L863" s="158"/>
      <c r="N863" s="158"/>
      <c r="Q863" s="20"/>
    </row>
    <row r="864">
      <c r="B864" s="158"/>
      <c r="D864" s="158"/>
      <c r="F864" s="158"/>
      <c r="H864" s="158"/>
      <c r="J864" s="158"/>
      <c r="L864" s="158"/>
      <c r="N864" s="158"/>
      <c r="Q864" s="20"/>
    </row>
    <row r="865">
      <c r="B865" s="158"/>
      <c r="D865" s="158"/>
      <c r="F865" s="158"/>
      <c r="H865" s="158"/>
      <c r="J865" s="158"/>
      <c r="L865" s="158"/>
      <c r="N865" s="158"/>
      <c r="Q865" s="20"/>
    </row>
    <row r="866">
      <c r="B866" s="158"/>
      <c r="D866" s="158"/>
      <c r="F866" s="158"/>
      <c r="H866" s="158"/>
      <c r="J866" s="158"/>
      <c r="L866" s="158"/>
      <c r="N866" s="158"/>
      <c r="Q866" s="20"/>
    </row>
    <row r="867">
      <c r="B867" s="158"/>
      <c r="D867" s="158"/>
      <c r="F867" s="158"/>
      <c r="H867" s="158"/>
      <c r="J867" s="158"/>
      <c r="L867" s="158"/>
      <c r="N867" s="158"/>
      <c r="Q867" s="20"/>
    </row>
    <row r="868">
      <c r="B868" s="158"/>
      <c r="D868" s="158"/>
      <c r="F868" s="158"/>
      <c r="H868" s="158"/>
      <c r="J868" s="158"/>
      <c r="L868" s="158"/>
      <c r="N868" s="158"/>
      <c r="Q868" s="20"/>
    </row>
    <row r="869">
      <c r="B869" s="158"/>
      <c r="D869" s="158"/>
      <c r="F869" s="158"/>
      <c r="H869" s="158"/>
      <c r="J869" s="158"/>
      <c r="L869" s="158"/>
      <c r="N869" s="158"/>
      <c r="Q869" s="20"/>
    </row>
    <row r="870">
      <c r="B870" s="158"/>
      <c r="D870" s="158"/>
      <c r="F870" s="158"/>
      <c r="H870" s="158"/>
      <c r="J870" s="158"/>
      <c r="L870" s="158"/>
      <c r="N870" s="158"/>
      <c r="Q870" s="20"/>
    </row>
    <row r="871">
      <c r="B871" s="158"/>
      <c r="D871" s="158"/>
      <c r="F871" s="158"/>
      <c r="H871" s="158"/>
      <c r="J871" s="158"/>
      <c r="L871" s="158"/>
      <c r="N871" s="158"/>
      <c r="Q871" s="20"/>
    </row>
    <row r="872">
      <c r="B872" s="158"/>
      <c r="D872" s="158"/>
      <c r="F872" s="158"/>
      <c r="H872" s="158"/>
      <c r="J872" s="158"/>
      <c r="L872" s="158"/>
      <c r="N872" s="158"/>
      <c r="Q872" s="20"/>
    </row>
    <row r="873">
      <c r="B873" s="158"/>
      <c r="D873" s="158"/>
      <c r="F873" s="158"/>
      <c r="H873" s="158"/>
      <c r="J873" s="158"/>
      <c r="L873" s="158"/>
      <c r="N873" s="158"/>
      <c r="Q873" s="20"/>
    </row>
    <row r="874">
      <c r="B874" s="158"/>
      <c r="D874" s="158"/>
      <c r="F874" s="158"/>
      <c r="H874" s="158"/>
      <c r="J874" s="158"/>
      <c r="L874" s="158"/>
      <c r="N874" s="158"/>
      <c r="Q874" s="20"/>
    </row>
    <row r="875">
      <c r="B875" s="158"/>
      <c r="D875" s="158"/>
      <c r="F875" s="158"/>
      <c r="H875" s="158"/>
      <c r="J875" s="158"/>
      <c r="L875" s="158"/>
      <c r="N875" s="158"/>
      <c r="Q875" s="20"/>
    </row>
    <row r="876">
      <c r="B876" s="158"/>
      <c r="D876" s="158"/>
      <c r="F876" s="158"/>
      <c r="H876" s="158"/>
      <c r="J876" s="158"/>
      <c r="L876" s="158"/>
      <c r="N876" s="158"/>
      <c r="Q876" s="20"/>
    </row>
    <row r="877">
      <c r="B877" s="158"/>
      <c r="D877" s="158"/>
      <c r="F877" s="158"/>
      <c r="H877" s="158"/>
      <c r="J877" s="158"/>
      <c r="L877" s="158"/>
      <c r="N877" s="158"/>
      <c r="Q877" s="20"/>
    </row>
    <row r="878">
      <c r="B878" s="158"/>
      <c r="D878" s="158"/>
      <c r="F878" s="158"/>
      <c r="H878" s="158"/>
      <c r="J878" s="158"/>
      <c r="L878" s="158"/>
      <c r="N878" s="158"/>
      <c r="Q878" s="20"/>
    </row>
    <row r="879">
      <c r="B879" s="158"/>
      <c r="D879" s="158"/>
      <c r="F879" s="158"/>
      <c r="H879" s="158"/>
      <c r="J879" s="158"/>
      <c r="L879" s="158"/>
      <c r="N879" s="158"/>
      <c r="Q879" s="20"/>
    </row>
    <row r="880">
      <c r="B880" s="158"/>
      <c r="D880" s="158"/>
      <c r="F880" s="158"/>
      <c r="H880" s="158"/>
      <c r="J880" s="158"/>
      <c r="L880" s="158"/>
      <c r="N880" s="158"/>
      <c r="Q880" s="20"/>
    </row>
    <row r="881">
      <c r="B881" s="158"/>
      <c r="D881" s="158"/>
      <c r="F881" s="158"/>
      <c r="H881" s="158"/>
      <c r="J881" s="158"/>
      <c r="L881" s="158"/>
      <c r="N881" s="158"/>
      <c r="Q881" s="20"/>
    </row>
    <row r="882">
      <c r="B882" s="158"/>
      <c r="D882" s="158"/>
      <c r="F882" s="158"/>
      <c r="H882" s="158"/>
      <c r="J882" s="158"/>
      <c r="L882" s="158"/>
      <c r="N882" s="158"/>
      <c r="Q882" s="20"/>
    </row>
    <row r="883">
      <c r="B883" s="158"/>
      <c r="D883" s="158"/>
      <c r="F883" s="158"/>
      <c r="H883" s="158"/>
      <c r="J883" s="158"/>
      <c r="L883" s="158"/>
      <c r="N883" s="158"/>
      <c r="Q883" s="20"/>
    </row>
    <row r="884">
      <c r="B884" s="158"/>
      <c r="D884" s="158"/>
      <c r="F884" s="158"/>
      <c r="H884" s="158"/>
      <c r="J884" s="158"/>
      <c r="L884" s="158"/>
      <c r="N884" s="158"/>
      <c r="Q884" s="20"/>
    </row>
    <row r="885">
      <c r="B885" s="158"/>
      <c r="D885" s="158"/>
      <c r="F885" s="158"/>
      <c r="H885" s="158"/>
      <c r="J885" s="158"/>
      <c r="L885" s="158"/>
      <c r="N885" s="158"/>
      <c r="Q885" s="20"/>
    </row>
    <row r="886">
      <c r="B886" s="158"/>
      <c r="D886" s="158"/>
      <c r="F886" s="158"/>
      <c r="H886" s="158"/>
      <c r="J886" s="158"/>
      <c r="L886" s="158"/>
      <c r="N886" s="158"/>
      <c r="Q886" s="20"/>
    </row>
    <row r="887">
      <c r="B887" s="158"/>
      <c r="D887" s="158"/>
      <c r="F887" s="158"/>
      <c r="H887" s="158"/>
      <c r="J887" s="158"/>
      <c r="L887" s="158"/>
      <c r="N887" s="158"/>
      <c r="Q887" s="20"/>
    </row>
    <row r="888">
      <c r="B888" s="158"/>
      <c r="D888" s="158"/>
      <c r="F888" s="158"/>
      <c r="H888" s="158"/>
      <c r="J888" s="158"/>
      <c r="L888" s="158"/>
      <c r="N888" s="158"/>
      <c r="Q888" s="20"/>
    </row>
    <row r="889">
      <c r="B889" s="158"/>
      <c r="D889" s="158"/>
      <c r="F889" s="158"/>
      <c r="H889" s="158"/>
      <c r="J889" s="158"/>
      <c r="L889" s="158"/>
      <c r="N889" s="158"/>
      <c r="Q889" s="20"/>
    </row>
    <row r="890">
      <c r="B890" s="158"/>
      <c r="D890" s="158"/>
      <c r="F890" s="158"/>
      <c r="H890" s="158"/>
      <c r="J890" s="158"/>
      <c r="L890" s="158"/>
      <c r="N890" s="158"/>
      <c r="Q890" s="20"/>
    </row>
    <row r="891">
      <c r="B891" s="158"/>
      <c r="D891" s="158"/>
      <c r="F891" s="158"/>
      <c r="H891" s="158"/>
      <c r="J891" s="158"/>
      <c r="L891" s="158"/>
      <c r="N891" s="158"/>
      <c r="Q891" s="20"/>
    </row>
    <row r="892">
      <c r="B892" s="158"/>
      <c r="D892" s="158"/>
      <c r="F892" s="158"/>
      <c r="H892" s="158"/>
      <c r="J892" s="158"/>
      <c r="L892" s="158"/>
      <c r="N892" s="158"/>
      <c r="Q892" s="20"/>
    </row>
    <row r="893">
      <c r="B893" s="158"/>
      <c r="D893" s="158"/>
      <c r="F893" s="158"/>
      <c r="H893" s="158"/>
      <c r="J893" s="158"/>
      <c r="L893" s="158"/>
      <c r="N893" s="158"/>
      <c r="Q893" s="20"/>
    </row>
    <row r="894">
      <c r="B894" s="158"/>
      <c r="D894" s="158"/>
      <c r="F894" s="158"/>
      <c r="H894" s="158"/>
      <c r="J894" s="158"/>
      <c r="L894" s="158"/>
      <c r="N894" s="158"/>
      <c r="Q894" s="20"/>
    </row>
    <row r="895">
      <c r="B895" s="158"/>
      <c r="D895" s="158"/>
      <c r="F895" s="158"/>
      <c r="H895" s="158"/>
      <c r="J895" s="158"/>
      <c r="L895" s="158"/>
      <c r="N895" s="158"/>
      <c r="Q895" s="20"/>
    </row>
    <row r="896">
      <c r="B896" s="158"/>
      <c r="D896" s="158"/>
      <c r="F896" s="158"/>
      <c r="H896" s="158"/>
      <c r="J896" s="158"/>
      <c r="L896" s="158"/>
      <c r="N896" s="158"/>
      <c r="Q896" s="20"/>
    </row>
    <row r="897">
      <c r="B897" s="158"/>
      <c r="D897" s="158"/>
      <c r="F897" s="158"/>
      <c r="H897" s="158"/>
      <c r="J897" s="158"/>
      <c r="L897" s="158"/>
      <c r="N897" s="158"/>
      <c r="Q897" s="20"/>
    </row>
    <row r="898">
      <c r="B898" s="158"/>
      <c r="D898" s="158"/>
      <c r="F898" s="158"/>
      <c r="H898" s="158"/>
      <c r="J898" s="158"/>
      <c r="L898" s="158"/>
      <c r="N898" s="158"/>
      <c r="Q898" s="20"/>
    </row>
    <row r="899">
      <c r="B899" s="158"/>
      <c r="D899" s="158"/>
      <c r="F899" s="158"/>
      <c r="H899" s="158"/>
      <c r="J899" s="158"/>
      <c r="L899" s="158"/>
      <c r="N899" s="158"/>
      <c r="Q899" s="20"/>
    </row>
    <row r="900">
      <c r="B900" s="158"/>
      <c r="D900" s="158"/>
      <c r="F900" s="158"/>
      <c r="H900" s="158"/>
      <c r="J900" s="158"/>
      <c r="L900" s="158"/>
      <c r="N900" s="158"/>
      <c r="Q900" s="20"/>
    </row>
    <row r="901">
      <c r="B901" s="158"/>
      <c r="D901" s="158"/>
      <c r="F901" s="158"/>
      <c r="H901" s="158"/>
      <c r="J901" s="158"/>
      <c r="L901" s="158"/>
      <c r="N901" s="158"/>
      <c r="Q901" s="20"/>
    </row>
    <row r="902">
      <c r="B902" s="158"/>
      <c r="D902" s="158"/>
      <c r="F902" s="158"/>
      <c r="H902" s="158"/>
      <c r="J902" s="158"/>
      <c r="L902" s="158"/>
      <c r="N902" s="158"/>
      <c r="Q902" s="20"/>
    </row>
    <row r="903">
      <c r="B903" s="158"/>
      <c r="D903" s="158"/>
      <c r="F903" s="158"/>
      <c r="H903" s="158"/>
      <c r="J903" s="158"/>
      <c r="L903" s="158"/>
      <c r="N903" s="158"/>
      <c r="Q903" s="20"/>
    </row>
    <row r="904">
      <c r="B904" s="158"/>
      <c r="D904" s="158"/>
      <c r="F904" s="158"/>
      <c r="H904" s="158"/>
      <c r="J904" s="158"/>
      <c r="L904" s="158"/>
      <c r="N904" s="158"/>
      <c r="Q904" s="20"/>
    </row>
    <row r="905">
      <c r="B905" s="158"/>
      <c r="D905" s="158"/>
      <c r="F905" s="158"/>
      <c r="H905" s="158"/>
      <c r="J905" s="158"/>
      <c r="L905" s="158"/>
      <c r="N905" s="158"/>
      <c r="Q905" s="20"/>
    </row>
    <row r="906">
      <c r="B906" s="158"/>
      <c r="D906" s="158"/>
      <c r="F906" s="158"/>
      <c r="H906" s="158"/>
      <c r="J906" s="158"/>
      <c r="L906" s="158"/>
      <c r="N906" s="158"/>
      <c r="Q906" s="20"/>
    </row>
    <row r="907">
      <c r="B907" s="158"/>
      <c r="D907" s="158"/>
      <c r="F907" s="158"/>
      <c r="H907" s="158"/>
      <c r="J907" s="158"/>
      <c r="L907" s="158"/>
      <c r="N907" s="158"/>
      <c r="Q907" s="20"/>
    </row>
    <row r="908">
      <c r="B908" s="158"/>
      <c r="D908" s="158"/>
      <c r="F908" s="158"/>
      <c r="H908" s="158"/>
      <c r="J908" s="158"/>
      <c r="L908" s="158"/>
      <c r="N908" s="158"/>
      <c r="Q908" s="20"/>
    </row>
    <row r="909">
      <c r="B909" s="158"/>
      <c r="D909" s="158"/>
      <c r="F909" s="158"/>
      <c r="H909" s="158"/>
      <c r="J909" s="158"/>
      <c r="L909" s="158"/>
      <c r="N909" s="158"/>
      <c r="Q909" s="20"/>
    </row>
    <row r="910">
      <c r="B910" s="158"/>
      <c r="D910" s="158"/>
      <c r="F910" s="158"/>
      <c r="H910" s="158"/>
      <c r="J910" s="158"/>
      <c r="L910" s="158"/>
      <c r="N910" s="158"/>
      <c r="Q910" s="20"/>
    </row>
    <row r="911">
      <c r="B911" s="158"/>
      <c r="D911" s="158"/>
      <c r="F911" s="158"/>
      <c r="H911" s="158"/>
      <c r="J911" s="158"/>
      <c r="L911" s="158"/>
      <c r="N911" s="158"/>
      <c r="Q911" s="20"/>
    </row>
    <row r="912">
      <c r="B912" s="158"/>
      <c r="D912" s="158"/>
      <c r="F912" s="158"/>
      <c r="H912" s="158"/>
      <c r="J912" s="158"/>
      <c r="L912" s="158"/>
      <c r="N912" s="158"/>
      <c r="Q912" s="20"/>
    </row>
    <row r="913">
      <c r="B913" s="158"/>
      <c r="D913" s="158"/>
      <c r="F913" s="158"/>
      <c r="H913" s="158"/>
      <c r="J913" s="158"/>
      <c r="L913" s="158"/>
      <c r="N913" s="158"/>
      <c r="Q913" s="20"/>
    </row>
    <row r="914">
      <c r="B914" s="158"/>
      <c r="D914" s="158"/>
      <c r="F914" s="158"/>
      <c r="H914" s="158"/>
      <c r="J914" s="158"/>
      <c r="L914" s="158"/>
      <c r="N914" s="158"/>
      <c r="Q914" s="20"/>
    </row>
    <row r="915">
      <c r="B915" s="158"/>
      <c r="D915" s="158"/>
      <c r="F915" s="158"/>
      <c r="H915" s="158"/>
      <c r="J915" s="158"/>
      <c r="L915" s="158"/>
      <c r="N915" s="158"/>
      <c r="Q915" s="20"/>
    </row>
    <row r="916">
      <c r="B916" s="158"/>
      <c r="D916" s="158"/>
      <c r="F916" s="158"/>
      <c r="H916" s="158"/>
      <c r="J916" s="158"/>
      <c r="L916" s="158"/>
      <c r="N916" s="158"/>
      <c r="Q916" s="20"/>
    </row>
    <row r="917">
      <c r="B917" s="158"/>
      <c r="D917" s="158"/>
      <c r="F917" s="158"/>
      <c r="H917" s="158"/>
      <c r="J917" s="158"/>
      <c r="L917" s="158"/>
      <c r="N917" s="158"/>
      <c r="Q917" s="20"/>
    </row>
    <row r="918">
      <c r="B918" s="158"/>
      <c r="D918" s="158"/>
      <c r="F918" s="158"/>
      <c r="H918" s="158"/>
      <c r="J918" s="158"/>
      <c r="L918" s="158"/>
      <c r="N918" s="158"/>
      <c r="Q918" s="20"/>
    </row>
    <row r="919">
      <c r="B919" s="158"/>
      <c r="D919" s="158"/>
      <c r="F919" s="158"/>
      <c r="H919" s="158"/>
      <c r="J919" s="158"/>
      <c r="L919" s="158"/>
      <c r="N919" s="158"/>
      <c r="Q919" s="20"/>
    </row>
    <row r="920">
      <c r="B920" s="158"/>
      <c r="D920" s="158"/>
      <c r="F920" s="158"/>
      <c r="H920" s="158"/>
      <c r="J920" s="158"/>
      <c r="L920" s="158"/>
      <c r="N920" s="158"/>
      <c r="Q920" s="20"/>
    </row>
    <row r="921">
      <c r="B921" s="158"/>
      <c r="D921" s="158"/>
      <c r="F921" s="158"/>
      <c r="H921" s="158"/>
      <c r="J921" s="158"/>
      <c r="L921" s="158"/>
      <c r="N921" s="158"/>
      <c r="Q921" s="20"/>
    </row>
    <row r="922">
      <c r="B922" s="158"/>
      <c r="D922" s="158"/>
      <c r="F922" s="158"/>
      <c r="H922" s="158"/>
      <c r="J922" s="158"/>
      <c r="L922" s="158"/>
      <c r="N922" s="158"/>
      <c r="Q922" s="20"/>
    </row>
    <row r="923">
      <c r="B923" s="158"/>
      <c r="D923" s="158"/>
      <c r="F923" s="158"/>
      <c r="H923" s="158"/>
      <c r="J923" s="158"/>
      <c r="L923" s="158"/>
      <c r="N923" s="158"/>
      <c r="Q923" s="20"/>
    </row>
    <row r="924">
      <c r="B924" s="158"/>
      <c r="D924" s="158"/>
      <c r="F924" s="158"/>
      <c r="H924" s="158"/>
      <c r="J924" s="158"/>
      <c r="L924" s="158"/>
      <c r="N924" s="158"/>
      <c r="Q924" s="20"/>
    </row>
    <row r="925">
      <c r="B925" s="158"/>
      <c r="D925" s="158"/>
      <c r="F925" s="158"/>
      <c r="H925" s="158"/>
      <c r="J925" s="158"/>
      <c r="L925" s="158"/>
      <c r="N925" s="158"/>
      <c r="Q925" s="20"/>
    </row>
    <row r="926">
      <c r="B926" s="158"/>
      <c r="D926" s="158"/>
      <c r="F926" s="158"/>
      <c r="H926" s="158"/>
      <c r="J926" s="158"/>
      <c r="L926" s="158"/>
      <c r="N926" s="158"/>
      <c r="Q926" s="20"/>
    </row>
    <row r="927">
      <c r="B927" s="158"/>
      <c r="D927" s="158"/>
      <c r="F927" s="158"/>
      <c r="H927" s="158"/>
      <c r="J927" s="158"/>
      <c r="L927" s="158"/>
      <c r="N927" s="158"/>
      <c r="Q927" s="20"/>
    </row>
    <row r="928">
      <c r="B928" s="158"/>
      <c r="D928" s="158"/>
      <c r="F928" s="158"/>
      <c r="H928" s="158"/>
      <c r="J928" s="158"/>
      <c r="L928" s="158"/>
      <c r="N928" s="158"/>
      <c r="Q928" s="20"/>
    </row>
    <row r="929">
      <c r="B929" s="158"/>
      <c r="D929" s="158"/>
      <c r="F929" s="158"/>
      <c r="H929" s="158"/>
      <c r="J929" s="158"/>
      <c r="L929" s="158"/>
      <c r="N929" s="158"/>
      <c r="Q929" s="20"/>
    </row>
    <row r="930">
      <c r="B930" s="158"/>
      <c r="D930" s="158"/>
      <c r="F930" s="158"/>
      <c r="H930" s="158"/>
      <c r="J930" s="158"/>
      <c r="L930" s="158"/>
      <c r="N930" s="158"/>
      <c r="Q930" s="20"/>
    </row>
    <row r="931">
      <c r="B931" s="158"/>
      <c r="D931" s="158"/>
      <c r="F931" s="158"/>
      <c r="H931" s="158"/>
      <c r="J931" s="158"/>
      <c r="L931" s="158"/>
      <c r="N931" s="158"/>
      <c r="Q931" s="20"/>
    </row>
    <row r="932">
      <c r="B932" s="158"/>
      <c r="D932" s="158"/>
      <c r="F932" s="158"/>
      <c r="H932" s="158"/>
      <c r="J932" s="158"/>
      <c r="L932" s="158"/>
      <c r="N932" s="158"/>
      <c r="Q932" s="20"/>
    </row>
    <row r="933">
      <c r="B933" s="158"/>
      <c r="D933" s="158"/>
      <c r="F933" s="158"/>
      <c r="H933" s="158"/>
      <c r="J933" s="158"/>
      <c r="L933" s="158"/>
      <c r="N933" s="158"/>
      <c r="Q933" s="20"/>
    </row>
    <row r="934">
      <c r="B934" s="158"/>
      <c r="D934" s="158"/>
      <c r="F934" s="158"/>
      <c r="H934" s="158"/>
      <c r="J934" s="158"/>
      <c r="L934" s="158"/>
      <c r="N934" s="158"/>
      <c r="Q934" s="20"/>
    </row>
    <row r="935">
      <c r="B935" s="158"/>
      <c r="D935" s="158"/>
      <c r="F935" s="158"/>
      <c r="H935" s="158"/>
      <c r="J935" s="158"/>
      <c r="L935" s="158"/>
      <c r="N935" s="158"/>
      <c r="Q935" s="20"/>
    </row>
    <row r="936">
      <c r="B936" s="158"/>
      <c r="D936" s="158"/>
      <c r="F936" s="158"/>
      <c r="H936" s="158"/>
      <c r="J936" s="158"/>
      <c r="L936" s="158"/>
      <c r="N936" s="158"/>
      <c r="Q936" s="20"/>
    </row>
    <row r="937">
      <c r="B937" s="158"/>
      <c r="D937" s="158"/>
      <c r="F937" s="158"/>
      <c r="H937" s="158"/>
      <c r="J937" s="158"/>
      <c r="L937" s="158"/>
      <c r="N937" s="158"/>
      <c r="Q937" s="20"/>
    </row>
    <row r="938">
      <c r="B938" s="158"/>
      <c r="D938" s="158"/>
      <c r="F938" s="158"/>
      <c r="H938" s="158"/>
      <c r="J938" s="158"/>
      <c r="L938" s="158"/>
      <c r="N938" s="158"/>
      <c r="Q938" s="20"/>
    </row>
    <row r="939">
      <c r="B939" s="158"/>
      <c r="D939" s="158"/>
      <c r="F939" s="158"/>
      <c r="H939" s="158"/>
      <c r="J939" s="158"/>
      <c r="L939" s="158"/>
      <c r="N939" s="158"/>
      <c r="Q939" s="20"/>
    </row>
    <row r="940">
      <c r="B940" s="158"/>
      <c r="D940" s="158"/>
      <c r="F940" s="158"/>
      <c r="H940" s="158"/>
      <c r="J940" s="158"/>
      <c r="L940" s="158"/>
      <c r="N940" s="158"/>
      <c r="Q940" s="20"/>
    </row>
    <row r="941">
      <c r="B941" s="158"/>
      <c r="D941" s="158"/>
      <c r="F941" s="158"/>
      <c r="H941" s="158"/>
      <c r="J941" s="158"/>
      <c r="L941" s="158"/>
      <c r="N941" s="158"/>
      <c r="Q941" s="20"/>
    </row>
    <row r="942">
      <c r="B942" s="158"/>
      <c r="D942" s="158"/>
      <c r="F942" s="158"/>
      <c r="H942" s="158"/>
      <c r="J942" s="158"/>
      <c r="L942" s="158"/>
      <c r="N942" s="158"/>
      <c r="Q942" s="20"/>
    </row>
    <row r="943">
      <c r="B943" s="158"/>
      <c r="D943" s="158"/>
      <c r="F943" s="158"/>
      <c r="H943" s="158"/>
      <c r="J943" s="158"/>
      <c r="L943" s="158"/>
      <c r="N943" s="158"/>
      <c r="Q943" s="20"/>
    </row>
    <row r="944">
      <c r="B944" s="158"/>
      <c r="D944" s="158"/>
      <c r="F944" s="158"/>
      <c r="H944" s="158"/>
      <c r="J944" s="158"/>
      <c r="L944" s="158"/>
      <c r="N944" s="158"/>
      <c r="Q944" s="20"/>
    </row>
    <row r="945">
      <c r="B945" s="158"/>
      <c r="D945" s="158"/>
      <c r="F945" s="158"/>
      <c r="H945" s="158"/>
      <c r="J945" s="158"/>
      <c r="L945" s="158"/>
      <c r="N945" s="158"/>
      <c r="Q945" s="20"/>
    </row>
    <row r="946">
      <c r="B946" s="158"/>
      <c r="D946" s="158"/>
      <c r="F946" s="158"/>
      <c r="H946" s="158"/>
      <c r="J946" s="158"/>
      <c r="L946" s="158"/>
      <c r="N946" s="158"/>
      <c r="Q946" s="20"/>
    </row>
    <row r="947">
      <c r="B947" s="158"/>
      <c r="D947" s="158"/>
      <c r="F947" s="158"/>
      <c r="H947" s="158"/>
      <c r="J947" s="158"/>
      <c r="L947" s="158"/>
      <c r="N947" s="158"/>
      <c r="Q947" s="20"/>
    </row>
    <row r="948">
      <c r="B948" s="158"/>
      <c r="D948" s="158"/>
      <c r="F948" s="158"/>
      <c r="H948" s="158"/>
      <c r="J948" s="158"/>
      <c r="L948" s="158"/>
      <c r="N948" s="158"/>
      <c r="Q948" s="20"/>
    </row>
    <row r="949">
      <c r="B949" s="158"/>
      <c r="D949" s="158"/>
      <c r="F949" s="158"/>
      <c r="H949" s="158"/>
      <c r="J949" s="158"/>
      <c r="L949" s="158"/>
      <c r="N949" s="158"/>
      <c r="Q949" s="20"/>
    </row>
    <row r="950">
      <c r="B950" s="158"/>
      <c r="D950" s="158"/>
      <c r="F950" s="158"/>
      <c r="H950" s="158"/>
      <c r="J950" s="158"/>
      <c r="L950" s="158"/>
      <c r="N950" s="158"/>
      <c r="Q950" s="20"/>
    </row>
    <row r="951">
      <c r="B951" s="158"/>
      <c r="D951" s="158"/>
      <c r="F951" s="158"/>
      <c r="H951" s="158"/>
      <c r="J951" s="158"/>
      <c r="L951" s="158"/>
      <c r="N951" s="158"/>
      <c r="Q951" s="20"/>
    </row>
    <row r="952">
      <c r="B952" s="158"/>
      <c r="D952" s="158"/>
      <c r="F952" s="158"/>
      <c r="H952" s="158"/>
      <c r="J952" s="158"/>
      <c r="L952" s="158"/>
      <c r="N952" s="158"/>
      <c r="Q952" s="20"/>
    </row>
    <row r="953">
      <c r="B953" s="158"/>
      <c r="D953" s="158"/>
      <c r="F953" s="158"/>
      <c r="H953" s="158"/>
      <c r="J953" s="158"/>
      <c r="L953" s="158"/>
      <c r="N953" s="158"/>
      <c r="Q953" s="20"/>
    </row>
    <row r="954">
      <c r="B954" s="158"/>
      <c r="D954" s="158"/>
      <c r="F954" s="158"/>
      <c r="H954" s="158"/>
      <c r="J954" s="158"/>
      <c r="L954" s="158"/>
      <c r="N954" s="158"/>
      <c r="Q954" s="20"/>
    </row>
    <row r="955">
      <c r="B955" s="158"/>
      <c r="D955" s="158"/>
      <c r="F955" s="158"/>
      <c r="H955" s="158"/>
      <c r="J955" s="158"/>
      <c r="L955" s="158"/>
      <c r="N955" s="158"/>
      <c r="Q955" s="20"/>
    </row>
    <row r="956">
      <c r="B956" s="158"/>
      <c r="D956" s="158"/>
      <c r="F956" s="158"/>
      <c r="H956" s="158"/>
      <c r="J956" s="158"/>
      <c r="L956" s="158"/>
      <c r="N956" s="158"/>
      <c r="Q956" s="20"/>
    </row>
    <row r="957">
      <c r="B957" s="158"/>
      <c r="D957" s="158"/>
      <c r="F957" s="158"/>
      <c r="H957" s="158"/>
      <c r="J957" s="158"/>
      <c r="L957" s="158"/>
      <c r="N957" s="158"/>
      <c r="Q957" s="20"/>
    </row>
    <row r="958">
      <c r="B958" s="158"/>
      <c r="D958" s="158"/>
      <c r="F958" s="158"/>
      <c r="H958" s="158"/>
      <c r="J958" s="158"/>
      <c r="L958" s="158"/>
      <c r="N958" s="158"/>
      <c r="Q958" s="20"/>
    </row>
    <row r="959">
      <c r="B959" s="158"/>
      <c r="D959" s="158"/>
      <c r="F959" s="158"/>
      <c r="H959" s="158"/>
      <c r="J959" s="158"/>
      <c r="L959" s="158"/>
      <c r="N959" s="158"/>
      <c r="Q959" s="20"/>
    </row>
    <row r="960">
      <c r="B960" s="158"/>
      <c r="D960" s="158"/>
      <c r="F960" s="158"/>
      <c r="H960" s="158"/>
      <c r="J960" s="158"/>
      <c r="L960" s="158"/>
      <c r="N960" s="158"/>
      <c r="Q960" s="20"/>
    </row>
    <row r="961">
      <c r="B961" s="158"/>
      <c r="D961" s="158"/>
      <c r="F961" s="158"/>
      <c r="H961" s="158"/>
      <c r="J961" s="158"/>
      <c r="L961" s="158"/>
      <c r="N961" s="158"/>
      <c r="Q961" s="20"/>
    </row>
    <row r="962">
      <c r="B962" s="158"/>
      <c r="D962" s="158"/>
      <c r="F962" s="158"/>
      <c r="H962" s="158"/>
      <c r="J962" s="158"/>
      <c r="L962" s="158"/>
      <c r="N962" s="158"/>
      <c r="Q962" s="20"/>
    </row>
    <row r="963">
      <c r="B963" s="158"/>
      <c r="D963" s="158"/>
      <c r="F963" s="158"/>
      <c r="H963" s="158"/>
      <c r="J963" s="158"/>
      <c r="L963" s="158"/>
      <c r="N963" s="158"/>
      <c r="Q963" s="20"/>
    </row>
    <row r="964">
      <c r="B964" s="158"/>
      <c r="D964" s="158"/>
      <c r="F964" s="158"/>
      <c r="H964" s="158"/>
      <c r="J964" s="158"/>
      <c r="L964" s="158"/>
      <c r="N964" s="158"/>
      <c r="Q964" s="20"/>
    </row>
    <row r="965">
      <c r="B965" s="158"/>
      <c r="D965" s="158"/>
      <c r="F965" s="158"/>
      <c r="H965" s="158"/>
      <c r="J965" s="158"/>
      <c r="L965" s="158"/>
      <c r="N965" s="158"/>
      <c r="Q965" s="20"/>
    </row>
    <row r="966">
      <c r="B966" s="158"/>
      <c r="D966" s="158"/>
      <c r="F966" s="158"/>
      <c r="H966" s="158"/>
      <c r="J966" s="158"/>
      <c r="L966" s="158"/>
      <c r="N966" s="158"/>
      <c r="Q966" s="20"/>
    </row>
    <row r="967">
      <c r="B967" s="158"/>
      <c r="D967" s="158"/>
      <c r="F967" s="158"/>
      <c r="H967" s="158"/>
      <c r="J967" s="158"/>
      <c r="L967" s="158"/>
      <c r="N967" s="158"/>
      <c r="Q967" s="20"/>
    </row>
    <row r="968">
      <c r="B968" s="158"/>
      <c r="D968" s="158"/>
      <c r="F968" s="158"/>
      <c r="H968" s="158"/>
      <c r="J968" s="158"/>
      <c r="L968" s="158"/>
      <c r="N968" s="158"/>
      <c r="Q968" s="20"/>
    </row>
    <row r="969">
      <c r="B969" s="158"/>
      <c r="D969" s="158"/>
      <c r="F969" s="158"/>
      <c r="H969" s="158"/>
      <c r="J969" s="158"/>
      <c r="L969" s="158"/>
      <c r="N969" s="158"/>
      <c r="Q969" s="20"/>
    </row>
    <row r="970">
      <c r="B970" s="158"/>
      <c r="D970" s="158"/>
      <c r="F970" s="158"/>
      <c r="H970" s="158"/>
      <c r="J970" s="158"/>
      <c r="L970" s="158"/>
      <c r="N970" s="158"/>
      <c r="Q970" s="20"/>
    </row>
    <row r="971">
      <c r="B971" s="158"/>
      <c r="D971" s="158"/>
      <c r="F971" s="158"/>
      <c r="H971" s="158"/>
      <c r="J971" s="158"/>
      <c r="L971" s="158"/>
      <c r="N971" s="158"/>
      <c r="Q971" s="20"/>
    </row>
    <row r="972">
      <c r="B972" s="158"/>
      <c r="D972" s="158"/>
      <c r="F972" s="158"/>
      <c r="H972" s="158"/>
      <c r="J972" s="158"/>
      <c r="L972" s="158"/>
      <c r="N972" s="158"/>
      <c r="Q972" s="20"/>
    </row>
    <row r="973">
      <c r="B973" s="158"/>
      <c r="D973" s="158"/>
      <c r="F973" s="158"/>
      <c r="H973" s="158"/>
      <c r="J973" s="158"/>
      <c r="L973" s="158"/>
      <c r="N973" s="158"/>
      <c r="Q973" s="20"/>
    </row>
    <row r="974">
      <c r="B974" s="158"/>
      <c r="D974" s="158"/>
      <c r="F974" s="158"/>
      <c r="H974" s="158"/>
      <c r="J974" s="158"/>
      <c r="L974" s="158"/>
      <c r="N974" s="158"/>
      <c r="Q974" s="20"/>
    </row>
    <row r="975">
      <c r="B975" s="158"/>
      <c r="D975" s="158"/>
      <c r="F975" s="158"/>
      <c r="H975" s="158"/>
      <c r="J975" s="158"/>
      <c r="L975" s="158"/>
      <c r="N975" s="158"/>
      <c r="Q975" s="20"/>
    </row>
    <row r="976">
      <c r="B976" s="158"/>
      <c r="D976" s="158"/>
      <c r="F976" s="158"/>
      <c r="H976" s="158"/>
      <c r="J976" s="158"/>
      <c r="L976" s="158"/>
      <c r="N976" s="158"/>
      <c r="Q976" s="20"/>
    </row>
    <row r="977">
      <c r="B977" s="158"/>
      <c r="D977" s="158"/>
      <c r="F977" s="158"/>
      <c r="H977" s="158"/>
      <c r="J977" s="158"/>
      <c r="L977" s="158"/>
      <c r="N977" s="158"/>
      <c r="Q977" s="20"/>
    </row>
    <row r="978">
      <c r="B978" s="158"/>
      <c r="D978" s="158"/>
      <c r="F978" s="158"/>
      <c r="H978" s="158"/>
      <c r="J978" s="158"/>
      <c r="L978" s="158"/>
      <c r="N978" s="158"/>
      <c r="Q978" s="20"/>
    </row>
    <row r="979">
      <c r="B979" s="158"/>
      <c r="D979" s="158"/>
      <c r="F979" s="158"/>
      <c r="H979" s="158"/>
      <c r="J979" s="158"/>
      <c r="L979" s="158"/>
      <c r="N979" s="158"/>
      <c r="Q979" s="20"/>
    </row>
    <row r="980">
      <c r="B980" s="158"/>
      <c r="D980" s="158"/>
      <c r="F980" s="158"/>
      <c r="H980" s="158"/>
      <c r="J980" s="158"/>
      <c r="L980" s="158"/>
      <c r="N980" s="158"/>
      <c r="Q980" s="20"/>
    </row>
    <row r="981">
      <c r="B981" s="158"/>
      <c r="D981" s="158"/>
      <c r="F981" s="158"/>
      <c r="H981" s="158"/>
      <c r="J981" s="158"/>
      <c r="L981" s="158"/>
      <c r="N981" s="158"/>
      <c r="Q981" s="20"/>
    </row>
    <row r="982">
      <c r="B982" s="158"/>
      <c r="D982" s="158"/>
      <c r="F982" s="158"/>
      <c r="H982" s="158"/>
      <c r="J982" s="158"/>
      <c r="L982" s="158"/>
      <c r="N982" s="158"/>
      <c r="Q982" s="20"/>
    </row>
    <row r="983">
      <c r="B983" s="158"/>
      <c r="D983" s="158"/>
      <c r="F983" s="158"/>
      <c r="H983" s="158"/>
      <c r="J983" s="158"/>
      <c r="L983" s="158"/>
      <c r="N983" s="158"/>
      <c r="Q983" s="20"/>
    </row>
    <row r="984">
      <c r="B984" s="158"/>
      <c r="D984" s="158"/>
      <c r="F984" s="158"/>
      <c r="H984" s="158"/>
      <c r="J984" s="158"/>
      <c r="L984" s="158"/>
      <c r="N984" s="158"/>
      <c r="Q984" s="20"/>
    </row>
    <row r="985">
      <c r="B985" s="158"/>
      <c r="D985" s="158"/>
      <c r="F985" s="158"/>
      <c r="H985" s="158"/>
      <c r="J985" s="158"/>
      <c r="L985" s="158"/>
      <c r="N985" s="158"/>
      <c r="Q985" s="20"/>
    </row>
    <row r="986">
      <c r="B986" s="158"/>
      <c r="D986" s="158"/>
      <c r="F986" s="158"/>
      <c r="H986" s="158"/>
      <c r="J986" s="158"/>
      <c r="L986" s="158"/>
      <c r="N986" s="158"/>
      <c r="Q986" s="20"/>
    </row>
    <row r="987">
      <c r="B987" s="158"/>
      <c r="D987" s="158"/>
      <c r="F987" s="158"/>
      <c r="H987" s="158"/>
      <c r="J987" s="158"/>
      <c r="L987" s="158"/>
      <c r="N987" s="158"/>
      <c r="Q987" s="20"/>
    </row>
    <row r="988">
      <c r="B988" s="158"/>
      <c r="D988" s="158"/>
      <c r="F988" s="158"/>
      <c r="H988" s="158"/>
      <c r="J988" s="158"/>
      <c r="L988" s="158"/>
      <c r="N988" s="158"/>
      <c r="Q988" s="20"/>
    </row>
    <row r="989">
      <c r="B989" s="158"/>
      <c r="D989" s="158"/>
      <c r="F989" s="158"/>
      <c r="H989" s="158"/>
      <c r="J989" s="158"/>
      <c r="L989" s="158"/>
      <c r="N989" s="158"/>
      <c r="Q989" s="20"/>
    </row>
    <row r="990">
      <c r="B990" s="158"/>
      <c r="D990" s="158"/>
      <c r="F990" s="158"/>
      <c r="H990" s="158"/>
      <c r="J990" s="158"/>
      <c r="L990" s="158"/>
      <c r="N990" s="158"/>
      <c r="Q990" s="20"/>
    </row>
    <row r="991">
      <c r="B991" s="158"/>
      <c r="D991" s="158"/>
      <c r="F991" s="158"/>
      <c r="H991" s="158"/>
      <c r="J991" s="158"/>
      <c r="L991" s="158"/>
      <c r="N991" s="158"/>
      <c r="Q991" s="20"/>
    </row>
    <row r="992">
      <c r="B992" s="158"/>
      <c r="D992" s="158"/>
      <c r="F992" s="158"/>
      <c r="H992" s="158"/>
      <c r="J992" s="158"/>
      <c r="L992" s="158"/>
      <c r="N992" s="158"/>
      <c r="Q992" s="20"/>
    </row>
    <row r="993">
      <c r="B993" s="158"/>
      <c r="D993" s="158"/>
      <c r="F993" s="158"/>
      <c r="H993" s="158"/>
      <c r="J993" s="158"/>
      <c r="L993" s="158"/>
      <c r="N993" s="158"/>
      <c r="Q993" s="20"/>
    </row>
    <row r="994">
      <c r="B994" s="158"/>
      <c r="D994" s="158"/>
      <c r="F994" s="158"/>
      <c r="H994" s="158"/>
      <c r="J994" s="158"/>
      <c r="L994" s="158"/>
      <c r="N994" s="158"/>
      <c r="Q994" s="20"/>
    </row>
    <row r="995">
      <c r="B995" s="158"/>
      <c r="D995" s="158"/>
      <c r="F995" s="158"/>
      <c r="H995" s="158"/>
      <c r="J995" s="158"/>
      <c r="L995" s="158"/>
      <c r="N995" s="158"/>
      <c r="Q995" s="20"/>
    </row>
    <row r="996">
      <c r="B996" s="158"/>
      <c r="D996" s="158"/>
      <c r="F996" s="158"/>
      <c r="H996" s="158"/>
      <c r="J996" s="158"/>
      <c r="L996" s="158"/>
      <c r="N996" s="158"/>
      <c r="Q996" s="20"/>
    </row>
    <row r="997">
      <c r="B997" s="158"/>
      <c r="D997" s="158"/>
      <c r="F997" s="158"/>
      <c r="H997" s="158"/>
      <c r="J997" s="158"/>
      <c r="L997" s="158"/>
      <c r="N997" s="158"/>
      <c r="Q997" s="20"/>
    </row>
    <row r="998">
      <c r="B998" s="158"/>
      <c r="D998" s="158"/>
      <c r="F998" s="158"/>
      <c r="H998" s="158"/>
      <c r="J998" s="158"/>
      <c r="L998" s="158"/>
      <c r="N998" s="158"/>
      <c r="Q998" s="20"/>
    </row>
    <row r="999">
      <c r="B999" s="158"/>
      <c r="D999" s="158"/>
      <c r="F999" s="158"/>
      <c r="H999" s="158"/>
      <c r="J999" s="158"/>
      <c r="L999" s="158"/>
      <c r="N999" s="158"/>
      <c r="Q999" s="20"/>
    </row>
  </sheetData>
  <hyperlinks>
    <hyperlink r:id="rId4" ref="O4"/>
    <hyperlink r:id="rId5" ref="O5"/>
    <hyperlink r:id="rId6" ref="O6"/>
  </hyperlinks>
  <drawing r:id="rId7"/>
  <legacy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13"/>
    <col customWidth="1" min="2" max="2" width="20.25"/>
    <col customWidth="1" min="3" max="3" width="55.25"/>
    <col customWidth="1" min="4" max="4" width="15.38"/>
    <col customWidth="1" min="5" max="5" width="23.25"/>
    <col customWidth="1" min="6" max="6" width="25.25"/>
    <col customWidth="1" min="8" max="8" width="21.5"/>
    <col customWidth="1" min="11" max="11" width="16.63"/>
    <col customWidth="1" min="13" max="13" width="75.75"/>
    <col customWidth="1" min="15" max="15" width="35.88"/>
  </cols>
  <sheetData>
    <row r="1">
      <c r="A1" s="38" t="s">
        <v>21</v>
      </c>
      <c r="B1" s="227" t="s">
        <v>22</v>
      </c>
      <c r="C1" s="227" t="s">
        <v>23</v>
      </c>
      <c r="D1" s="227" t="s">
        <v>24</v>
      </c>
      <c r="E1" s="227" t="s">
        <v>25</v>
      </c>
      <c r="F1" s="227" t="s">
        <v>26</v>
      </c>
      <c r="G1" s="228" t="s">
        <v>27</v>
      </c>
      <c r="H1" s="41" t="s">
        <v>28</v>
      </c>
      <c r="I1" s="42" t="s">
        <v>29</v>
      </c>
      <c r="J1" s="43" t="s">
        <v>30</v>
      </c>
      <c r="K1" s="42" t="s">
        <v>31</v>
      </c>
      <c r="L1" s="39" t="s">
        <v>30</v>
      </c>
      <c r="M1" s="40" t="s">
        <v>32</v>
      </c>
      <c r="N1" s="39" t="s">
        <v>33</v>
      </c>
      <c r="O1" s="40" t="s">
        <v>34</v>
      </c>
      <c r="P1" s="44" t="s">
        <v>35</v>
      </c>
      <c r="Q1" s="45">
        <f>SUM(H2:H27)</f>
        <v>2533.4</v>
      </c>
    </row>
    <row r="2">
      <c r="A2" s="229" t="s">
        <v>252</v>
      </c>
      <c r="B2" s="230" t="s">
        <v>253</v>
      </c>
      <c r="C2" s="231" t="s">
        <v>254</v>
      </c>
      <c r="D2" s="232">
        <v>1.0</v>
      </c>
      <c r="E2" s="233" t="s">
        <v>255</v>
      </c>
      <c r="F2" s="234" t="s">
        <v>125</v>
      </c>
      <c r="G2" s="235">
        <v>75.0</v>
      </c>
      <c r="H2" s="128">
        <f>D2*G2</f>
        <v>75</v>
      </c>
      <c r="I2" s="52" t="s">
        <v>256</v>
      </c>
      <c r="J2" s="53" t="s">
        <v>39</v>
      </c>
      <c r="K2" s="52" t="s">
        <v>257</v>
      </c>
      <c r="L2" s="53" t="s">
        <v>39</v>
      </c>
      <c r="M2" s="61" t="s">
        <v>3</v>
      </c>
      <c r="N2" s="169"/>
      <c r="O2" s="181"/>
      <c r="P2" s="19"/>
      <c r="Q2" s="1"/>
      <c r="R2" s="1"/>
      <c r="S2" s="1"/>
      <c r="T2" s="1"/>
      <c r="U2" s="1"/>
      <c r="V2" s="1"/>
      <c r="W2" s="1"/>
      <c r="X2" s="1"/>
      <c r="Y2" s="1"/>
      <c r="Z2" s="1"/>
    </row>
    <row r="3">
      <c r="A3" s="236" t="s">
        <v>258</v>
      </c>
      <c r="B3" s="81">
        <v>69504.0</v>
      </c>
      <c r="C3" s="66">
        <v>50.0</v>
      </c>
      <c r="D3" s="71">
        <v>1.0</v>
      </c>
      <c r="E3" s="81" t="s">
        <v>128</v>
      </c>
      <c r="F3" s="81" t="s">
        <v>128</v>
      </c>
      <c r="G3" s="81">
        <v>185.09</v>
      </c>
      <c r="H3" s="51">
        <f t="shared" ref="H3:H37" si="1">G3*D3</f>
        <v>185.09</v>
      </c>
      <c r="I3" s="52" t="s">
        <v>259</v>
      </c>
      <c r="J3" s="53" t="s">
        <v>39</v>
      </c>
      <c r="K3" s="52" t="s">
        <v>260</v>
      </c>
      <c r="L3" s="53" t="s">
        <v>39</v>
      </c>
      <c r="M3" s="237" t="s">
        <v>261</v>
      </c>
      <c r="N3" s="169"/>
      <c r="O3" s="238" t="s">
        <v>262</v>
      </c>
      <c r="P3" s="19"/>
      <c r="Q3" s="1"/>
      <c r="R3" s="1"/>
      <c r="S3" s="1"/>
      <c r="T3" s="1"/>
      <c r="U3" s="1"/>
      <c r="V3" s="1"/>
      <c r="W3" s="1"/>
      <c r="X3" s="1"/>
      <c r="Y3" s="1"/>
      <c r="Z3" s="1"/>
    </row>
    <row r="4">
      <c r="A4" s="63" t="s">
        <v>263</v>
      </c>
      <c r="B4" s="93">
        <v>19101.0</v>
      </c>
      <c r="C4" s="93" t="s">
        <v>264</v>
      </c>
      <c r="D4" s="71">
        <v>1.0</v>
      </c>
      <c r="E4" s="81" t="s">
        <v>128</v>
      </c>
      <c r="F4" s="81" t="s">
        <v>128</v>
      </c>
      <c r="G4" s="52">
        <v>208.8</v>
      </c>
      <c r="H4" s="51">
        <f t="shared" si="1"/>
        <v>208.8</v>
      </c>
      <c r="I4" s="52" t="s">
        <v>259</v>
      </c>
      <c r="J4" s="53" t="s">
        <v>39</v>
      </c>
      <c r="K4" s="52" t="s">
        <v>257</v>
      </c>
      <c r="L4" s="53" t="s">
        <v>39</v>
      </c>
      <c r="M4" s="237" t="s">
        <v>261</v>
      </c>
      <c r="N4" s="169"/>
      <c r="O4" s="169"/>
      <c r="P4" s="19"/>
      <c r="Q4" s="1"/>
      <c r="R4" s="1"/>
      <c r="S4" s="1"/>
      <c r="T4" s="1"/>
      <c r="U4" s="1"/>
      <c r="V4" s="1"/>
      <c r="W4" s="1"/>
      <c r="X4" s="1"/>
      <c r="Y4" s="1"/>
      <c r="Z4" s="1"/>
    </row>
    <row r="5">
      <c r="A5" s="62" t="s">
        <v>265</v>
      </c>
      <c r="B5" s="53">
        <v>19086.0</v>
      </c>
      <c r="C5" s="239" t="s">
        <v>266</v>
      </c>
      <c r="D5" s="71">
        <v>1.0</v>
      </c>
      <c r="E5" s="81" t="s">
        <v>128</v>
      </c>
      <c r="F5" s="81" t="s">
        <v>128</v>
      </c>
      <c r="G5" s="52">
        <v>32.4</v>
      </c>
      <c r="H5" s="51">
        <f t="shared" si="1"/>
        <v>32.4</v>
      </c>
      <c r="I5" s="52" t="s">
        <v>259</v>
      </c>
      <c r="J5" s="53" t="s">
        <v>39</v>
      </c>
      <c r="K5" s="52" t="s">
        <v>267</v>
      </c>
      <c r="L5" s="53" t="s">
        <v>39</v>
      </c>
      <c r="M5" s="237" t="s">
        <v>261</v>
      </c>
      <c r="N5" s="169"/>
      <c r="O5" s="240"/>
      <c r="P5" s="19"/>
      <c r="Q5" s="1"/>
      <c r="R5" s="1"/>
      <c r="S5" s="1"/>
      <c r="T5" s="1"/>
      <c r="U5" s="1"/>
      <c r="V5" s="1"/>
      <c r="W5" s="1"/>
      <c r="X5" s="1"/>
      <c r="Y5" s="1"/>
      <c r="Z5" s="1"/>
    </row>
    <row r="6">
      <c r="A6" s="96" t="s">
        <v>268</v>
      </c>
      <c r="B6" s="53" t="s">
        <v>269</v>
      </c>
      <c r="C6" s="53" t="s">
        <v>118</v>
      </c>
      <c r="D6" s="71">
        <v>1.0</v>
      </c>
      <c r="E6" s="93" t="s">
        <v>101</v>
      </c>
      <c r="F6" s="49" t="s">
        <v>270</v>
      </c>
      <c r="G6" s="52">
        <v>70.5</v>
      </c>
      <c r="H6" s="51">
        <f t="shared" si="1"/>
        <v>70.5</v>
      </c>
      <c r="I6" s="52" t="s">
        <v>271</v>
      </c>
      <c r="J6" s="53" t="s">
        <v>39</v>
      </c>
      <c r="K6" s="52" t="s">
        <v>272</v>
      </c>
      <c r="L6" s="53" t="s">
        <v>39</v>
      </c>
      <c r="M6" s="61" t="s">
        <v>3</v>
      </c>
      <c r="N6" s="169"/>
      <c r="O6" s="181"/>
      <c r="P6" s="19"/>
      <c r="Q6" s="1"/>
      <c r="R6" s="1"/>
      <c r="S6" s="1"/>
      <c r="T6" s="1"/>
      <c r="U6" s="1"/>
      <c r="V6" s="1"/>
      <c r="W6" s="1"/>
      <c r="X6" s="1"/>
      <c r="Y6" s="1"/>
      <c r="Z6" s="1"/>
    </row>
    <row r="7">
      <c r="A7" s="170" t="s">
        <v>273</v>
      </c>
      <c r="B7" s="91" t="s">
        <v>274</v>
      </c>
      <c r="C7" s="241" t="s">
        <v>275</v>
      </c>
      <c r="D7" s="71">
        <v>1.0</v>
      </c>
      <c r="E7" s="72" t="s">
        <v>276</v>
      </c>
      <c r="F7" s="85" t="s">
        <v>277</v>
      </c>
      <c r="G7" s="91">
        <v>144.5</v>
      </c>
      <c r="H7" s="51">
        <f t="shared" si="1"/>
        <v>144.5</v>
      </c>
      <c r="I7" s="52" t="s">
        <v>278</v>
      </c>
      <c r="J7" s="53" t="s">
        <v>39</v>
      </c>
      <c r="K7" s="190" t="s">
        <v>279</v>
      </c>
      <c r="L7" s="53" t="s">
        <v>39</v>
      </c>
      <c r="M7" s="61" t="s">
        <v>3</v>
      </c>
      <c r="N7" s="169"/>
      <c r="O7" s="181"/>
      <c r="P7" s="19"/>
      <c r="Q7" s="1"/>
      <c r="R7" s="1"/>
      <c r="S7" s="1"/>
      <c r="T7" s="1"/>
      <c r="U7" s="1"/>
      <c r="V7" s="1"/>
      <c r="W7" s="1"/>
      <c r="X7" s="1"/>
      <c r="Y7" s="1"/>
      <c r="Z7" s="1"/>
    </row>
    <row r="8">
      <c r="A8" s="139" t="s">
        <v>280</v>
      </c>
      <c r="B8" s="91" t="s">
        <v>281</v>
      </c>
      <c r="C8" s="116" t="s">
        <v>275</v>
      </c>
      <c r="D8" s="71">
        <v>1.0</v>
      </c>
      <c r="E8" s="72" t="s">
        <v>276</v>
      </c>
      <c r="F8" s="85" t="s">
        <v>277</v>
      </c>
      <c r="G8" s="91">
        <v>144.5</v>
      </c>
      <c r="H8" s="51">
        <f t="shared" si="1"/>
        <v>144.5</v>
      </c>
      <c r="I8" s="52" t="s">
        <v>278</v>
      </c>
      <c r="J8" s="53" t="s">
        <v>39</v>
      </c>
      <c r="K8" s="190" t="s">
        <v>279</v>
      </c>
      <c r="L8" s="53" t="s">
        <v>39</v>
      </c>
      <c r="M8" s="61" t="s">
        <v>3</v>
      </c>
      <c r="N8" s="169"/>
      <c r="O8" s="181"/>
      <c r="P8" s="19"/>
      <c r="Q8" s="1"/>
      <c r="R8" s="1"/>
      <c r="S8" s="1"/>
      <c r="T8" s="1"/>
      <c r="U8" s="1"/>
      <c r="V8" s="1"/>
      <c r="W8" s="1"/>
      <c r="X8" s="1"/>
      <c r="Y8" s="1"/>
      <c r="Z8" s="1"/>
    </row>
    <row r="9">
      <c r="A9" s="100" t="s">
        <v>282</v>
      </c>
      <c r="B9" s="242">
        <v>1.1814389001E10</v>
      </c>
      <c r="C9" s="243" t="s">
        <v>283</v>
      </c>
      <c r="D9" s="208">
        <v>2.0</v>
      </c>
      <c r="E9" s="244" t="s">
        <v>284</v>
      </c>
      <c r="F9" s="125" t="s">
        <v>285</v>
      </c>
      <c r="G9" s="245">
        <v>58.0</v>
      </c>
      <c r="H9" s="51">
        <f t="shared" si="1"/>
        <v>116</v>
      </c>
      <c r="I9" s="52" t="s">
        <v>278</v>
      </c>
      <c r="J9" s="53" t="s">
        <v>39</v>
      </c>
      <c r="K9" s="52" t="s">
        <v>286</v>
      </c>
      <c r="L9" s="53" t="s">
        <v>39</v>
      </c>
      <c r="M9" s="61" t="s">
        <v>3</v>
      </c>
      <c r="N9" s="169"/>
      <c r="O9" s="96" t="s">
        <v>287</v>
      </c>
      <c r="P9" s="19"/>
      <c r="Q9" s="1"/>
      <c r="R9" s="1"/>
      <c r="S9" s="1"/>
      <c r="T9" s="1"/>
      <c r="U9" s="1"/>
      <c r="V9" s="1"/>
      <c r="W9" s="1"/>
      <c r="X9" s="1"/>
      <c r="Y9" s="1"/>
      <c r="Z9" s="1"/>
    </row>
    <row r="10">
      <c r="A10" s="18" t="s">
        <v>288</v>
      </c>
      <c r="B10" s="48" t="s">
        <v>289</v>
      </c>
      <c r="C10" s="169"/>
      <c r="D10" s="49">
        <v>1.0</v>
      </c>
      <c r="E10" s="169"/>
      <c r="F10" s="169"/>
      <c r="G10" s="48">
        <v>120.57</v>
      </c>
      <c r="H10" s="51">
        <f t="shared" si="1"/>
        <v>120.57</v>
      </c>
      <c r="I10" s="48" t="s">
        <v>260</v>
      </c>
      <c r="J10" s="53" t="s">
        <v>39</v>
      </c>
      <c r="K10" s="52" t="s">
        <v>290</v>
      </c>
      <c r="L10" s="53" t="s">
        <v>39</v>
      </c>
      <c r="M10" s="61" t="s">
        <v>3</v>
      </c>
      <c r="N10" s="169"/>
      <c r="O10" s="181"/>
      <c r="P10" s="19"/>
      <c r="Q10" s="1"/>
      <c r="R10" s="1"/>
      <c r="S10" s="1"/>
      <c r="T10" s="1"/>
      <c r="U10" s="1"/>
      <c r="V10" s="1"/>
      <c r="W10" s="1"/>
      <c r="X10" s="1"/>
      <c r="Y10" s="1"/>
      <c r="Z10" s="1"/>
    </row>
    <row r="11">
      <c r="A11" s="246" t="s">
        <v>291</v>
      </c>
      <c r="B11" s="247" t="s">
        <v>292</v>
      </c>
      <c r="C11" s="247"/>
      <c r="D11" s="110">
        <v>24.0</v>
      </c>
      <c r="E11" s="247" t="s">
        <v>293</v>
      </c>
      <c r="F11" s="110" t="s">
        <v>293</v>
      </c>
      <c r="G11" s="248">
        <v>34.0</v>
      </c>
      <c r="H11" s="109">
        <f t="shared" si="1"/>
        <v>816</v>
      </c>
      <c r="I11" s="106" t="s">
        <v>294</v>
      </c>
      <c r="J11" s="249" t="s">
        <v>39</v>
      </c>
      <c r="K11" s="250" t="s">
        <v>251</v>
      </c>
      <c r="L11" s="107" t="s">
        <v>39</v>
      </c>
      <c r="M11" s="111" t="s">
        <v>3</v>
      </c>
      <c r="N11" s="251"/>
      <c r="O11" s="252"/>
      <c r="P11" s="253"/>
      <c r="Q11" s="114"/>
      <c r="R11" s="114"/>
      <c r="S11" s="114"/>
      <c r="T11" s="114"/>
      <c r="U11" s="114"/>
      <c r="V11" s="114"/>
      <c r="W11" s="114"/>
      <c r="X11" s="114"/>
      <c r="Y11" s="114"/>
      <c r="Z11" s="114"/>
    </row>
    <row r="12">
      <c r="A12" s="137" t="s">
        <v>295</v>
      </c>
      <c r="C12" s="49" t="s">
        <v>296</v>
      </c>
      <c r="D12" s="49">
        <v>1.0</v>
      </c>
      <c r="E12" s="49" t="s">
        <v>297</v>
      </c>
      <c r="F12" s="49" t="s">
        <v>297</v>
      </c>
      <c r="G12" s="48">
        <v>164.0</v>
      </c>
      <c r="H12" s="51">
        <f t="shared" si="1"/>
        <v>164</v>
      </c>
      <c r="I12" s="48" t="s">
        <v>279</v>
      </c>
      <c r="J12" s="200" t="s">
        <v>39</v>
      </c>
      <c r="K12" s="254" t="s">
        <v>298</v>
      </c>
      <c r="L12" s="53" t="s">
        <v>39</v>
      </c>
      <c r="M12" s="131" t="s">
        <v>41</v>
      </c>
      <c r="N12" s="169"/>
      <c r="O12" s="181"/>
      <c r="P12" s="19"/>
      <c r="Q12" s="1"/>
      <c r="R12" s="1"/>
      <c r="S12" s="1"/>
      <c r="T12" s="1"/>
      <c r="U12" s="1"/>
      <c r="V12" s="1"/>
      <c r="W12" s="1"/>
      <c r="X12" s="1"/>
      <c r="Y12" s="1"/>
      <c r="Z12" s="1"/>
    </row>
    <row r="13">
      <c r="A13" s="137" t="s">
        <v>299</v>
      </c>
      <c r="B13" s="91"/>
      <c r="C13" s="16" t="s">
        <v>300</v>
      </c>
      <c r="D13" s="49">
        <v>1.0</v>
      </c>
      <c r="E13" s="49" t="s">
        <v>297</v>
      </c>
      <c r="F13" s="49" t="s">
        <v>297</v>
      </c>
      <c r="G13" s="48">
        <v>258.0</v>
      </c>
      <c r="H13" s="51">
        <f t="shared" si="1"/>
        <v>258</v>
      </c>
      <c r="I13" s="48" t="s">
        <v>267</v>
      </c>
      <c r="J13" s="200" t="s">
        <v>39</v>
      </c>
      <c r="K13" s="254" t="s">
        <v>301</v>
      </c>
      <c r="L13" s="53" t="s">
        <v>39</v>
      </c>
      <c r="M13" s="131" t="s">
        <v>41</v>
      </c>
      <c r="N13" s="169"/>
      <c r="O13" s="181"/>
      <c r="P13" s="19"/>
      <c r="Q13" s="1"/>
      <c r="R13" s="1"/>
      <c r="S13" s="1"/>
      <c r="T13" s="1"/>
      <c r="U13" s="1"/>
      <c r="V13" s="1"/>
      <c r="W13" s="1"/>
      <c r="X13" s="1"/>
      <c r="Y13" s="1"/>
      <c r="Z13" s="1"/>
    </row>
    <row r="14">
      <c r="A14" s="255" t="s">
        <v>302</v>
      </c>
      <c r="B14" s="256"/>
      <c r="C14" s="164"/>
      <c r="D14" s="49">
        <v>1.0</v>
      </c>
      <c r="E14" s="49" t="s">
        <v>297</v>
      </c>
      <c r="F14" s="49" t="s">
        <v>297</v>
      </c>
      <c r="G14" s="257">
        <v>49.0</v>
      </c>
      <c r="H14" s="74">
        <f t="shared" si="1"/>
        <v>49</v>
      </c>
      <c r="I14" s="257" t="s">
        <v>303</v>
      </c>
      <c r="J14" s="200" t="s">
        <v>39</v>
      </c>
      <c r="K14" s="254" t="s">
        <v>304</v>
      </c>
      <c r="L14" s="53" t="s">
        <v>39</v>
      </c>
      <c r="M14" s="131" t="s">
        <v>41</v>
      </c>
      <c r="N14" s="164"/>
      <c r="O14" s="163"/>
      <c r="P14" s="20"/>
    </row>
    <row r="15">
      <c r="A15" s="170" t="s">
        <v>305</v>
      </c>
      <c r="B15" s="62" t="s">
        <v>306</v>
      </c>
      <c r="C15" s="241">
        <v>1.0</v>
      </c>
      <c r="D15" s="91">
        <v>1.0</v>
      </c>
      <c r="E15" s="241" t="s">
        <v>307</v>
      </c>
      <c r="F15" s="79" t="s">
        <v>125</v>
      </c>
      <c r="G15" s="190">
        <v>112.32</v>
      </c>
      <c r="H15" s="258">
        <f t="shared" si="1"/>
        <v>112.32</v>
      </c>
      <c r="I15" s="91" t="s">
        <v>308</v>
      </c>
      <c r="J15" s="59" t="s">
        <v>39</v>
      </c>
      <c r="K15" s="239" t="s">
        <v>309</v>
      </c>
      <c r="L15" s="53" t="s">
        <v>39</v>
      </c>
      <c r="M15" s="61" t="s">
        <v>3</v>
      </c>
      <c r="N15" s="169"/>
      <c r="O15" s="181"/>
      <c r="P15" s="19"/>
      <c r="Q15" s="1"/>
      <c r="R15" s="1"/>
      <c r="S15" s="1"/>
      <c r="T15" s="1"/>
      <c r="U15" s="1"/>
      <c r="V15" s="1"/>
      <c r="W15" s="1"/>
      <c r="X15" s="1"/>
      <c r="Y15" s="1"/>
      <c r="Z15" s="1"/>
    </row>
    <row r="16">
      <c r="A16" s="137" t="s">
        <v>310</v>
      </c>
      <c r="B16" s="91"/>
      <c r="C16" s="241">
        <v>1.0</v>
      </c>
      <c r="D16" s="91">
        <v>1.0</v>
      </c>
      <c r="E16" s="49" t="s">
        <v>311</v>
      </c>
      <c r="F16" s="49" t="s">
        <v>311</v>
      </c>
      <c r="G16" s="48">
        <v>36.72</v>
      </c>
      <c r="H16" s="51">
        <f t="shared" si="1"/>
        <v>36.72</v>
      </c>
      <c r="I16" s="48" t="s">
        <v>94</v>
      </c>
      <c r="J16" s="59" t="s">
        <v>39</v>
      </c>
      <c r="K16" s="259"/>
      <c r="L16" s="260"/>
      <c r="M16" s="61" t="s">
        <v>3</v>
      </c>
      <c r="N16" s="169"/>
      <c r="O16" s="181"/>
      <c r="P16" s="19"/>
      <c r="Q16" s="1"/>
      <c r="R16" s="1"/>
      <c r="S16" s="1"/>
      <c r="T16" s="1"/>
      <c r="U16" s="1"/>
      <c r="V16" s="1"/>
      <c r="W16" s="1"/>
      <c r="X16" s="1"/>
      <c r="Y16" s="1"/>
      <c r="Z16" s="1"/>
    </row>
    <row r="17">
      <c r="A17" s="163"/>
      <c r="B17" s="256"/>
      <c r="C17" s="164"/>
      <c r="D17" s="164"/>
      <c r="E17" s="164"/>
      <c r="F17" s="164"/>
      <c r="G17" s="163"/>
      <c r="H17" s="74">
        <f t="shared" si="1"/>
        <v>0</v>
      </c>
      <c r="I17" s="163"/>
      <c r="J17" s="164"/>
      <c r="K17" s="163"/>
      <c r="L17" s="164"/>
      <c r="M17" s="163"/>
      <c r="N17" s="164"/>
      <c r="O17" s="163"/>
      <c r="P17" s="20"/>
    </row>
    <row r="18">
      <c r="A18" s="163"/>
      <c r="B18" s="256"/>
      <c r="C18" s="164"/>
      <c r="D18" s="164"/>
      <c r="E18" s="164"/>
      <c r="F18" s="164"/>
      <c r="G18" s="163"/>
      <c r="H18" s="74">
        <f t="shared" si="1"/>
        <v>0</v>
      </c>
      <c r="I18" s="163"/>
      <c r="J18" s="164"/>
      <c r="K18" s="163"/>
      <c r="L18" s="164"/>
      <c r="M18" s="163"/>
      <c r="N18" s="164"/>
      <c r="O18" s="163"/>
      <c r="P18" s="20"/>
    </row>
    <row r="19">
      <c r="A19" s="163"/>
      <c r="B19" s="256"/>
      <c r="C19" s="164"/>
      <c r="D19" s="164"/>
      <c r="E19" s="164"/>
      <c r="F19" s="164"/>
      <c r="G19" s="163"/>
      <c r="H19" s="74">
        <f t="shared" si="1"/>
        <v>0</v>
      </c>
      <c r="I19" s="163"/>
      <c r="J19" s="164"/>
      <c r="K19" s="163"/>
      <c r="L19" s="164"/>
      <c r="M19" s="163"/>
      <c r="N19" s="164"/>
      <c r="O19" s="163"/>
      <c r="P19" s="20"/>
    </row>
    <row r="20">
      <c r="A20" s="163"/>
      <c r="B20" s="256"/>
      <c r="C20" s="164"/>
      <c r="D20" s="164"/>
      <c r="E20" s="164"/>
      <c r="F20" s="164"/>
      <c r="G20" s="163"/>
      <c r="H20" s="74">
        <f t="shared" si="1"/>
        <v>0</v>
      </c>
      <c r="I20" s="163"/>
      <c r="J20" s="164"/>
      <c r="K20" s="163"/>
      <c r="L20" s="164"/>
      <c r="M20" s="163"/>
      <c r="N20" s="164"/>
      <c r="O20" s="163"/>
      <c r="P20" s="20"/>
    </row>
    <row r="21">
      <c r="A21" s="163"/>
      <c r="B21" s="256"/>
      <c r="C21" s="164"/>
      <c r="D21" s="164"/>
      <c r="E21" s="164"/>
      <c r="F21" s="164"/>
      <c r="G21" s="163"/>
      <c r="H21" s="74">
        <f t="shared" si="1"/>
        <v>0</v>
      </c>
      <c r="I21" s="163"/>
      <c r="J21" s="164"/>
      <c r="K21" s="163"/>
      <c r="L21" s="164"/>
      <c r="M21" s="163"/>
      <c r="N21" s="164"/>
      <c r="O21" s="163"/>
      <c r="P21" s="20"/>
    </row>
    <row r="22">
      <c r="A22" s="163"/>
      <c r="B22" s="256"/>
      <c r="C22" s="164"/>
      <c r="D22" s="164"/>
      <c r="E22" s="164"/>
      <c r="F22" s="164"/>
      <c r="G22" s="163"/>
      <c r="H22" s="74">
        <f t="shared" si="1"/>
        <v>0</v>
      </c>
      <c r="I22" s="163"/>
      <c r="J22" s="164"/>
      <c r="K22" s="163"/>
      <c r="L22" s="164"/>
      <c r="M22" s="163"/>
      <c r="N22" s="164"/>
      <c r="O22" s="163"/>
      <c r="P22" s="20"/>
    </row>
    <row r="23">
      <c r="A23" s="163"/>
      <c r="B23" s="256"/>
      <c r="C23" s="164"/>
      <c r="D23" s="164"/>
      <c r="E23" s="164"/>
      <c r="F23" s="164"/>
      <c r="G23" s="163"/>
      <c r="H23" s="74">
        <f t="shared" si="1"/>
        <v>0</v>
      </c>
      <c r="I23" s="163"/>
      <c r="J23" s="164"/>
      <c r="K23" s="163"/>
      <c r="L23" s="164"/>
      <c r="M23" s="163"/>
      <c r="N23" s="164"/>
      <c r="O23" s="163"/>
      <c r="P23" s="20"/>
    </row>
    <row r="24">
      <c r="A24" s="163"/>
      <c r="B24" s="256"/>
      <c r="C24" s="164"/>
      <c r="D24" s="164"/>
      <c r="E24" s="164"/>
      <c r="F24" s="164"/>
      <c r="G24" s="163"/>
      <c r="H24" s="74">
        <f t="shared" si="1"/>
        <v>0</v>
      </c>
      <c r="I24" s="163"/>
      <c r="J24" s="164"/>
      <c r="K24" s="163"/>
      <c r="L24" s="164"/>
      <c r="M24" s="163"/>
      <c r="N24" s="164"/>
      <c r="O24" s="163"/>
      <c r="P24" s="20"/>
    </row>
    <row r="25">
      <c r="A25" s="163"/>
      <c r="B25" s="256"/>
      <c r="C25" s="164"/>
      <c r="D25" s="164"/>
      <c r="E25" s="164"/>
      <c r="F25" s="164"/>
      <c r="G25" s="163"/>
      <c r="H25" s="74">
        <f t="shared" si="1"/>
        <v>0</v>
      </c>
      <c r="I25" s="163"/>
      <c r="J25" s="164"/>
      <c r="K25" s="163"/>
      <c r="L25" s="164"/>
      <c r="M25" s="163"/>
      <c r="N25" s="164"/>
      <c r="O25" s="163"/>
      <c r="P25" s="20"/>
    </row>
    <row r="26">
      <c r="A26" s="163"/>
      <c r="B26" s="256"/>
      <c r="C26" s="164"/>
      <c r="D26" s="164"/>
      <c r="E26" s="164"/>
      <c r="F26" s="164"/>
      <c r="G26" s="163"/>
      <c r="H26" s="74">
        <f t="shared" si="1"/>
        <v>0</v>
      </c>
      <c r="I26" s="163"/>
      <c r="J26" s="164"/>
      <c r="K26" s="163"/>
      <c r="L26" s="164"/>
      <c r="M26" s="163"/>
      <c r="N26" s="164"/>
      <c r="O26" s="163"/>
      <c r="P26" s="20"/>
    </row>
    <row r="27">
      <c r="A27" s="163"/>
      <c r="B27" s="256"/>
      <c r="C27" s="164"/>
      <c r="D27" s="164"/>
      <c r="E27" s="164"/>
      <c r="F27" s="164"/>
      <c r="G27" s="163"/>
      <c r="H27" s="74">
        <f t="shared" si="1"/>
        <v>0</v>
      </c>
      <c r="I27" s="163"/>
      <c r="J27" s="164"/>
      <c r="K27" s="163"/>
      <c r="L27" s="164"/>
      <c r="M27" s="163"/>
      <c r="N27" s="164"/>
      <c r="O27" s="163"/>
      <c r="P27" s="20"/>
    </row>
    <row r="28">
      <c r="A28" s="163"/>
      <c r="B28" s="256"/>
      <c r="C28" s="164"/>
      <c r="D28" s="164"/>
      <c r="E28" s="164"/>
      <c r="F28" s="164"/>
      <c r="G28" s="163"/>
      <c r="H28" s="74">
        <f t="shared" si="1"/>
        <v>0</v>
      </c>
      <c r="I28" s="163"/>
      <c r="J28" s="164"/>
      <c r="K28" s="163"/>
      <c r="L28" s="164"/>
      <c r="M28" s="163"/>
      <c r="N28" s="164"/>
      <c r="O28" s="163"/>
      <c r="P28" s="20"/>
    </row>
    <row r="29">
      <c r="A29" s="163"/>
      <c r="B29" s="256"/>
      <c r="C29" s="164"/>
      <c r="D29" s="164"/>
      <c r="E29" s="164"/>
      <c r="F29" s="164"/>
      <c r="G29" s="163"/>
      <c r="H29" s="74">
        <f t="shared" si="1"/>
        <v>0</v>
      </c>
      <c r="I29" s="163"/>
      <c r="J29" s="164"/>
      <c r="K29" s="163"/>
      <c r="L29" s="164"/>
      <c r="M29" s="163"/>
      <c r="N29" s="164"/>
      <c r="O29" s="163"/>
      <c r="P29" s="20"/>
    </row>
    <row r="30">
      <c r="A30" s="163"/>
      <c r="B30" s="256"/>
      <c r="C30" s="164"/>
      <c r="D30" s="164"/>
      <c r="E30" s="164"/>
      <c r="F30" s="164"/>
      <c r="G30" s="163"/>
      <c r="H30" s="74">
        <f t="shared" si="1"/>
        <v>0</v>
      </c>
      <c r="I30" s="163"/>
      <c r="J30" s="164"/>
      <c r="K30" s="163"/>
      <c r="L30" s="164"/>
      <c r="M30" s="163"/>
      <c r="N30" s="164"/>
      <c r="O30" s="163"/>
      <c r="P30" s="20"/>
    </row>
    <row r="31">
      <c r="A31" s="163"/>
      <c r="B31" s="256"/>
      <c r="C31" s="164"/>
      <c r="D31" s="164"/>
      <c r="E31" s="164"/>
      <c r="F31" s="164"/>
      <c r="G31" s="163"/>
      <c r="H31" s="74">
        <f t="shared" si="1"/>
        <v>0</v>
      </c>
      <c r="I31" s="163"/>
      <c r="J31" s="164"/>
      <c r="K31" s="163"/>
      <c r="L31" s="164"/>
      <c r="M31" s="163"/>
      <c r="N31" s="164"/>
      <c r="O31" s="163"/>
      <c r="P31" s="20"/>
    </row>
    <row r="32">
      <c r="A32" s="163"/>
      <c r="B32" s="256"/>
      <c r="C32" s="164"/>
      <c r="D32" s="164"/>
      <c r="E32" s="164"/>
      <c r="F32" s="164"/>
      <c r="G32" s="163"/>
      <c r="H32" s="74">
        <f t="shared" si="1"/>
        <v>0</v>
      </c>
      <c r="I32" s="163"/>
      <c r="J32" s="164"/>
      <c r="K32" s="163"/>
      <c r="L32" s="164"/>
      <c r="M32" s="163"/>
      <c r="N32" s="164"/>
      <c r="O32" s="163"/>
      <c r="P32" s="20"/>
    </row>
    <row r="33">
      <c r="A33" s="163"/>
      <c r="B33" s="256"/>
      <c r="C33" s="164"/>
      <c r="D33" s="164"/>
      <c r="E33" s="164"/>
      <c r="F33" s="164"/>
      <c r="G33" s="163"/>
      <c r="H33" s="74">
        <f t="shared" si="1"/>
        <v>0</v>
      </c>
      <c r="I33" s="163"/>
      <c r="J33" s="164"/>
      <c r="K33" s="163"/>
      <c r="L33" s="164"/>
      <c r="M33" s="163"/>
      <c r="N33" s="164"/>
      <c r="O33" s="163"/>
      <c r="P33" s="20"/>
    </row>
    <row r="34">
      <c r="A34" s="163"/>
      <c r="B34" s="256"/>
      <c r="C34" s="164"/>
      <c r="D34" s="164"/>
      <c r="E34" s="164"/>
      <c r="F34" s="164"/>
      <c r="G34" s="163"/>
      <c r="H34" s="74">
        <f t="shared" si="1"/>
        <v>0</v>
      </c>
      <c r="I34" s="163"/>
      <c r="J34" s="164"/>
      <c r="K34" s="163"/>
      <c r="L34" s="164"/>
      <c r="M34" s="163"/>
      <c r="N34" s="164"/>
      <c r="O34" s="163"/>
      <c r="P34" s="20"/>
    </row>
    <row r="35">
      <c r="A35" s="163"/>
      <c r="B35" s="256"/>
      <c r="C35" s="164"/>
      <c r="D35" s="164"/>
      <c r="E35" s="164"/>
      <c r="F35" s="164"/>
      <c r="G35" s="163"/>
      <c r="H35" s="74">
        <f t="shared" si="1"/>
        <v>0</v>
      </c>
      <c r="I35" s="163"/>
      <c r="J35" s="164"/>
      <c r="K35" s="163"/>
      <c r="L35" s="164"/>
      <c r="M35" s="163"/>
      <c r="N35" s="164"/>
      <c r="O35" s="163"/>
      <c r="P35" s="20"/>
    </row>
    <row r="36">
      <c r="A36" s="163"/>
      <c r="B36" s="256"/>
      <c r="C36" s="164"/>
      <c r="D36" s="164"/>
      <c r="E36" s="164"/>
      <c r="F36" s="164"/>
      <c r="G36" s="163"/>
      <c r="H36" s="74">
        <f t="shared" si="1"/>
        <v>0</v>
      </c>
      <c r="I36" s="163"/>
      <c r="J36" s="164"/>
      <c r="K36" s="163"/>
      <c r="L36" s="164"/>
      <c r="M36" s="163"/>
      <c r="N36" s="164"/>
      <c r="O36" s="163"/>
      <c r="P36" s="20"/>
    </row>
    <row r="37">
      <c r="A37" s="163"/>
      <c r="B37" s="256"/>
      <c r="C37" s="164"/>
      <c r="D37" s="164"/>
      <c r="E37" s="164"/>
      <c r="F37" s="164"/>
      <c r="G37" s="163"/>
      <c r="H37" s="74">
        <f t="shared" si="1"/>
        <v>0</v>
      </c>
      <c r="I37" s="163"/>
      <c r="J37" s="164"/>
      <c r="K37" s="163"/>
      <c r="L37" s="164"/>
      <c r="M37" s="163"/>
      <c r="N37" s="164"/>
      <c r="O37" s="163"/>
      <c r="P37" s="20"/>
    </row>
    <row r="38">
      <c r="A38" s="163"/>
      <c r="B38" s="256"/>
      <c r="C38" s="164"/>
      <c r="D38" s="164"/>
      <c r="E38" s="164"/>
      <c r="F38" s="164"/>
      <c r="G38" s="163"/>
      <c r="H38" s="164"/>
      <c r="I38" s="163"/>
      <c r="J38" s="164"/>
      <c r="K38" s="163"/>
      <c r="L38" s="164"/>
      <c r="M38" s="163"/>
      <c r="N38" s="164"/>
      <c r="O38" s="163"/>
      <c r="P38" s="20"/>
    </row>
    <row r="39">
      <c r="B39" s="261"/>
      <c r="C39" s="158"/>
      <c r="D39" s="158"/>
      <c r="E39" s="158"/>
      <c r="F39" s="158"/>
      <c r="H39" s="158"/>
      <c r="J39" s="158"/>
      <c r="L39" s="158"/>
      <c r="N39" s="158"/>
      <c r="P39" s="20"/>
    </row>
    <row r="40">
      <c r="B40" s="261"/>
      <c r="C40" s="158"/>
      <c r="D40" s="158"/>
      <c r="E40" s="158"/>
      <c r="F40" s="158"/>
      <c r="H40" s="158"/>
      <c r="J40" s="158"/>
      <c r="L40" s="158"/>
      <c r="N40" s="158"/>
      <c r="P40" s="20"/>
    </row>
    <row r="41">
      <c r="B41" s="261"/>
      <c r="C41" s="158"/>
      <c r="D41" s="158"/>
      <c r="E41" s="158"/>
      <c r="F41" s="158"/>
      <c r="H41" s="158"/>
      <c r="J41" s="158"/>
      <c r="L41" s="158"/>
      <c r="N41" s="158"/>
      <c r="P41" s="20"/>
    </row>
    <row r="42">
      <c r="B42" s="261"/>
      <c r="C42" s="158"/>
      <c r="D42" s="158"/>
      <c r="E42" s="158"/>
      <c r="F42" s="158"/>
      <c r="H42" s="158"/>
      <c r="J42" s="158"/>
      <c r="L42" s="158"/>
      <c r="N42" s="158"/>
      <c r="P42" s="20"/>
    </row>
    <row r="43">
      <c r="B43" s="261"/>
      <c r="C43" s="158"/>
      <c r="D43" s="158"/>
      <c r="E43" s="158"/>
      <c r="F43" s="158"/>
      <c r="H43" s="158"/>
      <c r="J43" s="158"/>
      <c r="L43" s="158"/>
      <c r="N43" s="158"/>
      <c r="P43" s="20"/>
    </row>
    <row r="44">
      <c r="B44" s="261"/>
      <c r="C44" s="158"/>
      <c r="D44" s="158"/>
      <c r="E44" s="158"/>
      <c r="F44" s="158"/>
      <c r="H44" s="158"/>
      <c r="J44" s="158"/>
      <c r="L44" s="158"/>
      <c r="N44" s="158"/>
      <c r="P44" s="20"/>
    </row>
    <row r="45">
      <c r="B45" s="261"/>
      <c r="C45" s="158"/>
      <c r="D45" s="158"/>
      <c r="E45" s="158"/>
      <c r="F45" s="158"/>
      <c r="H45" s="158"/>
      <c r="J45" s="158"/>
      <c r="L45" s="158"/>
      <c r="N45" s="158"/>
      <c r="P45" s="20"/>
    </row>
    <row r="46">
      <c r="B46" s="261"/>
      <c r="C46" s="158"/>
      <c r="D46" s="158"/>
      <c r="E46" s="158"/>
      <c r="F46" s="158"/>
      <c r="H46" s="158"/>
      <c r="J46" s="158"/>
      <c r="L46" s="158"/>
      <c r="N46" s="158"/>
      <c r="P46" s="20"/>
    </row>
    <row r="47">
      <c r="B47" s="261"/>
      <c r="C47" s="158"/>
      <c r="D47" s="158"/>
      <c r="E47" s="158"/>
      <c r="F47" s="158"/>
      <c r="H47" s="158"/>
      <c r="J47" s="158"/>
      <c r="L47" s="158"/>
      <c r="N47" s="158"/>
      <c r="P47" s="20"/>
    </row>
    <row r="48">
      <c r="B48" s="261"/>
      <c r="C48" s="158"/>
      <c r="D48" s="158"/>
      <c r="E48" s="158"/>
      <c r="F48" s="158"/>
      <c r="H48" s="158"/>
      <c r="J48" s="158"/>
      <c r="L48" s="158"/>
      <c r="N48" s="158"/>
      <c r="P48" s="20"/>
    </row>
    <row r="49">
      <c r="B49" s="261"/>
      <c r="C49" s="158"/>
      <c r="D49" s="158"/>
      <c r="E49" s="158"/>
      <c r="F49" s="158"/>
      <c r="H49" s="158"/>
      <c r="J49" s="158"/>
      <c r="L49" s="158"/>
      <c r="N49" s="158"/>
      <c r="P49" s="20"/>
    </row>
    <row r="50">
      <c r="B50" s="261"/>
      <c r="C50" s="158"/>
      <c r="D50" s="158"/>
      <c r="E50" s="158"/>
      <c r="F50" s="158"/>
      <c r="H50" s="158"/>
      <c r="J50" s="158"/>
      <c r="L50" s="158"/>
      <c r="N50" s="158"/>
      <c r="P50" s="20"/>
    </row>
    <row r="51">
      <c r="B51" s="261"/>
      <c r="C51" s="158"/>
      <c r="D51" s="158"/>
      <c r="E51" s="158"/>
      <c r="F51" s="158"/>
      <c r="H51" s="158"/>
      <c r="J51" s="158"/>
      <c r="L51" s="158"/>
      <c r="N51" s="158"/>
      <c r="P51" s="20"/>
    </row>
    <row r="52">
      <c r="B52" s="261"/>
      <c r="C52" s="158"/>
      <c r="D52" s="158"/>
      <c r="E52" s="158"/>
      <c r="F52" s="158"/>
      <c r="H52" s="158"/>
      <c r="J52" s="158"/>
      <c r="L52" s="158"/>
      <c r="N52" s="158"/>
      <c r="P52" s="20"/>
    </row>
    <row r="53">
      <c r="B53" s="261"/>
      <c r="C53" s="158"/>
      <c r="D53" s="158"/>
      <c r="E53" s="158"/>
      <c r="F53" s="158"/>
      <c r="H53" s="158"/>
      <c r="J53" s="158"/>
      <c r="L53" s="158"/>
      <c r="N53" s="158"/>
      <c r="P53" s="20"/>
    </row>
    <row r="54">
      <c r="B54" s="261"/>
      <c r="C54" s="158"/>
      <c r="D54" s="158"/>
      <c r="E54" s="158"/>
      <c r="F54" s="158"/>
      <c r="H54" s="158"/>
      <c r="J54" s="158"/>
      <c r="L54" s="158"/>
      <c r="N54" s="158"/>
      <c r="P54" s="20"/>
    </row>
    <row r="55">
      <c r="B55" s="261"/>
      <c r="C55" s="158"/>
      <c r="D55" s="158"/>
      <c r="E55" s="158"/>
      <c r="F55" s="158"/>
      <c r="H55" s="158"/>
      <c r="J55" s="158"/>
      <c r="L55" s="158"/>
      <c r="N55" s="158"/>
      <c r="P55" s="20"/>
    </row>
    <row r="56">
      <c r="B56" s="261"/>
      <c r="C56" s="158"/>
      <c r="D56" s="158"/>
      <c r="E56" s="158"/>
      <c r="F56" s="158"/>
      <c r="H56" s="158"/>
      <c r="J56" s="158"/>
      <c r="L56" s="158"/>
      <c r="N56" s="158"/>
      <c r="P56" s="20"/>
    </row>
    <row r="57">
      <c r="B57" s="261"/>
      <c r="C57" s="158"/>
      <c r="D57" s="158"/>
      <c r="E57" s="158"/>
      <c r="F57" s="158"/>
      <c r="H57" s="158"/>
      <c r="J57" s="158"/>
      <c r="L57" s="158"/>
      <c r="N57" s="158"/>
      <c r="P57" s="20"/>
    </row>
    <row r="58">
      <c r="B58" s="261"/>
      <c r="C58" s="158"/>
      <c r="D58" s="158"/>
      <c r="E58" s="158"/>
      <c r="F58" s="158"/>
      <c r="H58" s="158"/>
      <c r="J58" s="158"/>
      <c r="L58" s="158"/>
      <c r="N58" s="158"/>
      <c r="P58" s="20"/>
    </row>
    <row r="59">
      <c r="B59" s="261"/>
      <c r="C59" s="158"/>
      <c r="D59" s="158"/>
      <c r="E59" s="158"/>
      <c r="F59" s="158"/>
      <c r="H59" s="158"/>
      <c r="J59" s="158"/>
      <c r="L59" s="158"/>
      <c r="N59" s="158"/>
      <c r="P59" s="20"/>
    </row>
    <row r="60">
      <c r="B60" s="261"/>
      <c r="C60" s="158"/>
      <c r="D60" s="158"/>
      <c r="E60" s="158"/>
      <c r="F60" s="158"/>
      <c r="H60" s="158"/>
      <c r="J60" s="158"/>
      <c r="L60" s="158"/>
      <c r="N60" s="158"/>
      <c r="P60" s="20"/>
    </row>
    <row r="61">
      <c r="B61" s="261"/>
      <c r="C61" s="158"/>
      <c r="D61" s="158"/>
      <c r="E61" s="158"/>
      <c r="F61" s="158"/>
      <c r="H61" s="158"/>
      <c r="J61" s="158"/>
      <c r="L61" s="158"/>
      <c r="N61" s="158"/>
      <c r="P61" s="20"/>
    </row>
    <row r="62">
      <c r="B62" s="261"/>
      <c r="C62" s="158"/>
      <c r="D62" s="158"/>
      <c r="E62" s="158"/>
      <c r="F62" s="158"/>
      <c r="H62" s="158"/>
      <c r="J62" s="158"/>
      <c r="L62" s="158"/>
      <c r="N62" s="158"/>
      <c r="P62" s="20"/>
    </row>
    <row r="63">
      <c r="B63" s="261"/>
      <c r="C63" s="158"/>
      <c r="D63" s="158"/>
      <c r="E63" s="158"/>
      <c r="F63" s="158"/>
      <c r="H63" s="158"/>
      <c r="J63" s="158"/>
      <c r="L63" s="158"/>
      <c r="N63" s="158"/>
      <c r="P63" s="20"/>
    </row>
    <row r="64">
      <c r="B64" s="261"/>
      <c r="C64" s="158"/>
      <c r="D64" s="158"/>
      <c r="E64" s="158"/>
      <c r="F64" s="158"/>
      <c r="H64" s="158"/>
      <c r="J64" s="158"/>
      <c r="L64" s="158"/>
      <c r="N64" s="158"/>
      <c r="P64" s="20"/>
    </row>
    <row r="65">
      <c r="B65" s="261"/>
      <c r="C65" s="158"/>
      <c r="D65" s="158"/>
      <c r="E65" s="158"/>
      <c r="F65" s="158"/>
      <c r="H65" s="158"/>
      <c r="J65" s="158"/>
      <c r="L65" s="158"/>
      <c r="N65" s="158"/>
      <c r="P65" s="20"/>
    </row>
    <row r="66">
      <c r="B66" s="261"/>
      <c r="C66" s="158"/>
      <c r="D66" s="158"/>
      <c r="E66" s="158"/>
      <c r="F66" s="158"/>
      <c r="H66" s="158"/>
      <c r="J66" s="158"/>
      <c r="L66" s="158"/>
      <c r="N66" s="158"/>
      <c r="P66" s="20"/>
    </row>
    <row r="67">
      <c r="B67" s="261"/>
      <c r="C67" s="158"/>
      <c r="D67" s="158"/>
      <c r="E67" s="158"/>
      <c r="F67" s="158"/>
      <c r="H67" s="158"/>
      <c r="J67" s="158"/>
      <c r="L67" s="158"/>
      <c r="N67" s="158"/>
      <c r="P67" s="20"/>
    </row>
    <row r="68">
      <c r="B68" s="261"/>
      <c r="C68" s="158"/>
      <c r="D68" s="158"/>
      <c r="E68" s="158"/>
      <c r="F68" s="158"/>
      <c r="H68" s="158"/>
      <c r="J68" s="158"/>
      <c r="L68" s="158"/>
      <c r="N68" s="158"/>
      <c r="P68" s="20"/>
    </row>
    <row r="69">
      <c r="B69" s="261"/>
      <c r="C69" s="158"/>
      <c r="D69" s="158"/>
      <c r="E69" s="158"/>
      <c r="F69" s="158"/>
      <c r="H69" s="158"/>
      <c r="J69" s="158"/>
      <c r="L69" s="158"/>
      <c r="N69" s="158"/>
      <c r="P69" s="20"/>
    </row>
    <row r="70">
      <c r="B70" s="261"/>
      <c r="C70" s="158"/>
      <c r="D70" s="158"/>
      <c r="E70" s="158"/>
      <c r="F70" s="158"/>
      <c r="H70" s="158"/>
      <c r="J70" s="158"/>
      <c r="L70" s="158"/>
      <c r="N70" s="158"/>
      <c r="P70" s="20"/>
    </row>
    <row r="71">
      <c r="B71" s="261"/>
      <c r="C71" s="158"/>
      <c r="D71" s="158"/>
      <c r="E71" s="158"/>
      <c r="F71" s="158"/>
      <c r="H71" s="158"/>
      <c r="J71" s="158"/>
      <c r="L71" s="158"/>
      <c r="N71" s="158"/>
      <c r="P71" s="20"/>
    </row>
    <row r="72">
      <c r="B72" s="261"/>
      <c r="C72" s="158"/>
      <c r="D72" s="158"/>
      <c r="E72" s="158"/>
      <c r="F72" s="158"/>
      <c r="H72" s="158"/>
      <c r="J72" s="158"/>
      <c r="L72" s="158"/>
      <c r="N72" s="158"/>
      <c r="P72" s="20"/>
    </row>
    <row r="73">
      <c r="B73" s="261"/>
      <c r="C73" s="158"/>
      <c r="D73" s="158"/>
      <c r="E73" s="158"/>
      <c r="F73" s="158"/>
      <c r="H73" s="158"/>
      <c r="J73" s="158"/>
      <c r="L73" s="158"/>
      <c r="N73" s="158"/>
      <c r="P73" s="20"/>
    </row>
    <row r="74">
      <c r="B74" s="261"/>
      <c r="C74" s="158"/>
      <c r="D74" s="158"/>
      <c r="E74" s="158"/>
      <c r="F74" s="158"/>
      <c r="H74" s="158"/>
      <c r="J74" s="158"/>
      <c r="L74" s="158"/>
      <c r="N74" s="158"/>
      <c r="P74" s="20"/>
    </row>
    <row r="75">
      <c r="B75" s="261"/>
      <c r="C75" s="158"/>
      <c r="D75" s="158"/>
      <c r="E75" s="158"/>
      <c r="F75" s="158"/>
      <c r="H75" s="158"/>
      <c r="J75" s="158"/>
      <c r="L75" s="158"/>
      <c r="N75" s="158"/>
      <c r="P75" s="20"/>
    </row>
    <row r="76">
      <c r="B76" s="261"/>
      <c r="C76" s="158"/>
      <c r="D76" s="158"/>
      <c r="E76" s="158"/>
      <c r="F76" s="158"/>
      <c r="H76" s="158"/>
      <c r="J76" s="158"/>
      <c r="L76" s="158"/>
      <c r="N76" s="158"/>
      <c r="P76" s="20"/>
    </row>
    <row r="77">
      <c r="B77" s="261"/>
      <c r="C77" s="158"/>
      <c r="D77" s="158"/>
      <c r="E77" s="158"/>
      <c r="F77" s="158"/>
      <c r="H77" s="158"/>
      <c r="J77" s="158"/>
      <c r="L77" s="158"/>
      <c r="N77" s="158"/>
      <c r="P77" s="20"/>
    </row>
    <row r="78">
      <c r="B78" s="261"/>
      <c r="C78" s="158"/>
      <c r="D78" s="158"/>
      <c r="E78" s="158"/>
      <c r="F78" s="158"/>
      <c r="H78" s="158"/>
      <c r="J78" s="158"/>
      <c r="L78" s="158"/>
      <c r="N78" s="158"/>
      <c r="P78" s="20"/>
    </row>
    <row r="79">
      <c r="B79" s="261"/>
      <c r="C79" s="158"/>
      <c r="D79" s="158"/>
      <c r="E79" s="158"/>
      <c r="F79" s="158"/>
      <c r="H79" s="158"/>
      <c r="J79" s="158"/>
      <c r="L79" s="158"/>
      <c r="N79" s="158"/>
      <c r="P79" s="20"/>
    </row>
    <row r="80">
      <c r="B80" s="261"/>
      <c r="C80" s="158"/>
      <c r="D80" s="158"/>
      <c r="E80" s="158"/>
      <c r="F80" s="158"/>
      <c r="H80" s="158"/>
      <c r="J80" s="158"/>
      <c r="L80" s="158"/>
      <c r="N80" s="158"/>
      <c r="P80" s="20"/>
    </row>
    <row r="81">
      <c r="B81" s="261"/>
      <c r="C81" s="158"/>
      <c r="D81" s="158"/>
      <c r="E81" s="158"/>
      <c r="F81" s="158"/>
      <c r="H81" s="158"/>
      <c r="J81" s="158"/>
      <c r="L81" s="158"/>
      <c r="N81" s="158"/>
      <c r="P81" s="20"/>
    </row>
    <row r="82">
      <c r="B82" s="261"/>
      <c r="C82" s="158"/>
      <c r="D82" s="158"/>
      <c r="E82" s="158"/>
      <c r="F82" s="158"/>
      <c r="H82" s="158"/>
      <c r="J82" s="158"/>
      <c r="L82" s="158"/>
      <c r="N82" s="158"/>
      <c r="P82" s="20"/>
    </row>
    <row r="83">
      <c r="B83" s="261"/>
      <c r="C83" s="158"/>
      <c r="D83" s="158"/>
      <c r="E83" s="158"/>
      <c r="F83" s="158"/>
      <c r="H83" s="158"/>
      <c r="J83" s="158"/>
      <c r="L83" s="158"/>
      <c r="N83" s="158"/>
      <c r="P83" s="20"/>
    </row>
    <row r="84">
      <c r="B84" s="261"/>
      <c r="C84" s="158"/>
      <c r="D84" s="158"/>
      <c r="E84" s="158"/>
      <c r="F84" s="158"/>
      <c r="H84" s="158"/>
      <c r="J84" s="158"/>
      <c r="L84" s="158"/>
      <c r="N84" s="158"/>
      <c r="P84" s="20"/>
    </row>
    <row r="85">
      <c r="B85" s="261"/>
      <c r="C85" s="158"/>
      <c r="D85" s="158"/>
      <c r="E85" s="158"/>
      <c r="F85" s="158"/>
      <c r="H85" s="158"/>
      <c r="J85" s="158"/>
      <c r="L85" s="158"/>
      <c r="N85" s="158"/>
      <c r="P85" s="20"/>
    </row>
    <row r="86">
      <c r="B86" s="261"/>
      <c r="C86" s="158"/>
      <c r="D86" s="158"/>
      <c r="E86" s="158"/>
      <c r="F86" s="158"/>
      <c r="H86" s="158"/>
      <c r="J86" s="158"/>
      <c r="L86" s="158"/>
      <c r="N86" s="158"/>
      <c r="P86" s="20"/>
    </row>
    <row r="87">
      <c r="B87" s="261"/>
      <c r="C87" s="158"/>
      <c r="D87" s="158"/>
      <c r="E87" s="158"/>
      <c r="F87" s="158"/>
      <c r="H87" s="158"/>
      <c r="J87" s="158"/>
      <c r="L87" s="158"/>
      <c r="N87" s="158"/>
      <c r="P87" s="20"/>
    </row>
    <row r="88">
      <c r="B88" s="261"/>
      <c r="C88" s="158"/>
      <c r="D88" s="158"/>
      <c r="E88" s="158"/>
      <c r="F88" s="158"/>
      <c r="H88" s="158"/>
      <c r="J88" s="158"/>
      <c r="L88" s="158"/>
      <c r="N88" s="158"/>
      <c r="P88" s="20"/>
    </row>
    <row r="89">
      <c r="B89" s="261"/>
      <c r="C89" s="158"/>
      <c r="D89" s="158"/>
      <c r="E89" s="158"/>
      <c r="F89" s="158"/>
      <c r="H89" s="158"/>
      <c r="J89" s="158"/>
      <c r="L89" s="158"/>
      <c r="N89" s="158"/>
      <c r="P89" s="20"/>
    </row>
    <row r="90">
      <c r="B90" s="261"/>
      <c r="C90" s="158"/>
      <c r="D90" s="158"/>
      <c r="E90" s="158"/>
      <c r="F90" s="158"/>
      <c r="H90" s="158"/>
      <c r="J90" s="158"/>
      <c r="L90" s="158"/>
      <c r="N90" s="158"/>
      <c r="P90" s="20"/>
    </row>
    <row r="91">
      <c r="B91" s="261"/>
      <c r="C91" s="158"/>
      <c r="D91" s="158"/>
      <c r="E91" s="158"/>
      <c r="F91" s="158"/>
      <c r="H91" s="158"/>
      <c r="J91" s="158"/>
      <c r="L91" s="158"/>
      <c r="N91" s="158"/>
      <c r="P91" s="20"/>
    </row>
    <row r="92">
      <c r="B92" s="261"/>
      <c r="C92" s="158"/>
      <c r="D92" s="158"/>
      <c r="E92" s="158"/>
      <c r="F92" s="158"/>
      <c r="H92" s="158"/>
      <c r="J92" s="158"/>
      <c r="L92" s="158"/>
      <c r="N92" s="158"/>
      <c r="P92" s="20"/>
    </row>
    <row r="93">
      <c r="B93" s="261"/>
      <c r="C93" s="158"/>
      <c r="D93" s="158"/>
      <c r="E93" s="158"/>
      <c r="F93" s="158"/>
      <c r="H93" s="158"/>
      <c r="J93" s="158"/>
      <c r="L93" s="158"/>
      <c r="N93" s="158"/>
      <c r="P93" s="20"/>
    </row>
    <row r="94">
      <c r="B94" s="261"/>
      <c r="C94" s="158"/>
      <c r="D94" s="158"/>
      <c r="E94" s="158"/>
      <c r="F94" s="158"/>
      <c r="H94" s="158"/>
      <c r="J94" s="158"/>
      <c r="L94" s="158"/>
      <c r="N94" s="158"/>
      <c r="P94" s="20"/>
    </row>
    <row r="95">
      <c r="B95" s="261"/>
      <c r="C95" s="158"/>
      <c r="D95" s="158"/>
      <c r="E95" s="158"/>
      <c r="F95" s="158"/>
      <c r="H95" s="158"/>
      <c r="J95" s="158"/>
      <c r="L95" s="158"/>
      <c r="N95" s="158"/>
      <c r="P95" s="20"/>
    </row>
    <row r="96">
      <c r="B96" s="261"/>
      <c r="C96" s="158"/>
      <c r="D96" s="158"/>
      <c r="E96" s="158"/>
      <c r="F96" s="158"/>
      <c r="H96" s="158"/>
      <c r="J96" s="158"/>
      <c r="L96" s="158"/>
      <c r="N96" s="158"/>
      <c r="P96" s="20"/>
    </row>
    <row r="97">
      <c r="B97" s="261"/>
      <c r="C97" s="158"/>
      <c r="D97" s="158"/>
      <c r="E97" s="158"/>
      <c r="F97" s="158"/>
      <c r="H97" s="158"/>
      <c r="J97" s="158"/>
      <c r="L97" s="158"/>
      <c r="N97" s="158"/>
      <c r="P97" s="20"/>
    </row>
    <row r="98">
      <c r="B98" s="261"/>
      <c r="C98" s="158"/>
      <c r="D98" s="158"/>
      <c r="E98" s="158"/>
      <c r="F98" s="158"/>
      <c r="H98" s="158"/>
      <c r="J98" s="158"/>
      <c r="L98" s="158"/>
      <c r="N98" s="158"/>
      <c r="P98" s="20"/>
    </row>
    <row r="99">
      <c r="B99" s="261"/>
      <c r="C99" s="158"/>
      <c r="D99" s="158"/>
      <c r="E99" s="158"/>
      <c r="F99" s="158"/>
      <c r="H99" s="158"/>
      <c r="J99" s="158"/>
      <c r="L99" s="158"/>
      <c r="N99" s="158"/>
      <c r="P99" s="20"/>
    </row>
    <row r="100">
      <c r="B100" s="261"/>
      <c r="C100" s="158"/>
      <c r="D100" s="158"/>
      <c r="E100" s="158"/>
      <c r="F100" s="158"/>
      <c r="H100" s="158"/>
      <c r="J100" s="158"/>
      <c r="L100" s="158"/>
      <c r="N100" s="158"/>
      <c r="P100" s="20"/>
    </row>
    <row r="101">
      <c r="B101" s="261"/>
      <c r="C101" s="158"/>
      <c r="D101" s="158"/>
      <c r="E101" s="158"/>
      <c r="F101" s="158"/>
      <c r="H101" s="158"/>
      <c r="J101" s="158"/>
      <c r="L101" s="158"/>
      <c r="N101" s="158"/>
      <c r="P101" s="20"/>
    </row>
    <row r="102">
      <c r="B102" s="261"/>
      <c r="C102" s="158"/>
      <c r="D102" s="158"/>
      <c r="E102" s="158"/>
      <c r="F102" s="158"/>
      <c r="H102" s="158"/>
      <c r="J102" s="158"/>
      <c r="L102" s="158"/>
      <c r="N102" s="158"/>
      <c r="P102" s="20"/>
    </row>
    <row r="103">
      <c r="B103" s="261"/>
      <c r="C103" s="158"/>
      <c r="D103" s="158"/>
      <c r="E103" s="158"/>
      <c r="F103" s="158"/>
      <c r="H103" s="158"/>
      <c r="J103" s="158"/>
      <c r="L103" s="158"/>
      <c r="N103" s="158"/>
      <c r="P103" s="20"/>
    </row>
    <row r="104">
      <c r="B104" s="261"/>
      <c r="C104" s="158"/>
      <c r="D104" s="158"/>
      <c r="E104" s="158"/>
      <c r="F104" s="158"/>
      <c r="H104" s="158"/>
      <c r="J104" s="158"/>
      <c r="L104" s="158"/>
      <c r="N104" s="158"/>
      <c r="P104" s="20"/>
    </row>
    <row r="105">
      <c r="B105" s="261"/>
      <c r="C105" s="158"/>
      <c r="D105" s="158"/>
      <c r="E105" s="158"/>
      <c r="F105" s="158"/>
      <c r="H105" s="158"/>
      <c r="J105" s="158"/>
      <c r="L105" s="158"/>
      <c r="N105" s="158"/>
      <c r="P105" s="20"/>
    </row>
    <row r="106">
      <c r="B106" s="261"/>
      <c r="C106" s="158"/>
      <c r="D106" s="158"/>
      <c r="E106" s="158"/>
      <c r="F106" s="158"/>
      <c r="H106" s="158"/>
      <c r="J106" s="158"/>
      <c r="L106" s="158"/>
      <c r="N106" s="158"/>
      <c r="P106" s="20"/>
    </row>
    <row r="107">
      <c r="B107" s="261"/>
      <c r="C107" s="158"/>
      <c r="D107" s="158"/>
      <c r="E107" s="158"/>
      <c r="F107" s="158"/>
      <c r="H107" s="158"/>
      <c r="J107" s="158"/>
      <c r="L107" s="158"/>
      <c r="N107" s="158"/>
      <c r="P107" s="20"/>
    </row>
    <row r="108">
      <c r="B108" s="261"/>
      <c r="C108" s="158"/>
      <c r="D108" s="158"/>
      <c r="E108" s="158"/>
      <c r="F108" s="158"/>
      <c r="H108" s="158"/>
      <c r="J108" s="158"/>
      <c r="L108" s="158"/>
      <c r="N108" s="158"/>
      <c r="P108" s="20"/>
    </row>
    <row r="109">
      <c r="B109" s="261"/>
      <c r="C109" s="158"/>
      <c r="D109" s="158"/>
      <c r="E109" s="158"/>
      <c r="F109" s="158"/>
      <c r="H109" s="158"/>
      <c r="J109" s="158"/>
      <c r="L109" s="158"/>
      <c r="N109" s="158"/>
      <c r="P109" s="20"/>
    </row>
    <row r="110">
      <c r="B110" s="261"/>
      <c r="C110" s="158"/>
      <c r="D110" s="158"/>
      <c r="E110" s="158"/>
      <c r="F110" s="158"/>
      <c r="H110" s="158"/>
      <c r="J110" s="158"/>
      <c r="L110" s="158"/>
      <c r="N110" s="158"/>
      <c r="P110" s="20"/>
    </row>
    <row r="111">
      <c r="B111" s="261"/>
      <c r="C111" s="158"/>
      <c r="D111" s="158"/>
      <c r="E111" s="158"/>
      <c r="F111" s="158"/>
      <c r="H111" s="158"/>
      <c r="J111" s="158"/>
      <c r="L111" s="158"/>
      <c r="N111" s="158"/>
      <c r="P111" s="20"/>
    </row>
    <row r="112">
      <c r="B112" s="261"/>
      <c r="C112" s="158"/>
      <c r="D112" s="158"/>
      <c r="E112" s="158"/>
      <c r="F112" s="158"/>
      <c r="H112" s="158"/>
      <c r="J112" s="158"/>
      <c r="L112" s="158"/>
      <c r="N112" s="158"/>
      <c r="P112" s="20"/>
    </row>
    <row r="113">
      <c r="B113" s="261"/>
      <c r="C113" s="158"/>
      <c r="D113" s="158"/>
      <c r="E113" s="158"/>
      <c r="F113" s="158"/>
      <c r="H113" s="158"/>
      <c r="J113" s="158"/>
      <c r="L113" s="158"/>
      <c r="N113" s="158"/>
      <c r="P113" s="20"/>
    </row>
    <row r="114">
      <c r="B114" s="261"/>
      <c r="C114" s="158"/>
      <c r="D114" s="158"/>
      <c r="E114" s="158"/>
      <c r="F114" s="158"/>
      <c r="H114" s="158"/>
      <c r="J114" s="158"/>
      <c r="L114" s="158"/>
      <c r="N114" s="158"/>
      <c r="P114" s="20"/>
    </row>
    <row r="115">
      <c r="B115" s="261"/>
      <c r="C115" s="158"/>
      <c r="D115" s="158"/>
      <c r="E115" s="158"/>
      <c r="F115" s="158"/>
      <c r="H115" s="158"/>
      <c r="J115" s="158"/>
      <c r="L115" s="158"/>
      <c r="N115" s="158"/>
      <c r="P115" s="20"/>
    </row>
    <row r="116">
      <c r="B116" s="261"/>
      <c r="C116" s="158"/>
      <c r="D116" s="158"/>
      <c r="E116" s="158"/>
      <c r="F116" s="158"/>
      <c r="H116" s="158"/>
      <c r="J116" s="158"/>
      <c r="L116" s="158"/>
      <c r="N116" s="158"/>
      <c r="P116" s="20"/>
    </row>
    <row r="117">
      <c r="B117" s="261"/>
      <c r="C117" s="158"/>
      <c r="D117" s="158"/>
      <c r="E117" s="158"/>
      <c r="F117" s="158"/>
      <c r="H117" s="158"/>
      <c r="J117" s="158"/>
      <c r="L117" s="158"/>
      <c r="N117" s="158"/>
      <c r="P117" s="20"/>
    </row>
    <row r="118">
      <c r="B118" s="261"/>
      <c r="C118" s="158"/>
      <c r="D118" s="158"/>
      <c r="E118" s="158"/>
      <c r="F118" s="158"/>
      <c r="H118" s="158"/>
      <c r="J118" s="158"/>
      <c r="L118" s="158"/>
      <c r="N118" s="158"/>
      <c r="P118" s="20"/>
    </row>
    <row r="119">
      <c r="B119" s="261"/>
      <c r="C119" s="158"/>
      <c r="D119" s="158"/>
      <c r="E119" s="158"/>
      <c r="F119" s="158"/>
      <c r="H119" s="158"/>
      <c r="J119" s="158"/>
      <c r="L119" s="158"/>
      <c r="N119" s="158"/>
      <c r="P119" s="20"/>
    </row>
    <row r="120">
      <c r="B120" s="261"/>
      <c r="C120" s="158"/>
      <c r="D120" s="158"/>
      <c r="E120" s="158"/>
      <c r="F120" s="158"/>
      <c r="H120" s="158"/>
      <c r="J120" s="158"/>
      <c r="L120" s="158"/>
      <c r="N120" s="158"/>
      <c r="P120" s="20"/>
    </row>
    <row r="121">
      <c r="B121" s="261"/>
      <c r="C121" s="158"/>
      <c r="D121" s="158"/>
      <c r="E121" s="158"/>
      <c r="F121" s="158"/>
      <c r="H121" s="158"/>
      <c r="J121" s="158"/>
      <c r="L121" s="158"/>
      <c r="N121" s="158"/>
      <c r="P121" s="20"/>
    </row>
    <row r="122">
      <c r="B122" s="261"/>
      <c r="C122" s="158"/>
      <c r="D122" s="158"/>
      <c r="E122" s="158"/>
      <c r="F122" s="158"/>
      <c r="H122" s="158"/>
      <c r="J122" s="158"/>
      <c r="L122" s="158"/>
      <c r="N122" s="158"/>
      <c r="P122" s="20"/>
    </row>
    <row r="123">
      <c r="B123" s="261"/>
      <c r="C123" s="158"/>
      <c r="D123" s="158"/>
      <c r="E123" s="158"/>
      <c r="F123" s="158"/>
      <c r="H123" s="158"/>
      <c r="J123" s="158"/>
      <c r="L123" s="158"/>
      <c r="N123" s="158"/>
      <c r="P123" s="20"/>
    </row>
    <row r="124">
      <c r="B124" s="261"/>
      <c r="C124" s="158"/>
      <c r="D124" s="158"/>
      <c r="E124" s="158"/>
      <c r="F124" s="158"/>
      <c r="H124" s="158"/>
      <c r="J124" s="158"/>
      <c r="L124" s="158"/>
      <c r="N124" s="158"/>
      <c r="P124" s="20"/>
    </row>
    <row r="125">
      <c r="B125" s="261"/>
      <c r="C125" s="158"/>
      <c r="D125" s="158"/>
      <c r="E125" s="158"/>
      <c r="F125" s="158"/>
      <c r="H125" s="158"/>
      <c r="J125" s="158"/>
      <c r="L125" s="158"/>
      <c r="N125" s="158"/>
      <c r="P125" s="20"/>
    </row>
    <row r="126">
      <c r="B126" s="261"/>
      <c r="C126" s="158"/>
      <c r="D126" s="158"/>
      <c r="E126" s="158"/>
      <c r="F126" s="158"/>
      <c r="H126" s="158"/>
      <c r="J126" s="158"/>
      <c r="L126" s="158"/>
      <c r="N126" s="158"/>
      <c r="P126" s="20"/>
    </row>
    <row r="127">
      <c r="B127" s="261"/>
      <c r="C127" s="158"/>
      <c r="D127" s="158"/>
      <c r="E127" s="158"/>
      <c r="F127" s="158"/>
      <c r="H127" s="158"/>
      <c r="J127" s="158"/>
      <c r="L127" s="158"/>
      <c r="N127" s="158"/>
      <c r="P127" s="20"/>
    </row>
    <row r="128">
      <c r="B128" s="261"/>
      <c r="C128" s="158"/>
      <c r="D128" s="158"/>
      <c r="E128" s="158"/>
      <c r="F128" s="158"/>
      <c r="H128" s="158"/>
      <c r="J128" s="158"/>
      <c r="L128" s="158"/>
      <c r="N128" s="158"/>
      <c r="P128" s="20"/>
    </row>
    <row r="129">
      <c r="B129" s="261"/>
      <c r="C129" s="158"/>
      <c r="D129" s="158"/>
      <c r="E129" s="158"/>
      <c r="F129" s="158"/>
      <c r="H129" s="158"/>
      <c r="J129" s="158"/>
      <c r="L129" s="158"/>
      <c r="N129" s="158"/>
      <c r="P129" s="20"/>
    </row>
    <row r="130">
      <c r="B130" s="261"/>
      <c r="C130" s="158"/>
      <c r="D130" s="158"/>
      <c r="E130" s="158"/>
      <c r="F130" s="158"/>
      <c r="H130" s="158"/>
      <c r="J130" s="158"/>
      <c r="L130" s="158"/>
      <c r="N130" s="158"/>
      <c r="P130" s="20"/>
    </row>
    <row r="131">
      <c r="B131" s="261"/>
      <c r="C131" s="158"/>
      <c r="D131" s="158"/>
      <c r="E131" s="158"/>
      <c r="F131" s="158"/>
      <c r="H131" s="158"/>
      <c r="J131" s="158"/>
      <c r="L131" s="158"/>
      <c r="N131" s="158"/>
      <c r="P131" s="20"/>
    </row>
    <row r="132">
      <c r="B132" s="261"/>
      <c r="C132" s="158"/>
      <c r="D132" s="158"/>
      <c r="E132" s="158"/>
      <c r="F132" s="158"/>
      <c r="H132" s="158"/>
      <c r="J132" s="158"/>
      <c r="L132" s="158"/>
      <c r="N132" s="158"/>
      <c r="P132" s="20"/>
    </row>
    <row r="133">
      <c r="B133" s="261"/>
      <c r="C133" s="158"/>
      <c r="D133" s="158"/>
      <c r="E133" s="158"/>
      <c r="F133" s="158"/>
      <c r="H133" s="158"/>
      <c r="J133" s="158"/>
      <c r="L133" s="158"/>
      <c r="N133" s="158"/>
      <c r="P133" s="20"/>
    </row>
    <row r="134">
      <c r="B134" s="261"/>
      <c r="C134" s="158"/>
      <c r="D134" s="158"/>
      <c r="E134" s="158"/>
      <c r="F134" s="158"/>
      <c r="H134" s="158"/>
      <c r="J134" s="158"/>
      <c r="L134" s="158"/>
      <c r="N134" s="158"/>
      <c r="P134" s="20"/>
    </row>
    <row r="135">
      <c r="B135" s="261"/>
      <c r="C135" s="158"/>
      <c r="D135" s="158"/>
      <c r="E135" s="158"/>
      <c r="F135" s="158"/>
      <c r="H135" s="158"/>
      <c r="J135" s="158"/>
      <c r="L135" s="158"/>
      <c r="N135" s="158"/>
      <c r="P135" s="20"/>
    </row>
    <row r="136">
      <c r="B136" s="261"/>
      <c r="C136" s="158"/>
      <c r="D136" s="158"/>
      <c r="E136" s="158"/>
      <c r="F136" s="158"/>
      <c r="H136" s="158"/>
      <c r="J136" s="158"/>
      <c r="L136" s="158"/>
      <c r="N136" s="158"/>
      <c r="P136" s="20"/>
    </row>
    <row r="137">
      <c r="B137" s="261"/>
      <c r="C137" s="158"/>
      <c r="D137" s="158"/>
      <c r="E137" s="158"/>
      <c r="F137" s="158"/>
      <c r="H137" s="158"/>
      <c r="J137" s="158"/>
      <c r="L137" s="158"/>
      <c r="N137" s="158"/>
      <c r="P137" s="20"/>
    </row>
    <row r="138">
      <c r="B138" s="261"/>
      <c r="C138" s="158"/>
      <c r="D138" s="158"/>
      <c r="E138" s="158"/>
      <c r="F138" s="158"/>
      <c r="H138" s="158"/>
      <c r="J138" s="158"/>
      <c r="L138" s="158"/>
      <c r="N138" s="158"/>
      <c r="P138" s="20"/>
    </row>
    <row r="139">
      <c r="B139" s="261"/>
      <c r="C139" s="158"/>
      <c r="D139" s="158"/>
      <c r="E139" s="158"/>
      <c r="F139" s="158"/>
      <c r="H139" s="158"/>
      <c r="J139" s="158"/>
      <c r="L139" s="158"/>
      <c r="N139" s="158"/>
      <c r="P139" s="20"/>
    </row>
    <row r="140">
      <c r="B140" s="261"/>
      <c r="C140" s="158"/>
      <c r="D140" s="158"/>
      <c r="E140" s="158"/>
      <c r="F140" s="158"/>
      <c r="H140" s="158"/>
      <c r="J140" s="158"/>
      <c r="L140" s="158"/>
      <c r="N140" s="158"/>
      <c r="P140" s="20"/>
    </row>
    <row r="141">
      <c r="B141" s="261"/>
      <c r="C141" s="158"/>
      <c r="D141" s="158"/>
      <c r="E141" s="158"/>
      <c r="F141" s="158"/>
      <c r="H141" s="158"/>
      <c r="J141" s="158"/>
      <c r="L141" s="158"/>
      <c r="N141" s="158"/>
      <c r="P141" s="20"/>
    </row>
    <row r="142">
      <c r="B142" s="261"/>
      <c r="C142" s="158"/>
      <c r="D142" s="158"/>
      <c r="E142" s="158"/>
      <c r="F142" s="158"/>
      <c r="H142" s="158"/>
      <c r="J142" s="158"/>
      <c r="L142" s="158"/>
      <c r="N142" s="158"/>
      <c r="P142" s="20"/>
    </row>
    <row r="143">
      <c r="B143" s="261"/>
      <c r="C143" s="158"/>
      <c r="D143" s="158"/>
      <c r="E143" s="158"/>
      <c r="F143" s="158"/>
      <c r="H143" s="158"/>
      <c r="J143" s="158"/>
      <c r="L143" s="158"/>
      <c r="N143" s="158"/>
      <c r="P143" s="20"/>
    </row>
    <row r="144">
      <c r="B144" s="261"/>
      <c r="C144" s="158"/>
      <c r="D144" s="158"/>
      <c r="E144" s="158"/>
      <c r="F144" s="158"/>
      <c r="H144" s="158"/>
      <c r="J144" s="158"/>
      <c r="L144" s="158"/>
      <c r="N144" s="158"/>
      <c r="P144" s="20"/>
    </row>
    <row r="145">
      <c r="B145" s="261"/>
      <c r="C145" s="158"/>
      <c r="D145" s="158"/>
      <c r="E145" s="158"/>
      <c r="F145" s="158"/>
      <c r="H145" s="158"/>
      <c r="J145" s="158"/>
      <c r="L145" s="158"/>
      <c r="N145" s="158"/>
      <c r="P145" s="20"/>
    </row>
    <row r="146">
      <c r="B146" s="261"/>
      <c r="C146" s="158"/>
      <c r="D146" s="158"/>
      <c r="E146" s="158"/>
      <c r="F146" s="158"/>
      <c r="H146" s="158"/>
      <c r="J146" s="158"/>
      <c r="L146" s="158"/>
      <c r="N146" s="158"/>
      <c r="P146" s="20"/>
    </row>
    <row r="147">
      <c r="B147" s="261"/>
      <c r="C147" s="158"/>
      <c r="D147" s="158"/>
      <c r="E147" s="158"/>
      <c r="F147" s="158"/>
      <c r="H147" s="158"/>
      <c r="J147" s="158"/>
      <c r="L147" s="158"/>
      <c r="N147" s="158"/>
      <c r="P147" s="20"/>
    </row>
    <row r="148">
      <c r="B148" s="261"/>
      <c r="C148" s="158"/>
      <c r="D148" s="158"/>
      <c r="E148" s="158"/>
      <c r="F148" s="158"/>
      <c r="H148" s="158"/>
      <c r="J148" s="158"/>
      <c r="L148" s="158"/>
      <c r="N148" s="158"/>
      <c r="P148" s="20"/>
    </row>
    <row r="149">
      <c r="B149" s="261"/>
      <c r="C149" s="158"/>
      <c r="D149" s="158"/>
      <c r="E149" s="158"/>
      <c r="F149" s="158"/>
      <c r="H149" s="158"/>
      <c r="J149" s="158"/>
      <c r="L149" s="158"/>
      <c r="N149" s="158"/>
      <c r="P149" s="20"/>
    </row>
    <row r="150">
      <c r="B150" s="261"/>
      <c r="C150" s="158"/>
      <c r="D150" s="158"/>
      <c r="E150" s="158"/>
      <c r="F150" s="158"/>
      <c r="H150" s="158"/>
      <c r="J150" s="158"/>
      <c r="L150" s="158"/>
      <c r="N150" s="158"/>
      <c r="P150" s="20"/>
    </row>
    <row r="151">
      <c r="B151" s="261"/>
      <c r="C151" s="158"/>
      <c r="D151" s="158"/>
      <c r="E151" s="158"/>
      <c r="F151" s="158"/>
      <c r="H151" s="158"/>
      <c r="J151" s="158"/>
      <c r="L151" s="158"/>
      <c r="N151" s="158"/>
      <c r="P151" s="20"/>
    </row>
    <row r="152">
      <c r="B152" s="261"/>
      <c r="C152" s="158"/>
      <c r="D152" s="158"/>
      <c r="E152" s="158"/>
      <c r="F152" s="158"/>
      <c r="H152" s="158"/>
      <c r="J152" s="158"/>
      <c r="L152" s="158"/>
      <c r="N152" s="158"/>
      <c r="P152" s="20"/>
    </row>
    <row r="153">
      <c r="B153" s="261"/>
      <c r="C153" s="158"/>
      <c r="D153" s="158"/>
      <c r="E153" s="158"/>
      <c r="F153" s="158"/>
      <c r="H153" s="158"/>
      <c r="J153" s="158"/>
      <c r="L153" s="158"/>
      <c r="N153" s="158"/>
      <c r="P153" s="20"/>
    </row>
    <row r="154">
      <c r="B154" s="261"/>
      <c r="C154" s="158"/>
      <c r="D154" s="158"/>
      <c r="E154" s="158"/>
      <c r="F154" s="158"/>
      <c r="H154" s="158"/>
      <c r="J154" s="158"/>
      <c r="L154" s="158"/>
      <c r="N154" s="158"/>
      <c r="P154" s="20"/>
    </row>
    <row r="155">
      <c r="B155" s="261"/>
      <c r="C155" s="158"/>
      <c r="D155" s="158"/>
      <c r="E155" s="158"/>
      <c r="F155" s="158"/>
      <c r="H155" s="158"/>
      <c r="J155" s="158"/>
      <c r="L155" s="158"/>
      <c r="N155" s="158"/>
      <c r="P155" s="20"/>
    </row>
    <row r="156">
      <c r="B156" s="261"/>
      <c r="C156" s="158"/>
      <c r="D156" s="158"/>
      <c r="E156" s="158"/>
      <c r="F156" s="158"/>
      <c r="H156" s="158"/>
      <c r="J156" s="158"/>
      <c r="L156" s="158"/>
      <c r="N156" s="158"/>
      <c r="P156" s="20"/>
    </row>
    <row r="157">
      <c r="B157" s="261"/>
      <c r="C157" s="158"/>
      <c r="D157" s="158"/>
      <c r="E157" s="158"/>
      <c r="F157" s="158"/>
      <c r="H157" s="158"/>
      <c r="J157" s="158"/>
      <c r="L157" s="158"/>
      <c r="N157" s="158"/>
      <c r="P157" s="20"/>
    </row>
    <row r="158">
      <c r="B158" s="261"/>
      <c r="C158" s="158"/>
      <c r="D158" s="158"/>
      <c r="E158" s="158"/>
      <c r="F158" s="158"/>
      <c r="H158" s="158"/>
      <c r="J158" s="158"/>
      <c r="L158" s="158"/>
      <c r="N158" s="158"/>
      <c r="P158" s="20"/>
    </row>
    <row r="159">
      <c r="B159" s="261"/>
      <c r="C159" s="158"/>
      <c r="D159" s="158"/>
      <c r="E159" s="158"/>
      <c r="F159" s="158"/>
      <c r="H159" s="158"/>
      <c r="J159" s="158"/>
      <c r="L159" s="158"/>
      <c r="N159" s="158"/>
      <c r="P159" s="20"/>
    </row>
    <row r="160">
      <c r="B160" s="261"/>
      <c r="C160" s="158"/>
      <c r="D160" s="158"/>
      <c r="E160" s="158"/>
      <c r="F160" s="158"/>
      <c r="H160" s="158"/>
      <c r="J160" s="158"/>
      <c r="L160" s="158"/>
      <c r="N160" s="158"/>
      <c r="P160" s="20"/>
    </row>
    <row r="161">
      <c r="B161" s="261"/>
      <c r="C161" s="158"/>
      <c r="D161" s="158"/>
      <c r="E161" s="158"/>
      <c r="F161" s="158"/>
      <c r="H161" s="158"/>
      <c r="J161" s="158"/>
      <c r="L161" s="158"/>
      <c r="N161" s="158"/>
      <c r="P161" s="20"/>
    </row>
    <row r="162">
      <c r="B162" s="261"/>
      <c r="C162" s="158"/>
      <c r="D162" s="158"/>
      <c r="E162" s="158"/>
      <c r="F162" s="158"/>
      <c r="H162" s="158"/>
      <c r="J162" s="158"/>
      <c r="L162" s="158"/>
      <c r="N162" s="158"/>
      <c r="P162" s="20"/>
    </row>
    <row r="163">
      <c r="B163" s="261"/>
      <c r="C163" s="158"/>
      <c r="D163" s="158"/>
      <c r="E163" s="158"/>
      <c r="F163" s="158"/>
      <c r="H163" s="158"/>
      <c r="J163" s="158"/>
      <c r="L163" s="158"/>
      <c r="N163" s="158"/>
      <c r="P163" s="20"/>
    </row>
    <row r="164">
      <c r="B164" s="261"/>
      <c r="C164" s="158"/>
      <c r="D164" s="158"/>
      <c r="E164" s="158"/>
      <c r="F164" s="158"/>
      <c r="H164" s="158"/>
      <c r="J164" s="158"/>
      <c r="L164" s="158"/>
      <c r="N164" s="158"/>
      <c r="P164" s="20"/>
    </row>
    <row r="165">
      <c r="B165" s="261"/>
      <c r="C165" s="158"/>
      <c r="D165" s="158"/>
      <c r="E165" s="158"/>
      <c r="F165" s="158"/>
      <c r="H165" s="158"/>
      <c r="J165" s="158"/>
      <c r="L165" s="158"/>
      <c r="N165" s="158"/>
      <c r="P165" s="20"/>
    </row>
    <row r="166">
      <c r="B166" s="261"/>
      <c r="C166" s="158"/>
      <c r="D166" s="158"/>
      <c r="E166" s="158"/>
      <c r="F166" s="158"/>
      <c r="H166" s="158"/>
      <c r="J166" s="158"/>
      <c r="L166" s="158"/>
      <c r="N166" s="158"/>
      <c r="P166" s="20"/>
    </row>
    <row r="167">
      <c r="B167" s="261"/>
      <c r="C167" s="158"/>
      <c r="D167" s="158"/>
      <c r="E167" s="158"/>
      <c r="F167" s="158"/>
      <c r="H167" s="158"/>
      <c r="J167" s="158"/>
      <c r="L167" s="158"/>
      <c r="N167" s="158"/>
      <c r="P167" s="20"/>
    </row>
    <row r="168">
      <c r="B168" s="261"/>
      <c r="C168" s="158"/>
      <c r="D168" s="158"/>
      <c r="E168" s="158"/>
      <c r="F168" s="158"/>
      <c r="H168" s="158"/>
      <c r="J168" s="158"/>
      <c r="L168" s="158"/>
      <c r="N168" s="158"/>
      <c r="P168" s="20"/>
    </row>
    <row r="169">
      <c r="B169" s="261"/>
      <c r="C169" s="158"/>
      <c r="D169" s="158"/>
      <c r="E169" s="158"/>
      <c r="F169" s="158"/>
      <c r="H169" s="158"/>
      <c r="J169" s="158"/>
      <c r="L169" s="158"/>
      <c r="N169" s="158"/>
      <c r="P169" s="20"/>
    </row>
    <row r="170">
      <c r="B170" s="261"/>
      <c r="C170" s="158"/>
      <c r="D170" s="158"/>
      <c r="E170" s="158"/>
      <c r="F170" s="158"/>
      <c r="H170" s="158"/>
      <c r="J170" s="158"/>
      <c r="L170" s="158"/>
      <c r="N170" s="158"/>
      <c r="P170" s="20"/>
    </row>
    <row r="171">
      <c r="B171" s="261"/>
      <c r="C171" s="158"/>
      <c r="D171" s="158"/>
      <c r="E171" s="158"/>
      <c r="F171" s="158"/>
      <c r="H171" s="158"/>
      <c r="J171" s="158"/>
      <c r="L171" s="158"/>
      <c r="N171" s="158"/>
      <c r="P171" s="20"/>
    </row>
    <row r="172">
      <c r="B172" s="261"/>
      <c r="C172" s="158"/>
      <c r="D172" s="158"/>
      <c r="E172" s="158"/>
      <c r="F172" s="158"/>
      <c r="H172" s="158"/>
      <c r="J172" s="158"/>
      <c r="L172" s="158"/>
      <c r="N172" s="158"/>
      <c r="P172" s="20"/>
    </row>
    <row r="173">
      <c r="B173" s="261"/>
      <c r="C173" s="158"/>
      <c r="D173" s="158"/>
      <c r="E173" s="158"/>
      <c r="F173" s="158"/>
      <c r="H173" s="158"/>
      <c r="J173" s="158"/>
      <c r="L173" s="158"/>
      <c r="N173" s="158"/>
      <c r="P173" s="20"/>
    </row>
    <row r="174">
      <c r="B174" s="261"/>
      <c r="C174" s="158"/>
      <c r="D174" s="158"/>
      <c r="E174" s="158"/>
      <c r="F174" s="158"/>
      <c r="H174" s="158"/>
      <c r="J174" s="158"/>
      <c r="L174" s="158"/>
      <c r="N174" s="158"/>
      <c r="P174" s="20"/>
    </row>
    <row r="175">
      <c r="B175" s="261"/>
      <c r="C175" s="158"/>
      <c r="D175" s="158"/>
      <c r="E175" s="158"/>
      <c r="F175" s="158"/>
      <c r="H175" s="158"/>
      <c r="J175" s="158"/>
      <c r="L175" s="158"/>
      <c r="N175" s="158"/>
      <c r="P175" s="20"/>
    </row>
    <row r="176">
      <c r="B176" s="261"/>
      <c r="C176" s="158"/>
      <c r="D176" s="158"/>
      <c r="E176" s="158"/>
      <c r="F176" s="158"/>
      <c r="H176" s="158"/>
      <c r="J176" s="158"/>
      <c r="L176" s="158"/>
      <c r="N176" s="158"/>
      <c r="P176" s="20"/>
    </row>
    <row r="177">
      <c r="B177" s="261"/>
      <c r="C177" s="158"/>
      <c r="D177" s="158"/>
      <c r="E177" s="158"/>
      <c r="F177" s="158"/>
      <c r="H177" s="158"/>
      <c r="J177" s="158"/>
      <c r="L177" s="158"/>
      <c r="N177" s="158"/>
      <c r="P177" s="20"/>
    </row>
    <row r="178">
      <c r="B178" s="261"/>
      <c r="C178" s="158"/>
      <c r="D178" s="158"/>
      <c r="E178" s="158"/>
      <c r="F178" s="158"/>
      <c r="H178" s="158"/>
      <c r="J178" s="158"/>
      <c r="L178" s="158"/>
      <c r="N178" s="158"/>
      <c r="P178" s="20"/>
    </row>
    <row r="179">
      <c r="B179" s="261"/>
      <c r="C179" s="158"/>
      <c r="D179" s="158"/>
      <c r="E179" s="158"/>
      <c r="F179" s="158"/>
      <c r="H179" s="158"/>
      <c r="J179" s="158"/>
      <c r="L179" s="158"/>
      <c r="N179" s="158"/>
      <c r="P179" s="20"/>
    </row>
    <row r="180">
      <c r="B180" s="261"/>
      <c r="C180" s="158"/>
      <c r="D180" s="158"/>
      <c r="E180" s="158"/>
      <c r="F180" s="158"/>
      <c r="H180" s="158"/>
      <c r="J180" s="158"/>
      <c r="L180" s="158"/>
      <c r="N180" s="158"/>
      <c r="P180" s="20"/>
    </row>
    <row r="181">
      <c r="B181" s="261"/>
      <c r="C181" s="158"/>
      <c r="D181" s="158"/>
      <c r="E181" s="158"/>
      <c r="F181" s="158"/>
      <c r="H181" s="158"/>
      <c r="J181" s="158"/>
      <c r="L181" s="158"/>
      <c r="N181" s="158"/>
      <c r="P181" s="20"/>
    </row>
    <row r="182">
      <c r="B182" s="261"/>
      <c r="C182" s="158"/>
      <c r="D182" s="158"/>
      <c r="E182" s="158"/>
      <c r="F182" s="158"/>
      <c r="H182" s="158"/>
      <c r="J182" s="158"/>
      <c r="L182" s="158"/>
      <c r="N182" s="158"/>
      <c r="P182" s="20"/>
    </row>
    <row r="183">
      <c r="B183" s="261"/>
      <c r="C183" s="158"/>
      <c r="D183" s="158"/>
      <c r="E183" s="158"/>
      <c r="F183" s="158"/>
      <c r="H183" s="158"/>
      <c r="J183" s="158"/>
      <c r="L183" s="158"/>
      <c r="N183" s="158"/>
      <c r="P183" s="20"/>
    </row>
    <row r="184">
      <c r="B184" s="261"/>
      <c r="C184" s="158"/>
      <c r="D184" s="158"/>
      <c r="E184" s="158"/>
      <c r="F184" s="158"/>
      <c r="H184" s="158"/>
      <c r="J184" s="158"/>
      <c r="L184" s="158"/>
      <c r="N184" s="158"/>
      <c r="P184" s="20"/>
    </row>
    <row r="185">
      <c r="B185" s="261"/>
      <c r="C185" s="158"/>
      <c r="D185" s="158"/>
      <c r="E185" s="158"/>
      <c r="F185" s="158"/>
      <c r="H185" s="158"/>
      <c r="J185" s="158"/>
      <c r="L185" s="158"/>
      <c r="N185" s="158"/>
      <c r="P185" s="20"/>
    </row>
    <row r="186">
      <c r="B186" s="261"/>
      <c r="C186" s="158"/>
      <c r="D186" s="158"/>
      <c r="E186" s="158"/>
      <c r="F186" s="158"/>
      <c r="H186" s="158"/>
      <c r="J186" s="158"/>
      <c r="L186" s="158"/>
      <c r="N186" s="158"/>
      <c r="P186" s="20"/>
    </row>
    <row r="187">
      <c r="B187" s="261"/>
      <c r="C187" s="158"/>
      <c r="D187" s="158"/>
      <c r="E187" s="158"/>
      <c r="F187" s="158"/>
      <c r="H187" s="158"/>
      <c r="J187" s="158"/>
      <c r="L187" s="158"/>
      <c r="N187" s="158"/>
      <c r="P187" s="20"/>
    </row>
    <row r="188">
      <c r="B188" s="261"/>
      <c r="C188" s="158"/>
      <c r="D188" s="158"/>
      <c r="E188" s="158"/>
      <c r="F188" s="158"/>
      <c r="H188" s="158"/>
      <c r="J188" s="158"/>
      <c r="L188" s="158"/>
      <c r="N188" s="158"/>
      <c r="P188" s="20"/>
    </row>
    <row r="189">
      <c r="B189" s="261"/>
      <c r="C189" s="158"/>
      <c r="D189" s="158"/>
      <c r="E189" s="158"/>
      <c r="F189" s="158"/>
      <c r="H189" s="158"/>
      <c r="J189" s="158"/>
      <c r="L189" s="158"/>
      <c r="N189" s="158"/>
      <c r="P189" s="20"/>
    </row>
    <row r="190">
      <c r="B190" s="261"/>
      <c r="C190" s="158"/>
      <c r="D190" s="158"/>
      <c r="E190" s="158"/>
      <c r="F190" s="158"/>
      <c r="H190" s="158"/>
      <c r="J190" s="158"/>
      <c r="L190" s="158"/>
      <c r="N190" s="158"/>
      <c r="P190" s="20"/>
    </row>
    <row r="191">
      <c r="B191" s="261"/>
      <c r="C191" s="158"/>
      <c r="D191" s="158"/>
      <c r="E191" s="158"/>
      <c r="F191" s="158"/>
      <c r="H191" s="158"/>
      <c r="J191" s="158"/>
      <c r="L191" s="158"/>
      <c r="N191" s="158"/>
      <c r="P191" s="20"/>
    </row>
    <row r="192">
      <c r="B192" s="261"/>
      <c r="C192" s="158"/>
      <c r="D192" s="158"/>
      <c r="E192" s="158"/>
      <c r="F192" s="158"/>
      <c r="H192" s="158"/>
      <c r="J192" s="158"/>
      <c r="L192" s="158"/>
      <c r="N192" s="158"/>
      <c r="P192" s="20"/>
    </row>
    <row r="193">
      <c r="B193" s="261"/>
      <c r="C193" s="158"/>
      <c r="D193" s="158"/>
      <c r="E193" s="158"/>
      <c r="F193" s="158"/>
      <c r="H193" s="158"/>
      <c r="J193" s="158"/>
      <c r="L193" s="158"/>
      <c r="N193" s="158"/>
      <c r="P193" s="20"/>
    </row>
    <row r="194">
      <c r="B194" s="261"/>
      <c r="C194" s="158"/>
      <c r="D194" s="158"/>
      <c r="E194" s="158"/>
      <c r="F194" s="158"/>
      <c r="H194" s="158"/>
      <c r="J194" s="158"/>
      <c r="L194" s="158"/>
      <c r="N194" s="158"/>
      <c r="P194" s="20"/>
    </row>
    <row r="195">
      <c r="B195" s="261"/>
      <c r="C195" s="158"/>
      <c r="D195" s="158"/>
      <c r="E195" s="158"/>
      <c r="F195" s="158"/>
      <c r="H195" s="158"/>
      <c r="J195" s="158"/>
      <c r="L195" s="158"/>
      <c r="N195" s="158"/>
      <c r="P195" s="20"/>
    </row>
    <row r="196">
      <c r="B196" s="261"/>
      <c r="C196" s="158"/>
      <c r="D196" s="158"/>
      <c r="E196" s="158"/>
      <c r="F196" s="158"/>
      <c r="H196" s="158"/>
      <c r="J196" s="158"/>
      <c r="L196" s="158"/>
      <c r="N196" s="158"/>
      <c r="P196" s="20"/>
    </row>
    <row r="197">
      <c r="B197" s="261"/>
      <c r="C197" s="158"/>
      <c r="D197" s="158"/>
      <c r="E197" s="158"/>
      <c r="F197" s="158"/>
      <c r="H197" s="158"/>
      <c r="J197" s="158"/>
      <c r="L197" s="158"/>
      <c r="N197" s="158"/>
      <c r="P197" s="20"/>
    </row>
    <row r="198">
      <c r="B198" s="261"/>
      <c r="C198" s="158"/>
      <c r="D198" s="158"/>
      <c r="E198" s="158"/>
      <c r="F198" s="158"/>
      <c r="H198" s="158"/>
      <c r="J198" s="158"/>
      <c r="L198" s="158"/>
      <c r="N198" s="158"/>
      <c r="P198" s="20"/>
    </row>
    <row r="199">
      <c r="B199" s="261"/>
      <c r="C199" s="158"/>
      <c r="D199" s="158"/>
      <c r="E199" s="158"/>
      <c r="F199" s="158"/>
      <c r="H199" s="158"/>
      <c r="J199" s="158"/>
      <c r="L199" s="158"/>
      <c r="N199" s="158"/>
      <c r="P199" s="20"/>
    </row>
    <row r="200">
      <c r="B200" s="261"/>
      <c r="C200" s="158"/>
      <c r="D200" s="158"/>
      <c r="E200" s="158"/>
      <c r="F200" s="158"/>
      <c r="H200" s="158"/>
      <c r="J200" s="158"/>
      <c r="L200" s="158"/>
      <c r="N200" s="158"/>
      <c r="P200" s="20"/>
    </row>
    <row r="201">
      <c r="B201" s="261"/>
      <c r="C201" s="158"/>
      <c r="D201" s="158"/>
      <c r="E201" s="158"/>
      <c r="F201" s="158"/>
      <c r="H201" s="158"/>
      <c r="J201" s="158"/>
      <c r="L201" s="158"/>
      <c r="N201" s="158"/>
      <c r="P201" s="20"/>
    </row>
    <row r="202">
      <c r="B202" s="261"/>
      <c r="C202" s="158"/>
      <c r="D202" s="158"/>
      <c r="E202" s="158"/>
      <c r="F202" s="158"/>
      <c r="H202" s="158"/>
      <c r="J202" s="158"/>
      <c r="L202" s="158"/>
      <c r="N202" s="158"/>
      <c r="P202" s="20"/>
    </row>
    <row r="203">
      <c r="B203" s="261"/>
      <c r="C203" s="158"/>
      <c r="D203" s="158"/>
      <c r="E203" s="158"/>
      <c r="F203" s="158"/>
      <c r="H203" s="158"/>
      <c r="J203" s="158"/>
      <c r="L203" s="158"/>
      <c r="N203" s="158"/>
      <c r="P203" s="20"/>
    </row>
    <row r="204">
      <c r="B204" s="261"/>
      <c r="C204" s="158"/>
      <c r="D204" s="158"/>
      <c r="E204" s="158"/>
      <c r="F204" s="158"/>
      <c r="H204" s="158"/>
      <c r="J204" s="158"/>
      <c r="L204" s="158"/>
      <c r="N204" s="158"/>
      <c r="P204" s="20"/>
    </row>
    <row r="205">
      <c r="B205" s="261"/>
      <c r="C205" s="158"/>
      <c r="D205" s="158"/>
      <c r="E205" s="158"/>
      <c r="F205" s="158"/>
      <c r="H205" s="158"/>
      <c r="J205" s="158"/>
      <c r="L205" s="158"/>
      <c r="N205" s="158"/>
      <c r="P205" s="20"/>
    </row>
    <row r="206">
      <c r="B206" s="261"/>
      <c r="C206" s="158"/>
      <c r="D206" s="158"/>
      <c r="E206" s="158"/>
      <c r="F206" s="158"/>
      <c r="H206" s="158"/>
      <c r="J206" s="158"/>
      <c r="L206" s="158"/>
      <c r="N206" s="158"/>
      <c r="P206" s="20"/>
    </row>
    <row r="207">
      <c r="B207" s="261"/>
      <c r="C207" s="158"/>
      <c r="D207" s="158"/>
      <c r="E207" s="158"/>
      <c r="F207" s="158"/>
      <c r="H207" s="158"/>
      <c r="J207" s="158"/>
      <c r="L207" s="158"/>
      <c r="N207" s="158"/>
      <c r="P207" s="20"/>
    </row>
    <row r="208">
      <c r="B208" s="261"/>
      <c r="C208" s="158"/>
      <c r="D208" s="158"/>
      <c r="E208" s="158"/>
      <c r="F208" s="158"/>
      <c r="H208" s="158"/>
      <c r="J208" s="158"/>
      <c r="L208" s="158"/>
      <c r="N208" s="158"/>
      <c r="P208" s="20"/>
    </row>
    <row r="209">
      <c r="B209" s="261"/>
      <c r="C209" s="158"/>
      <c r="D209" s="158"/>
      <c r="E209" s="158"/>
      <c r="F209" s="158"/>
      <c r="H209" s="158"/>
      <c r="J209" s="158"/>
      <c r="L209" s="158"/>
      <c r="N209" s="158"/>
      <c r="P209" s="20"/>
    </row>
    <row r="210">
      <c r="B210" s="261"/>
      <c r="C210" s="158"/>
      <c r="D210" s="158"/>
      <c r="E210" s="158"/>
      <c r="F210" s="158"/>
      <c r="H210" s="158"/>
      <c r="J210" s="158"/>
      <c r="L210" s="158"/>
      <c r="N210" s="158"/>
      <c r="P210" s="20"/>
    </row>
    <row r="211">
      <c r="B211" s="261"/>
      <c r="C211" s="158"/>
      <c r="D211" s="158"/>
      <c r="E211" s="158"/>
      <c r="F211" s="158"/>
      <c r="H211" s="158"/>
      <c r="J211" s="158"/>
      <c r="L211" s="158"/>
      <c r="N211" s="158"/>
      <c r="P211" s="20"/>
    </row>
    <row r="212">
      <c r="B212" s="261"/>
      <c r="C212" s="158"/>
      <c r="D212" s="158"/>
      <c r="E212" s="158"/>
      <c r="F212" s="158"/>
      <c r="H212" s="158"/>
      <c r="J212" s="158"/>
      <c r="L212" s="158"/>
      <c r="N212" s="158"/>
      <c r="P212" s="20"/>
    </row>
    <row r="213">
      <c r="B213" s="261"/>
      <c r="C213" s="158"/>
      <c r="D213" s="158"/>
      <c r="E213" s="158"/>
      <c r="F213" s="158"/>
      <c r="H213" s="158"/>
      <c r="J213" s="158"/>
      <c r="L213" s="158"/>
      <c r="N213" s="158"/>
      <c r="P213" s="20"/>
    </row>
    <row r="214">
      <c r="B214" s="261"/>
      <c r="C214" s="158"/>
      <c r="D214" s="158"/>
      <c r="E214" s="158"/>
      <c r="F214" s="158"/>
      <c r="H214" s="158"/>
      <c r="J214" s="158"/>
      <c r="L214" s="158"/>
      <c r="N214" s="158"/>
      <c r="P214" s="20"/>
    </row>
    <row r="215">
      <c r="B215" s="261"/>
      <c r="C215" s="158"/>
      <c r="D215" s="158"/>
      <c r="E215" s="158"/>
      <c r="F215" s="158"/>
      <c r="H215" s="158"/>
      <c r="J215" s="158"/>
      <c r="L215" s="158"/>
      <c r="N215" s="158"/>
      <c r="P215" s="20"/>
    </row>
    <row r="216">
      <c r="B216" s="261"/>
      <c r="C216" s="158"/>
      <c r="D216" s="158"/>
      <c r="E216" s="158"/>
      <c r="F216" s="158"/>
      <c r="H216" s="158"/>
      <c r="J216" s="158"/>
      <c r="L216" s="158"/>
      <c r="N216" s="158"/>
      <c r="P216" s="20"/>
    </row>
    <row r="217">
      <c r="B217" s="261"/>
      <c r="C217" s="158"/>
      <c r="D217" s="158"/>
      <c r="E217" s="158"/>
      <c r="F217" s="158"/>
      <c r="H217" s="158"/>
      <c r="J217" s="158"/>
      <c r="L217" s="158"/>
      <c r="N217" s="158"/>
      <c r="P217" s="20"/>
    </row>
    <row r="218">
      <c r="B218" s="261"/>
      <c r="C218" s="158"/>
      <c r="D218" s="158"/>
      <c r="E218" s="158"/>
      <c r="F218" s="158"/>
      <c r="H218" s="158"/>
      <c r="J218" s="158"/>
      <c r="L218" s="158"/>
      <c r="N218" s="158"/>
      <c r="P218" s="20"/>
    </row>
    <row r="219">
      <c r="B219" s="261"/>
      <c r="C219" s="158"/>
      <c r="D219" s="158"/>
      <c r="E219" s="158"/>
      <c r="F219" s="158"/>
      <c r="H219" s="158"/>
      <c r="J219" s="158"/>
      <c r="L219" s="158"/>
      <c r="N219" s="158"/>
      <c r="P219" s="20"/>
    </row>
    <row r="220">
      <c r="B220" s="261"/>
      <c r="C220" s="158"/>
      <c r="D220" s="158"/>
      <c r="E220" s="158"/>
      <c r="F220" s="158"/>
      <c r="H220" s="158"/>
      <c r="J220" s="158"/>
      <c r="L220" s="158"/>
      <c r="N220" s="158"/>
      <c r="P220" s="20"/>
    </row>
    <row r="221">
      <c r="B221" s="261"/>
      <c r="C221" s="158"/>
      <c r="D221" s="158"/>
      <c r="E221" s="158"/>
      <c r="F221" s="158"/>
      <c r="H221" s="158"/>
      <c r="J221" s="158"/>
      <c r="L221" s="158"/>
      <c r="N221" s="158"/>
      <c r="P221" s="20"/>
    </row>
    <row r="222">
      <c r="B222" s="261"/>
      <c r="C222" s="158"/>
      <c r="D222" s="158"/>
      <c r="E222" s="158"/>
      <c r="F222" s="158"/>
      <c r="H222" s="158"/>
      <c r="J222" s="158"/>
      <c r="L222" s="158"/>
      <c r="N222" s="158"/>
      <c r="P222" s="20"/>
    </row>
    <row r="223">
      <c r="B223" s="261"/>
      <c r="C223" s="158"/>
      <c r="D223" s="158"/>
      <c r="E223" s="158"/>
      <c r="F223" s="158"/>
      <c r="H223" s="158"/>
      <c r="J223" s="158"/>
      <c r="L223" s="158"/>
      <c r="N223" s="158"/>
      <c r="P223" s="20"/>
    </row>
    <row r="224">
      <c r="B224" s="261"/>
      <c r="C224" s="158"/>
      <c r="D224" s="158"/>
      <c r="E224" s="158"/>
      <c r="F224" s="158"/>
      <c r="H224" s="158"/>
      <c r="J224" s="158"/>
      <c r="L224" s="158"/>
      <c r="N224" s="158"/>
      <c r="P224" s="20"/>
    </row>
    <row r="225">
      <c r="B225" s="261"/>
      <c r="C225" s="158"/>
      <c r="D225" s="158"/>
      <c r="E225" s="158"/>
      <c r="F225" s="158"/>
      <c r="H225" s="158"/>
      <c r="J225" s="158"/>
      <c r="L225" s="158"/>
      <c r="N225" s="158"/>
      <c r="P225" s="20"/>
    </row>
    <row r="226">
      <c r="B226" s="261"/>
      <c r="C226" s="158"/>
      <c r="D226" s="158"/>
      <c r="E226" s="158"/>
      <c r="F226" s="158"/>
      <c r="H226" s="158"/>
      <c r="J226" s="158"/>
      <c r="L226" s="158"/>
      <c r="N226" s="158"/>
      <c r="P226" s="20"/>
    </row>
    <row r="227">
      <c r="B227" s="261"/>
      <c r="C227" s="158"/>
      <c r="D227" s="158"/>
      <c r="E227" s="158"/>
      <c r="F227" s="158"/>
      <c r="H227" s="158"/>
      <c r="J227" s="158"/>
      <c r="L227" s="158"/>
      <c r="N227" s="158"/>
      <c r="P227" s="20"/>
    </row>
    <row r="228">
      <c r="B228" s="261"/>
      <c r="C228" s="158"/>
      <c r="D228" s="158"/>
      <c r="E228" s="158"/>
      <c r="F228" s="158"/>
      <c r="H228" s="158"/>
      <c r="J228" s="158"/>
      <c r="L228" s="158"/>
      <c r="N228" s="158"/>
      <c r="P228" s="20"/>
    </row>
    <row r="229">
      <c r="B229" s="261"/>
      <c r="C229" s="158"/>
      <c r="D229" s="158"/>
      <c r="E229" s="158"/>
      <c r="F229" s="158"/>
      <c r="H229" s="158"/>
      <c r="J229" s="158"/>
      <c r="L229" s="158"/>
      <c r="N229" s="158"/>
      <c r="P229" s="20"/>
    </row>
    <row r="230">
      <c r="B230" s="261"/>
      <c r="C230" s="158"/>
      <c r="D230" s="158"/>
      <c r="E230" s="158"/>
      <c r="F230" s="158"/>
      <c r="H230" s="158"/>
      <c r="J230" s="158"/>
      <c r="L230" s="158"/>
      <c r="N230" s="158"/>
      <c r="P230" s="20"/>
    </row>
    <row r="231">
      <c r="B231" s="261"/>
      <c r="C231" s="158"/>
      <c r="D231" s="158"/>
      <c r="E231" s="158"/>
      <c r="F231" s="158"/>
      <c r="H231" s="158"/>
      <c r="J231" s="158"/>
      <c r="L231" s="158"/>
      <c r="N231" s="158"/>
      <c r="P231" s="20"/>
    </row>
    <row r="232">
      <c r="B232" s="261"/>
      <c r="C232" s="158"/>
      <c r="D232" s="158"/>
      <c r="E232" s="158"/>
      <c r="F232" s="158"/>
      <c r="H232" s="158"/>
      <c r="J232" s="158"/>
      <c r="L232" s="158"/>
      <c r="N232" s="158"/>
      <c r="P232" s="20"/>
    </row>
    <row r="233">
      <c r="B233" s="261"/>
      <c r="C233" s="158"/>
      <c r="D233" s="158"/>
      <c r="E233" s="158"/>
      <c r="F233" s="158"/>
      <c r="H233" s="158"/>
      <c r="J233" s="158"/>
      <c r="L233" s="158"/>
      <c r="N233" s="158"/>
      <c r="P233" s="20"/>
    </row>
    <row r="234">
      <c r="B234" s="261"/>
      <c r="C234" s="158"/>
      <c r="D234" s="158"/>
      <c r="E234" s="158"/>
      <c r="F234" s="158"/>
      <c r="H234" s="158"/>
      <c r="J234" s="158"/>
      <c r="L234" s="158"/>
      <c r="N234" s="158"/>
      <c r="P234" s="20"/>
    </row>
    <row r="235">
      <c r="B235" s="261"/>
      <c r="C235" s="158"/>
      <c r="D235" s="158"/>
      <c r="E235" s="158"/>
      <c r="F235" s="158"/>
      <c r="H235" s="158"/>
      <c r="J235" s="158"/>
      <c r="L235" s="158"/>
      <c r="N235" s="158"/>
      <c r="P235" s="20"/>
    </row>
    <row r="236">
      <c r="B236" s="261"/>
      <c r="C236" s="158"/>
      <c r="D236" s="158"/>
      <c r="E236" s="158"/>
      <c r="F236" s="158"/>
      <c r="H236" s="158"/>
      <c r="J236" s="158"/>
      <c r="L236" s="158"/>
      <c r="N236" s="158"/>
      <c r="P236" s="20"/>
    </row>
    <row r="237">
      <c r="B237" s="261"/>
      <c r="C237" s="158"/>
      <c r="D237" s="158"/>
      <c r="E237" s="158"/>
      <c r="F237" s="158"/>
      <c r="H237" s="158"/>
      <c r="J237" s="158"/>
      <c r="L237" s="158"/>
      <c r="N237" s="158"/>
      <c r="P237" s="20"/>
    </row>
    <row r="238">
      <c r="B238" s="261"/>
      <c r="C238" s="158"/>
      <c r="D238" s="158"/>
      <c r="E238" s="158"/>
      <c r="F238" s="158"/>
      <c r="H238" s="158"/>
      <c r="J238" s="158"/>
      <c r="L238" s="158"/>
      <c r="N238" s="158"/>
      <c r="P238" s="20"/>
    </row>
    <row r="239">
      <c r="B239" s="261"/>
      <c r="C239" s="158"/>
      <c r="D239" s="158"/>
      <c r="E239" s="158"/>
      <c r="F239" s="158"/>
      <c r="H239" s="158"/>
      <c r="J239" s="158"/>
      <c r="L239" s="158"/>
      <c r="N239" s="158"/>
      <c r="P239" s="20"/>
    </row>
    <row r="240">
      <c r="B240" s="261"/>
      <c r="C240" s="158"/>
      <c r="D240" s="158"/>
      <c r="E240" s="158"/>
      <c r="F240" s="158"/>
      <c r="H240" s="158"/>
      <c r="J240" s="158"/>
      <c r="L240" s="158"/>
      <c r="N240" s="158"/>
      <c r="P240" s="20"/>
    </row>
    <row r="241">
      <c r="B241" s="261"/>
      <c r="C241" s="158"/>
      <c r="D241" s="158"/>
      <c r="E241" s="158"/>
      <c r="F241" s="158"/>
      <c r="H241" s="158"/>
      <c r="J241" s="158"/>
      <c r="L241" s="158"/>
      <c r="N241" s="158"/>
      <c r="P241" s="20"/>
    </row>
    <row r="242">
      <c r="B242" s="261"/>
      <c r="C242" s="158"/>
      <c r="D242" s="158"/>
      <c r="E242" s="158"/>
      <c r="F242" s="158"/>
      <c r="H242" s="158"/>
      <c r="J242" s="158"/>
      <c r="L242" s="158"/>
      <c r="N242" s="158"/>
      <c r="P242" s="20"/>
    </row>
    <row r="243">
      <c r="B243" s="261"/>
      <c r="C243" s="158"/>
      <c r="D243" s="158"/>
      <c r="E243" s="158"/>
      <c r="F243" s="158"/>
      <c r="H243" s="158"/>
      <c r="J243" s="158"/>
      <c r="L243" s="158"/>
      <c r="N243" s="158"/>
      <c r="P243" s="20"/>
    </row>
    <row r="244">
      <c r="B244" s="261"/>
      <c r="C244" s="158"/>
      <c r="D244" s="158"/>
      <c r="E244" s="158"/>
      <c r="F244" s="158"/>
      <c r="H244" s="158"/>
      <c r="J244" s="158"/>
      <c r="L244" s="158"/>
      <c r="N244" s="158"/>
      <c r="P244" s="20"/>
    </row>
    <row r="245">
      <c r="B245" s="261"/>
      <c r="C245" s="158"/>
      <c r="D245" s="158"/>
      <c r="E245" s="158"/>
      <c r="F245" s="158"/>
      <c r="H245" s="158"/>
      <c r="J245" s="158"/>
      <c r="L245" s="158"/>
      <c r="N245" s="158"/>
      <c r="P245" s="20"/>
    </row>
    <row r="246">
      <c r="B246" s="261"/>
      <c r="C246" s="158"/>
      <c r="D246" s="158"/>
      <c r="E246" s="158"/>
      <c r="F246" s="158"/>
      <c r="H246" s="158"/>
      <c r="J246" s="158"/>
      <c r="L246" s="158"/>
      <c r="N246" s="158"/>
      <c r="P246" s="20"/>
    </row>
    <row r="247">
      <c r="B247" s="261"/>
      <c r="C247" s="158"/>
      <c r="D247" s="158"/>
      <c r="E247" s="158"/>
      <c r="F247" s="158"/>
      <c r="H247" s="158"/>
      <c r="J247" s="158"/>
      <c r="L247" s="158"/>
      <c r="N247" s="158"/>
      <c r="P247" s="20"/>
    </row>
    <row r="248">
      <c r="B248" s="261"/>
      <c r="C248" s="158"/>
      <c r="D248" s="158"/>
      <c r="E248" s="158"/>
      <c r="F248" s="158"/>
      <c r="H248" s="158"/>
      <c r="J248" s="158"/>
      <c r="L248" s="158"/>
      <c r="N248" s="158"/>
      <c r="P248" s="20"/>
    </row>
    <row r="249">
      <c r="B249" s="261"/>
      <c r="C249" s="158"/>
      <c r="D249" s="158"/>
      <c r="E249" s="158"/>
      <c r="F249" s="158"/>
      <c r="H249" s="158"/>
      <c r="J249" s="158"/>
      <c r="L249" s="158"/>
      <c r="N249" s="158"/>
      <c r="P249" s="20"/>
    </row>
    <row r="250">
      <c r="B250" s="261"/>
      <c r="C250" s="158"/>
      <c r="D250" s="158"/>
      <c r="E250" s="158"/>
      <c r="F250" s="158"/>
      <c r="H250" s="158"/>
      <c r="J250" s="158"/>
      <c r="L250" s="158"/>
      <c r="N250" s="158"/>
      <c r="P250" s="20"/>
    </row>
    <row r="251">
      <c r="B251" s="261"/>
      <c r="C251" s="158"/>
      <c r="D251" s="158"/>
      <c r="E251" s="158"/>
      <c r="F251" s="158"/>
      <c r="H251" s="158"/>
      <c r="J251" s="158"/>
      <c r="L251" s="158"/>
      <c r="N251" s="158"/>
      <c r="P251" s="20"/>
    </row>
    <row r="252">
      <c r="B252" s="261"/>
      <c r="C252" s="158"/>
      <c r="D252" s="158"/>
      <c r="E252" s="158"/>
      <c r="F252" s="158"/>
      <c r="H252" s="158"/>
      <c r="J252" s="158"/>
      <c r="L252" s="158"/>
      <c r="N252" s="158"/>
      <c r="P252" s="20"/>
    </row>
    <row r="253">
      <c r="B253" s="261"/>
      <c r="C253" s="158"/>
      <c r="D253" s="158"/>
      <c r="E253" s="158"/>
      <c r="F253" s="158"/>
      <c r="H253" s="158"/>
      <c r="J253" s="158"/>
      <c r="L253" s="158"/>
      <c r="N253" s="158"/>
      <c r="P253" s="20"/>
    </row>
    <row r="254">
      <c r="B254" s="261"/>
      <c r="C254" s="158"/>
      <c r="D254" s="158"/>
      <c r="E254" s="158"/>
      <c r="F254" s="158"/>
      <c r="H254" s="158"/>
      <c r="J254" s="158"/>
      <c r="L254" s="158"/>
      <c r="N254" s="158"/>
      <c r="P254" s="20"/>
    </row>
    <row r="255">
      <c r="B255" s="261"/>
      <c r="C255" s="158"/>
      <c r="D255" s="158"/>
      <c r="E255" s="158"/>
      <c r="F255" s="158"/>
      <c r="H255" s="158"/>
      <c r="J255" s="158"/>
      <c r="L255" s="158"/>
      <c r="N255" s="158"/>
      <c r="P255" s="20"/>
    </row>
    <row r="256">
      <c r="B256" s="261"/>
      <c r="C256" s="158"/>
      <c r="D256" s="158"/>
      <c r="E256" s="158"/>
      <c r="F256" s="158"/>
      <c r="H256" s="158"/>
      <c r="J256" s="158"/>
      <c r="L256" s="158"/>
      <c r="N256" s="158"/>
      <c r="P256" s="20"/>
    </row>
    <row r="257">
      <c r="B257" s="261"/>
      <c r="C257" s="158"/>
      <c r="D257" s="158"/>
      <c r="E257" s="158"/>
      <c r="F257" s="158"/>
      <c r="H257" s="158"/>
      <c r="J257" s="158"/>
      <c r="L257" s="158"/>
      <c r="N257" s="158"/>
      <c r="P257" s="20"/>
    </row>
    <row r="258">
      <c r="B258" s="261"/>
      <c r="C258" s="158"/>
      <c r="D258" s="158"/>
      <c r="E258" s="158"/>
      <c r="F258" s="158"/>
      <c r="H258" s="158"/>
      <c r="J258" s="158"/>
      <c r="L258" s="158"/>
      <c r="N258" s="158"/>
      <c r="P258" s="20"/>
    </row>
    <row r="259">
      <c r="B259" s="261"/>
      <c r="C259" s="158"/>
      <c r="D259" s="158"/>
      <c r="E259" s="158"/>
      <c r="F259" s="158"/>
      <c r="H259" s="158"/>
      <c r="J259" s="158"/>
      <c r="L259" s="158"/>
      <c r="N259" s="158"/>
      <c r="P259" s="20"/>
    </row>
    <row r="260">
      <c r="B260" s="261"/>
      <c r="C260" s="158"/>
      <c r="D260" s="158"/>
      <c r="E260" s="158"/>
      <c r="F260" s="158"/>
      <c r="H260" s="158"/>
      <c r="J260" s="158"/>
      <c r="L260" s="158"/>
      <c r="N260" s="158"/>
      <c r="P260" s="20"/>
    </row>
    <row r="261">
      <c r="B261" s="261"/>
      <c r="C261" s="158"/>
      <c r="D261" s="158"/>
      <c r="E261" s="158"/>
      <c r="F261" s="158"/>
      <c r="H261" s="158"/>
      <c r="J261" s="158"/>
      <c r="L261" s="158"/>
      <c r="N261" s="158"/>
      <c r="P261" s="20"/>
    </row>
    <row r="262">
      <c r="B262" s="261"/>
      <c r="C262" s="158"/>
      <c r="D262" s="158"/>
      <c r="E262" s="158"/>
      <c r="F262" s="158"/>
      <c r="H262" s="158"/>
      <c r="J262" s="158"/>
      <c r="L262" s="158"/>
      <c r="N262" s="158"/>
      <c r="P262" s="20"/>
    </row>
    <row r="263">
      <c r="B263" s="261"/>
      <c r="C263" s="158"/>
      <c r="D263" s="158"/>
      <c r="E263" s="158"/>
      <c r="F263" s="158"/>
      <c r="H263" s="158"/>
      <c r="J263" s="158"/>
      <c r="L263" s="158"/>
      <c r="N263" s="158"/>
      <c r="P263" s="20"/>
    </row>
    <row r="264">
      <c r="B264" s="261"/>
      <c r="C264" s="158"/>
      <c r="D264" s="158"/>
      <c r="E264" s="158"/>
      <c r="F264" s="158"/>
      <c r="H264" s="158"/>
      <c r="J264" s="158"/>
      <c r="L264" s="158"/>
      <c r="N264" s="158"/>
      <c r="P264" s="20"/>
    </row>
    <row r="265">
      <c r="B265" s="261"/>
      <c r="C265" s="158"/>
      <c r="D265" s="158"/>
      <c r="E265" s="158"/>
      <c r="F265" s="158"/>
      <c r="H265" s="158"/>
      <c r="J265" s="158"/>
      <c r="L265" s="158"/>
      <c r="N265" s="158"/>
      <c r="P265" s="20"/>
    </row>
    <row r="266">
      <c r="B266" s="261"/>
      <c r="C266" s="158"/>
      <c r="D266" s="158"/>
      <c r="E266" s="158"/>
      <c r="F266" s="158"/>
      <c r="H266" s="158"/>
      <c r="J266" s="158"/>
      <c r="L266" s="158"/>
      <c r="N266" s="158"/>
      <c r="P266" s="20"/>
    </row>
    <row r="267">
      <c r="B267" s="261"/>
      <c r="C267" s="158"/>
      <c r="D267" s="158"/>
      <c r="E267" s="158"/>
      <c r="F267" s="158"/>
      <c r="H267" s="158"/>
      <c r="J267" s="158"/>
      <c r="L267" s="158"/>
      <c r="N267" s="158"/>
      <c r="P267" s="20"/>
    </row>
    <row r="268">
      <c r="B268" s="261"/>
      <c r="C268" s="158"/>
      <c r="D268" s="158"/>
      <c r="E268" s="158"/>
      <c r="F268" s="158"/>
      <c r="H268" s="158"/>
      <c r="J268" s="158"/>
      <c r="L268" s="158"/>
      <c r="N268" s="158"/>
      <c r="P268" s="20"/>
    </row>
    <row r="269">
      <c r="B269" s="261"/>
      <c r="C269" s="158"/>
      <c r="D269" s="158"/>
      <c r="E269" s="158"/>
      <c r="F269" s="158"/>
      <c r="H269" s="158"/>
      <c r="J269" s="158"/>
      <c r="L269" s="158"/>
      <c r="N269" s="158"/>
      <c r="P269" s="20"/>
    </row>
    <row r="270">
      <c r="B270" s="261"/>
      <c r="C270" s="158"/>
      <c r="D270" s="158"/>
      <c r="E270" s="158"/>
      <c r="F270" s="158"/>
      <c r="H270" s="158"/>
      <c r="J270" s="158"/>
      <c r="L270" s="158"/>
      <c r="N270" s="158"/>
      <c r="P270" s="20"/>
    </row>
    <row r="271">
      <c r="B271" s="261"/>
      <c r="C271" s="158"/>
      <c r="D271" s="158"/>
      <c r="E271" s="158"/>
      <c r="F271" s="158"/>
      <c r="H271" s="158"/>
      <c r="J271" s="158"/>
      <c r="L271" s="158"/>
      <c r="N271" s="158"/>
      <c r="P271" s="20"/>
    </row>
    <row r="272">
      <c r="B272" s="261"/>
      <c r="C272" s="158"/>
      <c r="D272" s="158"/>
      <c r="E272" s="158"/>
      <c r="F272" s="158"/>
      <c r="H272" s="158"/>
      <c r="J272" s="158"/>
      <c r="L272" s="158"/>
      <c r="N272" s="158"/>
      <c r="P272" s="20"/>
    </row>
    <row r="273">
      <c r="B273" s="261"/>
      <c r="C273" s="158"/>
      <c r="D273" s="158"/>
      <c r="E273" s="158"/>
      <c r="F273" s="158"/>
      <c r="H273" s="158"/>
      <c r="J273" s="158"/>
      <c r="L273" s="158"/>
      <c r="N273" s="158"/>
      <c r="P273" s="20"/>
    </row>
    <row r="274">
      <c r="B274" s="261"/>
      <c r="C274" s="158"/>
      <c r="D274" s="158"/>
      <c r="E274" s="158"/>
      <c r="F274" s="158"/>
      <c r="H274" s="158"/>
      <c r="J274" s="158"/>
      <c r="L274" s="158"/>
      <c r="N274" s="158"/>
      <c r="P274" s="20"/>
    </row>
    <row r="275">
      <c r="B275" s="261"/>
      <c r="C275" s="158"/>
      <c r="D275" s="158"/>
      <c r="E275" s="158"/>
      <c r="F275" s="158"/>
      <c r="H275" s="158"/>
      <c r="J275" s="158"/>
      <c r="L275" s="158"/>
      <c r="N275" s="158"/>
      <c r="P275" s="20"/>
    </row>
    <row r="276">
      <c r="B276" s="261"/>
      <c r="C276" s="158"/>
      <c r="D276" s="158"/>
      <c r="E276" s="158"/>
      <c r="F276" s="158"/>
      <c r="H276" s="158"/>
      <c r="J276" s="158"/>
      <c r="L276" s="158"/>
      <c r="N276" s="158"/>
      <c r="P276" s="20"/>
    </row>
    <row r="277">
      <c r="B277" s="261"/>
      <c r="C277" s="158"/>
      <c r="D277" s="158"/>
      <c r="E277" s="158"/>
      <c r="F277" s="158"/>
      <c r="H277" s="158"/>
      <c r="J277" s="158"/>
      <c r="L277" s="158"/>
      <c r="N277" s="158"/>
      <c r="P277" s="20"/>
    </row>
    <row r="278">
      <c r="B278" s="261"/>
      <c r="C278" s="158"/>
      <c r="D278" s="158"/>
      <c r="E278" s="158"/>
      <c r="F278" s="158"/>
      <c r="H278" s="158"/>
      <c r="J278" s="158"/>
      <c r="L278" s="158"/>
      <c r="N278" s="158"/>
      <c r="P278" s="20"/>
    </row>
    <row r="279">
      <c r="B279" s="261"/>
      <c r="C279" s="158"/>
      <c r="D279" s="158"/>
      <c r="E279" s="158"/>
      <c r="F279" s="158"/>
      <c r="H279" s="158"/>
      <c r="J279" s="158"/>
      <c r="L279" s="158"/>
      <c r="N279" s="158"/>
      <c r="P279" s="20"/>
    </row>
    <row r="280">
      <c r="B280" s="261"/>
      <c r="C280" s="158"/>
      <c r="D280" s="158"/>
      <c r="E280" s="158"/>
      <c r="F280" s="158"/>
      <c r="H280" s="158"/>
      <c r="J280" s="158"/>
      <c r="L280" s="158"/>
      <c r="N280" s="158"/>
      <c r="P280" s="20"/>
    </row>
    <row r="281">
      <c r="B281" s="261"/>
      <c r="C281" s="158"/>
      <c r="D281" s="158"/>
      <c r="E281" s="158"/>
      <c r="F281" s="158"/>
      <c r="H281" s="158"/>
      <c r="J281" s="158"/>
      <c r="L281" s="158"/>
      <c r="N281" s="158"/>
      <c r="P281" s="20"/>
    </row>
    <row r="282">
      <c r="B282" s="261"/>
      <c r="C282" s="158"/>
      <c r="D282" s="158"/>
      <c r="E282" s="158"/>
      <c r="F282" s="158"/>
      <c r="H282" s="158"/>
      <c r="J282" s="158"/>
      <c r="L282" s="158"/>
      <c r="N282" s="158"/>
      <c r="P282" s="20"/>
    </row>
    <row r="283">
      <c r="B283" s="261"/>
      <c r="C283" s="158"/>
      <c r="D283" s="158"/>
      <c r="E283" s="158"/>
      <c r="F283" s="158"/>
      <c r="H283" s="158"/>
      <c r="J283" s="158"/>
      <c r="L283" s="158"/>
      <c r="N283" s="158"/>
      <c r="P283" s="20"/>
    </row>
    <row r="284">
      <c r="B284" s="261"/>
      <c r="C284" s="158"/>
      <c r="D284" s="158"/>
      <c r="E284" s="158"/>
      <c r="F284" s="158"/>
      <c r="H284" s="158"/>
      <c r="J284" s="158"/>
      <c r="L284" s="158"/>
      <c r="N284" s="158"/>
      <c r="P284" s="20"/>
    </row>
    <row r="285">
      <c r="B285" s="261"/>
      <c r="C285" s="158"/>
      <c r="D285" s="158"/>
      <c r="E285" s="158"/>
      <c r="F285" s="158"/>
      <c r="H285" s="158"/>
      <c r="J285" s="158"/>
      <c r="L285" s="158"/>
      <c r="N285" s="158"/>
      <c r="P285" s="20"/>
    </row>
    <row r="286">
      <c r="B286" s="261"/>
      <c r="C286" s="158"/>
      <c r="D286" s="158"/>
      <c r="E286" s="158"/>
      <c r="F286" s="158"/>
      <c r="H286" s="158"/>
      <c r="J286" s="158"/>
      <c r="L286" s="158"/>
      <c r="N286" s="158"/>
      <c r="P286" s="20"/>
    </row>
    <row r="287">
      <c r="B287" s="261"/>
      <c r="C287" s="158"/>
      <c r="D287" s="158"/>
      <c r="E287" s="158"/>
      <c r="F287" s="158"/>
      <c r="H287" s="158"/>
      <c r="J287" s="158"/>
      <c r="L287" s="158"/>
      <c r="N287" s="158"/>
      <c r="P287" s="20"/>
    </row>
    <row r="288">
      <c r="B288" s="261"/>
      <c r="C288" s="158"/>
      <c r="D288" s="158"/>
      <c r="E288" s="158"/>
      <c r="F288" s="158"/>
      <c r="H288" s="158"/>
      <c r="J288" s="158"/>
      <c r="L288" s="158"/>
      <c r="N288" s="158"/>
      <c r="P288" s="20"/>
    </row>
    <row r="289">
      <c r="B289" s="261"/>
      <c r="C289" s="158"/>
      <c r="D289" s="158"/>
      <c r="E289" s="158"/>
      <c r="F289" s="158"/>
      <c r="H289" s="158"/>
      <c r="J289" s="158"/>
      <c r="L289" s="158"/>
      <c r="N289" s="158"/>
      <c r="P289" s="20"/>
    </row>
    <row r="290">
      <c r="B290" s="261"/>
      <c r="C290" s="158"/>
      <c r="D290" s="158"/>
      <c r="E290" s="158"/>
      <c r="F290" s="158"/>
      <c r="H290" s="158"/>
      <c r="J290" s="158"/>
      <c r="L290" s="158"/>
      <c r="N290" s="158"/>
      <c r="P290" s="20"/>
    </row>
    <row r="291">
      <c r="B291" s="261"/>
      <c r="C291" s="158"/>
      <c r="D291" s="158"/>
      <c r="E291" s="158"/>
      <c r="F291" s="158"/>
      <c r="H291" s="158"/>
      <c r="J291" s="158"/>
      <c r="L291" s="158"/>
      <c r="N291" s="158"/>
      <c r="P291" s="20"/>
    </row>
    <row r="292">
      <c r="B292" s="261"/>
      <c r="C292" s="158"/>
      <c r="D292" s="158"/>
      <c r="E292" s="158"/>
      <c r="F292" s="158"/>
      <c r="H292" s="158"/>
      <c r="J292" s="158"/>
      <c r="L292" s="158"/>
      <c r="N292" s="158"/>
      <c r="P292" s="20"/>
    </row>
    <row r="293">
      <c r="B293" s="261"/>
      <c r="C293" s="158"/>
      <c r="D293" s="158"/>
      <c r="E293" s="158"/>
      <c r="F293" s="158"/>
      <c r="H293" s="158"/>
      <c r="J293" s="158"/>
      <c r="L293" s="158"/>
      <c r="N293" s="158"/>
      <c r="P293" s="20"/>
    </row>
    <row r="294">
      <c r="B294" s="261"/>
      <c r="C294" s="158"/>
      <c r="D294" s="158"/>
      <c r="E294" s="158"/>
      <c r="F294" s="158"/>
      <c r="H294" s="158"/>
      <c r="J294" s="158"/>
      <c r="L294" s="158"/>
      <c r="N294" s="158"/>
      <c r="P294" s="20"/>
    </row>
    <row r="295">
      <c r="B295" s="261"/>
      <c r="C295" s="158"/>
      <c r="D295" s="158"/>
      <c r="E295" s="158"/>
      <c r="F295" s="158"/>
      <c r="H295" s="158"/>
      <c r="J295" s="158"/>
      <c r="L295" s="158"/>
      <c r="N295" s="158"/>
      <c r="P295" s="20"/>
    </row>
    <row r="296">
      <c r="B296" s="261"/>
      <c r="C296" s="158"/>
      <c r="D296" s="158"/>
      <c r="E296" s="158"/>
      <c r="F296" s="158"/>
      <c r="H296" s="158"/>
      <c r="J296" s="158"/>
      <c r="L296" s="158"/>
      <c r="N296" s="158"/>
      <c r="P296" s="20"/>
    </row>
    <row r="297">
      <c r="B297" s="261"/>
      <c r="C297" s="158"/>
      <c r="D297" s="158"/>
      <c r="E297" s="158"/>
      <c r="F297" s="158"/>
      <c r="H297" s="158"/>
      <c r="J297" s="158"/>
      <c r="L297" s="158"/>
      <c r="N297" s="158"/>
      <c r="P297" s="20"/>
    </row>
    <row r="298">
      <c r="B298" s="261"/>
      <c r="C298" s="158"/>
      <c r="D298" s="158"/>
      <c r="E298" s="158"/>
      <c r="F298" s="158"/>
      <c r="H298" s="158"/>
      <c r="J298" s="158"/>
      <c r="L298" s="158"/>
      <c r="N298" s="158"/>
      <c r="P298" s="20"/>
    </row>
    <row r="299">
      <c r="B299" s="261"/>
      <c r="C299" s="158"/>
      <c r="D299" s="158"/>
      <c r="E299" s="158"/>
      <c r="F299" s="158"/>
      <c r="H299" s="158"/>
      <c r="J299" s="158"/>
      <c r="L299" s="158"/>
      <c r="N299" s="158"/>
      <c r="P299" s="20"/>
    </row>
    <row r="300">
      <c r="B300" s="261"/>
      <c r="C300" s="158"/>
      <c r="D300" s="158"/>
      <c r="E300" s="158"/>
      <c r="F300" s="158"/>
      <c r="H300" s="158"/>
      <c r="J300" s="158"/>
      <c r="L300" s="158"/>
      <c r="N300" s="158"/>
      <c r="P300" s="20"/>
    </row>
    <row r="301">
      <c r="B301" s="261"/>
      <c r="C301" s="158"/>
      <c r="D301" s="158"/>
      <c r="E301" s="158"/>
      <c r="F301" s="158"/>
      <c r="H301" s="158"/>
      <c r="J301" s="158"/>
      <c r="L301" s="158"/>
      <c r="N301" s="158"/>
      <c r="P301" s="20"/>
    </row>
    <row r="302">
      <c r="B302" s="261"/>
      <c r="C302" s="158"/>
      <c r="D302" s="158"/>
      <c r="E302" s="158"/>
      <c r="F302" s="158"/>
      <c r="H302" s="158"/>
      <c r="J302" s="158"/>
      <c r="L302" s="158"/>
      <c r="N302" s="158"/>
      <c r="P302" s="20"/>
    </row>
    <row r="303">
      <c r="B303" s="261"/>
      <c r="C303" s="158"/>
      <c r="D303" s="158"/>
      <c r="E303" s="158"/>
      <c r="F303" s="158"/>
      <c r="H303" s="158"/>
      <c r="J303" s="158"/>
      <c r="L303" s="158"/>
      <c r="N303" s="158"/>
      <c r="P303" s="20"/>
    </row>
    <row r="304">
      <c r="B304" s="261"/>
      <c r="C304" s="158"/>
      <c r="D304" s="158"/>
      <c r="E304" s="158"/>
      <c r="F304" s="158"/>
      <c r="H304" s="158"/>
      <c r="J304" s="158"/>
      <c r="L304" s="158"/>
      <c r="N304" s="158"/>
      <c r="P304" s="20"/>
    </row>
    <row r="305">
      <c r="B305" s="261"/>
      <c r="C305" s="158"/>
      <c r="D305" s="158"/>
      <c r="E305" s="158"/>
      <c r="F305" s="158"/>
      <c r="H305" s="158"/>
      <c r="J305" s="158"/>
      <c r="L305" s="158"/>
      <c r="N305" s="158"/>
      <c r="P305" s="20"/>
    </row>
    <row r="306">
      <c r="B306" s="261"/>
      <c r="C306" s="158"/>
      <c r="D306" s="158"/>
      <c r="E306" s="158"/>
      <c r="F306" s="158"/>
      <c r="H306" s="158"/>
      <c r="J306" s="158"/>
      <c r="L306" s="158"/>
      <c r="N306" s="158"/>
      <c r="P306" s="20"/>
    </row>
    <row r="307">
      <c r="B307" s="261"/>
      <c r="C307" s="158"/>
      <c r="D307" s="158"/>
      <c r="E307" s="158"/>
      <c r="F307" s="158"/>
      <c r="H307" s="158"/>
      <c r="J307" s="158"/>
      <c r="L307" s="158"/>
      <c r="N307" s="158"/>
      <c r="P307" s="20"/>
    </row>
    <row r="308">
      <c r="B308" s="261"/>
      <c r="C308" s="158"/>
      <c r="D308" s="158"/>
      <c r="E308" s="158"/>
      <c r="F308" s="158"/>
      <c r="H308" s="158"/>
      <c r="J308" s="158"/>
      <c r="L308" s="158"/>
      <c r="N308" s="158"/>
      <c r="P308" s="20"/>
    </row>
    <row r="309">
      <c r="B309" s="261"/>
      <c r="C309" s="158"/>
      <c r="D309" s="158"/>
      <c r="E309" s="158"/>
      <c r="F309" s="158"/>
      <c r="H309" s="158"/>
      <c r="J309" s="158"/>
      <c r="L309" s="158"/>
      <c r="N309" s="158"/>
      <c r="P309" s="20"/>
    </row>
    <row r="310">
      <c r="B310" s="261"/>
      <c r="C310" s="158"/>
      <c r="D310" s="158"/>
      <c r="E310" s="158"/>
      <c r="F310" s="158"/>
      <c r="H310" s="158"/>
      <c r="J310" s="158"/>
      <c r="L310" s="158"/>
      <c r="N310" s="158"/>
      <c r="P310" s="20"/>
    </row>
    <row r="311">
      <c r="B311" s="261"/>
      <c r="C311" s="158"/>
      <c r="D311" s="158"/>
      <c r="E311" s="158"/>
      <c r="F311" s="158"/>
      <c r="H311" s="158"/>
      <c r="J311" s="158"/>
      <c r="L311" s="158"/>
      <c r="N311" s="158"/>
      <c r="P311" s="20"/>
    </row>
    <row r="312">
      <c r="B312" s="261"/>
      <c r="C312" s="158"/>
      <c r="D312" s="158"/>
      <c r="E312" s="158"/>
      <c r="F312" s="158"/>
      <c r="H312" s="158"/>
      <c r="J312" s="158"/>
      <c r="L312" s="158"/>
      <c r="N312" s="158"/>
      <c r="P312" s="20"/>
    </row>
    <row r="313">
      <c r="B313" s="261"/>
      <c r="C313" s="158"/>
      <c r="D313" s="158"/>
      <c r="E313" s="158"/>
      <c r="F313" s="158"/>
      <c r="H313" s="158"/>
      <c r="J313" s="158"/>
      <c r="L313" s="158"/>
      <c r="N313" s="158"/>
      <c r="P313" s="20"/>
    </row>
    <row r="314">
      <c r="B314" s="261"/>
      <c r="C314" s="158"/>
      <c r="D314" s="158"/>
      <c r="E314" s="158"/>
      <c r="F314" s="158"/>
      <c r="H314" s="158"/>
      <c r="J314" s="158"/>
      <c r="L314" s="158"/>
      <c r="N314" s="158"/>
      <c r="P314" s="20"/>
    </row>
    <row r="315">
      <c r="B315" s="261"/>
      <c r="C315" s="158"/>
      <c r="D315" s="158"/>
      <c r="E315" s="158"/>
      <c r="F315" s="158"/>
      <c r="H315" s="158"/>
      <c r="J315" s="158"/>
      <c r="L315" s="158"/>
      <c r="N315" s="158"/>
      <c r="P315" s="20"/>
    </row>
    <row r="316">
      <c r="B316" s="261"/>
      <c r="C316" s="158"/>
      <c r="D316" s="158"/>
      <c r="E316" s="158"/>
      <c r="F316" s="158"/>
      <c r="H316" s="158"/>
      <c r="J316" s="158"/>
      <c r="L316" s="158"/>
      <c r="N316" s="158"/>
      <c r="P316" s="20"/>
    </row>
    <row r="317">
      <c r="B317" s="261"/>
      <c r="C317" s="158"/>
      <c r="D317" s="158"/>
      <c r="E317" s="158"/>
      <c r="F317" s="158"/>
      <c r="H317" s="158"/>
      <c r="J317" s="158"/>
      <c r="L317" s="158"/>
      <c r="N317" s="158"/>
      <c r="P317" s="20"/>
    </row>
    <row r="318">
      <c r="B318" s="261"/>
      <c r="C318" s="158"/>
      <c r="D318" s="158"/>
      <c r="E318" s="158"/>
      <c r="F318" s="158"/>
      <c r="H318" s="158"/>
      <c r="J318" s="158"/>
      <c r="L318" s="158"/>
      <c r="N318" s="158"/>
      <c r="P318" s="20"/>
    </row>
    <row r="319">
      <c r="B319" s="261"/>
      <c r="C319" s="158"/>
      <c r="D319" s="158"/>
      <c r="E319" s="158"/>
      <c r="F319" s="158"/>
      <c r="H319" s="158"/>
      <c r="J319" s="158"/>
      <c r="L319" s="158"/>
      <c r="N319" s="158"/>
      <c r="P319" s="20"/>
    </row>
    <row r="320">
      <c r="B320" s="261"/>
      <c r="C320" s="158"/>
      <c r="D320" s="158"/>
      <c r="E320" s="158"/>
      <c r="F320" s="158"/>
      <c r="H320" s="158"/>
      <c r="J320" s="158"/>
      <c r="L320" s="158"/>
      <c r="N320" s="158"/>
      <c r="P320" s="20"/>
    </row>
    <row r="321">
      <c r="B321" s="261"/>
      <c r="C321" s="158"/>
      <c r="D321" s="158"/>
      <c r="E321" s="158"/>
      <c r="F321" s="158"/>
      <c r="H321" s="158"/>
      <c r="J321" s="158"/>
      <c r="L321" s="158"/>
      <c r="N321" s="158"/>
      <c r="P321" s="20"/>
    </row>
    <row r="322">
      <c r="B322" s="261"/>
      <c r="C322" s="158"/>
      <c r="D322" s="158"/>
      <c r="E322" s="158"/>
      <c r="F322" s="158"/>
      <c r="H322" s="158"/>
      <c r="J322" s="158"/>
      <c r="L322" s="158"/>
      <c r="N322" s="158"/>
      <c r="P322" s="20"/>
    </row>
    <row r="323">
      <c r="B323" s="261"/>
      <c r="C323" s="158"/>
      <c r="D323" s="158"/>
      <c r="E323" s="158"/>
      <c r="F323" s="158"/>
      <c r="H323" s="158"/>
      <c r="J323" s="158"/>
      <c r="L323" s="158"/>
      <c r="N323" s="158"/>
      <c r="P323" s="20"/>
    </row>
    <row r="324">
      <c r="B324" s="261"/>
      <c r="C324" s="158"/>
      <c r="D324" s="158"/>
      <c r="E324" s="158"/>
      <c r="F324" s="158"/>
      <c r="H324" s="158"/>
      <c r="J324" s="158"/>
      <c r="L324" s="158"/>
      <c r="N324" s="158"/>
      <c r="P324" s="20"/>
    </row>
    <row r="325">
      <c r="B325" s="261"/>
      <c r="C325" s="158"/>
      <c r="D325" s="158"/>
      <c r="E325" s="158"/>
      <c r="F325" s="158"/>
      <c r="H325" s="158"/>
      <c r="J325" s="158"/>
      <c r="L325" s="158"/>
      <c r="N325" s="158"/>
      <c r="P325" s="20"/>
    </row>
    <row r="326">
      <c r="B326" s="261"/>
      <c r="C326" s="158"/>
      <c r="D326" s="158"/>
      <c r="E326" s="158"/>
      <c r="F326" s="158"/>
      <c r="H326" s="158"/>
      <c r="J326" s="158"/>
      <c r="L326" s="158"/>
      <c r="N326" s="158"/>
      <c r="P326" s="20"/>
    </row>
    <row r="327">
      <c r="B327" s="261"/>
      <c r="C327" s="158"/>
      <c r="D327" s="158"/>
      <c r="E327" s="158"/>
      <c r="F327" s="158"/>
      <c r="H327" s="158"/>
      <c r="J327" s="158"/>
      <c r="L327" s="158"/>
      <c r="N327" s="158"/>
      <c r="P327" s="20"/>
    </row>
    <row r="328">
      <c r="B328" s="261"/>
      <c r="C328" s="158"/>
      <c r="D328" s="158"/>
      <c r="E328" s="158"/>
      <c r="F328" s="158"/>
      <c r="H328" s="158"/>
      <c r="J328" s="158"/>
      <c r="L328" s="158"/>
      <c r="N328" s="158"/>
      <c r="P328" s="20"/>
    </row>
    <row r="329">
      <c r="B329" s="261"/>
      <c r="C329" s="158"/>
      <c r="D329" s="158"/>
      <c r="E329" s="158"/>
      <c r="F329" s="158"/>
      <c r="H329" s="158"/>
      <c r="J329" s="158"/>
      <c r="L329" s="158"/>
      <c r="N329" s="158"/>
      <c r="P329" s="20"/>
    </row>
    <row r="330">
      <c r="B330" s="261"/>
      <c r="C330" s="158"/>
      <c r="D330" s="158"/>
      <c r="E330" s="158"/>
      <c r="F330" s="158"/>
      <c r="H330" s="158"/>
      <c r="J330" s="158"/>
      <c r="L330" s="158"/>
      <c r="N330" s="158"/>
      <c r="P330" s="20"/>
    </row>
    <row r="331">
      <c r="B331" s="261"/>
      <c r="C331" s="158"/>
      <c r="D331" s="158"/>
      <c r="E331" s="158"/>
      <c r="F331" s="158"/>
      <c r="H331" s="158"/>
      <c r="J331" s="158"/>
      <c r="L331" s="158"/>
      <c r="N331" s="158"/>
      <c r="P331" s="20"/>
    </row>
    <row r="332">
      <c r="B332" s="261"/>
      <c r="C332" s="158"/>
      <c r="D332" s="158"/>
      <c r="E332" s="158"/>
      <c r="F332" s="158"/>
      <c r="H332" s="158"/>
      <c r="J332" s="158"/>
      <c r="L332" s="158"/>
      <c r="N332" s="158"/>
      <c r="P332" s="20"/>
    </row>
    <row r="333">
      <c r="B333" s="261"/>
      <c r="C333" s="158"/>
      <c r="D333" s="158"/>
      <c r="E333" s="158"/>
      <c r="F333" s="158"/>
      <c r="H333" s="158"/>
      <c r="J333" s="158"/>
      <c r="L333" s="158"/>
      <c r="N333" s="158"/>
      <c r="P333" s="20"/>
    </row>
    <row r="334">
      <c r="B334" s="261"/>
      <c r="C334" s="158"/>
      <c r="D334" s="158"/>
      <c r="E334" s="158"/>
      <c r="F334" s="158"/>
      <c r="H334" s="158"/>
      <c r="J334" s="158"/>
      <c r="L334" s="158"/>
      <c r="N334" s="158"/>
      <c r="P334" s="20"/>
    </row>
    <row r="335">
      <c r="B335" s="261"/>
      <c r="C335" s="158"/>
      <c r="D335" s="158"/>
      <c r="E335" s="158"/>
      <c r="F335" s="158"/>
      <c r="H335" s="158"/>
      <c r="J335" s="158"/>
      <c r="L335" s="158"/>
      <c r="N335" s="158"/>
      <c r="P335" s="20"/>
    </row>
    <row r="336">
      <c r="B336" s="261"/>
      <c r="C336" s="158"/>
      <c r="D336" s="158"/>
      <c r="E336" s="158"/>
      <c r="F336" s="158"/>
      <c r="H336" s="158"/>
      <c r="J336" s="158"/>
      <c r="L336" s="158"/>
      <c r="N336" s="158"/>
      <c r="P336" s="20"/>
    </row>
    <row r="337">
      <c r="B337" s="261"/>
      <c r="C337" s="158"/>
      <c r="D337" s="158"/>
      <c r="E337" s="158"/>
      <c r="F337" s="158"/>
      <c r="H337" s="158"/>
      <c r="J337" s="158"/>
      <c r="L337" s="158"/>
      <c r="N337" s="158"/>
      <c r="P337" s="20"/>
    </row>
    <row r="338">
      <c r="B338" s="261"/>
      <c r="C338" s="158"/>
      <c r="D338" s="158"/>
      <c r="E338" s="158"/>
      <c r="F338" s="158"/>
      <c r="H338" s="158"/>
      <c r="J338" s="158"/>
      <c r="L338" s="158"/>
      <c r="N338" s="158"/>
      <c r="P338" s="20"/>
    </row>
    <row r="339">
      <c r="B339" s="261"/>
      <c r="C339" s="158"/>
      <c r="D339" s="158"/>
      <c r="E339" s="158"/>
      <c r="F339" s="158"/>
      <c r="H339" s="158"/>
      <c r="J339" s="158"/>
      <c r="L339" s="158"/>
      <c r="N339" s="158"/>
      <c r="P339" s="20"/>
    </row>
    <row r="340">
      <c r="B340" s="261"/>
      <c r="C340" s="158"/>
      <c r="D340" s="158"/>
      <c r="E340" s="158"/>
      <c r="F340" s="158"/>
      <c r="H340" s="158"/>
      <c r="J340" s="158"/>
      <c r="L340" s="158"/>
      <c r="N340" s="158"/>
      <c r="P340" s="20"/>
    </row>
    <row r="341">
      <c r="B341" s="261"/>
      <c r="C341" s="158"/>
      <c r="D341" s="158"/>
      <c r="E341" s="158"/>
      <c r="F341" s="158"/>
      <c r="H341" s="158"/>
      <c r="J341" s="158"/>
      <c r="L341" s="158"/>
      <c r="N341" s="158"/>
      <c r="P341" s="20"/>
    </row>
    <row r="342">
      <c r="B342" s="261"/>
      <c r="C342" s="158"/>
      <c r="D342" s="158"/>
      <c r="E342" s="158"/>
      <c r="F342" s="158"/>
      <c r="H342" s="158"/>
      <c r="J342" s="158"/>
      <c r="L342" s="158"/>
      <c r="N342" s="158"/>
      <c r="P342" s="20"/>
    </row>
    <row r="343">
      <c r="B343" s="261"/>
      <c r="C343" s="158"/>
      <c r="D343" s="158"/>
      <c r="E343" s="158"/>
      <c r="F343" s="158"/>
      <c r="H343" s="158"/>
      <c r="J343" s="158"/>
      <c r="L343" s="158"/>
      <c r="N343" s="158"/>
      <c r="P343" s="20"/>
    </row>
    <row r="344">
      <c r="B344" s="261"/>
      <c r="C344" s="158"/>
      <c r="D344" s="158"/>
      <c r="E344" s="158"/>
      <c r="F344" s="158"/>
      <c r="H344" s="158"/>
      <c r="J344" s="158"/>
      <c r="L344" s="158"/>
      <c r="N344" s="158"/>
      <c r="P344" s="20"/>
    </row>
    <row r="345">
      <c r="B345" s="261"/>
      <c r="C345" s="158"/>
      <c r="D345" s="158"/>
      <c r="E345" s="158"/>
      <c r="F345" s="158"/>
      <c r="H345" s="158"/>
      <c r="J345" s="158"/>
      <c r="L345" s="158"/>
      <c r="N345" s="158"/>
      <c r="P345" s="20"/>
    </row>
    <row r="346">
      <c r="B346" s="261"/>
      <c r="C346" s="158"/>
      <c r="D346" s="158"/>
      <c r="E346" s="158"/>
      <c r="F346" s="158"/>
      <c r="H346" s="158"/>
      <c r="J346" s="158"/>
      <c r="L346" s="158"/>
      <c r="N346" s="158"/>
      <c r="P346" s="20"/>
    </row>
    <row r="347">
      <c r="B347" s="261"/>
      <c r="C347" s="158"/>
      <c r="D347" s="158"/>
      <c r="E347" s="158"/>
      <c r="F347" s="158"/>
      <c r="H347" s="158"/>
      <c r="J347" s="158"/>
      <c r="L347" s="158"/>
      <c r="N347" s="158"/>
      <c r="P347" s="20"/>
    </row>
    <row r="348">
      <c r="B348" s="261"/>
      <c r="C348" s="158"/>
      <c r="D348" s="158"/>
      <c r="E348" s="158"/>
      <c r="F348" s="158"/>
      <c r="H348" s="158"/>
      <c r="J348" s="158"/>
      <c r="L348" s="158"/>
      <c r="N348" s="158"/>
      <c r="P348" s="20"/>
    </row>
    <row r="349">
      <c r="B349" s="261"/>
      <c r="C349" s="158"/>
      <c r="D349" s="158"/>
      <c r="E349" s="158"/>
      <c r="F349" s="158"/>
      <c r="H349" s="158"/>
      <c r="J349" s="158"/>
      <c r="L349" s="158"/>
      <c r="N349" s="158"/>
      <c r="P349" s="20"/>
    </row>
    <row r="350">
      <c r="B350" s="261"/>
      <c r="C350" s="158"/>
      <c r="D350" s="158"/>
      <c r="E350" s="158"/>
      <c r="F350" s="158"/>
      <c r="H350" s="158"/>
      <c r="J350" s="158"/>
      <c r="L350" s="158"/>
      <c r="N350" s="158"/>
      <c r="P350" s="20"/>
    </row>
    <row r="351">
      <c r="B351" s="261"/>
      <c r="C351" s="158"/>
      <c r="D351" s="158"/>
      <c r="E351" s="158"/>
      <c r="F351" s="158"/>
      <c r="H351" s="158"/>
      <c r="J351" s="158"/>
      <c r="L351" s="158"/>
      <c r="N351" s="158"/>
      <c r="P351" s="20"/>
    </row>
    <row r="352">
      <c r="B352" s="261"/>
      <c r="C352" s="158"/>
      <c r="D352" s="158"/>
      <c r="E352" s="158"/>
      <c r="F352" s="158"/>
      <c r="H352" s="158"/>
      <c r="J352" s="158"/>
      <c r="L352" s="158"/>
      <c r="N352" s="158"/>
      <c r="P352" s="20"/>
    </row>
    <row r="353">
      <c r="B353" s="261"/>
      <c r="C353" s="158"/>
      <c r="D353" s="158"/>
      <c r="E353" s="158"/>
      <c r="F353" s="158"/>
      <c r="H353" s="158"/>
      <c r="J353" s="158"/>
      <c r="L353" s="158"/>
      <c r="N353" s="158"/>
      <c r="P353" s="20"/>
    </row>
    <row r="354">
      <c r="B354" s="261"/>
      <c r="C354" s="158"/>
      <c r="D354" s="158"/>
      <c r="E354" s="158"/>
      <c r="F354" s="158"/>
      <c r="H354" s="158"/>
      <c r="J354" s="158"/>
      <c r="L354" s="158"/>
      <c r="N354" s="158"/>
      <c r="P354" s="20"/>
    </row>
    <row r="355">
      <c r="B355" s="261"/>
      <c r="C355" s="158"/>
      <c r="D355" s="158"/>
      <c r="E355" s="158"/>
      <c r="F355" s="158"/>
      <c r="H355" s="158"/>
      <c r="J355" s="158"/>
      <c r="L355" s="158"/>
      <c r="N355" s="158"/>
      <c r="P355" s="20"/>
    </row>
    <row r="356">
      <c r="B356" s="261"/>
      <c r="C356" s="158"/>
      <c r="D356" s="158"/>
      <c r="E356" s="158"/>
      <c r="F356" s="158"/>
      <c r="H356" s="158"/>
      <c r="J356" s="158"/>
      <c r="L356" s="158"/>
      <c r="N356" s="158"/>
      <c r="P356" s="20"/>
    </row>
    <row r="357">
      <c r="B357" s="261"/>
      <c r="C357" s="158"/>
      <c r="D357" s="158"/>
      <c r="E357" s="158"/>
      <c r="F357" s="158"/>
      <c r="H357" s="158"/>
      <c r="J357" s="158"/>
      <c r="L357" s="158"/>
      <c r="N357" s="158"/>
      <c r="P357" s="20"/>
    </row>
    <row r="358">
      <c r="B358" s="261"/>
      <c r="C358" s="158"/>
      <c r="D358" s="158"/>
      <c r="E358" s="158"/>
      <c r="F358" s="158"/>
      <c r="H358" s="158"/>
      <c r="J358" s="158"/>
      <c r="L358" s="158"/>
      <c r="N358" s="158"/>
      <c r="P358" s="20"/>
    </row>
    <row r="359">
      <c r="B359" s="261"/>
      <c r="C359" s="158"/>
      <c r="D359" s="158"/>
      <c r="E359" s="158"/>
      <c r="F359" s="158"/>
      <c r="H359" s="158"/>
      <c r="J359" s="158"/>
      <c r="L359" s="158"/>
      <c r="N359" s="158"/>
      <c r="P359" s="20"/>
    </row>
    <row r="360">
      <c r="B360" s="261"/>
      <c r="C360" s="158"/>
      <c r="D360" s="158"/>
      <c r="E360" s="158"/>
      <c r="F360" s="158"/>
      <c r="H360" s="158"/>
      <c r="J360" s="158"/>
      <c r="L360" s="158"/>
      <c r="N360" s="158"/>
      <c r="P360" s="20"/>
    </row>
    <row r="361">
      <c r="B361" s="261"/>
      <c r="C361" s="158"/>
      <c r="D361" s="158"/>
      <c r="E361" s="158"/>
      <c r="F361" s="158"/>
      <c r="H361" s="158"/>
      <c r="J361" s="158"/>
      <c r="L361" s="158"/>
      <c r="N361" s="158"/>
      <c r="P361" s="20"/>
    </row>
    <row r="362">
      <c r="B362" s="261"/>
      <c r="C362" s="158"/>
      <c r="D362" s="158"/>
      <c r="E362" s="158"/>
      <c r="F362" s="158"/>
      <c r="H362" s="158"/>
      <c r="J362" s="158"/>
      <c r="L362" s="158"/>
      <c r="N362" s="158"/>
      <c r="P362" s="20"/>
    </row>
    <row r="363">
      <c r="B363" s="261"/>
      <c r="C363" s="158"/>
      <c r="D363" s="158"/>
      <c r="E363" s="158"/>
      <c r="F363" s="158"/>
      <c r="H363" s="158"/>
      <c r="J363" s="158"/>
      <c r="L363" s="158"/>
      <c r="N363" s="158"/>
      <c r="P363" s="20"/>
    </row>
    <row r="364">
      <c r="B364" s="261"/>
      <c r="C364" s="158"/>
      <c r="D364" s="158"/>
      <c r="E364" s="158"/>
      <c r="F364" s="158"/>
      <c r="H364" s="158"/>
      <c r="J364" s="158"/>
      <c r="L364" s="158"/>
      <c r="N364" s="158"/>
      <c r="P364" s="20"/>
    </row>
    <row r="365">
      <c r="B365" s="261"/>
      <c r="C365" s="158"/>
      <c r="D365" s="158"/>
      <c r="E365" s="158"/>
      <c r="F365" s="158"/>
      <c r="H365" s="158"/>
      <c r="J365" s="158"/>
      <c r="L365" s="158"/>
      <c r="N365" s="158"/>
      <c r="P365" s="20"/>
    </row>
    <row r="366">
      <c r="B366" s="261"/>
      <c r="C366" s="158"/>
      <c r="D366" s="158"/>
      <c r="E366" s="158"/>
      <c r="F366" s="158"/>
      <c r="H366" s="158"/>
      <c r="J366" s="158"/>
      <c r="L366" s="158"/>
      <c r="N366" s="158"/>
      <c r="P366" s="20"/>
    </row>
    <row r="367">
      <c r="B367" s="261"/>
      <c r="C367" s="158"/>
      <c r="D367" s="158"/>
      <c r="E367" s="158"/>
      <c r="F367" s="158"/>
      <c r="H367" s="158"/>
      <c r="J367" s="158"/>
      <c r="L367" s="158"/>
      <c r="N367" s="158"/>
      <c r="P367" s="20"/>
    </row>
    <row r="368">
      <c r="B368" s="261"/>
      <c r="C368" s="158"/>
      <c r="D368" s="158"/>
      <c r="E368" s="158"/>
      <c r="F368" s="158"/>
      <c r="H368" s="158"/>
      <c r="J368" s="158"/>
      <c r="L368" s="158"/>
      <c r="N368" s="158"/>
      <c r="P368" s="20"/>
    </row>
    <row r="369">
      <c r="B369" s="261"/>
      <c r="C369" s="158"/>
      <c r="D369" s="158"/>
      <c r="E369" s="158"/>
      <c r="F369" s="158"/>
      <c r="H369" s="158"/>
      <c r="J369" s="158"/>
      <c r="L369" s="158"/>
      <c r="N369" s="158"/>
      <c r="P369" s="20"/>
    </row>
    <row r="370">
      <c r="B370" s="261"/>
      <c r="C370" s="158"/>
      <c r="D370" s="158"/>
      <c r="E370" s="158"/>
      <c r="F370" s="158"/>
      <c r="H370" s="158"/>
      <c r="J370" s="158"/>
      <c r="L370" s="158"/>
      <c r="N370" s="158"/>
      <c r="P370" s="20"/>
    </row>
    <row r="371">
      <c r="B371" s="261"/>
      <c r="C371" s="158"/>
      <c r="D371" s="158"/>
      <c r="E371" s="158"/>
      <c r="F371" s="158"/>
      <c r="H371" s="158"/>
      <c r="J371" s="158"/>
      <c r="L371" s="158"/>
      <c r="N371" s="158"/>
      <c r="P371" s="20"/>
    </row>
    <row r="372">
      <c r="B372" s="261"/>
      <c r="C372" s="158"/>
      <c r="D372" s="158"/>
      <c r="E372" s="158"/>
      <c r="F372" s="158"/>
      <c r="H372" s="158"/>
      <c r="J372" s="158"/>
      <c r="L372" s="158"/>
      <c r="N372" s="158"/>
      <c r="P372" s="20"/>
    </row>
    <row r="373">
      <c r="B373" s="261"/>
      <c r="C373" s="158"/>
      <c r="D373" s="158"/>
      <c r="E373" s="158"/>
      <c r="F373" s="158"/>
      <c r="H373" s="158"/>
      <c r="J373" s="158"/>
      <c r="L373" s="158"/>
      <c r="N373" s="158"/>
      <c r="P373" s="20"/>
    </row>
    <row r="374">
      <c r="B374" s="261"/>
      <c r="C374" s="158"/>
      <c r="D374" s="158"/>
      <c r="E374" s="158"/>
      <c r="F374" s="158"/>
      <c r="H374" s="158"/>
      <c r="J374" s="158"/>
      <c r="L374" s="158"/>
      <c r="N374" s="158"/>
      <c r="P374" s="20"/>
    </row>
    <row r="375">
      <c r="B375" s="261"/>
      <c r="C375" s="158"/>
      <c r="D375" s="158"/>
      <c r="E375" s="158"/>
      <c r="F375" s="158"/>
      <c r="H375" s="158"/>
      <c r="J375" s="158"/>
      <c r="L375" s="158"/>
      <c r="N375" s="158"/>
      <c r="P375" s="20"/>
    </row>
    <row r="376">
      <c r="B376" s="261"/>
      <c r="C376" s="158"/>
      <c r="D376" s="158"/>
      <c r="E376" s="158"/>
      <c r="F376" s="158"/>
      <c r="H376" s="158"/>
      <c r="J376" s="158"/>
      <c r="L376" s="158"/>
      <c r="N376" s="158"/>
      <c r="P376" s="20"/>
    </row>
    <row r="377">
      <c r="B377" s="261"/>
      <c r="C377" s="158"/>
      <c r="D377" s="158"/>
      <c r="E377" s="158"/>
      <c r="F377" s="158"/>
      <c r="H377" s="158"/>
      <c r="J377" s="158"/>
      <c r="L377" s="158"/>
      <c r="N377" s="158"/>
      <c r="P377" s="20"/>
    </row>
    <row r="378">
      <c r="B378" s="261"/>
      <c r="C378" s="158"/>
      <c r="D378" s="158"/>
      <c r="E378" s="158"/>
      <c r="F378" s="158"/>
      <c r="H378" s="158"/>
      <c r="J378" s="158"/>
      <c r="L378" s="158"/>
      <c r="N378" s="158"/>
      <c r="P378" s="20"/>
    </row>
    <row r="379">
      <c r="B379" s="261"/>
      <c r="C379" s="158"/>
      <c r="D379" s="158"/>
      <c r="E379" s="158"/>
      <c r="F379" s="158"/>
      <c r="H379" s="158"/>
      <c r="J379" s="158"/>
      <c r="L379" s="158"/>
      <c r="N379" s="158"/>
      <c r="P379" s="20"/>
    </row>
    <row r="380">
      <c r="B380" s="261"/>
      <c r="C380" s="158"/>
      <c r="D380" s="158"/>
      <c r="E380" s="158"/>
      <c r="F380" s="158"/>
      <c r="H380" s="158"/>
      <c r="J380" s="158"/>
      <c r="L380" s="158"/>
      <c r="N380" s="158"/>
      <c r="P380" s="20"/>
    </row>
    <row r="381">
      <c r="B381" s="261"/>
      <c r="C381" s="158"/>
      <c r="D381" s="158"/>
      <c r="E381" s="158"/>
      <c r="F381" s="158"/>
      <c r="H381" s="158"/>
      <c r="J381" s="158"/>
      <c r="L381" s="158"/>
      <c r="N381" s="158"/>
      <c r="P381" s="20"/>
    </row>
    <row r="382">
      <c r="B382" s="261"/>
      <c r="C382" s="158"/>
      <c r="D382" s="158"/>
      <c r="E382" s="158"/>
      <c r="F382" s="158"/>
      <c r="H382" s="158"/>
      <c r="J382" s="158"/>
      <c r="L382" s="158"/>
      <c r="N382" s="158"/>
      <c r="P382" s="20"/>
    </row>
    <row r="383">
      <c r="B383" s="261"/>
      <c r="C383" s="158"/>
      <c r="D383" s="158"/>
      <c r="E383" s="158"/>
      <c r="F383" s="158"/>
      <c r="H383" s="158"/>
      <c r="J383" s="158"/>
      <c r="L383" s="158"/>
      <c r="N383" s="158"/>
      <c r="P383" s="20"/>
    </row>
    <row r="384">
      <c r="B384" s="261"/>
      <c r="C384" s="158"/>
      <c r="D384" s="158"/>
      <c r="E384" s="158"/>
      <c r="F384" s="158"/>
      <c r="H384" s="158"/>
      <c r="J384" s="158"/>
      <c r="L384" s="158"/>
      <c r="N384" s="158"/>
      <c r="P384" s="20"/>
    </row>
    <row r="385">
      <c r="B385" s="261"/>
      <c r="C385" s="158"/>
      <c r="D385" s="158"/>
      <c r="E385" s="158"/>
      <c r="F385" s="158"/>
      <c r="H385" s="158"/>
      <c r="J385" s="158"/>
      <c r="L385" s="158"/>
      <c r="N385" s="158"/>
      <c r="P385" s="20"/>
    </row>
    <row r="386">
      <c r="B386" s="261"/>
      <c r="C386" s="158"/>
      <c r="D386" s="158"/>
      <c r="E386" s="158"/>
      <c r="F386" s="158"/>
      <c r="H386" s="158"/>
      <c r="J386" s="158"/>
      <c r="L386" s="158"/>
      <c r="N386" s="158"/>
      <c r="P386" s="20"/>
    </row>
    <row r="387">
      <c r="B387" s="261"/>
      <c r="C387" s="158"/>
      <c r="D387" s="158"/>
      <c r="E387" s="158"/>
      <c r="F387" s="158"/>
      <c r="H387" s="158"/>
      <c r="J387" s="158"/>
      <c r="L387" s="158"/>
      <c r="N387" s="158"/>
      <c r="P387" s="20"/>
    </row>
    <row r="388">
      <c r="B388" s="261"/>
      <c r="C388" s="158"/>
      <c r="D388" s="158"/>
      <c r="E388" s="158"/>
      <c r="F388" s="158"/>
      <c r="H388" s="158"/>
      <c r="J388" s="158"/>
      <c r="L388" s="158"/>
      <c r="N388" s="158"/>
      <c r="P388" s="20"/>
    </row>
    <row r="389">
      <c r="B389" s="261"/>
      <c r="C389" s="158"/>
      <c r="D389" s="158"/>
      <c r="E389" s="158"/>
      <c r="F389" s="158"/>
      <c r="H389" s="158"/>
      <c r="J389" s="158"/>
      <c r="L389" s="158"/>
      <c r="N389" s="158"/>
      <c r="P389" s="20"/>
    </row>
    <row r="390">
      <c r="B390" s="261"/>
      <c r="C390" s="158"/>
      <c r="D390" s="158"/>
      <c r="E390" s="158"/>
      <c r="F390" s="158"/>
      <c r="H390" s="158"/>
      <c r="J390" s="158"/>
      <c r="L390" s="158"/>
      <c r="N390" s="158"/>
      <c r="P390" s="20"/>
    </row>
    <row r="391">
      <c r="B391" s="261"/>
      <c r="C391" s="158"/>
      <c r="D391" s="158"/>
      <c r="E391" s="158"/>
      <c r="F391" s="158"/>
      <c r="H391" s="158"/>
      <c r="J391" s="158"/>
      <c r="L391" s="158"/>
      <c r="N391" s="158"/>
      <c r="P391" s="20"/>
    </row>
    <row r="392">
      <c r="B392" s="261"/>
      <c r="C392" s="158"/>
      <c r="D392" s="158"/>
      <c r="E392" s="158"/>
      <c r="F392" s="158"/>
      <c r="H392" s="158"/>
      <c r="J392" s="158"/>
      <c r="L392" s="158"/>
      <c r="N392" s="158"/>
      <c r="P392" s="20"/>
    </row>
    <row r="393">
      <c r="B393" s="261"/>
      <c r="C393" s="158"/>
      <c r="D393" s="158"/>
      <c r="E393" s="158"/>
      <c r="F393" s="158"/>
      <c r="H393" s="158"/>
      <c r="J393" s="158"/>
      <c r="L393" s="158"/>
      <c r="N393" s="158"/>
      <c r="P393" s="20"/>
    </row>
    <row r="394">
      <c r="B394" s="261"/>
      <c r="C394" s="158"/>
      <c r="D394" s="158"/>
      <c r="E394" s="158"/>
      <c r="F394" s="158"/>
      <c r="H394" s="158"/>
      <c r="J394" s="158"/>
      <c r="L394" s="158"/>
      <c r="N394" s="158"/>
      <c r="P394" s="20"/>
    </row>
    <row r="395">
      <c r="B395" s="261"/>
      <c r="C395" s="158"/>
      <c r="D395" s="158"/>
      <c r="E395" s="158"/>
      <c r="F395" s="158"/>
      <c r="H395" s="158"/>
      <c r="J395" s="158"/>
      <c r="L395" s="158"/>
      <c r="N395" s="158"/>
      <c r="P395" s="20"/>
    </row>
    <row r="396">
      <c r="B396" s="261"/>
      <c r="C396" s="158"/>
      <c r="D396" s="158"/>
      <c r="E396" s="158"/>
      <c r="F396" s="158"/>
      <c r="H396" s="158"/>
      <c r="J396" s="158"/>
      <c r="L396" s="158"/>
      <c r="N396" s="158"/>
      <c r="P396" s="20"/>
    </row>
    <row r="397">
      <c r="B397" s="261"/>
      <c r="C397" s="158"/>
      <c r="D397" s="158"/>
      <c r="E397" s="158"/>
      <c r="F397" s="158"/>
      <c r="H397" s="158"/>
      <c r="J397" s="158"/>
      <c r="L397" s="158"/>
      <c r="N397" s="158"/>
      <c r="P397" s="20"/>
    </row>
    <row r="398">
      <c r="B398" s="261"/>
      <c r="C398" s="158"/>
      <c r="D398" s="158"/>
      <c r="E398" s="158"/>
      <c r="F398" s="158"/>
      <c r="H398" s="158"/>
      <c r="J398" s="158"/>
      <c r="L398" s="158"/>
      <c r="N398" s="158"/>
      <c r="P398" s="20"/>
    </row>
    <row r="399">
      <c r="B399" s="261"/>
      <c r="C399" s="158"/>
      <c r="D399" s="158"/>
      <c r="E399" s="158"/>
      <c r="F399" s="158"/>
      <c r="H399" s="158"/>
      <c r="J399" s="158"/>
      <c r="L399" s="158"/>
      <c r="N399" s="158"/>
      <c r="P399" s="20"/>
    </row>
    <row r="400">
      <c r="B400" s="261"/>
      <c r="C400" s="158"/>
      <c r="D400" s="158"/>
      <c r="E400" s="158"/>
      <c r="F400" s="158"/>
      <c r="H400" s="158"/>
      <c r="J400" s="158"/>
      <c r="L400" s="158"/>
      <c r="N400" s="158"/>
      <c r="P400" s="20"/>
    </row>
    <row r="401">
      <c r="B401" s="261"/>
      <c r="C401" s="158"/>
      <c r="D401" s="158"/>
      <c r="E401" s="158"/>
      <c r="F401" s="158"/>
      <c r="H401" s="158"/>
      <c r="J401" s="158"/>
      <c r="L401" s="158"/>
      <c r="N401" s="158"/>
      <c r="P401" s="20"/>
    </row>
    <row r="402">
      <c r="B402" s="261"/>
      <c r="C402" s="158"/>
      <c r="D402" s="158"/>
      <c r="E402" s="158"/>
      <c r="F402" s="158"/>
      <c r="H402" s="158"/>
      <c r="J402" s="158"/>
      <c r="L402" s="158"/>
      <c r="N402" s="158"/>
      <c r="P402" s="20"/>
    </row>
    <row r="403">
      <c r="B403" s="261"/>
      <c r="C403" s="158"/>
      <c r="D403" s="158"/>
      <c r="E403" s="158"/>
      <c r="F403" s="158"/>
      <c r="H403" s="158"/>
      <c r="J403" s="158"/>
      <c r="L403" s="158"/>
      <c r="N403" s="158"/>
      <c r="P403" s="20"/>
    </row>
    <row r="404">
      <c r="B404" s="261"/>
      <c r="C404" s="158"/>
      <c r="D404" s="158"/>
      <c r="E404" s="158"/>
      <c r="F404" s="158"/>
      <c r="H404" s="158"/>
      <c r="J404" s="158"/>
      <c r="L404" s="158"/>
      <c r="N404" s="158"/>
      <c r="P404" s="20"/>
    </row>
    <row r="405">
      <c r="B405" s="261"/>
      <c r="C405" s="158"/>
      <c r="D405" s="158"/>
      <c r="E405" s="158"/>
      <c r="F405" s="158"/>
      <c r="H405" s="158"/>
      <c r="J405" s="158"/>
      <c r="L405" s="158"/>
      <c r="N405" s="158"/>
      <c r="P405" s="20"/>
    </row>
    <row r="406">
      <c r="B406" s="261"/>
      <c r="C406" s="158"/>
      <c r="D406" s="158"/>
      <c r="E406" s="158"/>
      <c r="F406" s="158"/>
      <c r="H406" s="158"/>
      <c r="J406" s="158"/>
      <c r="L406" s="158"/>
      <c r="N406" s="158"/>
      <c r="P406" s="20"/>
    </row>
    <row r="407">
      <c r="B407" s="261"/>
      <c r="C407" s="158"/>
      <c r="D407" s="158"/>
      <c r="E407" s="158"/>
      <c r="F407" s="158"/>
      <c r="H407" s="158"/>
      <c r="J407" s="158"/>
      <c r="L407" s="158"/>
      <c r="N407" s="158"/>
      <c r="P407" s="20"/>
    </row>
    <row r="408">
      <c r="B408" s="261"/>
      <c r="C408" s="158"/>
      <c r="D408" s="158"/>
      <c r="E408" s="158"/>
      <c r="F408" s="158"/>
      <c r="H408" s="158"/>
      <c r="J408" s="158"/>
      <c r="L408" s="158"/>
      <c r="N408" s="158"/>
      <c r="P408" s="20"/>
    </row>
    <row r="409">
      <c r="B409" s="261"/>
      <c r="C409" s="158"/>
      <c r="D409" s="158"/>
      <c r="E409" s="158"/>
      <c r="F409" s="158"/>
      <c r="H409" s="158"/>
      <c r="J409" s="158"/>
      <c r="L409" s="158"/>
      <c r="N409" s="158"/>
      <c r="P409" s="20"/>
    </row>
    <row r="410">
      <c r="B410" s="261"/>
      <c r="C410" s="158"/>
      <c r="D410" s="158"/>
      <c r="E410" s="158"/>
      <c r="F410" s="158"/>
      <c r="H410" s="158"/>
      <c r="J410" s="158"/>
      <c r="L410" s="158"/>
      <c r="N410" s="158"/>
      <c r="P410" s="20"/>
    </row>
    <row r="411">
      <c r="B411" s="261"/>
      <c r="C411" s="158"/>
      <c r="D411" s="158"/>
      <c r="E411" s="158"/>
      <c r="F411" s="158"/>
      <c r="H411" s="158"/>
      <c r="J411" s="158"/>
      <c r="L411" s="158"/>
      <c r="N411" s="158"/>
      <c r="P411" s="20"/>
    </row>
    <row r="412">
      <c r="B412" s="261"/>
      <c r="C412" s="158"/>
      <c r="D412" s="158"/>
      <c r="E412" s="158"/>
      <c r="F412" s="158"/>
      <c r="H412" s="158"/>
      <c r="J412" s="158"/>
      <c r="L412" s="158"/>
      <c r="N412" s="158"/>
      <c r="P412" s="20"/>
    </row>
    <row r="413">
      <c r="B413" s="261"/>
      <c r="C413" s="158"/>
      <c r="D413" s="158"/>
      <c r="E413" s="158"/>
      <c r="F413" s="158"/>
      <c r="H413" s="158"/>
      <c r="J413" s="158"/>
      <c r="L413" s="158"/>
      <c r="N413" s="158"/>
      <c r="P413" s="20"/>
    </row>
    <row r="414">
      <c r="B414" s="261"/>
      <c r="C414" s="158"/>
      <c r="D414" s="158"/>
      <c r="E414" s="158"/>
      <c r="F414" s="158"/>
      <c r="H414" s="158"/>
      <c r="J414" s="158"/>
      <c r="L414" s="158"/>
      <c r="N414" s="158"/>
      <c r="P414" s="20"/>
    </row>
    <row r="415">
      <c r="B415" s="261"/>
      <c r="C415" s="158"/>
      <c r="D415" s="158"/>
      <c r="E415" s="158"/>
      <c r="F415" s="158"/>
      <c r="H415" s="158"/>
      <c r="J415" s="158"/>
      <c r="L415" s="158"/>
      <c r="N415" s="158"/>
      <c r="P415" s="20"/>
    </row>
    <row r="416">
      <c r="B416" s="261"/>
      <c r="C416" s="158"/>
      <c r="D416" s="158"/>
      <c r="E416" s="158"/>
      <c r="F416" s="158"/>
      <c r="H416" s="158"/>
      <c r="J416" s="158"/>
      <c r="L416" s="158"/>
      <c r="N416" s="158"/>
      <c r="P416" s="20"/>
    </row>
    <row r="417">
      <c r="B417" s="261"/>
      <c r="C417" s="158"/>
      <c r="D417" s="158"/>
      <c r="E417" s="158"/>
      <c r="F417" s="158"/>
      <c r="H417" s="158"/>
      <c r="J417" s="158"/>
      <c r="L417" s="158"/>
      <c r="N417" s="158"/>
      <c r="P417" s="20"/>
    </row>
    <row r="418">
      <c r="B418" s="261"/>
      <c r="C418" s="158"/>
      <c r="D418" s="158"/>
      <c r="E418" s="158"/>
      <c r="F418" s="158"/>
      <c r="H418" s="158"/>
      <c r="J418" s="158"/>
      <c r="L418" s="158"/>
      <c r="N418" s="158"/>
      <c r="P418" s="20"/>
    </row>
    <row r="419">
      <c r="B419" s="261"/>
      <c r="C419" s="158"/>
      <c r="D419" s="158"/>
      <c r="E419" s="158"/>
      <c r="F419" s="158"/>
      <c r="H419" s="158"/>
      <c r="J419" s="158"/>
      <c r="L419" s="158"/>
      <c r="N419" s="158"/>
      <c r="P419" s="20"/>
    </row>
    <row r="420">
      <c r="B420" s="261"/>
      <c r="C420" s="158"/>
      <c r="D420" s="158"/>
      <c r="E420" s="158"/>
      <c r="F420" s="158"/>
      <c r="H420" s="158"/>
      <c r="J420" s="158"/>
      <c r="L420" s="158"/>
      <c r="N420" s="158"/>
      <c r="P420" s="20"/>
    </row>
    <row r="421">
      <c r="B421" s="261"/>
      <c r="C421" s="158"/>
      <c r="D421" s="158"/>
      <c r="E421" s="158"/>
      <c r="F421" s="158"/>
      <c r="H421" s="158"/>
      <c r="J421" s="158"/>
      <c r="L421" s="158"/>
      <c r="N421" s="158"/>
      <c r="P421" s="20"/>
    </row>
    <row r="422">
      <c r="B422" s="261"/>
      <c r="C422" s="158"/>
      <c r="D422" s="158"/>
      <c r="E422" s="158"/>
      <c r="F422" s="158"/>
      <c r="H422" s="158"/>
      <c r="J422" s="158"/>
      <c r="L422" s="158"/>
      <c r="N422" s="158"/>
      <c r="P422" s="20"/>
    </row>
    <row r="423">
      <c r="B423" s="261"/>
      <c r="C423" s="158"/>
      <c r="D423" s="158"/>
      <c r="E423" s="158"/>
      <c r="F423" s="158"/>
      <c r="H423" s="158"/>
      <c r="J423" s="158"/>
      <c r="L423" s="158"/>
      <c r="N423" s="158"/>
      <c r="P423" s="20"/>
    </row>
    <row r="424">
      <c r="B424" s="261"/>
      <c r="C424" s="158"/>
      <c r="D424" s="158"/>
      <c r="E424" s="158"/>
      <c r="F424" s="158"/>
      <c r="H424" s="158"/>
      <c r="J424" s="158"/>
      <c r="L424" s="158"/>
      <c r="N424" s="158"/>
      <c r="P424" s="20"/>
    </row>
    <row r="425">
      <c r="B425" s="261"/>
      <c r="C425" s="158"/>
      <c r="D425" s="158"/>
      <c r="E425" s="158"/>
      <c r="F425" s="158"/>
      <c r="H425" s="158"/>
      <c r="J425" s="158"/>
      <c r="L425" s="158"/>
      <c r="N425" s="158"/>
      <c r="P425" s="20"/>
    </row>
    <row r="426">
      <c r="B426" s="261"/>
      <c r="C426" s="158"/>
      <c r="D426" s="158"/>
      <c r="E426" s="158"/>
      <c r="F426" s="158"/>
      <c r="H426" s="158"/>
      <c r="J426" s="158"/>
      <c r="L426" s="158"/>
      <c r="N426" s="158"/>
      <c r="P426" s="20"/>
    </row>
    <row r="427">
      <c r="B427" s="261"/>
      <c r="C427" s="158"/>
      <c r="D427" s="158"/>
      <c r="E427" s="158"/>
      <c r="F427" s="158"/>
      <c r="H427" s="158"/>
      <c r="J427" s="158"/>
      <c r="L427" s="158"/>
      <c r="N427" s="158"/>
      <c r="P427" s="20"/>
    </row>
    <row r="428">
      <c r="B428" s="261"/>
      <c r="C428" s="158"/>
      <c r="D428" s="158"/>
      <c r="E428" s="158"/>
      <c r="F428" s="158"/>
      <c r="H428" s="158"/>
      <c r="J428" s="158"/>
      <c r="L428" s="158"/>
      <c r="N428" s="158"/>
      <c r="P428" s="20"/>
    </row>
    <row r="429">
      <c r="B429" s="261"/>
      <c r="C429" s="158"/>
      <c r="D429" s="158"/>
      <c r="E429" s="158"/>
      <c r="F429" s="158"/>
      <c r="H429" s="158"/>
      <c r="J429" s="158"/>
      <c r="L429" s="158"/>
      <c r="N429" s="158"/>
      <c r="P429" s="20"/>
    </row>
    <row r="430">
      <c r="B430" s="261"/>
      <c r="C430" s="158"/>
      <c r="D430" s="158"/>
      <c r="E430" s="158"/>
      <c r="F430" s="158"/>
      <c r="H430" s="158"/>
      <c r="J430" s="158"/>
      <c r="L430" s="158"/>
      <c r="N430" s="158"/>
      <c r="P430" s="20"/>
    </row>
    <row r="431">
      <c r="B431" s="261"/>
      <c r="C431" s="158"/>
      <c r="D431" s="158"/>
      <c r="E431" s="158"/>
      <c r="F431" s="158"/>
      <c r="H431" s="158"/>
      <c r="J431" s="158"/>
      <c r="L431" s="158"/>
      <c r="N431" s="158"/>
      <c r="P431" s="20"/>
    </row>
    <row r="432">
      <c r="B432" s="261"/>
      <c r="C432" s="158"/>
      <c r="D432" s="158"/>
      <c r="E432" s="158"/>
      <c r="F432" s="158"/>
      <c r="H432" s="158"/>
      <c r="J432" s="158"/>
      <c r="L432" s="158"/>
      <c r="N432" s="158"/>
      <c r="P432" s="20"/>
    </row>
    <row r="433">
      <c r="B433" s="261"/>
      <c r="C433" s="158"/>
      <c r="D433" s="158"/>
      <c r="E433" s="158"/>
      <c r="F433" s="158"/>
      <c r="H433" s="158"/>
      <c r="J433" s="158"/>
      <c r="L433" s="158"/>
      <c r="N433" s="158"/>
      <c r="P433" s="20"/>
    </row>
    <row r="434">
      <c r="B434" s="261"/>
      <c r="C434" s="158"/>
      <c r="D434" s="158"/>
      <c r="E434" s="158"/>
      <c r="F434" s="158"/>
      <c r="H434" s="158"/>
      <c r="J434" s="158"/>
      <c r="L434" s="158"/>
      <c r="N434" s="158"/>
      <c r="P434" s="20"/>
    </row>
    <row r="435">
      <c r="B435" s="261"/>
      <c r="C435" s="158"/>
      <c r="D435" s="158"/>
      <c r="E435" s="158"/>
      <c r="F435" s="158"/>
      <c r="H435" s="158"/>
      <c r="J435" s="158"/>
      <c r="L435" s="158"/>
      <c r="N435" s="158"/>
      <c r="P435" s="20"/>
    </row>
    <row r="436">
      <c r="B436" s="261"/>
      <c r="C436" s="158"/>
      <c r="D436" s="158"/>
      <c r="E436" s="158"/>
      <c r="F436" s="158"/>
      <c r="H436" s="158"/>
      <c r="J436" s="158"/>
      <c r="L436" s="158"/>
      <c r="N436" s="158"/>
      <c r="P436" s="20"/>
    </row>
    <row r="437">
      <c r="B437" s="261"/>
      <c r="C437" s="158"/>
      <c r="D437" s="158"/>
      <c r="E437" s="158"/>
      <c r="F437" s="158"/>
      <c r="H437" s="158"/>
      <c r="J437" s="158"/>
      <c r="L437" s="158"/>
      <c r="N437" s="158"/>
      <c r="P437" s="20"/>
    </row>
    <row r="438">
      <c r="B438" s="261"/>
      <c r="C438" s="158"/>
      <c r="D438" s="158"/>
      <c r="E438" s="158"/>
      <c r="F438" s="158"/>
      <c r="H438" s="158"/>
      <c r="J438" s="158"/>
      <c r="L438" s="158"/>
      <c r="N438" s="158"/>
      <c r="P438" s="20"/>
    </row>
    <row r="439">
      <c r="B439" s="261"/>
      <c r="C439" s="158"/>
      <c r="D439" s="158"/>
      <c r="E439" s="158"/>
      <c r="F439" s="158"/>
      <c r="H439" s="158"/>
      <c r="J439" s="158"/>
      <c r="L439" s="158"/>
      <c r="N439" s="158"/>
      <c r="P439" s="20"/>
    </row>
    <row r="440">
      <c r="B440" s="261"/>
      <c r="C440" s="158"/>
      <c r="D440" s="158"/>
      <c r="E440" s="158"/>
      <c r="F440" s="158"/>
      <c r="H440" s="158"/>
      <c r="J440" s="158"/>
      <c r="L440" s="158"/>
      <c r="N440" s="158"/>
      <c r="P440" s="20"/>
    </row>
    <row r="441">
      <c r="B441" s="261"/>
      <c r="C441" s="158"/>
      <c r="D441" s="158"/>
      <c r="E441" s="158"/>
      <c r="F441" s="158"/>
      <c r="H441" s="158"/>
      <c r="J441" s="158"/>
      <c r="L441" s="158"/>
      <c r="N441" s="158"/>
      <c r="P441" s="20"/>
    </row>
    <row r="442">
      <c r="B442" s="261"/>
      <c r="C442" s="158"/>
      <c r="D442" s="158"/>
      <c r="E442" s="158"/>
      <c r="F442" s="158"/>
      <c r="H442" s="158"/>
      <c r="J442" s="158"/>
      <c r="L442" s="158"/>
      <c r="N442" s="158"/>
      <c r="P442" s="20"/>
    </row>
    <row r="443">
      <c r="B443" s="261"/>
      <c r="C443" s="158"/>
      <c r="D443" s="158"/>
      <c r="E443" s="158"/>
      <c r="F443" s="158"/>
      <c r="H443" s="158"/>
      <c r="J443" s="158"/>
      <c r="L443" s="158"/>
      <c r="N443" s="158"/>
      <c r="P443" s="20"/>
    </row>
    <row r="444">
      <c r="B444" s="261"/>
      <c r="C444" s="158"/>
      <c r="D444" s="158"/>
      <c r="E444" s="158"/>
      <c r="F444" s="158"/>
      <c r="H444" s="158"/>
      <c r="J444" s="158"/>
      <c r="L444" s="158"/>
      <c r="N444" s="158"/>
      <c r="P444" s="20"/>
    </row>
    <row r="445">
      <c r="B445" s="261"/>
      <c r="C445" s="158"/>
      <c r="D445" s="158"/>
      <c r="E445" s="158"/>
      <c r="F445" s="158"/>
      <c r="H445" s="158"/>
      <c r="J445" s="158"/>
      <c r="L445" s="158"/>
      <c r="N445" s="158"/>
      <c r="P445" s="20"/>
    </row>
    <row r="446">
      <c r="B446" s="261"/>
      <c r="C446" s="158"/>
      <c r="D446" s="158"/>
      <c r="E446" s="158"/>
      <c r="F446" s="158"/>
      <c r="H446" s="158"/>
      <c r="J446" s="158"/>
      <c r="L446" s="158"/>
      <c r="N446" s="158"/>
      <c r="P446" s="20"/>
    </row>
    <row r="447">
      <c r="B447" s="261"/>
      <c r="C447" s="158"/>
      <c r="D447" s="158"/>
      <c r="E447" s="158"/>
      <c r="F447" s="158"/>
      <c r="H447" s="158"/>
      <c r="J447" s="158"/>
      <c r="L447" s="158"/>
      <c r="N447" s="158"/>
      <c r="P447" s="20"/>
    </row>
    <row r="448">
      <c r="B448" s="261"/>
      <c r="C448" s="158"/>
      <c r="D448" s="158"/>
      <c r="E448" s="158"/>
      <c r="F448" s="158"/>
      <c r="H448" s="158"/>
      <c r="J448" s="158"/>
      <c r="L448" s="158"/>
      <c r="N448" s="158"/>
      <c r="P448" s="20"/>
    </row>
    <row r="449">
      <c r="B449" s="261"/>
      <c r="C449" s="158"/>
      <c r="D449" s="158"/>
      <c r="E449" s="158"/>
      <c r="F449" s="158"/>
      <c r="H449" s="158"/>
      <c r="J449" s="158"/>
      <c r="L449" s="158"/>
      <c r="N449" s="158"/>
      <c r="P449" s="20"/>
    </row>
    <row r="450">
      <c r="B450" s="261"/>
      <c r="C450" s="158"/>
      <c r="D450" s="158"/>
      <c r="E450" s="158"/>
      <c r="F450" s="158"/>
      <c r="H450" s="158"/>
      <c r="J450" s="158"/>
      <c r="L450" s="158"/>
      <c r="N450" s="158"/>
      <c r="P450" s="20"/>
    </row>
    <row r="451">
      <c r="B451" s="261"/>
      <c r="C451" s="158"/>
      <c r="D451" s="158"/>
      <c r="E451" s="158"/>
      <c r="F451" s="158"/>
      <c r="H451" s="158"/>
      <c r="J451" s="158"/>
      <c r="L451" s="158"/>
      <c r="N451" s="158"/>
      <c r="P451" s="20"/>
    </row>
    <row r="452">
      <c r="B452" s="261"/>
      <c r="C452" s="158"/>
      <c r="D452" s="158"/>
      <c r="E452" s="158"/>
      <c r="F452" s="158"/>
      <c r="H452" s="158"/>
      <c r="J452" s="158"/>
      <c r="L452" s="158"/>
      <c r="N452" s="158"/>
      <c r="P452" s="20"/>
    </row>
    <row r="453">
      <c r="B453" s="261"/>
      <c r="C453" s="158"/>
      <c r="D453" s="158"/>
      <c r="E453" s="158"/>
      <c r="F453" s="158"/>
      <c r="H453" s="158"/>
      <c r="J453" s="158"/>
      <c r="L453" s="158"/>
      <c r="N453" s="158"/>
      <c r="P453" s="20"/>
    </row>
    <row r="454">
      <c r="B454" s="261"/>
      <c r="C454" s="158"/>
      <c r="D454" s="158"/>
      <c r="E454" s="158"/>
      <c r="F454" s="158"/>
      <c r="H454" s="158"/>
      <c r="J454" s="158"/>
      <c r="L454" s="158"/>
      <c r="N454" s="158"/>
      <c r="P454" s="20"/>
    </row>
    <row r="455">
      <c r="B455" s="261"/>
      <c r="C455" s="158"/>
      <c r="D455" s="158"/>
      <c r="E455" s="158"/>
      <c r="F455" s="158"/>
      <c r="H455" s="158"/>
      <c r="J455" s="158"/>
      <c r="L455" s="158"/>
      <c r="N455" s="158"/>
      <c r="P455" s="20"/>
    </row>
    <row r="456">
      <c r="B456" s="261"/>
      <c r="C456" s="158"/>
      <c r="D456" s="158"/>
      <c r="E456" s="158"/>
      <c r="F456" s="158"/>
      <c r="H456" s="158"/>
      <c r="J456" s="158"/>
      <c r="L456" s="158"/>
      <c r="N456" s="158"/>
      <c r="P456" s="20"/>
    </row>
    <row r="457">
      <c r="B457" s="261"/>
      <c r="C457" s="158"/>
      <c r="D457" s="158"/>
      <c r="E457" s="158"/>
      <c r="F457" s="158"/>
      <c r="H457" s="158"/>
      <c r="J457" s="158"/>
      <c r="L457" s="158"/>
      <c r="N457" s="158"/>
      <c r="P457" s="20"/>
    </row>
    <row r="458">
      <c r="B458" s="261"/>
      <c r="C458" s="158"/>
      <c r="D458" s="158"/>
      <c r="E458" s="158"/>
      <c r="F458" s="158"/>
      <c r="H458" s="158"/>
      <c r="J458" s="158"/>
      <c r="L458" s="158"/>
      <c r="N458" s="158"/>
      <c r="P458" s="20"/>
    </row>
    <row r="459">
      <c r="B459" s="261"/>
      <c r="C459" s="158"/>
      <c r="D459" s="158"/>
      <c r="E459" s="158"/>
      <c r="F459" s="158"/>
      <c r="H459" s="158"/>
      <c r="J459" s="158"/>
      <c r="L459" s="158"/>
      <c r="N459" s="158"/>
      <c r="P459" s="20"/>
    </row>
    <row r="460">
      <c r="B460" s="261"/>
      <c r="C460" s="158"/>
      <c r="D460" s="158"/>
      <c r="E460" s="158"/>
      <c r="F460" s="158"/>
      <c r="H460" s="158"/>
      <c r="J460" s="158"/>
      <c r="L460" s="158"/>
      <c r="N460" s="158"/>
      <c r="P460" s="20"/>
    </row>
    <row r="461">
      <c r="B461" s="261"/>
      <c r="C461" s="158"/>
      <c r="D461" s="158"/>
      <c r="E461" s="158"/>
      <c r="F461" s="158"/>
      <c r="H461" s="158"/>
      <c r="J461" s="158"/>
      <c r="L461" s="158"/>
      <c r="N461" s="158"/>
      <c r="P461" s="20"/>
    </row>
    <row r="462">
      <c r="B462" s="261"/>
      <c r="C462" s="158"/>
      <c r="D462" s="158"/>
      <c r="E462" s="158"/>
      <c r="F462" s="158"/>
      <c r="H462" s="158"/>
      <c r="J462" s="158"/>
      <c r="L462" s="158"/>
      <c r="N462" s="158"/>
      <c r="P462" s="20"/>
    </row>
    <row r="463">
      <c r="B463" s="261"/>
      <c r="C463" s="158"/>
      <c r="D463" s="158"/>
      <c r="E463" s="158"/>
      <c r="F463" s="158"/>
      <c r="H463" s="158"/>
      <c r="J463" s="158"/>
      <c r="L463" s="158"/>
      <c r="N463" s="158"/>
      <c r="P463" s="20"/>
    </row>
    <row r="464">
      <c r="B464" s="261"/>
      <c r="C464" s="158"/>
      <c r="D464" s="158"/>
      <c r="E464" s="158"/>
      <c r="F464" s="158"/>
      <c r="H464" s="158"/>
      <c r="J464" s="158"/>
      <c r="L464" s="158"/>
      <c r="N464" s="158"/>
      <c r="P464" s="20"/>
    </row>
    <row r="465">
      <c r="B465" s="261"/>
      <c r="C465" s="158"/>
      <c r="D465" s="158"/>
      <c r="E465" s="158"/>
      <c r="F465" s="158"/>
      <c r="H465" s="158"/>
      <c r="J465" s="158"/>
      <c r="L465" s="158"/>
      <c r="N465" s="158"/>
      <c r="P465" s="20"/>
    </row>
    <row r="466">
      <c r="B466" s="261"/>
      <c r="C466" s="158"/>
      <c r="D466" s="158"/>
      <c r="E466" s="158"/>
      <c r="F466" s="158"/>
      <c r="H466" s="158"/>
      <c r="J466" s="158"/>
      <c r="L466" s="158"/>
      <c r="N466" s="158"/>
      <c r="P466" s="20"/>
    </row>
    <row r="467">
      <c r="B467" s="261"/>
      <c r="C467" s="158"/>
      <c r="D467" s="158"/>
      <c r="E467" s="158"/>
      <c r="F467" s="158"/>
      <c r="H467" s="158"/>
      <c r="J467" s="158"/>
      <c r="L467" s="158"/>
      <c r="N467" s="158"/>
      <c r="P467" s="20"/>
    </row>
    <row r="468">
      <c r="B468" s="261"/>
      <c r="C468" s="158"/>
      <c r="D468" s="158"/>
      <c r="E468" s="158"/>
      <c r="F468" s="158"/>
      <c r="H468" s="158"/>
      <c r="J468" s="158"/>
      <c r="L468" s="158"/>
      <c r="N468" s="158"/>
      <c r="P468" s="20"/>
    </row>
    <row r="469">
      <c r="B469" s="261"/>
      <c r="C469" s="158"/>
      <c r="D469" s="158"/>
      <c r="E469" s="158"/>
      <c r="F469" s="158"/>
      <c r="H469" s="158"/>
      <c r="J469" s="158"/>
      <c r="L469" s="158"/>
      <c r="N469" s="158"/>
      <c r="P469" s="20"/>
    </row>
    <row r="470">
      <c r="B470" s="261"/>
      <c r="C470" s="158"/>
      <c r="D470" s="158"/>
      <c r="E470" s="158"/>
      <c r="F470" s="158"/>
      <c r="H470" s="158"/>
      <c r="J470" s="158"/>
      <c r="L470" s="158"/>
      <c r="N470" s="158"/>
      <c r="P470" s="20"/>
    </row>
    <row r="471">
      <c r="B471" s="261"/>
      <c r="C471" s="158"/>
      <c r="D471" s="158"/>
      <c r="E471" s="158"/>
      <c r="F471" s="158"/>
      <c r="H471" s="158"/>
      <c r="J471" s="158"/>
      <c r="L471" s="158"/>
      <c r="N471" s="158"/>
      <c r="P471" s="20"/>
    </row>
    <row r="472">
      <c r="B472" s="261"/>
      <c r="C472" s="158"/>
      <c r="D472" s="158"/>
      <c r="E472" s="158"/>
      <c r="F472" s="158"/>
      <c r="H472" s="158"/>
      <c r="J472" s="158"/>
      <c r="L472" s="158"/>
      <c r="N472" s="158"/>
      <c r="P472" s="20"/>
    </row>
    <row r="473">
      <c r="B473" s="261"/>
      <c r="C473" s="158"/>
      <c r="D473" s="158"/>
      <c r="E473" s="158"/>
      <c r="F473" s="158"/>
      <c r="H473" s="158"/>
      <c r="J473" s="158"/>
      <c r="L473" s="158"/>
      <c r="N473" s="158"/>
      <c r="P473" s="20"/>
    </row>
    <row r="474">
      <c r="B474" s="261"/>
      <c r="C474" s="158"/>
      <c r="D474" s="158"/>
      <c r="E474" s="158"/>
      <c r="F474" s="158"/>
      <c r="H474" s="158"/>
      <c r="J474" s="158"/>
      <c r="L474" s="158"/>
      <c r="N474" s="158"/>
      <c r="P474" s="20"/>
    </row>
    <row r="475">
      <c r="B475" s="261"/>
      <c r="C475" s="158"/>
      <c r="D475" s="158"/>
      <c r="E475" s="158"/>
      <c r="F475" s="158"/>
      <c r="H475" s="158"/>
      <c r="J475" s="158"/>
      <c r="L475" s="158"/>
      <c r="N475" s="158"/>
      <c r="P475" s="20"/>
    </row>
    <row r="476">
      <c r="B476" s="261"/>
      <c r="C476" s="158"/>
      <c r="D476" s="158"/>
      <c r="E476" s="158"/>
      <c r="F476" s="158"/>
      <c r="H476" s="158"/>
      <c r="J476" s="158"/>
      <c r="L476" s="158"/>
      <c r="N476" s="158"/>
      <c r="P476" s="20"/>
    </row>
    <row r="477">
      <c r="B477" s="261"/>
      <c r="C477" s="158"/>
      <c r="D477" s="158"/>
      <c r="E477" s="158"/>
      <c r="F477" s="158"/>
      <c r="H477" s="158"/>
      <c r="J477" s="158"/>
      <c r="L477" s="158"/>
      <c r="N477" s="158"/>
      <c r="P477" s="20"/>
    </row>
    <row r="478">
      <c r="B478" s="261"/>
      <c r="C478" s="158"/>
      <c r="D478" s="158"/>
      <c r="E478" s="158"/>
      <c r="F478" s="158"/>
      <c r="H478" s="158"/>
      <c r="J478" s="158"/>
      <c r="L478" s="158"/>
      <c r="N478" s="158"/>
      <c r="P478" s="20"/>
    </row>
    <row r="479">
      <c r="B479" s="261"/>
      <c r="C479" s="158"/>
      <c r="D479" s="158"/>
      <c r="E479" s="158"/>
      <c r="F479" s="158"/>
      <c r="H479" s="158"/>
      <c r="J479" s="158"/>
      <c r="L479" s="158"/>
      <c r="N479" s="158"/>
      <c r="P479" s="20"/>
    </row>
    <row r="480">
      <c r="B480" s="261"/>
      <c r="C480" s="158"/>
      <c r="D480" s="158"/>
      <c r="E480" s="158"/>
      <c r="F480" s="158"/>
      <c r="H480" s="158"/>
      <c r="J480" s="158"/>
      <c r="L480" s="158"/>
      <c r="N480" s="158"/>
      <c r="P480" s="20"/>
    </row>
    <row r="481">
      <c r="B481" s="261"/>
      <c r="C481" s="158"/>
      <c r="D481" s="158"/>
      <c r="E481" s="158"/>
      <c r="F481" s="158"/>
      <c r="H481" s="158"/>
      <c r="J481" s="158"/>
      <c r="L481" s="158"/>
      <c r="N481" s="158"/>
      <c r="P481" s="20"/>
    </row>
    <row r="482">
      <c r="B482" s="261"/>
      <c r="C482" s="158"/>
      <c r="D482" s="158"/>
      <c r="E482" s="158"/>
      <c r="F482" s="158"/>
      <c r="H482" s="158"/>
      <c r="J482" s="158"/>
      <c r="L482" s="158"/>
      <c r="N482" s="158"/>
      <c r="P482" s="20"/>
    </row>
    <row r="483">
      <c r="B483" s="261"/>
      <c r="C483" s="158"/>
      <c r="D483" s="158"/>
      <c r="E483" s="158"/>
      <c r="F483" s="158"/>
      <c r="H483" s="158"/>
      <c r="J483" s="158"/>
      <c r="L483" s="158"/>
      <c r="N483" s="158"/>
      <c r="P483" s="20"/>
    </row>
    <row r="484">
      <c r="B484" s="261"/>
      <c r="C484" s="158"/>
      <c r="D484" s="158"/>
      <c r="E484" s="158"/>
      <c r="F484" s="158"/>
      <c r="H484" s="158"/>
      <c r="J484" s="158"/>
      <c r="L484" s="158"/>
      <c r="N484" s="158"/>
      <c r="P484" s="20"/>
    </row>
    <row r="485">
      <c r="B485" s="261"/>
      <c r="C485" s="158"/>
      <c r="D485" s="158"/>
      <c r="E485" s="158"/>
      <c r="F485" s="158"/>
      <c r="H485" s="158"/>
      <c r="J485" s="158"/>
      <c r="L485" s="158"/>
      <c r="N485" s="158"/>
      <c r="P485" s="20"/>
    </row>
    <row r="486">
      <c r="B486" s="261"/>
      <c r="C486" s="158"/>
      <c r="D486" s="158"/>
      <c r="E486" s="158"/>
      <c r="F486" s="158"/>
      <c r="H486" s="158"/>
      <c r="J486" s="158"/>
      <c r="L486" s="158"/>
      <c r="N486" s="158"/>
      <c r="P486" s="20"/>
    </row>
    <row r="487">
      <c r="B487" s="261"/>
      <c r="C487" s="158"/>
      <c r="D487" s="158"/>
      <c r="E487" s="158"/>
      <c r="F487" s="158"/>
      <c r="H487" s="158"/>
      <c r="J487" s="158"/>
      <c r="L487" s="158"/>
      <c r="N487" s="158"/>
      <c r="P487" s="20"/>
    </row>
    <row r="488">
      <c r="B488" s="261"/>
      <c r="C488" s="158"/>
      <c r="D488" s="158"/>
      <c r="E488" s="158"/>
      <c r="F488" s="158"/>
      <c r="H488" s="158"/>
      <c r="J488" s="158"/>
      <c r="L488" s="158"/>
      <c r="N488" s="158"/>
      <c r="P488" s="20"/>
    </row>
    <row r="489">
      <c r="B489" s="261"/>
      <c r="C489" s="158"/>
      <c r="D489" s="158"/>
      <c r="E489" s="158"/>
      <c r="F489" s="158"/>
      <c r="H489" s="158"/>
      <c r="J489" s="158"/>
      <c r="L489" s="158"/>
      <c r="N489" s="158"/>
      <c r="P489" s="20"/>
    </row>
    <row r="490">
      <c r="B490" s="261"/>
      <c r="C490" s="158"/>
      <c r="D490" s="158"/>
      <c r="E490" s="158"/>
      <c r="F490" s="158"/>
      <c r="H490" s="158"/>
      <c r="J490" s="158"/>
      <c r="L490" s="158"/>
      <c r="N490" s="158"/>
      <c r="P490" s="20"/>
    </row>
    <row r="491">
      <c r="B491" s="261"/>
      <c r="C491" s="158"/>
      <c r="D491" s="158"/>
      <c r="E491" s="158"/>
      <c r="F491" s="158"/>
      <c r="H491" s="158"/>
      <c r="J491" s="158"/>
      <c r="L491" s="158"/>
      <c r="N491" s="158"/>
      <c r="P491" s="20"/>
    </row>
    <row r="492">
      <c r="B492" s="261"/>
      <c r="C492" s="158"/>
      <c r="D492" s="158"/>
      <c r="E492" s="158"/>
      <c r="F492" s="158"/>
      <c r="H492" s="158"/>
      <c r="J492" s="158"/>
      <c r="L492" s="158"/>
      <c r="N492" s="158"/>
      <c r="P492" s="20"/>
    </row>
    <row r="493">
      <c r="B493" s="261"/>
      <c r="C493" s="158"/>
      <c r="D493" s="158"/>
      <c r="E493" s="158"/>
      <c r="F493" s="158"/>
      <c r="H493" s="158"/>
      <c r="J493" s="158"/>
      <c r="L493" s="158"/>
      <c r="N493" s="158"/>
      <c r="P493" s="20"/>
    </row>
    <row r="494">
      <c r="B494" s="261"/>
      <c r="C494" s="158"/>
      <c r="D494" s="158"/>
      <c r="E494" s="158"/>
      <c r="F494" s="158"/>
      <c r="H494" s="158"/>
      <c r="J494" s="158"/>
      <c r="L494" s="158"/>
      <c r="N494" s="158"/>
      <c r="P494" s="20"/>
    </row>
    <row r="495">
      <c r="B495" s="261"/>
      <c r="C495" s="158"/>
      <c r="D495" s="158"/>
      <c r="E495" s="158"/>
      <c r="F495" s="158"/>
      <c r="H495" s="158"/>
      <c r="J495" s="158"/>
      <c r="L495" s="158"/>
      <c r="N495" s="158"/>
      <c r="P495" s="20"/>
    </row>
    <row r="496">
      <c r="B496" s="261"/>
      <c r="C496" s="158"/>
      <c r="D496" s="158"/>
      <c r="E496" s="158"/>
      <c r="F496" s="158"/>
      <c r="H496" s="158"/>
      <c r="J496" s="158"/>
      <c r="L496" s="158"/>
      <c r="N496" s="158"/>
      <c r="P496" s="20"/>
    </row>
    <row r="497">
      <c r="B497" s="261"/>
      <c r="C497" s="158"/>
      <c r="D497" s="158"/>
      <c r="E497" s="158"/>
      <c r="F497" s="158"/>
      <c r="H497" s="158"/>
      <c r="J497" s="158"/>
      <c r="L497" s="158"/>
      <c r="N497" s="158"/>
      <c r="P497" s="20"/>
    </row>
    <row r="498">
      <c r="B498" s="261"/>
      <c r="C498" s="158"/>
      <c r="D498" s="158"/>
      <c r="E498" s="158"/>
      <c r="F498" s="158"/>
      <c r="H498" s="158"/>
      <c r="J498" s="158"/>
      <c r="L498" s="158"/>
      <c r="N498" s="158"/>
      <c r="P498" s="20"/>
    </row>
    <row r="499">
      <c r="B499" s="261"/>
      <c r="C499" s="158"/>
      <c r="D499" s="158"/>
      <c r="E499" s="158"/>
      <c r="F499" s="158"/>
      <c r="H499" s="158"/>
      <c r="J499" s="158"/>
      <c r="L499" s="158"/>
      <c r="N499" s="158"/>
      <c r="P499" s="20"/>
    </row>
    <row r="500">
      <c r="B500" s="261"/>
      <c r="C500" s="158"/>
      <c r="D500" s="158"/>
      <c r="E500" s="158"/>
      <c r="F500" s="158"/>
      <c r="H500" s="158"/>
      <c r="J500" s="158"/>
      <c r="L500" s="158"/>
      <c r="N500" s="158"/>
      <c r="P500" s="20"/>
    </row>
    <row r="501">
      <c r="B501" s="261"/>
      <c r="C501" s="158"/>
      <c r="D501" s="158"/>
      <c r="E501" s="158"/>
      <c r="F501" s="158"/>
      <c r="H501" s="158"/>
      <c r="J501" s="158"/>
      <c r="L501" s="158"/>
      <c r="N501" s="158"/>
      <c r="P501" s="20"/>
    </row>
    <row r="502">
      <c r="B502" s="261"/>
      <c r="C502" s="158"/>
      <c r="D502" s="158"/>
      <c r="E502" s="158"/>
      <c r="F502" s="158"/>
      <c r="H502" s="158"/>
      <c r="J502" s="158"/>
      <c r="L502" s="158"/>
      <c r="N502" s="158"/>
      <c r="P502" s="20"/>
    </row>
    <row r="503">
      <c r="B503" s="261"/>
      <c r="C503" s="158"/>
      <c r="D503" s="158"/>
      <c r="E503" s="158"/>
      <c r="F503" s="158"/>
      <c r="H503" s="158"/>
      <c r="J503" s="158"/>
      <c r="L503" s="158"/>
      <c r="N503" s="158"/>
      <c r="P503" s="20"/>
    </row>
    <row r="504">
      <c r="B504" s="261"/>
      <c r="C504" s="158"/>
      <c r="D504" s="158"/>
      <c r="E504" s="158"/>
      <c r="F504" s="158"/>
      <c r="H504" s="158"/>
      <c r="J504" s="158"/>
      <c r="L504" s="158"/>
      <c r="N504" s="158"/>
      <c r="P504" s="20"/>
    </row>
    <row r="505">
      <c r="B505" s="261"/>
      <c r="C505" s="158"/>
      <c r="D505" s="158"/>
      <c r="E505" s="158"/>
      <c r="F505" s="158"/>
      <c r="H505" s="158"/>
      <c r="J505" s="158"/>
      <c r="L505" s="158"/>
      <c r="N505" s="158"/>
      <c r="P505" s="20"/>
    </row>
    <row r="506">
      <c r="B506" s="261"/>
      <c r="C506" s="158"/>
      <c r="D506" s="158"/>
      <c r="E506" s="158"/>
      <c r="F506" s="158"/>
      <c r="H506" s="158"/>
      <c r="J506" s="158"/>
      <c r="L506" s="158"/>
      <c r="N506" s="158"/>
      <c r="P506" s="20"/>
    </row>
    <row r="507">
      <c r="B507" s="261"/>
      <c r="C507" s="158"/>
      <c r="D507" s="158"/>
      <c r="E507" s="158"/>
      <c r="F507" s="158"/>
      <c r="H507" s="158"/>
      <c r="J507" s="158"/>
      <c r="L507" s="158"/>
      <c r="N507" s="158"/>
      <c r="P507" s="20"/>
    </row>
    <row r="508">
      <c r="B508" s="261"/>
      <c r="C508" s="158"/>
      <c r="D508" s="158"/>
      <c r="E508" s="158"/>
      <c r="F508" s="158"/>
      <c r="H508" s="158"/>
      <c r="J508" s="158"/>
      <c r="L508" s="158"/>
      <c r="N508" s="158"/>
      <c r="P508" s="20"/>
    </row>
    <row r="509">
      <c r="B509" s="261"/>
      <c r="C509" s="158"/>
      <c r="D509" s="158"/>
      <c r="E509" s="158"/>
      <c r="F509" s="158"/>
      <c r="H509" s="158"/>
      <c r="J509" s="158"/>
      <c r="L509" s="158"/>
      <c r="N509" s="158"/>
      <c r="P509" s="20"/>
    </row>
    <row r="510">
      <c r="B510" s="261"/>
      <c r="C510" s="158"/>
      <c r="D510" s="158"/>
      <c r="E510" s="158"/>
      <c r="F510" s="158"/>
      <c r="H510" s="158"/>
      <c r="J510" s="158"/>
      <c r="L510" s="158"/>
      <c r="N510" s="158"/>
      <c r="P510" s="20"/>
    </row>
    <row r="511">
      <c r="B511" s="261"/>
      <c r="C511" s="158"/>
      <c r="D511" s="158"/>
      <c r="E511" s="158"/>
      <c r="F511" s="158"/>
      <c r="H511" s="158"/>
      <c r="J511" s="158"/>
      <c r="L511" s="158"/>
      <c r="N511" s="158"/>
      <c r="P511" s="20"/>
    </row>
    <row r="512">
      <c r="B512" s="261"/>
      <c r="C512" s="158"/>
      <c r="D512" s="158"/>
      <c r="E512" s="158"/>
      <c r="F512" s="158"/>
      <c r="H512" s="158"/>
      <c r="J512" s="158"/>
      <c r="L512" s="158"/>
      <c r="N512" s="158"/>
      <c r="P512" s="20"/>
    </row>
    <row r="513">
      <c r="B513" s="261"/>
      <c r="C513" s="158"/>
      <c r="D513" s="158"/>
      <c r="E513" s="158"/>
      <c r="F513" s="158"/>
      <c r="H513" s="158"/>
      <c r="J513" s="158"/>
      <c r="L513" s="158"/>
      <c r="N513" s="158"/>
      <c r="P513" s="20"/>
    </row>
    <row r="514">
      <c r="B514" s="261"/>
      <c r="C514" s="158"/>
      <c r="D514" s="158"/>
      <c r="E514" s="158"/>
      <c r="F514" s="158"/>
      <c r="H514" s="158"/>
      <c r="J514" s="158"/>
      <c r="L514" s="158"/>
      <c r="N514" s="158"/>
      <c r="P514" s="20"/>
    </row>
    <row r="515">
      <c r="B515" s="261"/>
      <c r="C515" s="158"/>
      <c r="D515" s="158"/>
      <c r="E515" s="158"/>
      <c r="F515" s="158"/>
      <c r="H515" s="158"/>
      <c r="J515" s="158"/>
      <c r="L515" s="158"/>
      <c r="N515" s="158"/>
      <c r="P515" s="20"/>
    </row>
    <row r="516">
      <c r="B516" s="261"/>
      <c r="C516" s="158"/>
      <c r="D516" s="158"/>
      <c r="E516" s="158"/>
      <c r="F516" s="158"/>
      <c r="H516" s="158"/>
      <c r="J516" s="158"/>
      <c r="L516" s="158"/>
      <c r="N516" s="158"/>
      <c r="P516" s="20"/>
    </row>
    <row r="517">
      <c r="B517" s="261"/>
      <c r="C517" s="158"/>
      <c r="D517" s="158"/>
      <c r="E517" s="158"/>
      <c r="F517" s="158"/>
      <c r="H517" s="158"/>
      <c r="J517" s="158"/>
      <c r="L517" s="158"/>
      <c r="N517" s="158"/>
      <c r="P517" s="20"/>
    </row>
    <row r="518">
      <c r="B518" s="261"/>
      <c r="C518" s="158"/>
      <c r="D518" s="158"/>
      <c r="E518" s="158"/>
      <c r="F518" s="158"/>
      <c r="H518" s="158"/>
      <c r="J518" s="158"/>
      <c r="L518" s="158"/>
      <c r="N518" s="158"/>
      <c r="P518" s="20"/>
    </row>
    <row r="519">
      <c r="B519" s="261"/>
      <c r="C519" s="158"/>
      <c r="D519" s="158"/>
      <c r="E519" s="158"/>
      <c r="F519" s="158"/>
      <c r="H519" s="158"/>
      <c r="J519" s="158"/>
      <c r="L519" s="158"/>
      <c r="N519" s="158"/>
      <c r="P519" s="20"/>
    </row>
    <row r="520">
      <c r="B520" s="261"/>
      <c r="C520" s="158"/>
      <c r="D520" s="158"/>
      <c r="E520" s="158"/>
      <c r="F520" s="158"/>
      <c r="H520" s="158"/>
      <c r="J520" s="158"/>
      <c r="L520" s="158"/>
      <c r="N520" s="158"/>
      <c r="P520" s="20"/>
    </row>
    <row r="521">
      <c r="B521" s="261"/>
      <c r="C521" s="158"/>
      <c r="D521" s="158"/>
      <c r="E521" s="158"/>
      <c r="F521" s="158"/>
      <c r="H521" s="158"/>
      <c r="J521" s="158"/>
      <c r="L521" s="158"/>
      <c r="N521" s="158"/>
      <c r="P521" s="20"/>
    </row>
    <row r="522">
      <c r="B522" s="261"/>
      <c r="C522" s="158"/>
      <c r="D522" s="158"/>
      <c r="E522" s="158"/>
      <c r="F522" s="158"/>
      <c r="H522" s="158"/>
      <c r="J522" s="158"/>
      <c r="L522" s="158"/>
      <c r="N522" s="158"/>
      <c r="P522" s="20"/>
    </row>
    <row r="523">
      <c r="B523" s="261"/>
      <c r="C523" s="158"/>
      <c r="D523" s="158"/>
      <c r="E523" s="158"/>
      <c r="F523" s="158"/>
      <c r="H523" s="158"/>
      <c r="J523" s="158"/>
      <c r="L523" s="158"/>
      <c r="N523" s="158"/>
      <c r="P523" s="20"/>
    </row>
    <row r="524">
      <c r="B524" s="261"/>
      <c r="C524" s="158"/>
      <c r="D524" s="158"/>
      <c r="E524" s="158"/>
      <c r="F524" s="158"/>
      <c r="H524" s="158"/>
      <c r="J524" s="158"/>
      <c r="L524" s="158"/>
      <c r="N524" s="158"/>
      <c r="P524" s="20"/>
    </row>
    <row r="525">
      <c r="B525" s="261"/>
      <c r="C525" s="158"/>
      <c r="D525" s="158"/>
      <c r="E525" s="158"/>
      <c r="F525" s="158"/>
      <c r="H525" s="158"/>
      <c r="J525" s="158"/>
      <c r="L525" s="158"/>
      <c r="N525" s="158"/>
      <c r="P525" s="20"/>
    </row>
    <row r="526">
      <c r="B526" s="261"/>
      <c r="C526" s="158"/>
      <c r="D526" s="158"/>
      <c r="E526" s="158"/>
      <c r="F526" s="158"/>
      <c r="H526" s="158"/>
      <c r="J526" s="158"/>
      <c r="L526" s="158"/>
      <c r="N526" s="158"/>
      <c r="P526" s="20"/>
    </row>
    <row r="527">
      <c r="B527" s="261"/>
      <c r="C527" s="158"/>
      <c r="D527" s="158"/>
      <c r="E527" s="158"/>
      <c r="F527" s="158"/>
      <c r="H527" s="158"/>
      <c r="J527" s="158"/>
      <c r="L527" s="158"/>
      <c r="N527" s="158"/>
      <c r="P527" s="20"/>
    </row>
    <row r="528">
      <c r="B528" s="261"/>
      <c r="C528" s="158"/>
      <c r="D528" s="158"/>
      <c r="E528" s="158"/>
      <c r="F528" s="158"/>
      <c r="H528" s="158"/>
      <c r="J528" s="158"/>
      <c r="L528" s="158"/>
      <c r="N528" s="158"/>
      <c r="P528" s="20"/>
    </row>
    <row r="529">
      <c r="B529" s="261"/>
      <c r="C529" s="158"/>
      <c r="D529" s="158"/>
      <c r="E529" s="158"/>
      <c r="F529" s="158"/>
      <c r="H529" s="158"/>
      <c r="J529" s="158"/>
      <c r="L529" s="158"/>
      <c r="N529" s="158"/>
      <c r="P529" s="20"/>
    </row>
    <row r="530">
      <c r="B530" s="261"/>
      <c r="C530" s="158"/>
      <c r="D530" s="158"/>
      <c r="E530" s="158"/>
      <c r="F530" s="158"/>
      <c r="H530" s="158"/>
      <c r="J530" s="158"/>
      <c r="L530" s="158"/>
      <c r="N530" s="158"/>
      <c r="P530" s="20"/>
    </row>
    <row r="531">
      <c r="B531" s="261"/>
      <c r="C531" s="158"/>
      <c r="D531" s="158"/>
      <c r="E531" s="158"/>
      <c r="F531" s="158"/>
      <c r="H531" s="158"/>
      <c r="J531" s="158"/>
      <c r="L531" s="158"/>
      <c r="N531" s="158"/>
      <c r="P531" s="20"/>
    </row>
    <row r="532">
      <c r="B532" s="261"/>
      <c r="C532" s="158"/>
      <c r="D532" s="158"/>
      <c r="E532" s="158"/>
      <c r="F532" s="158"/>
      <c r="H532" s="158"/>
      <c r="J532" s="158"/>
      <c r="L532" s="158"/>
      <c r="N532" s="158"/>
      <c r="P532" s="20"/>
    </row>
    <row r="533">
      <c r="B533" s="261"/>
      <c r="C533" s="158"/>
      <c r="D533" s="158"/>
      <c r="E533" s="158"/>
      <c r="F533" s="158"/>
      <c r="H533" s="158"/>
      <c r="J533" s="158"/>
      <c r="L533" s="158"/>
      <c r="N533" s="158"/>
      <c r="P533" s="20"/>
    </row>
    <row r="534">
      <c r="B534" s="261"/>
      <c r="C534" s="158"/>
      <c r="D534" s="158"/>
      <c r="E534" s="158"/>
      <c r="F534" s="158"/>
      <c r="H534" s="158"/>
      <c r="J534" s="158"/>
      <c r="L534" s="158"/>
      <c r="N534" s="158"/>
      <c r="P534" s="20"/>
    </row>
    <row r="535">
      <c r="B535" s="261"/>
      <c r="C535" s="158"/>
      <c r="D535" s="158"/>
      <c r="E535" s="158"/>
      <c r="F535" s="158"/>
      <c r="H535" s="158"/>
      <c r="J535" s="158"/>
      <c r="L535" s="158"/>
      <c r="N535" s="158"/>
      <c r="P535" s="20"/>
    </row>
    <row r="536">
      <c r="B536" s="261"/>
      <c r="C536" s="158"/>
      <c r="D536" s="158"/>
      <c r="E536" s="158"/>
      <c r="F536" s="158"/>
      <c r="H536" s="158"/>
      <c r="J536" s="158"/>
      <c r="L536" s="158"/>
      <c r="N536" s="158"/>
      <c r="P536" s="20"/>
    </row>
    <row r="537">
      <c r="B537" s="261"/>
      <c r="C537" s="158"/>
      <c r="D537" s="158"/>
      <c r="E537" s="158"/>
      <c r="F537" s="158"/>
      <c r="H537" s="158"/>
      <c r="J537" s="158"/>
      <c r="L537" s="158"/>
      <c r="N537" s="158"/>
      <c r="P537" s="20"/>
    </row>
    <row r="538">
      <c r="B538" s="261"/>
      <c r="C538" s="158"/>
      <c r="D538" s="158"/>
      <c r="E538" s="158"/>
      <c r="F538" s="158"/>
      <c r="H538" s="158"/>
      <c r="J538" s="158"/>
      <c r="L538" s="158"/>
      <c r="N538" s="158"/>
      <c r="P538" s="20"/>
    </row>
    <row r="539">
      <c r="B539" s="261"/>
      <c r="C539" s="158"/>
      <c r="D539" s="158"/>
      <c r="E539" s="158"/>
      <c r="F539" s="158"/>
      <c r="H539" s="158"/>
      <c r="J539" s="158"/>
      <c r="L539" s="158"/>
      <c r="N539" s="158"/>
      <c r="P539" s="20"/>
    </row>
    <row r="540">
      <c r="B540" s="261"/>
      <c r="C540" s="158"/>
      <c r="D540" s="158"/>
      <c r="E540" s="158"/>
      <c r="F540" s="158"/>
      <c r="H540" s="158"/>
      <c r="J540" s="158"/>
      <c r="L540" s="158"/>
      <c r="N540" s="158"/>
      <c r="P540" s="20"/>
    </row>
    <row r="541">
      <c r="B541" s="261"/>
      <c r="C541" s="158"/>
      <c r="D541" s="158"/>
      <c r="E541" s="158"/>
      <c r="F541" s="158"/>
      <c r="H541" s="158"/>
      <c r="J541" s="158"/>
      <c r="L541" s="158"/>
      <c r="N541" s="158"/>
      <c r="P541" s="20"/>
    </row>
    <row r="542">
      <c r="B542" s="261"/>
      <c r="C542" s="158"/>
      <c r="D542" s="158"/>
      <c r="E542" s="158"/>
      <c r="F542" s="158"/>
      <c r="H542" s="158"/>
      <c r="J542" s="158"/>
      <c r="L542" s="158"/>
      <c r="N542" s="158"/>
      <c r="P542" s="20"/>
    </row>
    <row r="543">
      <c r="B543" s="261"/>
      <c r="C543" s="158"/>
      <c r="D543" s="158"/>
      <c r="E543" s="158"/>
      <c r="F543" s="158"/>
      <c r="H543" s="158"/>
      <c r="J543" s="158"/>
      <c r="L543" s="158"/>
      <c r="N543" s="158"/>
      <c r="P543" s="20"/>
    </row>
    <row r="544">
      <c r="B544" s="261"/>
      <c r="C544" s="158"/>
      <c r="D544" s="158"/>
      <c r="E544" s="158"/>
      <c r="F544" s="158"/>
      <c r="H544" s="158"/>
      <c r="J544" s="158"/>
      <c r="L544" s="158"/>
      <c r="N544" s="158"/>
      <c r="P544" s="20"/>
    </row>
    <row r="545">
      <c r="B545" s="261"/>
      <c r="C545" s="158"/>
      <c r="D545" s="158"/>
      <c r="E545" s="158"/>
      <c r="F545" s="158"/>
      <c r="H545" s="158"/>
      <c r="J545" s="158"/>
      <c r="L545" s="158"/>
      <c r="N545" s="158"/>
      <c r="P545" s="20"/>
    </row>
    <row r="546">
      <c r="B546" s="261"/>
      <c r="C546" s="158"/>
      <c r="D546" s="158"/>
      <c r="E546" s="158"/>
      <c r="F546" s="158"/>
      <c r="H546" s="158"/>
      <c r="J546" s="158"/>
      <c r="L546" s="158"/>
      <c r="N546" s="158"/>
      <c r="P546" s="20"/>
    </row>
    <row r="547">
      <c r="B547" s="261"/>
      <c r="C547" s="158"/>
      <c r="D547" s="158"/>
      <c r="E547" s="158"/>
      <c r="F547" s="158"/>
      <c r="H547" s="158"/>
      <c r="J547" s="158"/>
      <c r="L547" s="158"/>
      <c r="N547" s="158"/>
      <c r="P547" s="20"/>
    </row>
    <row r="548">
      <c r="B548" s="261"/>
      <c r="C548" s="158"/>
      <c r="D548" s="158"/>
      <c r="E548" s="158"/>
      <c r="F548" s="158"/>
      <c r="H548" s="158"/>
      <c r="J548" s="158"/>
      <c r="L548" s="158"/>
      <c r="N548" s="158"/>
      <c r="P548" s="20"/>
    </row>
    <row r="549">
      <c r="B549" s="261"/>
      <c r="C549" s="158"/>
      <c r="D549" s="158"/>
      <c r="E549" s="158"/>
      <c r="F549" s="158"/>
      <c r="H549" s="158"/>
      <c r="J549" s="158"/>
      <c r="L549" s="158"/>
      <c r="N549" s="158"/>
      <c r="P549" s="20"/>
    </row>
    <row r="550">
      <c r="B550" s="261"/>
      <c r="C550" s="158"/>
      <c r="D550" s="158"/>
      <c r="E550" s="158"/>
      <c r="F550" s="158"/>
      <c r="H550" s="158"/>
      <c r="J550" s="158"/>
      <c r="L550" s="158"/>
      <c r="N550" s="158"/>
      <c r="P550" s="20"/>
    </row>
    <row r="551">
      <c r="B551" s="261"/>
      <c r="C551" s="158"/>
      <c r="D551" s="158"/>
      <c r="E551" s="158"/>
      <c r="F551" s="158"/>
      <c r="H551" s="158"/>
      <c r="J551" s="158"/>
      <c r="L551" s="158"/>
      <c r="N551" s="158"/>
      <c r="P551" s="20"/>
    </row>
    <row r="552">
      <c r="B552" s="261"/>
      <c r="C552" s="158"/>
      <c r="D552" s="158"/>
      <c r="E552" s="158"/>
      <c r="F552" s="158"/>
      <c r="H552" s="158"/>
      <c r="J552" s="158"/>
      <c r="L552" s="158"/>
      <c r="N552" s="158"/>
      <c r="P552" s="20"/>
    </row>
    <row r="553">
      <c r="B553" s="261"/>
      <c r="C553" s="158"/>
      <c r="D553" s="158"/>
      <c r="E553" s="158"/>
      <c r="F553" s="158"/>
      <c r="H553" s="158"/>
      <c r="J553" s="158"/>
      <c r="L553" s="158"/>
      <c r="N553" s="158"/>
      <c r="P553" s="20"/>
    </row>
    <row r="554">
      <c r="B554" s="261"/>
      <c r="C554" s="158"/>
      <c r="D554" s="158"/>
      <c r="E554" s="158"/>
      <c r="F554" s="158"/>
      <c r="H554" s="158"/>
      <c r="J554" s="158"/>
      <c r="L554" s="158"/>
      <c r="N554" s="158"/>
      <c r="P554" s="20"/>
    </row>
    <row r="555">
      <c r="B555" s="261"/>
      <c r="C555" s="158"/>
      <c r="D555" s="158"/>
      <c r="E555" s="158"/>
      <c r="F555" s="158"/>
      <c r="H555" s="158"/>
      <c r="J555" s="158"/>
      <c r="L555" s="158"/>
      <c r="N555" s="158"/>
      <c r="P555" s="20"/>
    </row>
    <row r="556">
      <c r="B556" s="261"/>
      <c r="C556" s="158"/>
      <c r="D556" s="158"/>
      <c r="E556" s="158"/>
      <c r="F556" s="158"/>
      <c r="H556" s="158"/>
      <c r="J556" s="158"/>
      <c r="L556" s="158"/>
      <c r="N556" s="158"/>
      <c r="P556" s="20"/>
    </row>
    <row r="557">
      <c r="B557" s="261"/>
      <c r="C557" s="158"/>
      <c r="D557" s="158"/>
      <c r="E557" s="158"/>
      <c r="F557" s="158"/>
      <c r="H557" s="158"/>
      <c r="J557" s="158"/>
      <c r="L557" s="158"/>
      <c r="N557" s="158"/>
      <c r="P557" s="20"/>
    </row>
    <row r="558">
      <c r="B558" s="261"/>
      <c r="C558" s="158"/>
      <c r="D558" s="158"/>
      <c r="E558" s="158"/>
      <c r="F558" s="158"/>
      <c r="H558" s="158"/>
      <c r="J558" s="158"/>
      <c r="L558" s="158"/>
      <c r="N558" s="158"/>
      <c r="P558" s="20"/>
    </row>
    <row r="559">
      <c r="B559" s="261"/>
      <c r="C559" s="158"/>
      <c r="D559" s="158"/>
      <c r="E559" s="158"/>
      <c r="F559" s="158"/>
      <c r="H559" s="158"/>
      <c r="J559" s="158"/>
      <c r="L559" s="158"/>
      <c r="N559" s="158"/>
      <c r="P559" s="20"/>
    </row>
    <row r="560">
      <c r="B560" s="261"/>
      <c r="C560" s="158"/>
      <c r="D560" s="158"/>
      <c r="E560" s="158"/>
      <c r="F560" s="158"/>
      <c r="H560" s="158"/>
      <c r="J560" s="158"/>
      <c r="L560" s="158"/>
      <c r="N560" s="158"/>
      <c r="P560" s="20"/>
    </row>
    <row r="561">
      <c r="B561" s="261"/>
      <c r="C561" s="158"/>
      <c r="D561" s="158"/>
      <c r="E561" s="158"/>
      <c r="F561" s="158"/>
      <c r="H561" s="158"/>
      <c r="J561" s="158"/>
      <c r="L561" s="158"/>
      <c r="N561" s="158"/>
      <c r="P561" s="20"/>
    </row>
    <row r="562">
      <c r="B562" s="261"/>
      <c r="C562" s="158"/>
      <c r="D562" s="158"/>
      <c r="E562" s="158"/>
      <c r="F562" s="158"/>
      <c r="H562" s="158"/>
      <c r="J562" s="158"/>
      <c r="L562" s="158"/>
      <c r="N562" s="158"/>
      <c r="P562" s="20"/>
    </row>
    <row r="563">
      <c r="B563" s="261"/>
      <c r="C563" s="158"/>
      <c r="D563" s="158"/>
      <c r="E563" s="158"/>
      <c r="F563" s="158"/>
      <c r="H563" s="158"/>
      <c r="J563" s="158"/>
      <c r="L563" s="158"/>
      <c r="N563" s="158"/>
      <c r="P563" s="20"/>
    </row>
    <row r="564">
      <c r="B564" s="261"/>
      <c r="C564" s="158"/>
      <c r="D564" s="158"/>
      <c r="E564" s="158"/>
      <c r="F564" s="158"/>
      <c r="H564" s="158"/>
      <c r="J564" s="158"/>
      <c r="L564" s="158"/>
      <c r="N564" s="158"/>
      <c r="P564" s="20"/>
    </row>
    <row r="565">
      <c r="B565" s="261"/>
      <c r="C565" s="158"/>
      <c r="D565" s="158"/>
      <c r="E565" s="158"/>
      <c r="F565" s="158"/>
      <c r="H565" s="158"/>
      <c r="J565" s="158"/>
      <c r="L565" s="158"/>
      <c r="N565" s="158"/>
      <c r="P565" s="20"/>
    </row>
    <row r="566">
      <c r="B566" s="261"/>
      <c r="C566" s="158"/>
      <c r="D566" s="158"/>
      <c r="E566" s="158"/>
      <c r="F566" s="158"/>
      <c r="H566" s="158"/>
      <c r="J566" s="158"/>
      <c r="L566" s="158"/>
      <c r="N566" s="158"/>
      <c r="P566" s="20"/>
    </row>
    <row r="567">
      <c r="B567" s="261"/>
      <c r="C567" s="158"/>
      <c r="D567" s="158"/>
      <c r="E567" s="158"/>
      <c r="F567" s="158"/>
      <c r="H567" s="158"/>
      <c r="J567" s="158"/>
      <c r="L567" s="158"/>
      <c r="N567" s="158"/>
      <c r="P567" s="20"/>
    </row>
    <row r="568">
      <c r="B568" s="261"/>
      <c r="C568" s="158"/>
      <c r="D568" s="158"/>
      <c r="E568" s="158"/>
      <c r="F568" s="158"/>
      <c r="H568" s="158"/>
      <c r="J568" s="158"/>
      <c r="L568" s="158"/>
      <c r="N568" s="158"/>
      <c r="P568" s="20"/>
    </row>
    <row r="569">
      <c r="B569" s="261"/>
      <c r="C569" s="158"/>
      <c r="D569" s="158"/>
      <c r="E569" s="158"/>
      <c r="F569" s="158"/>
      <c r="H569" s="158"/>
      <c r="J569" s="158"/>
      <c r="L569" s="158"/>
      <c r="N569" s="158"/>
      <c r="P569" s="20"/>
    </row>
    <row r="570">
      <c r="B570" s="261"/>
      <c r="C570" s="158"/>
      <c r="D570" s="158"/>
      <c r="E570" s="158"/>
      <c r="F570" s="158"/>
      <c r="H570" s="158"/>
      <c r="J570" s="158"/>
      <c r="L570" s="158"/>
      <c r="N570" s="158"/>
      <c r="P570" s="20"/>
    </row>
    <row r="571">
      <c r="B571" s="261"/>
      <c r="C571" s="158"/>
      <c r="D571" s="158"/>
      <c r="E571" s="158"/>
      <c r="F571" s="158"/>
      <c r="H571" s="158"/>
      <c r="J571" s="158"/>
      <c r="L571" s="158"/>
      <c r="N571" s="158"/>
      <c r="P571" s="20"/>
    </row>
    <row r="572">
      <c r="B572" s="261"/>
      <c r="C572" s="158"/>
      <c r="D572" s="158"/>
      <c r="E572" s="158"/>
      <c r="F572" s="158"/>
      <c r="H572" s="158"/>
      <c r="J572" s="158"/>
      <c r="L572" s="158"/>
      <c r="N572" s="158"/>
      <c r="P572" s="20"/>
    </row>
    <row r="573">
      <c r="B573" s="261"/>
      <c r="C573" s="158"/>
      <c r="D573" s="158"/>
      <c r="E573" s="158"/>
      <c r="F573" s="158"/>
      <c r="H573" s="158"/>
      <c r="J573" s="158"/>
      <c r="L573" s="158"/>
      <c r="N573" s="158"/>
      <c r="P573" s="20"/>
    </row>
    <row r="574">
      <c r="B574" s="261"/>
      <c r="C574" s="158"/>
      <c r="D574" s="158"/>
      <c r="E574" s="158"/>
      <c r="F574" s="158"/>
      <c r="H574" s="158"/>
      <c r="J574" s="158"/>
      <c r="L574" s="158"/>
      <c r="N574" s="158"/>
      <c r="P574" s="20"/>
    </row>
    <row r="575">
      <c r="B575" s="261"/>
      <c r="C575" s="158"/>
      <c r="D575" s="158"/>
      <c r="E575" s="158"/>
      <c r="F575" s="158"/>
      <c r="H575" s="158"/>
      <c r="J575" s="158"/>
      <c r="L575" s="158"/>
      <c r="N575" s="158"/>
      <c r="P575" s="20"/>
    </row>
    <row r="576">
      <c r="B576" s="261"/>
      <c r="C576" s="158"/>
      <c r="D576" s="158"/>
      <c r="E576" s="158"/>
      <c r="F576" s="158"/>
      <c r="H576" s="158"/>
      <c r="J576" s="158"/>
      <c r="L576" s="158"/>
      <c r="N576" s="158"/>
      <c r="P576" s="20"/>
    </row>
    <row r="577">
      <c r="B577" s="261"/>
      <c r="C577" s="158"/>
      <c r="D577" s="158"/>
      <c r="E577" s="158"/>
      <c r="F577" s="158"/>
      <c r="H577" s="158"/>
      <c r="J577" s="158"/>
      <c r="L577" s="158"/>
      <c r="N577" s="158"/>
      <c r="P577" s="20"/>
    </row>
    <row r="578">
      <c r="B578" s="261"/>
      <c r="C578" s="158"/>
      <c r="D578" s="158"/>
      <c r="E578" s="158"/>
      <c r="F578" s="158"/>
      <c r="H578" s="158"/>
      <c r="J578" s="158"/>
      <c r="L578" s="158"/>
      <c r="N578" s="158"/>
      <c r="P578" s="20"/>
    </row>
    <row r="579">
      <c r="B579" s="261"/>
      <c r="C579" s="158"/>
      <c r="D579" s="158"/>
      <c r="E579" s="158"/>
      <c r="F579" s="158"/>
      <c r="H579" s="158"/>
      <c r="J579" s="158"/>
      <c r="L579" s="158"/>
      <c r="N579" s="158"/>
      <c r="P579" s="20"/>
    </row>
    <row r="580">
      <c r="B580" s="261"/>
      <c r="C580" s="158"/>
      <c r="D580" s="158"/>
      <c r="E580" s="158"/>
      <c r="F580" s="158"/>
      <c r="H580" s="158"/>
      <c r="J580" s="158"/>
      <c r="L580" s="158"/>
      <c r="N580" s="158"/>
      <c r="P580" s="20"/>
    </row>
    <row r="581">
      <c r="B581" s="261"/>
      <c r="C581" s="158"/>
      <c r="D581" s="158"/>
      <c r="E581" s="158"/>
      <c r="F581" s="158"/>
      <c r="H581" s="158"/>
      <c r="J581" s="158"/>
      <c r="L581" s="158"/>
      <c r="N581" s="158"/>
      <c r="P581" s="20"/>
    </row>
    <row r="582">
      <c r="B582" s="261"/>
      <c r="C582" s="158"/>
      <c r="D582" s="158"/>
      <c r="E582" s="158"/>
      <c r="F582" s="158"/>
      <c r="H582" s="158"/>
      <c r="J582" s="158"/>
      <c r="L582" s="158"/>
      <c r="N582" s="158"/>
      <c r="P582" s="20"/>
    </row>
    <row r="583">
      <c r="B583" s="261"/>
      <c r="C583" s="158"/>
      <c r="D583" s="158"/>
      <c r="E583" s="158"/>
      <c r="F583" s="158"/>
      <c r="H583" s="158"/>
      <c r="J583" s="158"/>
      <c r="L583" s="158"/>
      <c r="N583" s="158"/>
      <c r="P583" s="20"/>
    </row>
    <row r="584">
      <c r="B584" s="261"/>
      <c r="C584" s="158"/>
      <c r="D584" s="158"/>
      <c r="E584" s="158"/>
      <c r="F584" s="158"/>
      <c r="H584" s="158"/>
      <c r="J584" s="158"/>
      <c r="L584" s="158"/>
      <c r="N584" s="158"/>
      <c r="P584" s="20"/>
    </row>
    <row r="585">
      <c r="B585" s="261"/>
      <c r="C585" s="158"/>
      <c r="D585" s="158"/>
      <c r="E585" s="158"/>
      <c r="F585" s="158"/>
      <c r="H585" s="158"/>
      <c r="J585" s="158"/>
      <c r="L585" s="158"/>
      <c r="N585" s="158"/>
      <c r="P585" s="20"/>
    </row>
    <row r="586">
      <c r="B586" s="261"/>
      <c r="C586" s="158"/>
      <c r="D586" s="158"/>
      <c r="E586" s="158"/>
      <c r="F586" s="158"/>
      <c r="H586" s="158"/>
      <c r="J586" s="158"/>
      <c r="L586" s="158"/>
      <c r="N586" s="158"/>
      <c r="P586" s="20"/>
    </row>
    <row r="587">
      <c r="B587" s="261"/>
      <c r="C587" s="158"/>
      <c r="D587" s="158"/>
      <c r="E587" s="158"/>
      <c r="F587" s="158"/>
      <c r="H587" s="158"/>
      <c r="J587" s="158"/>
      <c r="L587" s="158"/>
      <c r="N587" s="158"/>
      <c r="P587" s="20"/>
    </row>
    <row r="588">
      <c r="B588" s="261"/>
      <c r="C588" s="158"/>
      <c r="D588" s="158"/>
      <c r="E588" s="158"/>
      <c r="F588" s="158"/>
      <c r="H588" s="158"/>
      <c r="J588" s="158"/>
      <c r="L588" s="158"/>
      <c r="N588" s="158"/>
      <c r="P588" s="20"/>
    </row>
    <row r="589">
      <c r="B589" s="261"/>
      <c r="C589" s="158"/>
      <c r="D589" s="158"/>
      <c r="E589" s="158"/>
      <c r="F589" s="158"/>
      <c r="H589" s="158"/>
      <c r="J589" s="158"/>
      <c r="L589" s="158"/>
      <c r="N589" s="158"/>
      <c r="P589" s="20"/>
    </row>
    <row r="590">
      <c r="B590" s="261"/>
      <c r="C590" s="158"/>
      <c r="D590" s="158"/>
      <c r="E590" s="158"/>
      <c r="F590" s="158"/>
      <c r="H590" s="158"/>
      <c r="J590" s="158"/>
      <c r="L590" s="158"/>
      <c r="N590" s="158"/>
      <c r="P590" s="20"/>
    </row>
    <row r="591">
      <c r="B591" s="261"/>
      <c r="C591" s="158"/>
      <c r="D591" s="158"/>
      <c r="E591" s="158"/>
      <c r="F591" s="158"/>
      <c r="H591" s="158"/>
      <c r="J591" s="158"/>
      <c r="L591" s="158"/>
      <c r="N591" s="158"/>
      <c r="P591" s="20"/>
    </row>
    <row r="592">
      <c r="B592" s="261"/>
      <c r="C592" s="158"/>
      <c r="D592" s="158"/>
      <c r="E592" s="158"/>
      <c r="F592" s="158"/>
      <c r="H592" s="158"/>
      <c r="J592" s="158"/>
      <c r="L592" s="158"/>
      <c r="N592" s="158"/>
      <c r="P592" s="20"/>
    </row>
    <row r="593">
      <c r="B593" s="261"/>
      <c r="C593" s="158"/>
      <c r="D593" s="158"/>
      <c r="E593" s="158"/>
      <c r="F593" s="158"/>
      <c r="H593" s="158"/>
      <c r="J593" s="158"/>
      <c r="L593" s="158"/>
      <c r="N593" s="158"/>
      <c r="P593" s="20"/>
    </row>
    <row r="594">
      <c r="B594" s="261"/>
      <c r="C594" s="158"/>
      <c r="D594" s="158"/>
      <c r="E594" s="158"/>
      <c r="F594" s="158"/>
      <c r="H594" s="158"/>
      <c r="J594" s="158"/>
      <c r="L594" s="158"/>
      <c r="N594" s="158"/>
      <c r="P594" s="20"/>
    </row>
    <row r="595">
      <c r="B595" s="261"/>
      <c r="C595" s="158"/>
      <c r="D595" s="158"/>
      <c r="E595" s="158"/>
      <c r="F595" s="158"/>
      <c r="H595" s="158"/>
      <c r="J595" s="158"/>
      <c r="L595" s="158"/>
      <c r="N595" s="158"/>
      <c r="P595" s="20"/>
    </row>
    <row r="596">
      <c r="B596" s="261"/>
      <c r="C596" s="158"/>
      <c r="D596" s="158"/>
      <c r="E596" s="158"/>
      <c r="F596" s="158"/>
      <c r="H596" s="158"/>
      <c r="J596" s="158"/>
      <c r="L596" s="158"/>
      <c r="N596" s="158"/>
      <c r="P596" s="20"/>
    </row>
    <row r="597">
      <c r="B597" s="261"/>
      <c r="C597" s="158"/>
      <c r="D597" s="158"/>
      <c r="E597" s="158"/>
      <c r="F597" s="158"/>
      <c r="H597" s="158"/>
      <c r="J597" s="158"/>
      <c r="L597" s="158"/>
      <c r="N597" s="158"/>
      <c r="P597" s="20"/>
    </row>
    <row r="598">
      <c r="B598" s="261"/>
      <c r="C598" s="158"/>
      <c r="D598" s="158"/>
      <c r="E598" s="158"/>
      <c r="F598" s="158"/>
      <c r="H598" s="158"/>
      <c r="J598" s="158"/>
      <c r="L598" s="158"/>
      <c r="N598" s="158"/>
      <c r="P598" s="20"/>
    </row>
    <row r="599">
      <c r="B599" s="261"/>
      <c r="C599" s="158"/>
      <c r="D599" s="158"/>
      <c r="E599" s="158"/>
      <c r="F599" s="158"/>
      <c r="H599" s="158"/>
      <c r="J599" s="158"/>
      <c r="L599" s="158"/>
      <c r="N599" s="158"/>
      <c r="P599" s="20"/>
    </row>
    <row r="600">
      <c r="B600" s="261"/>
      <c r="C600" s="158"/>
      <c r="D600" s="158"/>
      <c r="E600" s="158"/>
      <c r="F600" s="158"/>
      <c r="H600" s="158"/>
      <c r="J600" s="158"/>
      <c r="L600" s="158"/>
      <c r="N600" s="158"/>
      <c r="P600" s="20"/>
    </row>
    <row r="601">
      <c r="B601" s="261"/>
      <c r="C601" s="158"/>
      <c r="D601" s="158"/>
      <c r="E601" s="158"/>
      <c r="F601" s="158"/>
      <c r="H601" s="158"/>
      <c r="J601" s="158"/>
      <c r="L601" s="158"/>
      <c r="N601" s="158"/>
      <c r="P601" s="20"/>
    </row>
    <row r="602">
      <c r="B602" s="261"/>
      <c r="C602" s="158"/>
      <c r="D602" s="158"/>
      <c r="E602" s="158"/>
      <c r="F602" s="158"/>
      <c r="H602" s="158"/>
      <c r="J602" s="158"/>
      <c r="L602" s="158"/>
      <c r="N602" s="158"/>
      <c r="P602" s="20"/>
    </row>
    <row r="603">
      <c r="B603" s="261"/>
      <c r="C603" s="158"/>
      <c r="D603" s="158"/>
      <c r="E603" s="158"/>
      <c r="F603" s="158"/>
      <c r="H603" s="158"/>
      <c r="J603" s="158"/>
      <c r="L603" s="158"/>
      <c r="N603" s="158"/>
      <c r="P603" s="20"/>
    </row>
    <row r="604">
      <c r="B604" s="261"/>
      <c r="C604" s="158"/>
      <c r="D604" s="158"/>
      <c r="E604" s="158"/>
      <c r="F604" s="158"/>
      <c r="H604" s="158"/>
      <c r="J604" s="158"/>
      <c r="L604" s="158"/>
      <c r="N604" s="158"/>
      <c r="P604" s="20"/>
    </row>
    <row r="605">
      <c r="B605" s="261"/>
      <c r="C605" s="158"/>
      <c r="D605" s="158"/>
      <c r="E605" s="158"/>
      <c r="F605" s="158"/>
      <c r="H605" s="158"/>
      <c r="J605" s="158"/>
      <c r="L605" s="158"/>
      <c r="N605" s="158"/>
      <c r="P605" s="20"/>
    </row>
    <row r="606">
      <c r="B606" s="261"/>
      <c r="C606" s="158"/>
      <c r="D606" s="158"/>
      <c r="E606" s="158"/>
      <c r="F606" s="158"/>
      <c r="H606" s="158"/>
      <c r="J606" s="158"/>
      <c r="L606" s="158"/>
      <c r="N606" s="158"/>
      <c r="P606" s="20"/>
    </row>
    <row r="607">
      <c r="B607" s="261"/>
      <c r="C607" s="158"/>
      <c r="D607" s="158"/>
      <c r="E607" s="158"/>
      <c r="F607" s="158"/>
      <c r="H607" s="158"/>
      <c r="J607" s="158"/>
      <c r="L607" s="158"/>
      <c r="N607" s="158"/>
      <c r="P607" s="20"/>
    </row>
    <row r="608">
      <c r="B608" s="261"/>
      <c r="C608" s="158"/>
      <c r="D608" s="158"/>
      <c r="E608" s="158"/>
      <c r="F608" s="158"/>
      <c r="H608" s="158"/>
      <c r="J608" s="158"/>
      <c r="L608" s="158"/>
      <c r="N608" s="158"/>
      <c r="P608" s="20"/>
    </row>
    <row r="609">
      <c r="B609" s="261"/>
      <c r="C609" s="158"/>
      <c r="D609" s="158"/>
      <c r="E609" s="158"/>
      <c r="F609" s="158"/>
      <c r="H609" s="158"/>
      <c r="J609" s="158"/>
      <c r="L609" s="158"/>
      <c r="N609" s="158"/>
      <c r="P609" s="20"/>
    </row>
    <row r="610">
      <c r="B610" s="261"/>
      <c r="C610" s="158"/>
      <c r="D610" s="158"/>
      <c r="E610" s="158"/>
      <c r="F610" s="158"/>
      <c r="H610" s="158"/>
      <c r="J610" s="158"/>
      <c r="L610" s="158"/>
      <c r="N610" s="158"/>
      <c r="P610" s="20"/>
    </row>
    <row r="611">
      <c r="B611" s="261"/>
      <c r="C611" s="158"/>
      <c r="D611" s="158"/>
      <c r="E611" s="158"/>
      <c r="F611" s="158"/>
      <c r="H611" s="158"/>
      <c r="J611" s="158"/>
      <c r="L611" s="158"/>
      <c r="N611" s="158"/>
      <c r="P611" s="20"/>
    </row>
    <row r="612">
      <c r="B612" s="261"/>
      <c r="C612" s="158"/>
      <c r="D612" s="158"/>
      <c r="E612" s="158"/>
      <c r="F612" s="158"/>
      <c r="H612" s="158"/>
      <c r="J612" s="158"/>
      <c r="L612" s="158"/>
      <c r="N612" s="158"/>
      <c r="P612" s="20"/>
    </row>
    <row r="613">
      <c r="B613" s="261"/>
      <c r="C613" s="158"/>
      <c r="D613" s="158"/>
      <c r="E613" s="158"/>
      <c r="F613" s="158"/>
      <c r="H613" s="158"/>
      <c r="J613" s="158"/>
      <c r="L613" s="158"/>
      <c r="N613" s="158"/>
      <c r="P613" s="20"/>
    </row>
    <row r="614">
      <c r="B614" s="261"/>
      <c r="C614" s="158"/>
      <c r="D614" s="158"/>
      <c r="E614" s="158"/>
      <c r="F614" s="158"/>
      <c r="H614" s="158"/>
      <c r="J614" s="158"/>
      <c r="L614" s="158"/>
      <c r="N614" s="158"/>
      <c r="P614" s="20"/>
    </row>
    <row r="615">
      <c r="B615" s="261"/>
      <c r="C615" s="158"/>
      <c r="D615" s="158"/>
      <c r="E615" s="158"/>
      <c r="F615" s="158"/>
      <c r="H615" s="158"/>
      <c r="J615" s="158"/>
      <c r="L615" s="158"/>
      <c r="N615" s="158"/>
      <c r="P615" s="20"/>
    </row>
    <row r="616">
      <c r="B616" s="261"/>
      <c r="C616" s="158"/>
      <c r="D616" s="158"/>
      <c r="E616" s="158"/>
      <c r="F616" s="158"/>
      <c r="H616" s="158"/>
      <c r="J616" s="158"/>
      <c r="L616" s="158"/>
      <c r="N616" s="158"/>
      <c r="P616" s="20"/>
    </row>
    <row r="617">
      <c r="B617" s="261"/>
      <c r="C617" s="158"/>
      <c r="D617" s="158"/>
      <c r="E617" s="158"/>
      <c r="F617" s="158"/>
      <c r="H617" s="158"/>
      <c r="J617" s="158"/>
      <c r="L617" s="158"/>
      <c r="N617" s="158"/>
      <c r="P617" s="20"/>
    </row>
    <row r="618">
      <c r="B618" s="261"/>
      <c r="C618" s="158"/>
      <c r="D618" s="158"/>
      <c r="E618" s="158"/>
      <c r="F618" s="158"/>
      <c r="H618" s="158"/>
      <c r="J618" s="158"/>
      <c r="L618" s="158"/>
      <c r="N618" s="158"/>
      <c r="P618" s="20"/>
    </row>
    <row r="619">
      <c r="B619" s="261"/>
      <c r="C619" s="158"/>
      <c r="D619" s="158"/>
      <c r="E619" s="158"/>
      <c r="F619" s="158"/>
      <c r="H619" s="158"/>
      <c r="J619" s="158"/>
      <c r="L619" s="158"/>
      <c r="N619" s="158"/>
      <c r="P619" s="20"/>
    </row>
    <row r="620">
      <c r="B620" s="261"/>
      <c r="C620" s="158"/>
      <c r="D620" s="158"/>
      <c r="E620" s="158"/>
      <c r="F620" s="158"/>
      <c r="H620" s="158"/>
      <c r="J620" s="158"/>
      <c r="L620" s="158"/>
      <c r="N620" s="158"/>
      <c r="P620" s="20"/>
    </row>
    <row r="621">
      <c r="B621" s="261"/>
      <c r="C621" s="158"/>
      <c r="D621" s="158"/>
      <c r="E621" s="158"/>
      <c r="F621" s="158"/>
      <c r="H621" s="158"/>
      <c r="J621" s="158"/>
      <c r="L621" s="158"/>
      <c r="N621" s="158"/>
      <c r="P621" s="20"/>
    </row>
    <row r="622">
      <c r="B622" s="261"/>
      <c r="C622" s="158"/>
      <c r="D622" s="158"/>
      <c r="E622" s="158"/>
      <c r="F622" s="158"/>
      <c r="H622" s="158"/>
      <c r="J622" s="158"/>
      <c r="L622" s="158"/>
      <c r="N622" s="158"/>
      <c r="P622" s="20"/>
    </row>
    <row r="623">
      <c r="B623" s="261"/>
      <c r="C623" s="158"/>
      <c r="D623" s="158"/>
      <c r="E623" s="158"/>
      <c r="F623" s="158"/>
      <c r="H623" s="158"/>
      <c r="J623" s="158"/>
      <c r="L623" s="158"/>
      <c r="N623" s="158"/>
      <c r="P623" s="20"/>
    </row>
    <row r="624">
      <c r="B624" s="261"/>
      <c r="C624" s="158"/>
      <c r="D624" s="158"/>
      <c r="E624" s="158"/>
      <c r="F624" s="158"/>
      <c r="H624" s="158"/>
      <c r="J624" s="158"/>
      <c r="L624" s="158"/>
      <c r="N624" s="158"/>
      <c r="P624" s="20"/>
    </row>
    <row r="625">
      <c r="B625" s="261"/>
      <c r="C625" s="158"/>
      <c r="D625" s="158"/>
      <c r="E625" s="158"/>
      <c r="F625" s="158"/>
      <c r="H625" s="158"/>
      <c r="J625" s="158"/>
      <c r="L625" s="158"/>
      <c r="N625" s="158"/>
      <c r="P625" s="20"/>
    </row>
    <row r="626">
      <c r="B626" s="261"/>
      <c r="C626" s="158"/>
      <c r="D626" s="158"/>
      <c r="E626" s="158"/>
      <c r="F626" s="158"/>
      <c r="H626" s="158"/>
      <c r="J626" s="158"/>
      <c r="L626" s="158"/>
      <c r="N626" s="158"/>
      <c r="P626" s="20"/>
    </row>
    <row r="627">
      <c r="B627" s="261"/>
      <c r="C627" s="158"/>
      <c r="D627" s="158"/>
      <c r="E627" s="158"/>
      <c r="F627" s="158"/>
      <c r="H627" s="158"/>
      <c r="J627" s="158"/>
      <c r="L627" s="158"/>
      <c r="N627" s="158"/>
      <c r="P627" s="20"/>
    </row>
    <row r="628">
      <c r="B628" s="261"/>
      <c r="C628" s="158"/>
      <c r="D628" s="158"/>
      <c r="E628" s="158"/>
      <c r="F628" s="158"/>
      <c r="H628" s="158"/>
      <c r="J628" s="158"/>
      <c r="L628" s="158"/>
      <c r="N628" s="158"/>
      <c r="P628" s="20"/>
    </row>
    <row r="629">
      <c r="B629" s="261"/>
      <c r="C629" s="158"/>
      <c r="D629" s="158"/>
      <c r="E629" s="158"/>
      <c r="F629" s="158"/>
      <c r="H629" s="158"/>
      <c r="J629" s="158"/>
      <c r="L629" s="158"/>
      <c r="N629" s="158"/>
      <c r="P629" s="20"/>
    </row>
    <row r="630">
      <c r="B630" s="261"/>
      <c r="C630" s="158"/>
      <c r="D630" s="158"/>
      <c r="E630" s="158"/>
      <c r="F630" s="158"/>
      <c r="H630" s="158"/>
      <c r="J630" s="158"/>
      <c r="L630" s="158"/>
      <c r="N630" s="158"/>
      <c r="P630" s="20"/>
    </row>
    <row r="631">
      <c r="B631" s="261"/>
      <c r="C631" s="158"/>
      <c r="D631" s="158"/>
      <c r="E631" s="158"/>
      <c r="F631" s="158"/>
      <c r="H631" s="158"/>
      <c r="J631" s="158"/>
      <c r="L631" s="158"/>
      <c r="N631" s="158"/>
      <c r="P631" s="20"/>
    </row>
    <row r="632">
      <c r="B632" s="261"/>
      <c r="C632" s="158"/>
      <c r="D632" s="158"/>
      <c r="E632" s="158"/>
      <c r="F632" s="158"/>
      <c r="H632" s="158"/>
      <c r="J632" s="158"/>
      <c r="L632" s="158"/>
      <c r="N632" s="158"/>
      <c r="P632" s="20"/>
    </row>
    <row r="633">
      <c r="B633" s="261"/>
      <c r="C633" s="158"/>
      <c r="D633" s="158"/>
      <c r="E633" s="158"/>
      <c r="F633" s="158"/>
      <c r="H633" s="158"/>
      <c r="J633" s="158"/>
      <c r="L633" s="158"/>
      <c r="N633" s="158"/>
      <c r="P633" s="20"/>
    </row>
    <row r="634">
      <c r="B634" s="261"/>
      <c r="C634" s="158"/>
      <c r="D634" s="158"/>
      <c r="E634" s="158"/>
      <c r="F634" s="158"/>
      <c r="H634" s="158"/>
      <c r="J634" s="158"/>
      <c r="L634" s="158"/>
      <c r="N634" s="158"/>
      <c r="P634" s="20"/>
    </row>
    <row r="635">
      <c r="B635" s="261"/>
      <c r="C635" s="158"/>
      <c r="D635" s="158"/>
      <c r="E635" s="158"/>
      <c r="F635" s="158"/>
      <c r="H635" s="158"/>
      <c r="J635" s="158"/>
      <c r="L635" s="158"/>
      <c r="N635" s="158"/>
      <c r="P635" s="20"/>
    </row>
    <row r="636">
      <c r="B636" s="261"/>
      <c r="C636" s="158"/>
      <c r="D636" s="158"/>
      <c r="E636" s="158"/>
      <c r="F636" s="158"/>
      <c r="H636" s="158"/>
      <c r="J636" s="158"/>
      <c r="L636" s="158"/>
      <c r="N636" s="158"/>
      <c r="P636" s="20"/>
    </row>
    <row r="637">
      <c r="B637" s="261"/>
      <c r="C637" s="158"/>
      <c r="D637" s="158"/>
      <c r="E637" s="158"/>
      <c r="F637" s="158"/>
      <c r="H637" s="158"/>
      <c r="J637" s="158"/>
      <c r="L637" s="158"/>
      <c r="N637" s="158"/>
      <c r="P637" s="20"/>
    </row>
    <row r="638">
      <c r="B638" s="261"/>
      <c r="C638" s="158"/>
      <c r="D638" s="158"/>
      <c r="E638" s="158"/>
      <c r="F638" s="158"/>
      <c r="H638" s="158"/>
      <c r="J638" s="158"/>
      <c r="L638" s="158"/>
      <c r="N638" s="158"/>
      <c r="P638" s="20"/>
    </row>
    <row r="639">
      <c r="B639" s="261"/>
      <c r="C639" s="158"/>
      <c r="D639" s="158"/>
      <c r="E639" s="158"/>
      <c r="F639" s="158"/>
      <c r="H639" s="158"/>
      <c r="J639" s="158"/>
      <c r="L639" s="158"/>
      <c r="N639" s="158"/>
      <c r="P639" s="20"/>
    </row>
    <row r="640">
      <c r="B640" s="261"/>
      <c r="C640" s="158"/>
      <c r="D640" s="158"/>
      <c r="E640" s="158"/>
      <c r="F640" s="158"/>
      <c r="H640" s="158"/>
      <c r="J640" s="158"/>
      <c r="L640" s="158"/>
      <c r="N640" s="158"/>
      <c r="P640" s="20"/>
    </row>
    <row r="641">
      <c r="B641" s="261"/>
      <c r="C641" s="158"/>
      <c r="D641" s="158"/>
      <c r="E641" s="158"/>
      <c r="F641" s="158"/>
      <c r="H641" s="158"/>
      <c r="J641" s="158"/>
      <c r="L641" s="158"/>
      <c r="N641" s="158"/>
      <c r="P641" s="20"/>
    </row>
    <row r="642">
      <c r="B642" s="261"/>
      <c r="C642" s="158"/>
      <c r="D642" s="158"/>
      <c r="E642" s="158"/>
      <c r="F642" s="158"/>
      <c r="H642" s="158"/>
      <c r="J642" s="158"/>
      <c r="L642" s="158"/>
      <c r="N642" s="158"/>
      <c r="P642" s="20"/>
    </row>
    <row r="643">
      <c r="B643" s="261"/>
      <c r="C643" s="158"/>
      <c r="D643" s="158"/>
      <c r="E643" s="158"/>
      <c r="F643" s="158"/>
      <c r="H643" s="158"/>
      <c r="J643" s="158"/>
      <c r="L643" s="158"/>
      <c r="N643" s="158"/>
      <c r="P643" s="20"/>
    </row>
    <row r="644">
      <c r="B644" s="261"/>
      <c r="C644" s="158"/>
      <c r="D644" s="158"/>
      <c r="E644" s="158"/>
      <c r="F644" s="158"/>
      <c r="H644" s="158"/>
      <c r="J644" s="158"/>
      <c r="L644" s="158"/>
      <c r="N644" s="158"/>
      <c r="P644" s="20"/>
    </row>
    <row r="645">
      <c r="B645" s="261"/>
      <c r="C645" s="158"/>
      <c r="D645" s="158"/>
      <c r="E645" s="158"/>
      <c r="F645" s="158"/>
      <c r="H645" s="158"/>
      <c r="J645" s="158"/>
      <c r="L645" s="158"/>
      <c r="N645" s="158"/>
      <c r="P645" s="20"/>
    </row>
    <row r="646">
      <c r="B646" s="261"/>
      <c r="C646" s="158"/>
      <c r="D646" s="158"/>
      <c r="E646" s="158"/>
      <c r="F646" s="158"/>
      <c r="H646" s="158"/>
      <c r="J646" s="158"/>
      <c r="L646" s="158"/>
      <c r="N646" s="158"/>
      <c r="P646" s="20"/>
    </row>
    <row r="647">
      <c r="B647" s="261"/>
      <c r="C647" s="158"/>
      <c r="D647" s="158"/>
      <c r="E647" s="158"/>
      <c r="F647" s="158"/>
      <c r="H647" s="158"/>
      <c r="J647" s="158"/>
      <c r="L647" s="158"/>
      <c r="N647" s="158"/>
      <c r="P647" s="20"/>
    </row>
    <row r="648">
      <c r="B648" s="261"/>
      <c r="C648" s="158"/>
      <c r="D648" s="158"/>
      <c r="E648" s="158"/>
      <c r="F648" s="158"/>
      <c r="H648" s="158"/>
      <c r="J648" s="158"/>
      <c r="L648" s="158"/>
      <c r="N648" s="158"/>
      <c r="P648" s="20"/>
    </row>
    <row r="649">
      <c r="B649" s="261"/>
      <c r="C649" s="158"/>
      <c r="D649" s="158"/>
      <c r="E649" s="158"/>
      <c r="F649" s="158"/>
      <c r="H649" s="158"/>
      <c r="J649" s="158"/>
      <c r="L649" s="158"/>
      <c r="N649" s="158"/>
      <c r="P649" s="20"/>
    </row>
    <row r="650">
      <c r="B650" s="261"/>
      <c r="C650" s="158"/>
      <c r="D650" s="158"/>
      <c r="E650" s="158"/>
      <c r="F650" s="158"/>
      <c r="H650" s="158"/>
      <c r="J650" s="158"/>
      <c r="L650" s="158"/>
      <c r="N650" s="158"/>
      <c r="P650" s="20"/>
    </row>
    <row r="651">
      <c r="B651" s="261"/>
      <c r="C651" s="158"/>
      <c r="D651" s="158"/>
      <c r="E651" s="158"/>
      <c r="F651" s="158"/>
      <c r="H651" s="158"/>
      <c r="J651" s="158"/>
      <c r="L651" s="158"/>
      <c r="N651" s="158"/>
      <c r="P651" s="20"/>
    </row>
    <row r="652">
      <c r="B652" s="261"/>
      <c r="C652" s="158"/>
      <c r="D652" s="158"/>
      <c r="E652" s="158"/>
      <c r="F652" s="158"/>
      <c r="H652" s="158"/>
      <c r="J652" s="158"/>
      <c r="L652" s="158"/>
      <c r="N652" s="158"/>
      <c r="P652" s="20"/>
    </row>
    <row r="653">
      <c r="B653" s="261"/>
      <c r="C653" s="158"/>
      <c r="D653" s="158"/>
      <c r="E653" s="158"/>
      <c r="F653" s="158"/>
      <c r="H653" s="158"/>
      <c r="J653" s="158"/>
      <c r="L653" s="158"/>
      <c r="N653" s="158"/>
      <c r="P653" s="20"/>
    </row>
    <row r="654">
      <c r="B654" s="261"/>
      <c r="C654" s="158"/>
      <c r="D654" s="158"/>
      <c r="E654" s="158"/>
      <c r="F654" s="158"/>
      <c r="H654" s="158"/>
      <c r="J654" s="158"/>
      <c r="L654" s="158"/>
      <c r="N654" s="158"/>
      <c r="P654" s="20"/>
    </row>
    <row r="655">
      <c r="B655" s="261"/>
      <c r="C655" s="158"/>
      <c r="D655" s="158"/>
      <c r="E655" s="158"/>
      <c r="F655" s="158"/>
      <c r="H655" s="158"/>
      <c r="J655" s="158"/>
      <c r="L655" s="158"/>
      <c r="N655" s="158"/>
      <c r="P655" s="20"/>
    </row>
    <row r="656">
      <c r="B656" s="261"/>
      <c r="C656" s="158"/>
      <c r="D656" s="158"/>
      <c r="E656" s="158"/>
      <c r="F656" s="158"/>
      <c r="H656" s="158"/>
      <c r="J656" s="158"/>
      <c r="L656" s="158"/>
      <c r="N656" s="158"/>
      <c r="P656" s="20"/>
    </row>
    <row r="657">
      <c r="B657" s="261"/>
      <c r="C657" s="158"/>
      <c r="D657" s="158"/>
      <c r="E657" s="158"/>
      <c r="F657" s="158"/>
      <c r="H657" s="158"/>
      <c r="J657" s="158"/>
      <c r="L657" s="158"/>
      <c r="N657" s="158"/>
      <c r="P657" s="20"/>
    </row>
    <row r="658">
      <c r="B658" s="261"/>
      <c r="C658" s="158"/>
      <c r="D658" s="158"/>
      <c r="E658" s="158"/>
      <c r="F658" s="158"/>
      <c r="H658" s="158"/>
      <c r="J658" s="158"/>
      <c r="L658" s="158"/>
      <c r="N658" s="158"/>
      <c r="P658" s="20"/>
    </row>
    <row r="659">
      <c r="B659" s="261"/>
      <c r="C659" s="158"/>
      <c r="D659" s="158"/>
      <c r="E659" s="158"/>
      <c r="F659" s="158"/>
      <c r="H659" s="158"/>
      <c r="J659" s="158"/>
      <c r="L659" s="158"/>
      <c r="N659" s="158"/>
      <c r="P659" s="20"/>
    </row>
    <row r="660">
      <c r="B660" s="261"/>
      <c r="C660" s="158"/>
      <c r="D660" s="158"/>
      <c r="E660" s="158"/>
      <c r="F660" s="158"/>
      <c r="H660" s="158"/>
      <c r="J660" s="158"/>
      <c r="L660" s="158"/>
      <c r="N660" s="158"/>
      <c r="P660" s="20"/>
    </row>
    <row r="661">
      <c r="B661" s="261"/>
      <c r="C661" s="158"/>
      <c r="D661" s="158"/>
      <c r="E661" s="158"/>
      <c r="F661" s="158"/>
      <c r="H661" s="158"/>
      <c r="J661" s="158"/>
      <c r="L661" s="158"/>
      <c r="N661" s="158"/>
      <c r="P661" s="20"/>
    </row>
    <row r="662">
      <c r="B662" s="261"/>
      <c r="C662" s="158"/>
      <c r="D662" s="158"/>
      <c r="E662" s="158"/>
      <c r="F662" s="158"/>
      <c r="H662" s="158"/>
      <c r="J662" s="158"/>
      <c r="L662" s="158"/>
      <c r="N662" s="158"/>
      <c r="P662" s="20"/>
    </row>
    <row r="663">
      <c r="B663" s="261"/>
      <c r="C663" s="158"/>
      <c r="D663" s="158"/>
      <c r="E663" s="158"/>
      <c r="F663" s="158"/>
      <c r="H663" s="158"/>
      <c r="J663" s="158"/>
      <c r="L663" s="158"/>
      <c r="N663" s="158"/>
      <c r="P663" s="20"/>
    </row>
    <row r="664">
      <c r="B664" s="261"/>
      <c r="C664" s="158"/>
      <c r="D664" s="158"/>
      <c r="E664" s="158"/>
      <c r="F664" s="158"/>
      <c r="H664" s="158"/>
      <c r="J664" s="158"/>
      <c r="L664" s="158"/>
      <c r="N664" s="158"/>
      <c r="P664" s="20"/>
    </row>
    <row r="665">
      <c r="B665" s="261"/>
      <c r="C665" s="158"/>
      <c r="D665" s="158"/>
      <c r="E665" s="158"/>
      <c r="F665" s="158"/>
      <c r="H665" s="158"/>
      <c r="J665" s="158"/>
      <c r="L665" s="158"/>
      <c r="N665" s="158"/>
      <c r="P665" s="20"/>
    </row>
    <row r="666">
      <c r="B666" s="261"/>
      <c r="C666" s="158"/>
      <c r="D666" s="158"/>
      <c r="E666" s="158"/>
      <c r="F666" s="158"/>
      <c r="H666" s="158"/>
      <c r="J666" s="158"/>
      <c r="L666" s="158"/>
      <c r="N666" s="158"/>
      <c r="P666" s="20"/>
    </row>
    <row r="667">
      <c r="B667" s="261"/>
      <c r="C667" s="158"/>
      <c r="D667" s="158"/>
      <c r="E667" s="158"/>
      <c r="F667" s="158"/>
      <c r="H667" s="158"/>
      <c r="J667" s="158"/>
      <c r="L667" s="158"/>
      <c r="N667" s="158"/>
      <c r="P667" s="20"/>
    </row>
    <row r="668">
      <c r="B668" s="261"/>
      <c r="C668" s="158"/>
      <c r="D668" s="158"/>
      <c r="E668" s="158"/>
      <c r="F668" s="158"/>
      <c r="H668" s="158"/>
      <c r="J668" s="158"/>
      <c r="L668" s="158"/>
      <c r="N668" s="158"/>
      <c r="P668" s="20"/>
    </row>
    <row r="669">
      <c r="B669" s="261"/>
      <c r="C669" s="158"/>
      <c r="D669" s="158"/>
      <c r="E669" s="158"/>
      <c r="F669" s="158"/>
      <c r="H669" s="158"/>
      <c r="J669" s="158"/>
      <c r="L669" s="158"/>
      <c r="N669" s="158"/>
      <c r="P669" s="20"/>
    </row>
    <row r="670">
      <c r="B670" s="261"/>
      <c r="C670" s="158"/>
      <c r="D670" s="158"/>
      <c r="E670" s="158"/>
      <c r="F670" s="158"/>
      <c r="H670" s="158"/>
      <c r="J670" s="158"/>
      <c r="L670" s="158"/>
      <c r="N670" s="158"/>
      <c r="P670" s="20"/>
    </row>
    <row r="671">
      <c r="B671" s="261"/>
      <c r="C671" s="158"/>
      <c r="D671" s="158"/>
      <c r="E671" s="158"/>
      <c r="F671" s="158"/>
      <c r="H671" s="158"/>
      <c r="J671" s="158"/>
      <c r="L671" s="158"/>
      <c r="N671" s="158"/>
      <c r="P671" s="20"/>
    </row>
    <row r="672">
      <c r="B672" s="261"/>
      <c r="C672" s="158"/>
      <c r="D672" s="158"/>
      <c r="E672" s="158"/>
      <c r="F672" s="158"/>
      <c r="H672" s="158"/>
      <c r="J672" s="158"/>
      <c r="L672" s="158"/>
      <c r="N672" s="158"/>
      <c r="P672" s="20"/>
    </row>
    <row r="673">
      <c r="B673" s="261"/>
      <c r="C673" s="158"/>
      <c r="D673" s="158"/>
      <c r="E673" s="158"/>
      <c r="F673" s="158"/>
      <c r="H673" s="158"/>
      <c r="J673" s="158"/>
      <c r="L673" s="158"/>
      <c r="N673" s="158"/>
      <c r="P673" s="20"/>
    </row>
    <row r="674">
      <c r="B674" s="261"/>
      <c r="C674" s="158"/>
      <c r="D674" s="158"/>
      <c r="E674" s="158"/>
      <c r="F674" s="158"/>
      <c r="H674" s="158"/>
      <c r="J674" s="158"/>
      <c r="L674" s="158"/>
      <c r="N674" s="158"/>
      <c r="P674" s="20"/>
    </row>
    <row r="675">
      <c r="B675" s="261"/>
      <c r="C675" s="158"/>
      <c r="D675" s="158"/>
      <c r="E675" s="158"/>
      <c r="F675" s="158"/>
      <c r="H675" s="158"/>
      <c r="J675" s="158"/>
      <c r="L675" s="158"/>
      <c r="N675" s="158"/>
      <c r="P675" s="20"/>
    </row>
    <row r="676">
      <c r="B676" s="261"/>
      <c r="C676" s="158"/>
      <c r="D676" s="158"/>
      <c r="E676" s="158"/>
      <c r="F676" s="158"/>
      <c r="H676" s="158"/>
      <c r="J676" s="158"/>
      <c r="L676" s="158"/>
      <c r="N676" s="158"/>
      <c r="P676" s="20"/>
    </row>
    <row r="677">
      <c r="B677" s="261"/>
      <c r="C677" s="158"/>
      <c r="D677" s="158"/>
      <c r="E677" s="158"/>
      <c r="F677" s="158"/>
      <c r="H677" s="158"/>
      <c r="J677" s="158"/>
      <c r="L677" s="158"/>
      <c r="N677" s="158"/>
      <c r="P677" s="20"/>
    </row>
    <row r="678">
      <c r="B678" s="261"/>
      <c r="C678" s="158"/>
      <c r="D678" s="158"/>
      <c r="E678" s="158"/>
      <c r="F678" s="158"/>
      <c r="H678" s="158"/>
      <c r="J678" s="158"/>
      <c r="L678" s="158"/>
      <c r="N678" s="158"/>
      <c r="P678" s="20"/>
    </row>
    <row r="679">
      <c r="B679" s="261"/>
      <c r="C679" s="158"/>
      <c r="D679" s="158"/>
      <c r="E679" s="158"/>
      <c r="F679" s="158"/>
      <c r="H679" s="158"/>
      <c r="J679" s="158"/>
      <c r="L679" s="158"/>
      <c r="N679" s="158"/>
      <c r="P679" s="20"/>
    </row>
    <row r="680">
      <c r="B680" s="261"/>
      <c r="C680" s="158"/>
      <c r="D680" s="158"/>
      <c r="E680" s="158"/>
      <c r="F680" s="158"/>
      <c r="H680" s="158"/>
      <c r="J680" s="158"/>
      <c r="L680" s="158"/>
      <c r="N680" s="158"/>
      <c r="P680" s="20"/>
    </row>
    <row r="681">
      <c r="B681" s="261"/>
      <c r="C681" s="158"/>
      <c r="D681" s="158"/>
      <c r="E681" s="158"/>
      <c r="F681" s="158"/>
      <c r="H681" s="158"/>
      <c r="J681" s="158"/>
      <c r="L681" s="158"/>
      <c r="N681" s="158"/>
      <c r="P681" s="20"/>
    </row>
    <row r="682">
      <c r="B682" s="261"/>
      <c r="C682" s="158"/>
      <c r="D682" s="158"/>
      <c r="E682" s="158"/>
      <c r="F682" s="158"/>
      <c r="H682" s="158"/>
      <c r="J682" s="158"/>
      <c r="L682" s="158"/>
      <c r="N682" s="158"/>
      <c r="P682" s="20"/>
    </row>
    <row r="683">
      <c r="B683" s="261"/>
      <c r="C683" s="158"/>
      <c r="D683" s="158"/>
      <c r="E683" s="158"/>
      <c r="F683" s="158"/>
      <c r="H683" s="158"/>
      <c r="J683" s="158"/>
      <c r="L683" s="158"/>
      <c r="N683" s="158"/>
      <c r="P683" s="20"/>
    </row>
    <row r="684">
      <c r="B684" s="261"/>
      <c r="C684" s="158"/>
      <c r="D684" s="158"/>
      <c r="E684" s="158"/>
      <c r="F684" s="158"/>
      <c r="H684" s="158"/>
      <c r="J684" s="158"/>
      <c r="L684" s="158"/>
      <c r="N684" s="158"/>
      <c r="P684" s="20"/>
    </row>
    <row r="685">
      <c r="B685" s="261"/>
      <c r="C685" s="158"/>
      <c r="D685" s="158"/>
      <c r="E685" s="158"/>
      <c r="F685" s="158"/>
      <c r="H685" s="158"/>
      <c r="J685" s="158"/>
      <c r="L685" s="158"/>
      <c r="N685" s="158"/>
      <c r="P685" s="20"/>
    </row>
    <row r="686">
      <c r="B686" s="261"/>
      <c r="C686" s="158"/>
      <c r="D686" s="158"/>
      <c r="E686" s="158"/>
      <c r="F686" s="158"/>
      <c r="H686" s="158"/>
      <c r="J686" s="158"/>
      <c r="L686" s="158"/>
      <c r="N686" s="158"/>
      <c r="P686" s="20"/>
    </row>
    <row r="687">
      <c r="B687" s="261"/>
      <c r="C687" s="158"/>
      <c r="D687" s="158"/>
      <c r="E687" s="158"/>
      <c r="F687" s="158"/>
      <c r="H687" s="158"/>
      <c r="J687" s="158"/>
      <c r="L687" s="158"/>
      <c r="N687" s="158"/>
      <c r="P687" s="20"/>
    </row>
    <row r="688">
      <c r="B688" s="261"/>
      <c r="C688" s="158"/>
      <c r="D688" s="158"/>
      <c r="E688" s="158"/>
      <c r="F688" s="158"/>
      <c r="H688" s="158"/>
      <c r="J688" s="158"/>
      <c r="L688" s="158"/>
      <c r="N688" s="158"/>
      <c r="P688" s="20"/>
    </row>
    <row r="689">
      <c r="B689" s="261"/>
      <c r="C689" s="158"/>
      <c r="D689" s="158"/>
      <c r="E689" s="158"/>
      <c r="F689" s="158"/>
      <c r="H689" s="158"/>
      <c r="J689" s="158"/>
      <c r="L689" s="158"/>
      <c r="N689" s="158"/>
      <c r="P689" s="20"/>
    </row>
    <row r="690">
      <c r="B690" s="261"/>
      <c r="C690" s="158"/>
      <c r="D690" s="158"/>
      <c r="E690" s="158"/>
      <c r="F690" s="158"/>
      <c r="H690" s="158"/>
      <c r="J690" s="158"/>
      <c r="L690" s="158"/>
      <c r="N690" s="158"/>
      <c r="P690" s="20"/>
    </row>
    <row r="691">
      <c r="B691" s="261"/>
      <c r="C691" s="158"/>
      <c r="D691" s="158"/>
      <c r="E691" s="158"/>
      <c r="F691" s="158"/>
      <c r="H691" s="158"/>
      <c r="J691" s="158"/>
      <c r="L691" s="158"/>
      <c r="N691" s="158"/>
      <c r="P691" s="20"/>
    </row>
    <row r="692">
      <c r="B692" s="261"/>
      <c r="C692" s="158"/>
      <c r="D692" s="158"/>
      <c r="E692" s="158"/>
      <c r="F692" s="158"/>
      <c r="H692" s="158"/>
      <c r="J692" s="158"/>
      <c r="L692" s="158"/>
      <c r="N692" s="158"/>
      <c r="P692" s="20"/>
    </row>
    <row r="693">
      <c r="B693" s="261"/>
      <c r="C693" s="158"/>
      <c r="D693" s="158"/>
      <c r="E693" s="158"/>
      <c r="F693" s="158"/>
      <c r="H693" s="158"/>
      <c r="J693" s="158"/>
      <c r="L693" s="158"/>
      <c r="N693" s="158"/>
      <c r="P693" s="20"/>
    </row>
    <row r="694">
      <c r="B694" s="261"/>
      <c r="C694" s="158"/>
      <c r="D694" s="158"/>
      <c r="E694" s="158"/>
      <c r="F694" s="158"/>
      <c r="H694" s="158"/>
      <c r="J694" s="158"/>
      <c r="L694" s="158"/>
      <c r="N694" s="158"/>
      <c r="P694" s="20"/>
    </row>
    <row r="695">
      <c r="B695" s="261"/>
      <c r="C695" s="158"/>
      <c r="D695" s="158"/>
      <c r="E695" s="158"/>
      <c r="F695" s="158"/>
      <c r="H695" s="158"/>
      <c r="J695" s="158"/>
      <c r="L695" s="158"/>
      <c r="N695" s="158"/>
      <c r="P695" s="20"/>
    </row>
    <row r="696">
      <c r="B696" s="261"/>
      <c r="C696" s="158"/>
      <c r="D696" s="158"/>
      <c r="E696" s="158"/>
      <c r="F696" s="158"/>
      <c r="H696" s="158"/>
      <c r="J696" s="158"/>
      <c r="L696" s="158"/>
      <c r="N696" s="158"/>
      <c r="P696" s="20"/>
    </row>
    <row r="697">
      <c r="B697" s="261"/>
      <c r="C697" s="158"/>
      <c r="D697" s="158"/>
      <c r="E697" s="158"/>
      <c r="F697" s="158"/>
      <c r="H697" s="158"/>
      <c r="J697" s="158"/>
      <c r="L697" s="158"/>
      <c r="N697" s="158"/>
      <c r="P697" s="20"/>
    </row>
    <row r="698">
      <c r="B698" s="261"/>
      <c r="C698" s="158"/>
      <c r="D698" s="158"/>
      <c r="E698" s="158"/>
      <c r="F698" s="158"/>
      <c r="H698" s="158"/>
      <c r="J698" s="158"/>
      <c r="L698" s="158"/>
      <c r="N698" s="158"/>
      <c r="P698" s="20"/>
    </row>
    <row r="699">
      <c r="B699" s="261"/>
      <c r="C699" s="158"/>
      <c r="D699" s="158"/>
      <c r="E699" s="158"/>
      <c r="F699" s="158"/>
      <c r="H699" s="158"/>
      <c r="J699" s="158"/>
      <c r="L699" s="158"/>
      <c r="N699" s="158"/>
      <c r="P699" s="20"/>
    </row>
    <row r="700">
      <c r="B700" s="261"/>
      <c r="C700" s="158"/>
      <c r="D700" s="158"/>
      <c r="E700" s="158"/>
      <c r="F700" s="158"/>
      <c r="H700" s="158"/>
      <c r="J700" s="158"/>
      <c r="L700" s="158"/>
      <c r="N700" s="158"/>
      <c r="P700" s="20"/>
    </row>
    <row r="701">
      <c r="B701" s="261"/>
      <c r="C701" s="158"/>
      <c r="D701" s="158"/>
      <c r="E701" s="158"/>
      <c r="F701" s="158"/>
      <c r="H701" s="158"/>
      <c r="J701" s="158"/>
      <c r="L701" s="158"/>
      <c r="N701" s="158"/>
      <c r="P701" s="20"/>
    </row>
    <row r="702">
      <c r="B702" s="261"/>
      <c r="C702" s="158"/>
      <c r="D702" s="158"/>
      <c r="E702" s="158"/>
      <c r="F702" s="158"/>
      <c r="H702" s="158"/>
      <c r="J702" s="158"/>
      <c r="L702" s="158"/>
      <c r="N702" s="158"/>
      <c r="P702" s="20"/>
    </row>
    <row r="703">
      <c r="B703" s="261"/>
      <c r="C703" s="158"/>
      <c r="D703" s="158"/>
      <c r="E703" s="158"/>
      <c r="F703" s="158"/>
      <c r="H703" s="158"/>
      <c r="J703" s="158"/>
      <c r="L703" s="158"/>
      <c r="N703" s="158"/>
      <c r="P703" s="20"/>
    </row>
    <row r="704">
      <c r="B704" s="261"/>
      <c r="C704" s="158"/>
      <c r="D704" s="158"/>
      <c r="E704" s="158"/>
      <c r="F704" s="158"/>
      <c r="H704" s="158"/>
      <c r="J704" s="158"/>
      <c r="L704" s="158"/>
      <c r="N704" s="158"/>
      <c r="P704" s="20"/>
    </row>
    <row r="705">
      <c r="B705" s="261"/>
      <c r="C705" s="158"/>
      <c r="D705" s="158"/>
      <c r="E705" s="158"/>
      <c r="F705" s="158"/>
      <c r="H705" s="158"/>
      <c r="J705" s="158"/>
      <c r="L705" s="158"/>
      <c r="N705" s="158"/>
      <c r="P705" s="20"/>
    </row>
    <row r="706">
      <c r="B706" s="261"/>
      <c r="C706" s="158"/>
      <c r="D706" s="158"/>
      <c r="E706" s="158"/>
      <c r="F706" s="158"/>
      <c r="H706" s="158"/>
      <c r="J706" s="158"/>
      <c r="L706" s="158"/>
      <c r="N706" s="158"/>
      <c r="P706" s="20"/>
    </row>
    <row r="707">
      <c r="B707" s="261"/>
      <c r="C707" s="158"/>
      <c r="D707" s="158"/>
      <c r="E707" s="158"/>
      <c r="F707" s="158"/>
      <c r="H707" s="158"/>
      <c r="J707" s="158"/>
      <c r="L707" s="158"/>
      <c r="N707" s="158"/>
      <c r="P707" s="20"/>
    </row>
    <row r="708">
      <c r="B708" s="261"/>
      <c r="C708" s="158"/>
      <c r="D708" s="158"/>
      <c r="E708" s="158"/>
      <c r="F708" s="158"/>
      <c r="H708" s="158"/>
      <c r="J708" s="158"/>
      <c r="L708" s="158"/>
      <c r="N708" s="158"/>
      <c r="P708" s="20"/>
    </row>
    <row r="709">
      <c r="B709" s="261"/>
      <c r="C709" s="158"/>
      <c r="D709" s="158"/>
      <c r="E709" s="158"/>
      <c r="F709" s="158"/>
      <c r="H709" s="158"/>
      <c r="J709" s="158"/>
      <c r="L709" s="158"/>
      <c r="N709" s="158"/>
      <c r="P709" s="20"/>
    </row>
    <row r="710">
      <c r="B710" s="261"/>
      <c r="C710" s="158"/>
      <c r="D710" s="158"/>
      <c r="E710" s="158"/>
      <c r="F710" s="158"/>
      <c r="H710" s="158"/>
      <c r="J710" s="158"/>
      <c r="L710" s="158"/>
      <c r="N710" s="158"/>
      <c r="P710" s="20"/>
    </row>
    <row r="711">
      <c r="B711" s="261"/>
      <c r="C711" s="158"/>
      <c r="D711" s="158"/>
      <c r="E711" s="158"/>
      <c r="F711" s="158"/>
      <c r="H711" s="158"/>
      <c r="J711" s="158"/>
      <c r="L711" s="158"/>
      <c r="N711" s="158"/>
      <c r="P711" s="20"/>
    </row>
    <row r="712">
      <c r="B712" s="261"/>
      <c r="C712" s="158"/>
      <c r="D712" s="158"/>
      <c r="E712" s="158"/>
      <c r="F712" s="158"/>
      <c r="H712" s="158"/>
      <c r="J712" s="158"/>
      <c r="L712" s="158"/>
      <c r="N712" s="158"/>
      <c r="P712" s="20"/>
    </row>
    <row r="713">
      <c r="B713" s="261"/>
      <c r="C713" s="158"/>
      <c r="D713" s="158"/>
      <c r="E713" s="158"/>
      <c r="F713" s="158"/>
      <c r="H713" s="158"/>
      <c r="J713" s="158"/>
      <c r="L713" s="158"/>
      <c r="N713" s="158"/>
      <c r="P713" s="20"/>
    </row>
    <row r="714">
      <c r="B714" s="261"/>
      <c r="C714" s="158"/>
      <c r="D714" s="158"/>
      <c r="E714" s="158"/>
      <c r="F714" s="158"/>
      <c r="H714" s="158"/>
      <c r="J714" s="158"/>
      <c r="L714" s="158"/>
      <c r="N714" s="158"/>
      <c r="P714" s="20"/>
    </row>
    <row r="715">
      <c r="B715" s="261"/>
      <c r="C715" s="158"/>
      <c r="D715" s="158"/>
      <c r="E715" s="158"/>
      <c r="F715" s="158"/>
      <c r="H715" s="158"/>
      <c r="J715" s="158"/>
      <c r="L715" s="158"/>
      <c r="N715" s="158"/>
      <c r="P715" s="20"/>
    </row>
    <row r="716">
      <c r="B716" s="261"/>
      <c r="C716" s="158"/>
      <c r="D716" s="158"/>
      <c r="E716" s="158"/>
      <c r="F716" s="158"/>
      <c r="H716" s="158"/>
      <c r="J716" s="158"/>
      <c r="L716" s="158"/>
      <c r="N716" s="158"/>
      <c r="P716" s="20"/>
    </row>
    <row r="717">
      <c r="B717" s="261"/>
      <c r="C717" s="158"/>
      <c r="D717" s="158"/>
      <c r="E717" s="158"/>
      <c r="F717" s="158"/>
      <c r="H717" s="158"/>
      <c r="J717" s="158"/>
      <c r="L717" s="158"/>
      <c r="N717" s="158"/>
      <c r="P717" s="20"/>
    </row>
    <row r="718">
      <c r="B718" s="261"/>
      <c r="C718" s="158"/>
      <c r="D718" s="158"/>
      <c r="E718" s="158"/>
      <c r="F718" s="158"/>
      <c r="H718" s="158"/>
      <c r="J718" s="158"/>
      <c r="L718" s="158"/>
      <c r="N718" s="158"/>
      <c r="P718" s="20"/>
    </row>
    <row r="719">
      <c r="B719" s="261"/>
      <c r="C719" s="158"/>
      <c r="D719" s="158"/>
      <c r="E719" s="158"/>
      <c r="F719" s="158"/>
      <c r="H719" s="158"/>
      <c r="J719" s="158"/>
      <c r="L719" s="158"/>
      <c r="N719" s="158"/>
      <c r="P719" s="20"/>
    </row>
    <row r="720">
      <c r="B720" s="261"/>
      <c r="C720" s="158"/>
      <c r="D720" s="158"/>
      <c r="E720" s="158"/>
      <c r="F720" s="158"/>
      <c r="H720" s="158"/>
      <c r="J720" s="158"/>
      <c r="L720" s="158"/>
      <c r="N720" s="158"/>
      <c r="P720" s="20"/>
    </row>
    <row r="721">
      <c r="B721" s="261"/>
      <c r="C721" s="158"/>
      <c r="D721" s="158"/>
      <c r="E721" s="158"/>
      <c r="F721" s="158"/>
      <c r="H721" s="158"/>
      <c r="J721" s="158"/>
      <c r="L721" s="158"/>
      <c r="N721" s="158"/>
      <c r="P721" s="20"/>
    </row>
    <row r="722">
      <c r="B722" s="261"/>
      <c r="C722" s="158"/>
      <c r="D722" s="158"/>
      <c r="E722" s="158"/>
      <c r="F722" s="158"/>
      <c r="H722" s="158"/>
      <c r="J722" s="158"/>
      <c r="L722" s="158"/>
      <c r="N722" s="158"/>
      <c r="P722" s="20"/>
    </row>
    <row r="723">
      <c r="B723" s="261"/>
      <c r="C723" s="158"/>
      <c r="D723" s="158"/>
      <c r="E723" s="158"/>
      <c r="F723" s="158"/>
      <c r="H723" s="158"/>
      <c r="J723" s="158"/>
      <c r="L723" s="158"/>
      <c r="N723" s="158"/>
      <c r="P723" s="20"/>
    </row>
    <row r="724">
      <c r="B724" s="261"/>
      <c r="C724" s="158"/>
      <c r="D724" s="158"/>
      <c r="E724" s="158"/>
      <c r="F724" s="158"/>
      <c r="H724" s="158"/>
      <c r="J724" s="158"/>
      <c r="L724" s="158"/>
      <c r="N724" s="158"/>
      <c r="P724" s="20"/>
    </row>
    <row r="725">
      <c r="B725" s="261"/>
      <c r="C725" s="158"/>
      <c r="D725" s="158"/>
      <c r="E725" s="158"/>
      <c r="F725" s="158"/>
      <c r="H725" s="158"/>
      <c r="J725" s="158"/>
      <c r="L725" s="158"/>
      <c r="N725" s="158"/>
      <c r="P725" s="20"/>
    </row>
    <row r="726">
      <c r="B726" s="261"/>
      <c r="C726" s="158"/>
      <c r="D726" s="158"/>
      <c r="E726" s="158"/>
      <c r="F726" s="158"/>
      <c r="H726" s="158"/>
      <c r="J726" s="158"/>
      <c r="L726" s="158"/>
      <c r="N726" s="158"/>
      <c r="P726" s="20"/>
    </row>
    <row r="727">
      <c r="B727" s="261"/>
      <c r="C727" s="158"/>
      <c r="D727" s="158"/>
      <c r="E727" s="158"/>
      <c r="F727" s="158"/>
      <c r="H727" s="158"/>
      <c r="J727" s="158"/>
      <c r="L727" s="158"/>
      <c r="N727" s="158"/>
      <c r="P727" s="20"/>
    </row>
    <row r="728">
      <c r="B728" s="261"/>
      <c r="C728" s="158"/>
      <c r="D728" s="158"/>
      <c r="E728" s="158"/>
      <c r="F728" s="158"/>
      <c r="H728" s="158"/>
      <c r="J728" s="158"/>
      <c r="L728" s="158"/>
      <c r="N728" s="158"/>
      <c r="P728" s="20"/>
    </row>
    <row r="729">
      <c r="B729" s="261"/>
      <c r="C729" s="158"/>
      <c r="D729" s="158"/>
      <c r="E729" s="158"/>
      <c r="F729" s="158"/>
      <c r="H729" s="158"/>
      <c r="J729" s="158"/>
      <c r="L729" s="158"/>
      <c r="N729" s="158"/>
      <c r="P729" s="20"/>
    </row>
    <row r="730">
      <c r="B730" s="261"/>
      <c r="C730" s="158"/>
      <c r="D730" s="158"/>
      <c r="E730" s="158"/>
      <c r="F730" s="158"/>
      <c r="H730" s="158"/>
      <c r="J730" s="158"/>
      <c r="L730" s="158"/>
      <c r="N730" s="158"/>
      <c r="P730" s="20"/>
    </row>
    <row r="731">
      <c r="B731" s="261"/>
      <c r="C731" s="158"/>
      <c r="D731" s="158"/>
      <c r="E731" s="158"/>
      <c r="F731" s="158"/>
      <c r="H731" s="158"/>
      <c r="J731" s="158"/>
      <c r="L731" s="158"/>
      <c r="N731" s="158"/>
      <c r="P731" s="20"/>
    </row>
    <row r="732">
      <c r="B732" s="261"/>
      <c r="C732" s="158"/>
      <c r="D732" s="158"/>
      <c r="E732" s="158"/>
      <c r="F732" s="158"/>
      <c r="H732" s="158"/>
      <c r="J732" s="158"/>
      <c r="L732" s="158"/>
      <c r="N732" s="158"/>
      <c r="P732" s="20"/>
    </row>
    <row r="733">
      <c r="B733" s="261"/>
      <c r="C733" s="158"/>
      <c r="D733" s="158"/>
      <c r="E733" s="158"/>
      <c r="F733" s="158"/>
      <c r="H733" s="158"/>
      <c r="J733" s="158"/>
      <c r="L733" s="158"/>
      <c r="N733" s="158"/>
      <c r="P733" s="20"/>
    </row>
    <row r="734">
      <c r="B734" s="261"/>
      <c r="C734" s="158"/>
      <c r="D734" s="158"/>
      <c r="E734" s="158"/>
      <c r="F734" s="158"/>
      <c r="H734" s="158"/>
      <c r="J734" s="158"/>
      <c r="L734" s="158"/>
      <c r="N734" s="158"/>
      <c r="P734" s="20"/>
    </row>
    <row r="735">
      <c r="B735" s="261"/>
      <c r="C735" s="158"/>
      <c r="D735" s="158"/>
      <c r="E735" s="158"/>
      <c r="F735" s="158"/>
      <c r="H735" s="158"/>
      <c r="J735" s="158"/>
      <c r="L735" s="158"/>
      <c r="N735" s="158"/>
      <c r="P735" s="20"/>
    </row>
    <row r="736">
      <c r="B736" s="261"/>
      <c r="C736" s="158"/>
      <c r="D736" s="158"/>
      <c r="E736" s="158"/>
      <c r="F736" s="158"/>
      <c r="H736" s="158"/>
      <c r="J736" s="158"/>
      <c r="L736" s="158"/>
      <c r="N736" s="158"/>
      <c r="P736" s="20"/>
    </row>
    <row r="737">
      <c r="B737" s="261"/>
      <c r="C737" s="158"/>
      <c r="D737" s="158"/>
      <c r="E737" s="158"/>
      <c r="F737" s="158"/>
      <c r="H737" s="158"/>
      <c r="J737" s="158"/>
      <c r="L737" s="158"/>
      <c r="N737" s="158"/>
      <c r="P737" s="20"/>
    </row>
    <row r="738">
      <c r="B738" s="261"/>
      <c r="C738" s="158"/>
      <c r="D738" s="158"/>
      <c r="E738" s="158"/>
      <c r="F738" s="158"/>
      <c r="H738" s="158"/>
      <c r="J738" s="158"/>
      <c r="L738" s="158"/>
      <c r="N738" s="158"/>
      <c r="P738" s="20"/>
    </row>
    <row r="739">
      <c r="B739" s="261"/>
      <c r="C739" s="158"/>
      <c r="D739" s="158"/>
      <c r="E739" s="158"/>
      <c r="F739" s="158"/>
      <c r="H739" s="158"/>
      <c r="J739" s="158"/>
      <c r="L739" s="158"/>
      <c r="N739" s="158"/>
      <c r="P739" s="20"/>
    </row>
    <row r="740">
      <c r="B740" s="261"/>
      <c r="C740" s="158"/>
      <c r="D740" s="158"/>
      <c r="E740" s="158"/>
      <c r="F740" s="158"/>
      <c r="H740" s="158"/>
      <c r="J740" s="158"/>
      <c r="L740" s="158"/>
      <c r="N740" s="158"/>
      <c r="P740" s="20"/>
    </row>
    <row r="741">
      <c r="B741" s="261"/>
      <c r="C741" s="158"/>
      <c r="D741" s="158"/>
      <c r="E741" s="158"/>
      <c r="F741" s="158"/>
      <c r="H741" s="158"/>
      <c r="J741" s="158"/>
      <c r="L741" s="158"/>
      <c r="N741" s="158"/>
      <c r="P741" s="20"/>
    </row>
    <row r="742">
      <c r="B742" s="261"/>
      <c r="C742" s="158"/>
      <c r="D742" s="158"/>
      <c r="E742" s="158"/>
      <c r="F742" s="158"/>
      <c r="H742" s="158"/>
      <c r="J742" s="158"/>
      <c r="L742" s="158"/>
      <c r="N742" s="158"/>
      <c r="P742" s="20"/>
    </row>
    <row r="743">
      <c r="B743" s="261"/>
      <c r="C743" s="158"/>
      <c r="D743" s="158"/>
      <c r="E743" s="158"/>
      <c r="F743" s="158"/>
      <c r="H743" s="158"/>
      <c r="J743" s="158"/>
      <c r="L743" s="158"/>
      <c r="N743" s="158"/>
      <c r="P743" s="20"/>
    </row>
    <row r="744">
      <c r="B744" s="261"/>
      <c r="C744" s="158"/>
      <c r="D744" s="158"/>
      <c r="E744" s="158"/>
      <c r="F744" s="158"/>
      <c r="H744" s="158"/>
      <c r="J744" s="158"/>
      <c r="L744" s="158"/>
      <c r="N744" s="158"/>
      <c r="P744" s="20"/>
    </row>
    <row r="745">
      <c r="B745" s="261"/>
      <c r="C745" s="158"/>
      <c r="D745" s="158"/>
      <c r="E745" s="158"/>
      <c r="F745" s="158"/>
      <c r="H745" s="158"/>
      <c r="J745" s="158"/>
      <c r="L745" s="158"/>
      <c r="N745" s="158"/>
      <c r="P745" s="20"/>
    </row>
    <row r="746">
      <c r="B746" s="261"/>
      <c r="C746" s="158"/>
      <c r="D746" s="158"/>
      <c r="E746" s="158"/>
      <c r="F746" s="158"/>
      <c r="H746" s="158"/>
      <c r="J746" s="158"/>
      <c r="L746" s="158"/>
      <c r="N746" s="158"/>
      <c r="P746" s="20"/>
    </row>
    <row r="747">
      <c r="B747" s="261"/>
      <c r="C747" s="158"/>
      <c r="D747" s="158"/>
      <c r="E747" s="158"/>
      <c r="F747" s="158"/>
      <c r="H747" s="158"/>
      <c r="J747" s="158"/>
      <c r="L747" s="158"/>
      <c r="N747" s="158"/>
      <c r="P747" s="20"/>
    </row>
    <row r="748">
      <c r="B748" s="261"/>
      <c r="C748" s="158"/>
      <c r="D748" s="158"/>
      <c r="E748" s="158"/>
      <c r="F748" s="158"/>
      <c r="H748" s="158"/>
      <c r="J748" s="158"/>
      <c r="L748" s="158"/>
      <c r="N748" s="158"/>
      <c r="P748" s="20"/>
    </row>
    <row r="749">
      <c r="B749" s="261"/>
      <c r="C749" s="158"/>
      <c r="D749" s="158"/>
      <c r="E749" s="158"/>
      <c r="F749" s="158"/>
      <c r="H749" s="158"/>
      <c r="J749" s="158"/>
      <c r="L749" s="158"/>
      <c r="N749" s="158"/>
      <c r="P749" s="20"/>
    </row>
    <row r="750">
      <c r="B750" s="261"/>
      <c r="C750" s="158"/>
      <c r="D750" s="158"/>
      <c r="E750" s="158"/>
      <c r="F750" s="158"/>
      <c r="H750" s="158"/>
      <c r="J750" s="158"/>
      <c r="L750" s="158"/>
      <c r="N750" s="158"/>
      <c r="P750" s="20"/>
    </row>
    <row r="751">
      <c r="B751" s="261"/>
      <c r="C751" s="158"/>
      <c r="D751" s="158"/>
      <c r="E751" s="158"/>
      <c r="F751" s="158"/>
      <c r="H751" s="158"/>
      <c r="J751" s="158"/>
      <c r="L751" s="158"/>
      <c r="N751" s="158"/>
      <c r="P751" s="20"/>
    </row>
    <row r="752">
      <c r="B752" s="261"/>
      <c r="C752" s="158"/>
      <c r="D752" s="158"/>
      <c r="E752" s="158"/>
      <c r="F752" s="158"/>
      <c r="H752" s="158"/>
      <c r="J752" s="158"/>
      <c r="L752" s="158"/>
      <c r="N752" s="158"/>
      <c r="P752" s="20"/>
    </row>
    <row r="753">
      <c r="B753" s="261"/>
      <c r="C753" s="158"/>
      <c r="D753" s="158"/>
      <c r="E753" s="158"/>
      <c r="F753" s="158"/>
      <c r="H753" s="158"/>
      <c r="J753" s="158"/>
      <c r="L753" s="158"/>
      <c r="N753" s="158"/>
      <c r="P753" s="20"/>
    </row>
    <row r="754">
      <c r="B754" s="261"/>
      <c r="C754" s="158"/>
      <c r="D754" s="158"/>
      <c r="E754" s="158"/>
      <c r="F754" s="158"/>
      <c r="H754" s="158"/>
      <c r="J754" s="158"/>
      <c r="L754" s="158"/>
      <c r="N754" s="158"/>
      <c r="P754" s="20"/>
    </row>
    <row r="755">
      <c r="B755" s="261"/>
      <c r="C755" s="158"/>
      <c r="D755" s="158"/>
      <c r="E755" s="158"/>
      <c r="F755" s="158"/>
      <c r="H755" s="158"/>
      <c r="J755" s="158"/>
      <c r="L755" s="158"/>
      <c r="N755" s="158"/>
      <c r="P755" s="20"/>
    </row>
    <row r="756">
      <c r="B756" s="261"/>
      <c r="C756" s="158"/>
      <c r="D756" s="158"/>
      <c r="E756" s="158"/>
      <c r="F756" s="158"/>
      <c r="H756" s="158"/>
      <c r="J756" s="158"/>
      <c r="L756" s="158"/>
      <c r="N756" s="158"/>
      <c r="P756" s="20"/>
    </row>
    <row r="757">
      <c r="B757" s="261"/>
      <c r="C757" s="158"/>
      <c r="D757" s="158"/>
      <c r="E757" s="158"/>
      <c r="F757" s="158"/>
      <c r="H757" s="158"/>
      <c r="J757" s="158"/>
      <c r="L757" s="158"/>
      <c r="N757" s="158"/>
      <c r="P757" s="20"/>
    </row>
    <row r="758">
      <c r="B758" s="261"/>
      <c r="C758" s="158"/>
      <c r="D758" s="158"/>
      <c r="E758" s="158"/>
      <c r="F758" s="158"/>
      <c r="H758" s="158"/>
      <c r="J758" s="158"/>
      <c r="L758" s="158"/>
      <c r="N758" s="158"/>
      <c r="P758" s="20"/>
    </row>
    <row r="759">
      <c r="B759" s="261"/>
      <c r="C759" s="158"/>
      <c r="D759" s="158"/>
      <c r="E759" s="158"/>
      <c r="F759" s="158"/>
      <c r="H759" s="158"/>
      <c r="J759" s="158"/>
      <c r="L759" s="158"/>
      <c r="N759" s="158"/>
      <c r="P759" s="20"/>
    </row>
    <row r="760">
      <c r="B760" s="261"/>
      <c r="C760" s="158"/>
      <c r="D760" s="158"/>
      <c r="E760" s="158"/>
      <c r="F760" s="158"/>
      <c r="H760" s="158"/>
      <c r="J760" s="158"/>
      <c r="L760" s="158"/>
      <c r="N760" s="158"/>
      <c r="P760" s="20"/>
    </row>
    <row r="761">
      <c r="B761" s="261"/>
      <c r="C761" s="158"/>
      <c r="D761" s="158"/>
      <c r="E761" s="158"/>
      <c r="F761" s="158"/>
      <c r="H761" s="158"/>
      <c r="J761" s="158"/>
      <c r="L761" s="158"/>
      <c r="N761" s="158"/>
      <c r="P761" s="20"/>
    </row>
    <row r="762">
      <c r="B762" s="261"/>
      <c r="C762" s="158"/>
      <c r="D762" s="158"/>
      <c r="E762" s="158"/>
      <c r="F762" s="158"/>
      <c r="H762" s="158"/>
      <c r="J762" s="158"/>
      <c r="L762" s="158"/>
      <c r="N762" s="158"/>
      <c r="P762" s="20"/>
    </row>
    <row r="763">
      <c r="B763" s="261"/>
      <c r="C763" s="158"/>
      <c r="D763" s="158"/>
      <c r="E763" s="158"/>
      <c r="F763" s="158"/>
      <c r="H763" s="158"/>
      <c r="J763" s="158"/>
      <c r="L763" s="158"/>
      <c r="N763" s="158"/>
      <c r="P763" s="20"/>
    </row>
    <row r="764">
      <c r="B764" s="261"/>
      <c r="C764" s="158"/>
      <c r="D764" s="158"/>
      <c r="E764" s="158"/>
      <c r="F764" s="158"/>
      <c r="H764" s="158"/>
      <c r="J764" s="158"/>
      <c r="L764" s="158"/>
      <c r="N764" s="158"/>
      <c r="P764" s="20"/>
    </row>
    <row r="765">
      <c r="B765" s="261"/>
      <c r="C765" s="158"/>
      <c r="D765" s="158"/>
      <c r="E765" s="158"/>
      <c r="F765" s="158"/>
      <c r="H765" s="158"/>
      <c r="J765" s="158"/>
      <c r="L765" s="158"/>
      <c r="N765" s="158"/>
      <c r="P765" s="20"/>
    </row>
    <row r="766">
      <c r="B766" s="261"/>
      <c r="C766" s="158"/>
      <c r="D766" s="158"/>
      <c r="E766" s="158"/>
      <c r="F766" s="158"/>
      <c r="H766" s="158"/>
      <c r="J766" s="158"/>
      <c r="L766" s="158"/>
      <c r="N766" s="158"/>
      <c r="P766" s="20"/>
    </row>
    <row r="767">
      <c r="B767" s="261"/>
      <c r="C767" s="158"/>
      <c r="D767" s="158"/>
      <c r="E767" s="158"/>
      <c r="F767" s="158"/>
      <c r="H767" s="158"/>
      <c r="J767" s="158"/>
      <c r="L767" s="158"/>
      <c r="N767" s="158"/>
      <c r="P767" s="20"/>
    </row>
    <row r="768">
      <c r="B768" s="261"/>
      <c r="C768" s="158"/>
      <c r="D768" s="158"/>
      <c r="E768" s="158"/>
      <c r="F768" s="158"/>
      <c r="H768" s="158"/>
      <c r="J768" s="158"/>
      <c r="L768" s="158"/>
      <c r="N768" s="158"/>
      <c r="P768" s="20"/>
    </row>
    <row r="769">
      <c r="B769" s="261"/>
      <c r="C769" s="158"/>
      <c r="D769" s="158"/>
      <c r="E769" s="158"/>
      <c r="F769" s="158"/>
      <c r="H769" s="158"/>
      <c r="J769" s="158"/>
      <c r="L769" s="158"/>
      <c r="N769" s="158"/>
      <c r="P769" s="20"/>
    </row>
    <row r="770">
      <c r="B770" s="261"/>
      <c r="C770" s="158"/>
      <c r="D770" s="158"/>
      <c r="E770" s="158"/>
      <c r="F770" s="158"/>
      <c r="H770" s="158"/>
      <c r="J770" s="158"/>
      <c r="L770" s="158"/>
      <c r="N770" s="158"/>
      <c r="P770" s="20"/>
    </row>
    <row r="771">
      <c r="B771" s="261"/>
      <c r="C771" s="158"/>
      <c r="D771" s="158"/>
      <c r="E771" s="158"/>
      <c r="F771" s="158"/>
      <c r="H771" s="158"/>
      <c r="J771" s="158"/>
      <c r="L771" s="158"/>
      <c r="N771" s="158"/>
      <c r="P771" s="20"/>
    </row>
    <row r="772">
      <c r="B772" s="261"/>
      <c r="C772" s="158"/>
      <c r="D772" s="158"/>
      <c r="E772" s="158"/>
      <c r="F772" s="158"/>
      <c r="H772" s="158"/>
      <c r="J772" s="158"/>
      <c r="L772" s="158"/>
      <c r="N772" s="158"/>
      <c r="P772" s="20"/>
    </row>
    <row r="773">
      <c r="B773" s="261"/>
      <c r="C773" s="158"/>
      <c r="D773" s="158"/>
      <c r="E773" s="158"/>
      <c r="F773" s="158"/>
      <c r="H773" s="158"/>
      <c r="J773" s="158"/>
      <c r="L773" s="158"/>
      <c r="N773" s="158"/>
      <c r="P773" s="20"/>
    </row>
    <row r="774">
      <c r="B774" s="261"/>
      <c r="C774" s="158"/>
      <c r="D774" s="158"/>
      <c r="E774" s="158"/>
      <c r="F774" s="158"/>
      <c r="H774" s="158"/>
      <c r="J774" s="158"/>
      <c r="L774" s="158"/>
      <c r="N774" s="158"/>
      <c r="P774" s="20"/>
    </row>
    <row r="775">
      <c r="B775" s="261"/>
      <c r="C775" s="158"/>
      <c r="D775" s="158"/>
      <c r="E775" s="158"/>
      <c r="F775" s="158"/>
      <c r="H775" s="158"/>
      <c r="J775" s="158"/>
      <c r="L775" s="158"/>
      <c r="N775" s="158"/>
      <c r="P775" s="20"/>
    </row>
    <row r="776">
      <c r="B776" s="261"/>
      <c r="C776" s="158"/>
      <c r="D776" s="158"/>
      <c r="E776" s="158"/>
      <c r="F776" s="158"/>
      <c r="H776" s="158"/>
      <c r="J776" s="158"/>
      <c r="L776" s="158"/>
      <c r="N776" s="158"/>
      <c r="P776" s="20"/>
    </row>
    <row r="777">
      <c r="B777" s="261"/>
      <c r="C777" s="158"/>
      <c r="D777" s="158"/>
      <c r="E777" s="158"/>
      <c r="F777" s="158"/>
      <c r="H777" s="158"/>
      <c r="J777" s="158"/>
      <c r="L777" s="158"/>
      <c r="N777" s="158"/>
      <c r="P777" s="20"/>
    </row>
    <row r="778">
      <c r="B778" s="261"/>
      <c r="C778" s="158"/>
      <c r="D778" s="158"/>
      <c r="E778" s="158"/>
      <c r="F778" s="158"/>
      <c r="H778" s="158"/>
      <c r="J778" s="158"/>
      <c r="L778" s="158"/>
      <c r="N778" s="158"/>
      <c r="P778" s="20"/>
    </row>
    <row r="779">
      <c r="B779" s="261"/>
      <c r="C779" s="158"/>
      <c r="D779" s="158"/>
      <c r="E779" s="158"/>
      <c r="F779" s="158"/>
      <c r="H779" s="158"/>
      <c r="J779" s="158"/>
      <c r="L779" s="158"/>
      <c r="N779" s="158"/>
      <c r="P779" s="20"/>
    </row>
    <row r="780">
      <c r="B780" s="261"/>
      <c r="C780" s="158"/>
      <c r="D780" s="158"/>
      <c r="E780" s="158"/>
      <c r="F780" s="158"/>
      <c r="H780" s="158"/>
      <c r="J780" s="158"/>
      <c r="L780" s="158"/>
      <c r="N780" s="158"/>
      <c r="P780" s="20"/>
    </row>
    <row r="781">
      <c r="B781" s="261"/>
      <c r="C781" s="158"/>
      <c r="D781" s="158"/>
      <c r="E781" s="158"/>
      <c r="F781" s="158"/>
      <c r="H781" s="158"/>
      <c r="J781" s="158"/>
      <c r="L781" s="158"/>
      <c r="N781" s="158"/>
      <c r="P781" s="20"/>
    </row>
    <row r="782">
      <c r="B782" s="261"/>
      <c r="C782" s="158"/>
      <c r="D782" s="158"/>
      <c r="E782" s="158"/>
      <c r="F782" s="158"/>
      <c r="H782" s="158"/>
      <c r="J782" s="158"/>
      <c r="L782" s="158"/>
      <c r="N782" s="158"/>
      <c r="P782" s="20"/>
    </row>
    <row r="783">
      <c r="B783" s="261"/>
      <c r="C783" s="158"/>
      <c r="D783" s="158"/>
      <c r="E783" s="158"/>
      <c r="F783" s="158"/>
      <c r="H783" s="158"/>
      <c r="J783" s="158"/>
      <c r="L783" s="158"/>
      <c r="N783" s="158"/>
      <c r="P783" s="20"/>
    </row>
    <row r="784">
      <c r="B784" s="261"/>
      <c r="C784" s="158"/>
      <c r="D784" s="158"/>
      <c r="E784" s="158"/>
      <c r="F784" s="158"/>
      <c r="H784" s="158"/>
      <c r="J784" s="158"/>
      <c r="L784" s="158"/>
      <c r="N784" s="158"/>
      <c r="P784" s="20"/>
    </row>
    <row r="785">
      <c r="B785" s="261"/>
      <c r="C785" s="158"/>
      <c r="D785" s="158"/>
      <c r="E785" s="158"/>
      <c r="F785" s="158"/>
      <c r="H785" s="158"/>
      <c r="J785" s="158"/>
      <c r="L785" s="158"/>
      <c r="N785" s="158"/>
      <c r="P785" s="20"/>
    </row>
    <row r="786">
      <c r="B786" s="261"/>
      <c r="C786" s="158"/>
      <c r="D786" s="158"/>
      <c r="E786" s="158"/>
      <c r="F786" s="158"/>
      <c r="H786" s="158"/>
      <c r="J786" s="158"/>
      <c r="L786" s="158"/>
      <c r="N786" s="158"/>
      <c r="P786" s="20"/>
    </row>
    <row r="787">
      <c r="B787" s="261"/>
      <c r="C787" s="158"/>
      <c r="D787" s="158"/>
      <c r="E787" s="158"/>
      <c r="F787" s="158"/>
      <c r="H787" s="158"/>
      <c r="J787" s="158"/>
      <c r="L787" s="158"/>
      <c r="N787" s="158"/>
      <c r="P787" s="20"/>
    </row>
    <row r="788">
      <c r="B788" s="261"/>
      <c r="C788" s="158"/>
      <c r="D788" s="158"/>
      <c r="E788" s="158"/>
      <c r="F788" s="158"/>
      <c r="H788" s="158"/>
      <c r="J788" s="158"/>
      <c r="L788" s="158"/>
      <c r="N788" s="158"/>
      <c r="P788" s="20"/>
    </row>
    <row r="789">
      <c r="B789" s="261"/>
      <c r="C789" s="158"/>
      <c r="D789" s="158"/>
      <c r="E789" s="158"/>
      <c r="F789" s="158"/>
      <c r="H789" s="158"/>
      <c r="J789" s="158"/>
      <c r="L789" s="158"/>
      <c r="N789" s="158"/>
      <c r="P789" s="20"/>
    </row>
    <row r="790">
      <c r="B790" s="261"/>
      <c r="C790" s="158"/>
      <c r="D790" s="158"/>
      <c r="E790" s="158"/>
      <c r="F790" s="158"/>
      <c r="H790" s="158"/>
      <c r="J790" s="158"/>
      <c r="L790" s="158"/>
      <c r="N790" s="158"/>
      <c r="P790" s="20"/>
    </row>
    <row r="791">
      <c r="B791" s="261"/>
      <c r="C791" s="158"/>
      <c r="D791" s="158"/>
      <c r="E791" s="158"/>
      <c r="F791" s="158"/>
      <c r="H791" s="158"/>
      <c r="J791" s="158"/>
      <c r="L791" s="158"/>
      <c r="N791" s="158"/>
      <c r="P791" s="20"/>
    </row>
    <row r="792">
      <c r="B792" s="261"/>
      <c r="C792" s="158"/>
      <c r="D792" s="158"/>
      <c r="E792" s="158"/>
      <c r="F792" s="158"/>
      <c r="H792" s="158"/>
      <c r="J792" s="158"/>
      <c r="L792" s="158"/>
      <c r="N792" s="158"/>
      <c r="P792" s="20"/>
    </row>
    <row r="793">
      <c r="B793" s="261"/>
      <c r="C793" s="158"/>
      <c r="D793" s="158"/>
      <c r="E793" s="158"/>
      <c r="F793" s="158"/>
      <c r="H793" s="158"/>
      <c r="J793" s="158"/>
      <c r="L793" s="158"/>
      <c r="N793" s="158"/>
      <c r="P793" s="20"/>
    </row>
    <row r="794">
      <c r="B794" s="261"/>
      <c r="C794" s="158"/>
      <c r="D794" s="158"/>
      <c r="E794" s="158"/>
      <c r="F794" s="158"/>
      <c r="H794" s="158"/>
      <c r="J794" s="158"/>
      <c r="L794" s="158"/>
      <c r="N794" s="158"/>
      <c r="P794" s="20"/>
    </row>
    <row r="795">
      <c r="B795" s="261"/>
      <c r="C795" s="158"/>
      <c r="D795" s="158"/>
      <c r="E795" s="158"/>
      <c r="F795" s="158"/>
      <c r="H795" s="158"/>
      <c r="J795" s="158"/>
      <c r="L795" s="158"/>
      <c r="N795" s="158"/>
      <c r="P795" s="20"/>
    </row>
    <row r="796">
      <c r="B796" s="261"/>
      <c r="C796" s="158"/>
      <c r="D796" s="158"/>
      <c r="E796" s="158"/>
      <c r="F796" s="158"/>
      <c r="H796" s="158"/>
      <c r="J796" s="158"/>
      <c r="L796" s="158"/>
      <c r="N796" s="158"/>
      <c r="P796" s="20"/>
    </row>
    <row r="797">
      <c r="B797" s="261"/>
      <c r="C797" s="158"/>
      <c r="D797" s="158"/>
      <c r="E797" s="158"/>
      <c r="F797" s="158"/>
      <c r="H797" s="158"/>
      <c r="J797" s="158"/>
      <c r="L797" s="158"/>
      <c r="N797" s="158"/>
      <c r="P797" s="20"/>
    </row>
    <row r="798">
      <c r="B798" s="261"/>
      <c r="C798" s="158"/>
      <c r="D798" s="158"/>
      <c r="E798" s="158"/>
      <c r="F798" s="158"/>
      <c r="H798" s="158"/>
      <c r="J798" s="158"/>
      <c r="L798" s="158"/>
      <c r="N798" s="158"/>
      <c r="P798" s="20"/>
    </row>
    <row r="799">
      <c r="B799" s="261"/>
      <c r="C799" s="158"/>
      <c r="D799" s="158"/>
      <c r="E799" s="158"/>
      <c r="F799" s="158"/>
      <c r="H799" s="158"/>
      <c r="J799" s="158"/>
      <c r="L799" s="158"/>
      <c r="N799" s="158"/>
      <c r="P799" s="20"/>
    </row>
    <row r="800">
      <c r="B800" s="261"/>
      <c r="C800" s="158"/>
      <c r="D800" s="158"/>
      <c r="E800" s="158"/>
      <c r="F800" s="158"/>
      <c r="H800" s="158"/>
      <c r="J800" s="158"/>
      <c r="L800" s="158"/>
      <c r="N800" s="158"/>
      <c r="P800" s="20"/>
    </row>
    <row r="801">
      <c r="B801" s="261"/>
      <c r="C801" s="158"/>
      <c r="D801" s="158"/>
      <c r="E801" s="158"/>
      <c r="F801" s="158"/>
      <c r="H801" s="158"/>
      <c r="J801" s="158"/>
      <c r="L801" s="158"/>
      <c r="N801" s="158"/>
      <c r="P801" s="20"/>
    </row>
    <row r="802">
      <c r="B802" s="261"/>
      <c r="C802" s="158"/>
      <c r="D802" s="158"/>
      <c r="E802" s="158"/>
      <c r="F802" s="158"/>
      <c r="H802" s="158"/>
      <c r="J802" s="158"/>
      <c r="L802" s="158"/>
      <c r="N802" s="158"/>
      <c r="P802" s="20"/>
    </row>
    <row r="803">
      <c r="B803" s="261"/>
      <c r="C803" s="158"/>
      <c r="D803" s="158"/>
      <c r="E803" s="158"/>
      <c r="F803" s="158"/>
      <c r="H803" s="158"/>
      <c r="J803" s="158"/>
      <c r="L803" s="158"/>
      <c r="N803" s="158"/>
      <c r="P803" s="20"/>
    </row>
    <row r="804">
      <c r="B804" s="261"/>
      <c r="C804" s="158"/>
      <c r="D804" s="158"/>
      <c r="E804" s="158"/>
      <c r="F804" s="158"/>
      <c r="H804" s="158"/>
      <c r="J804" s="158"/>
      <c r="L804" s="158"/>
      <c r="N804" s="158"/>
      <c r="P804" s="20"/>
    </row>
    <row r="805">
      <c r="B805" s="261"/>
      <c r="C805" s="158"/>
      <c r="D805" s="158"/>
      <c r="E805" s="158"/>
      <c r="F805" s="158"/>
      <c r="H805" s="158"/>
      <c r="J805" s="158"/>
      <c r="L805" s="158"/>
      <c r="N805" s="158"/>
      <c r="P805" s="20"/>
    </row>
    <row r="806">
      <c r="B806" s="261"/>
      <c r="C806" s="158"/>
      <c r="D806" s="158"/>
      <c r="E806" s="158"/>
      <c r="F806" s="158"/>
      <c r="H806" s="158"/>
      <c r="J806" s="158"/>
      <c r="L806" s="158"/>
      <c r="N806" s="158"/>
      <c r="P806" s="20"/>
    </row>
    <row r="807">
      <c r="B807" s="261"/>
      <c r="C807" s="158"/>
      <c r="D807" s="158"/>
      <c r="E807" s="158"/>
      <c r="F807" s="158"/>
      <c r="H807" s="158"/>
      <c r="J807" s="158"/>
      <c r="L807" s="158"/>
      <c r="N807" s="158"/>
      <c r="P807" s="20"/>
    </row>
    <row r="808">
      <c r="B808" s="261"/>
      <c r="C808" s="158"/>
      <c r="D808" s="158"/>
      <c r="E808" s="158"/>
      <c r="F808" s="158"/>
      <c r="H808" s="158"/>
      <c r="J808" s="158"/>
      <c r="L808" s="158"/>
      <c r="N808" s="158"/>
      <c r="P808" s="20"/>
    </row>
    <row r="809">
      <c r="B809" s="261"/>
      <c r="C809" s="158"/>
      <c r="D809" s="158"/>
      <c r="E809" s="158"/>
      <c r="F809" s="158"/>
      <c r="H809" s="158"/>
      <c r="J809" s="158"/>
      <c r="L809" s="158"/>
      <c r="N809" s="158"/>
      <c r="P809" s="20"/>
    </row>
    <row r="810">
      <c r="B810" s="261"/>
      <c r="C810" s="158"/>
      <c r="D810" s="158"/>
      <c r="E810" s="158"/>
      <c r="F810" s="158"/>
      <c r="H810" s="158"/>
      <c r="J810" s="158"/>
      <c r="L810" s="158"/>
      <c r="N810" s="158"/>
      <c r="P810" s="20"/>
    </row>
    <row r="811">
      <c r="B811" s="261"/>
      <c r="C811" s="158"/>
      <c r="D811" s="158"/>
      <c r="E811" s="158"/>
      <c r="F811" s="158"/>
      <c r="H811" s="158"/>
      <c r="J811" s="158"/>
      <c r="L811" s="158"/>
      <c r="N811" s="158"/>
      <c r="P811" s="20"/>
    </row>
    <row r="812">
      <c r="B812" s="261"/>
      <c r="C812" s="158"/>
      <c r="D812" s="158"/>
      <c r="E812" s="158"/>
      <c r="F812" s="158"/>
      <c r="H812" s="158"/>
      <c r="J812" s="158"/>
      <c r="L812" s="158"/>
      <c r="N812" s="158"/>
      <c r="P812" s="20"/>
    </row>
    <row r="813">
      <c r="B813" s="261"/>
      <c r="C813" s="158"/>
      <c r="D813" s="158"/>
      <c r="E813" s="158"/>
      <c r="F813" s="158"/>
      <c r="H813" s="158"/>
      <c r="J813" s="158"/>
      <c r="L813" s="158"/>
      <c r="N813" s="158"/>
      <c r="P813" s="20"/>
    </row>
    <row r="814">
      <c r="B814" s="261"/>
      <c r="C814" s="158"/>
      <c r="D814" s="158"/>
      <c r="E814" s="158"/>
      <c r="F814" s="158"/>
      <c r="H814" s="158"/>
      <c r="J814" s="158"/>
      <c r="L814" s="158"/>
      <c r="N814" s="158"/>
      <c r="P814" s="20"/>
    </row>
    <row r="815">
      <c r="B815" s="261"/>
      <c r="C815" s="158"/>
      <c r="D815" s="158"/>
      <c r="E815" s="158"/>
      <c r="F815" s="158"/>
      <c r="H815" s="158"/>
      <c r="J815" s="158"/>
      <c r="L815" s="158"/>
      <c r="N815" s="158"/>
      <c r="P815" s="20"/>
    </row>
    <row r="816">
      <c r="B816" s="261"/>
      <c r="C816" s="158"/>
      <c r="D816" s="158"/>
      <c r="E816" s="158"/>
      <c r="F816" s="158"/>
      <c r="H816" s="158"/>
      <c r="J816" s="158"/>
      <c r="L816" s="158"/>
      <c r="N816" s="158"/>
      <c r="P816" s="20"/>
    </row>
    <row r="817">
      <c r="B817" s="261"/>
      <c r="C817" s="158"/>
      <c r="D817" s="158"/>
      <c r="E817" s="158"/>
      <c r="F817" s="158"/>
      <c r="H817" s="158"/>
      <c r="J817" s="158"/>
      <c r="L817" s="158"/>
      <c r="N817" s="158"/>
      <c r="P817" s="20"/>
    </row>
    <row r="818">
      <c r="B818" s="261"/>
      <c r="C818" s="158"/>
      <c r="D818" s="158"/>
      <c r="E818" s="158"/>
      <c r="F818" s="158"/>
      <c r="H818" s="158"/>
      <c r="J818" s="158"/>
      <c r="L818" s="158"/>
      <c r="N818" s="158"/>
      <c r="P818" s="20"/>
    </row>
    <row r="819">
      <c r="B819" s="261"/>
      <c r="C819" s="158"/>
      <c r="D819" s="158"/>
      <c r="E819" s="158"/>
      <c r="F819" s="158"/>
      <c r="H819" s="158"/>
      <c r="J819" s="158"/>
      <c r="L819" s="158"/>
      <c r="N819" s="158"/>
      <c r="P819" s="20"/>
    </row>
    <row r="820">
      <c r="B820" s="261"/>
      <c r="C820" s="158"/>
      <c r="D820" s="158"/>
      <c r="E820" s="158"/>
      <c r="F820" s="158"/>
      <c r="H820" s="158"/>
      <c r="J820" s="158"/>
      <c r="L820" s="158"/>
      <c r="N820" s="158"/>
      <c r="P820" s="20"/>
    </row>
    <row r="821">
      <c r="B821" s="261"/>
      <c r="C821" s="158"/>
      <c r="D821" s="158"/>
      <c r="E821" s="158"/>
      <c r="F821" s="158"/>
      <c r="H821" s="158"/>
      <c r="J821" s="158"/>
      <c r="L821" s="158"/>
      <c r="N821" s="158"/>
      <c r="P821" s="20"/>
    </row>
    <row r="822">
      <c r="B822" s="261"/>
      <c r="C822" s="158"/>
      <c r="D822" s="158"/>
      <c r="E822" s="158"/>
      <c r="F822" s="158"/>
      <c r="H822" s="158"/>
      <c r="J822" s="158"/>
      <c r="L822" s="158"/>
      <c r="N822" s="158"/>
      <c r="P822" s="20"/>
    </row>
    <row r="823">
      <c r="B823" s="261"/>
      <c r="C823" s="158"/>
      <c r="D823" s="158"/>
      <c r="E823" s="158"/>
      <c r="F823" s="158"/>
      <c r="H823" s="158"/>
      <c r="J823" s="158"/>
      <c r="L823" s="158"/>
      <c r="N823" s="158"/>
      <c r="P823" s="20"/>
    </row>
    <row r="824">
      <c r="B824" s="261"/>
      <c r="C824" s="158"/>
      <c r="D824" s="158"/>
      <c r="E824" s="158"/>
      <c r="F824" s="158"/>
      <c r="H824" s="158"/>
      <c r="J824" s="158"/>
      <c r="L824" s="158"/>
      <c r="N824" s="158"/>
      <c r="P824" s="20"/>
    </row>
    <row r="825">
      <c r="B825" s="261"/>
      <c r="C825" s="158"/>
      <c r="D825" s="158"/>
      <c r="E825" s="158"/>
      <c r="F825" s="158"/>
      <c r="H825" s="158"/>
      <c r="J825" s="158"/>
      <c r="L825" s="158"/>
      <c r="N825" s="158"/>
      <c r="P825" s="20"/>
    </row>
    <row r="826">
      <c r="B826" s="261"/>
      <c r="C826" s="158"/>
      <c r="D826" s="158"/>
      <c r="E826" s="158"/>
      <c r="F826" s="158"/>
      <c r="H826" s="158"/>
      <c r="J826" s="158"/>
      <c r="L826" s="158"/>
      <c r="N826" s="158"/>
      <c r="P826" s="20"/>
    </row>
    <row r="827">
      <c r="B827" s="261"/>
      <c r="C827" s="158"/>
      <c r="D827" s="158"/>
      <c r="E827" s="158"/>
      <c r="F827" s="158"/>
      <c r="H827" s="158"/>
      <c r="J827" s="158"/>
      <c r="L827" s="158"/>
      <c r="N827" s="158"/>
      <c r="P827" s="20"/>
    </row>
    <row r="828">
      <c r="B828" s="261"/>
      <c r="C828" s="158"/>
      <c r="D828" s="158"/>
      <c r="E828" s="158"/>
      <c r="F828" s="158"/>
      <c r="H828" s="158"/>
      <c r="J828" s="158"/>
      <c r="L828" s="158"/>
      <c r="N828" s="158"/>
      <c r="P828" s="20"/>
    </row>
    <row r="829">
      <c r="B829" s="261"/>
      <c r="C829" s="158"/>
      <c r="D829" s="158"/>
      <c r="E829" s="158"/>
      <c r="F829" s="158"/>
      <c r="H829" s="158"/>
      <c r="J829" s="158"/>
      <c r="L829" s="158"/>
      <c r="N829" s="158"/>
      <c r="P829" s="20"/>
    </row>
    <row r="830">
      <c r="B830" s="261"/>
      <c r="C830" s="158"/>
      <c r="D830" s="158"/>
      <c r="E830" s="158"/>
      <c r="F830" s="158"/>
      <c r="H830" s="158"/>
      <c r="J830" s="158"/>
      <c r="L830" s="158"/>
      <c r="N830" s="158"/>
      <c r="P830" s="20"/>
    </row>
    <row r="831">
      <c r="B831" s="261"/>
      <c r="C831" s="158"/>
      <c r="D831" s="158"/>
      <c r="E831" s="158"/>
      <c r="F831" s="158"/>
      <c r="H831" s="158"/>
      <c r="J831" s="158"/>
      <c r="L831" s="158"/>
      <c r="N831" s="158"/>
      <c r="P831" s="20"/>
    </row>
    <row r="832">
      <c r="B832" s="261"/>
      <c r="C832" s="158"/>
      <c r="D832" s="158"/>
      <c r="E832" s="158"/>
      <c r="F832" s="158"/>
      <c r="H832" s="158"/>
      <c r="J832" s="158"/>
      <c r="L832" s="158"/>
      <c r="N832" s="158"/>
      <c r="P832" s="20"/>
    </row>
    <row r="833">
      <c r="B833" s="261"/>
      <c r="C833" s="158"/>
      <c r="D833" s="158"/>
      <c r="E833" s="158"/>
      <c r="F833" s="158"/>
      <c r="H833" s="158"/>
      <c r="J833" s="158"/>
      <c r="L833" s="158"/>
      <c r="N833" s="158"/>
      <c r="P833" s="20"/>
    </row>
    <row r="834">
      <c r="B834" s="261"/>
      <c r="C834" s="158"/>
      <c r="D834" s="158"/>
      <c r="E834" s="158"/>
      <c r="F834" s="158"/>
      <c r="H834" s="158"/>
      <c r="J834" s="158"/>
      <c r="L834" s="158"/>
      <c r="N834" s="158"/>
      <c r="P834" s="20"/>
    </row>
    <row r="835">
      <c r="B835" s="261"/>
      <c r="C835" s="158"/>
      <c r="D835" s="158"/>
      <c r="E835" s="158"/>
      <c r="F835" s="158"/>
      <c r="H835" s="158"/>
      <c r="J835" s="158"/>
      <c r="L835" s="158"/>
      <c r="N835" s="158"/>
      <c r="P835" s="20"/>
    </row>
    <row r="836">
      <c r="B836" s="261"/>
      <c r="C836" s="158"/>
      <c r="D836" s="158"/>
      <c r="E836" s="158"/>
      <c r="F836" s="158"/>
      <c r="H836" s="158"/>
      <c r="J836" s="158"/>
      <c r="L836" s="158"/>
      <c r="N836" s="158"/>
      <c r="P836" s="20"/>
    </row>
    <row r="837">
      <c r="B837" s="261"/>
      <c r="C837" s="158"/>
      <c r="D837" s="158"/>
      <c r="E837" s="158"/>
      <c r="F837" s="158"/>
      <c r="H837" s="158"/>
      <c r="J837" s="158"/>
      <c r="L837" s="158"/>
      <c r="N837" s="158"/>
      <c r="P837" s="20"/>
    </row>
    <row r="838">
      <c r="B838" s="261"/>
      <c r="C838" s="158"/>
      <c r="D838" s="158"/>
      <c r="E838" s="158"/>
      <c r="F838" s="158"/>
      <c r="H838" s="158"/>
      <c r="J838" s="158"/>
      <c r="L838" s="158"/>
      <c r="N838" s="158"/>
      <c r="P838" s="20"/>
    </row>
    <row r="839">
      <c r="B839" s="261"/>
      <c r="C839" s="158"/>
      <c r="D839" s="158"/>
      <c r="E839" s="158"/>
      <c r="F839" s="158"/>
      <c r="H839" s="158"/>
      <c r="J839" s="158"/>
      <c r="L839" s="158"/>
      <c r="N839" s="158"/>
      <c r="P839" s="20"/>
    </row>
    <row r="840">
      <c r="B840" s="261"/>
      <c r="C840" s="158"/>
      <c r="D840" s="158"/>
      <c r="E840" s="158"/>
      <c r="F840" s="158"/>
      <c r="H840" s="158"/>
      <c r="J840" s="158"/>
      <c r="L840" s="158"/>
      <c r="N840" s="158"/>
      <c r="P840" s="20"/>
    </row>
    <row r="841">
      <c r="B841" s="261"/>
      <c r="C841" s="158"/>
      <c r="D841" s="158"/>
      <c r="E841" s="158"/>
      <c r="F841" s="158"/>
      <c r="H841" s="158"/>
      <c r="J841" s="158"/>
      <c r="L841" s="158"/>
      <c r="N841" s="158"/>
      <c r="P841" s="20"/>
    </row>
    <row r="842">
      <c r="B842" s="261"/>
      <c r="C842" s="158"/>
      <c r="D842" s="158"/>
      <c r="E842" s="158"/>
      <c r="F842" s="158"/>
      <c r="H842" s="158"/>
      <c r="J842" s="158"/>
      <c r="L842" s="158"/>
      <c r="N842" s="158"/>
      <c r="P842" s="20"/>
    </row>
    <row r="843">
      <c r="B843" s="261"/>
      <c r="C843" s="158"/>
      <c r="D843" s="158"/>
      <c r="E843" s="158"/>
      <c r="F843" s="158"/>
      <c r="H843" s="158"/>
      <c r="J843" s="158"/>
      <c r="L843" s="158"/>
      <c r="N843" s="158"/>
      <c r="P843" s="20"/>
    </row>
    <row r="844">
      <c r="B844" s="261"/>
      <c r="C844" s="158"/>
      <c r="D844" s="158"/>
      <c r="E844" s="158"/>
      <c r="F844" s="158"/>
      <c r="H844" s="158"/>
      <c r="J844" s="158"/>
      <c r="L844" s="158"/>
      <c r="N844" s="158"/>
      <c r="P844" s="20"/>
    </row>
    <row r="845">
      <c r="B845" s="261"/>
      <c r="C845" s="158"/>
      <c r="D845" s="158"/>
      <c r="E845" s="158"/>
      <c r="F845" s="158"/>
      <c r="H845" s="158"/>
      <c r="J845" s="158"/>
      <c r="L845" s="158"/>
      <c r="N845" s="158"/>
      <c r="P845" s="20"/>
    </row>
    <row r="846">
      <c r="B846" s="261"/>
      <c r="C846" s="158"/>
      <c r="D846" s="158"/>
      <c r="E846" s="158"/>
      <c r="F846" s="158"/>
      <c r="H846" s="158"/>
      <c r="J846" s="158"/>
      <c r="L846" s="158"/>
      <c r="N846" s="158"/>
      <c r="P846" s="20"/>
    </row>
    <row r="847">
      <c r="B847" s="261"/>
      <c r="C847" s="158"/>
      <c r="D847" s="158"/>
      <c r="E847" s="158"/>
      <c r="F847" s="158"/>
      <c r="H847" s="158"/>
      <c r="J847" s="158"/>
      <c r="L847" s="158"/>
      <c r="N847" s="158"/>
      <c r="P847" s="20"/>
    </row>
    <row r="848">
      <c r="B848" s="261"/>
      <c r="C848" s="158"/>
      <c r="D848" s="158"/>
      <c r="E848" s="158"/>
      <c r="F848" s="158"/>
      <c r="H848" s="158"/>
      <c r="J848" s="158"/>
      <c r="L848" s="158"/>
      <c r="N848" s="158"/>
      <c r="P848" s="20"/>
    </row>
    <row r="849">
      <c r="B849" s="261"/>
      <c r="C849" s="158"/>
      <c r="D849" s="158"/>
      <c r="E849" s="158"/>
      <c r="F849" s="158"/>
      <c r="H849" s="158"/>
      <c r="J849" s="158"/>
      <c r="L849" s="158"/>
      <c r="N849" s="158"/>
      <c r="P849" s="20"/>
    </row>
    <row r="850">
      <c r="B850" s="261"/>
      <c r="C850" s="158"/>
      <c r="D850" s="158"/>
      <c r="E850" s="158"/>
      <c r="F850" s="158"/>
      <c r="H850" s="158"/>
      <c r="J850" s="158"/>
      <c r="L850" s="158"/>
      <c r="N850" s="158"/>
      <c r="P850" s="20"/>
    </row>
    <row r="851">
      <c r="B851" s="261"/>
      <c r="C851" s="158"/>
      <c r="D851" s="158"/>
      <c r="E851" s="158"/>
      <c r="F851" s="158"/>
      <c r="H851" s="158"/>
      <c r="J851" s="158"/>
      <c r="L851" s="158"/>
      <c r="N851" s="158"/>
      <c r="P851" s="20"/>
    </row>
    <row r="852">
      <c r="B852" s="261"/>
      <c r="C852" s="158"/>
      <c r="D852" s="158"/>
      <c r="E852" s="158"/>
      <c r="F852" s="158"/>
      <c r="H852" s="158"/>
      <c r="J852" s="158"/>
      <c r="L852" s="158"/>
      <c r="N852" s="158"/>
      <c r="P852" s="20"/>
    </row>
    <row r="853">
      <c r="B853" s="261"/>
      <c r="C853" s="158"/>
      <c r="D853" s="158"/>
      <c r="E853" s="158"/>
      <c r="F853" s="158"/>
      <c r="H853" s="158"/>
      <c r="J853" s="158"/>
      <c r="L853" s="158"/>
      <c r="N853" s="158"/>
      <c r="P853" s="20"/>
    </row>
    <row r="854">
      <c r="B854" s="261"/>
      <c r="C854" s="158"/>
      <c r="D854" s="158"/>
      <c r="E854" s="158"/>
      <c r="F854" s="158"/>
      <c r="H854" s="158"/>
      <c r="J854" s="158"/>
      <c r="L854" s="158"/>
      <c r="N854" s="158"/>
      <c r="P854" s="20"/>
    </row>
    <row r="855">
      <c r="B855" s="261"/>
      <c r="C855" s="158"/>
      <c r="D855" s="158"/>
      <c r="E855" s="158"/>
      <c r="F855" s="158"/>
      <c r="H855" s="158"/>
      <c r="J855" s="158"/>
      <c r="L855" s="158"/>
      <c r="N855" s="158"/>
      <c r="P855" s="20"/>
    </row>
    <row r="856">
      <c r="B856" s="261"/>
      <c r="C856" s="158"/>
      <c r="D856" s="158"/>
      <c r="E856" s="158"/>
      <c r="F856" s="158"/>
      <c r="H856" s="158"/>
      <c r="J856" s="158"/>
      <c r="L856" s="158"/>
      <c r="N856" s="158"/>
      <c r="P856" s="20"/>
    </row>
    <row r="857">
      <c r="B857" s="261"/>
      <c r="C857" s="158"/>
      <c r="D857" s="158"/>
      <c r="E857" s="158"/>
      <c r="F857" s="158"/>
      <c r="H857" s="158"/>
      <c r="J857" s="158"/>
      <c r="L857" s="158"/>
      <c r="N857" s="158"/>
      <c r="P857" s="20"/>
    </row>
    <row r="858">
      <c r="B858" s="261"/>
      <c r="C858" s="158"/>
      <c r="D858" s="158"/>
      <c r="E858" s="158"/>
      <c r="F858" s="158"/>
      <c r="H858" s="158"/>
      <c r="J858" s="158"/>
      <c r="L858" s="158"/>
      <c r="N858" s="158"/>
      <c r="P858" s="20"/>
    </row>
    <row r="859">
      <c r="B859" s="261"/>
      <c r="C859" s="158"/>
      <c r="D859" s="158"/>
      <c r="E859" s="158"/>
      <c r="F859" s="158"/>
      <c r="H859" s="158"/>
      <c r="J859" s="158"/>
      <c r="L859" s="158"/>
      <c r="N859" s="158"/>
      <c r="P859" s="20"/>
    </row>
    <row r="860">
      <c r="B860" s="261"/>
      <c r="C860" s="158"/>
      <c r="D860" s="158"/>
      <c r="E860" s="158"/>
      <c r="F860" s="158"/>
      <c r="H860" s="158"/>
      <c r="J860" s="158"/>
      <c r="L860" s="158"/>
      <c r="N860" s="158"/>
      <c r="P860" s="20"/>
    </row>
    <row r="861">
      <c r="B861" s="261"/>
      <c r="C861" s="158"/>
      <c r="D861" s="158"/>
      <c r="E861" s="158"/>
      <c r="F861" s="158"/>
      <c r="H861" s="158"/>
      <c r="J861" s="158"/>
      <c r="L861" s="158"/>
      <c r="N861" s="158"/>
      <c r="P861" s="20"/>
    </row>
    <row r="862">
      <c r="B862" s="261"/>
      <c r="C862" s="158"/>
      <c r="D862" s="158"/>
      <c r="E862" s="158"/>
      <c r="F862" s="158"/>
      <c r="H862" s="158"/>
      <c r="J862" s="158"/>
      <c r="L862" s="158"/>
      <c r="N862" s="158"/>
      <c r="P862" s="20"/>
    </row>
    <row r="863">
      <c r="B863" s="261"/>
      <c r="C863" s="158"/>
      <c r="D863" s="158"/>
      <c r="E863" s="158"/>
      <c r="F863" s="158"/>
      <c r="H863" s="158"/>
      <c r="J863" s="158"/>
      <c r="L863" s="158"/>
      <c r="N863" s="158"/>
      <c r="P863" s="20"/>
    </row>
    <row r="864">
      <c r="B864" s="261"/>
      <c r="C864" s="158"/>
      <c r="D864" s="158"/>
      <c r="E864" s="158"/>
      <c r="F864" s="158"/>
      <c r="H864" s="158"/>
      <c r="J864" s="158"/>
      <c r="L864" s="158"/>
      <c r="N864" s="158"/>
      <c r="P864" s="20"/>
    </row>
    <row r="865">
      <c r="B865" s="261"/>
      <c r="C865" s="158"/>
      <c r="D865" s="158"/>
      <c r="E865" s="158"/>
      <c r="F865" s="158"/>
      <c r="H865" s="158"/>
      <c r="J865" s="158"/>
      <c r="L865" s="158"/>
      <c r="N865" s="158"/>
      <c r="P865" s="20"/>
    </row>
    <row r="866">
      <c r="B866" s="261"/>
      <c r="C866" s="158"/>
      <c r="D866" s="158"/>
      <c r="E866" s="158"/>
      <c r="F866" s="158"/>
      <c r="H866" s="158"/>
      <c r="J866" s="158"/>
      <c r="L866" s="158"/>
      <c r="N866" s="158"/>
      <c r="P866" s="20"/>
    </row>
    <row r="867">
      <c r="B867" s="261"/>
      <c r="C867" s="158"/>
      <c r="D867" s="158"/>
      <c r="E867" s="158"/>
      <c r="F867" s="158"/>
      <c r="H867" s="158"/>
      <c r="J867" s="158"/>
      <c r="L867" s="158"/>
      <c r="N867" s="158"/>
      <c r="P867" s="20"/>
    </row>
    <row r="868">
      <c r="B868" s="261"/>
      <c r="C868" s="158"/>
      <c r="D868" s="158"/>
      <c r="E868" s="158"/>
      <c r="F868" s="158"/>
      <c r="H868" s="158"/>
      <c r="J868" s="158"/>
      <c r="L868" s="158"/>
      <c r="N868" s="158"/>
      <c r="P868" s="20"/>
    </row>
    <row r="869">
      <c r="B869" s="261"/>
      <c r="C869" s="158"/>
      <c r="D869" s="158"/>
      <c r="E869" s="158"/>
      <c r="F869" s="158"/>
      <c r="H869" s="158"/>
      <c r="J869" s="158"/>
      <c r="L869" s="158"/>
      <c r="N869" s="158"/>
      <c r="P869" s="20"/>
    </row>
    <row r="870">
      <c r="B870" s="261"/>
      <c r="C870" s="158"/>
      <c r="D870" s="158"/>
      <c r="E870" s="158"/>
      <c r="F870" s="158"/>
      <c r="H870" s="158"/>
      <c r="J870" s="158"/>
      <c r="L870" s="158"/>
      <c r="N870" s="158"/>
      <c r="P870" s="20"/>
    </row>
    <row r="871">
      <c r="B871" s="261"/>
      <c r="C871" s="158"/>
      <c r="D871" s="158"/>
      <c r="E871" s="158"/>
      <c r="F871" s="158"/>
      <c r="H871" s="158"/>
      <c r="J871" s="158"/>
      <c r="L871" s="158"/>
      <c r="N871" s="158"/>
      <c r="P871" s="20"/>
    </row>
    <row r="872">
      <c r="B872" s="261"/>
      <c r="C872" s="158"/>
      <c r="D872" s="158"/>
      <c r="E872" s="158"/>
      <c r="F872" s="158"/>
      <c r="H872" s="158"/>
      <c r="J872" s="158"/>
      <c r="L872" s="158"/>
      <c r="N872" s="158"/>
      <c r="P872" s="20"/>
    </row>
    <row r="873">
      <c r="B873" s="261"/>
      <c r="C873" s="158"/>
      <c r="D873" s="158"/>
      <c r="E873" s="158"/>
      <c r="F873" s="158"/>
      <c r="H873" s="158"/>
      <c r="J873" s="158"/>
      <c r="L873" s="158"/>
      <c r="N873" s="158"/>
      <c r="P873" s="20"/>
    </row>
    <row r="874">
      <c r="B874" s="261"/>
      <c r="C874" s="158"/>
      <c r="D874" s="158"/>
      <c r="E874" s="158"/>
      <c r="F874" s="158"/>
      <c r="H874" s="158"/>
      <c r="J874" s="158"/>
      <c r="L874" s="158"/>
      <c r="N874" s="158"/>
      <c r="P874" s="20"/>
    </row>
    <row r="875">
      <c r="B875" s="261"/>
      <c r="C875" s="158"/>
      <c r="D875" s="158"/>
      <c r="E875" s="158"/>
      <c r="F875" s="158"/>
      <c r="H875" s="158"/>
      <c r="J875" s="158"/>
      <c r="L875" s="158"/>
      <c r="N875" s="158"/>
      <c r="P875" s="20"/>
    </row>
    <row r="876">
      <c r="B876" s="261"/>
      <c r="C876" s="158"/>
      <c r="D876" s="158"/>
      <c r="E876" s="158"/>
      <c r="F876" s="158"/>
      <c r="H876" s="158"/>
      <c r="J876" s="158"/>
      <c r="L876" s="158"/>
      <c r="N876" s="158"/>
      <c r="P876" s="20"/>
    </row>
    <row r="877">
      <c r="B877" s="261"/>
      <c r="C877" s="158"/>
      <c r="D877" s="158"/>
      <c r="E877" s="158"/>
      <c r="F877" s="158"/>
      <c r="H877" s="158"/>
      <c r="J877" s="158"/>
      <c r="L877" s="158"/>
      <c r="N877" s="158"/>
      <c r="P877" s="20"/>
    </row>
    <row r="878">
      <c r="B878" s="261"/>
      <c r="C878" s="158"/>
      <c r="D878" s="158"/>
      <c r="E878" s="158"/>
      <c r="F878" s="158"/>
      <c r="H878" s="158"/>
      <c r="J878" s="158"/>
      <c r="L878" s="158"/>
      <c r="N878" s="158"/>
      <c r="P878" s="20"/>
    </row>
    <row r="879">
      <c r="B879" s="261"/>
      <c r="C879" s="158"/>
      <c r="D879" s="158"/>
      <c r="E879" s="158"/>
      <c r="F879" s="158"/>
      <c r="H879" s="158"/>
      <c r="J879" s="158"/>
      <c r="L879" s="158"/>
      <c r="N879" s="158"/>
      <c r="P879" s="20"/>
    </row>
    <row r="880">
      <c r="B880" s="261"/>
      <c r="C880" s="158"/>
      <c r="D880" s="158"/>
      <c r="E880" s="158"/>
      <c r="F880" s="158"/>
      <c r="H880" s="158"/>
      <c r="J880" s="158"/>
      <c r="L880" s="158"/>
      <c r="N880" s="158"/>
      <c r="P880" s="20"/>
    </row>
    <row r="881">
      <c r="B881" s="261"/>
      <c r="C881" s="158"/>
      <c r="D881" s="158"/>
      <c r="E881" s="158"/>
      <c r="F881" s="158"/>
      <c r="H881" s="158"/>
      <c r="J881" s="158"/>
      <c r="L881" s="158"/>
      <c r="N881" s="158"/>
      <c r="P881" s="20"/>
    </row>
    <row r="882">
      <c r="B882" s="261"/>
      <c r="C882" s="158"/>
      <c r="D882" s="158"/>
      <c r="E882" s="158"/>
      <c r="F882" s="158"/>
      <c r="H882" s="158"/>
      <c r="J882" s="158"/>
      <c r="L882" s="158"/>
      <c r="N882" s="158"/>
      <c r="P882" s="20"/>
    </row>
    <row r="883">
      <c r="B883" s="261"/>
      <c r="C883" s="158"/>
      <c r="D883" s="158"/>
      <c r="E883" s="158"/>
      <c r="F883" s="158"/>
      <c r="H883" s="158"/>
      <c r="J883" s="158"/>
      <c r="L883" s="158"/>
      <c r="N883" s="158"/>
      <c r="P883" s="20"/>
    </row>
    <row r="884">
      <c r="B884" s="261"/>
      <c r="C884" s="158"/>
      <c r="D884" s="158"/>
      <c r="E884" s="158"/>
      <c r="F884" s="158"/>
      <c r="H884" s="158"/>
      <c r="J884" s="158"/>
      <c r="L884" s="158"/>
      <c r="N884" s="158"/>
      <c r="P884" s="20"/>
    </row>
    <row r="885">
      <c r="B885" s="261"/>
      <c r="C885" s="158"/>
      <c r="D885" s="158"/>
      <c r="E885" s="158"/>
      <c r="F885" s="158"/>
      <c r="H885" s="158"/>
      <c r="J885" s="158"/>
      <c r="L885" s="158"/>
      <c r="N885" s="158"/>
      <c r="P885" s="20"/>
    </row>
    <row r="886">
      <c r="B886" s="261"/>
      <c r="C886" s="158"/>
      <c r="D886" s="158"/>
      <c r="E886" s="158"/>
      <c r="F886" s="158"/>
      <c r="H886" s="158"/>
      <c r="J886" s="158"/>
      <c r="L886" s="158"/>
      <c r="N886" s="158"/>
      <c r="P886" s="20"/>
    </row>
    <row r="887">
      <c r="B887" s="261"/>
      <c r="C887" s="158"/>
      <c r="D887" s="158"/>
      <c r="E887" s="158"/>
      <c r="F887" s="158"/>
      <c r="H887" s="158"/>
      <c r="J887" s="158"/>
      <c r="L887" s="158"/>
      <c r="N887" s="158"/>
      <c r="P887" s="20"/>
    </row>
    <row r="888">
      <c r="B888" s="261"/>
      <c r="C888" s="158"/>
      <c r="D888" s="158"/>
      <c r="E888" s="158"/>
      <c r="F888" s="158"/>
      <c r="H888" s="158"/>
      <c r="J888" s="158"/>
      <c r="L888" s="158"/>
      <c r="N888" s="158"/>
      <c r="P888" s="20"/>
    </row>
    <row r="889">
      <c r="B889" s="261"/>
      <c r="C889" s="158"/>
      <c r="D889" s="158"/>
      <c r="E889" s="158"/>
      <c r="F889" s="158"/>
      <c r="H889" s="158"/>
      <c r="J889" s="158"/>
      <c r="L889" s="158"/>
      <c r="N889" s="158"/>
      <c r="P889" s="20"/>
    </row>
    <row r="890">
      <c r="B890" s="261"/>
      <c r="C890" s="158"/>
      <c r="D890" s="158"/>
      <c r="E890" s="158"/>
      <c r="F890" s="158"/>
      <c r="H890" s="158"/>
      <c r="J890" s="158"/>
      <c r="L890" s="158"/>
      <c r="N890" s="158"/>
      <c r="P890" s="20"/>
    </row>
    <row r="891">
      <c r="B891" s="261"/>
      <c r="C891" s="158"/>
      <c r="D891" s="158"/>
      <c r="E891" s="158"/>
      <c r="F891" s="158"/>
      <c r="H891" s="158"/>
      <c r="J891" s="158"/>
      <c r="L891" s="158"/>
      <c r="N891" s="158"/>
      <c r="P891" s="20"/>
    </row>
    <row r="892">
      <c r="B892" s="261"/>
      <c r="C892" s="158"/>
      <c r="D892" s="158"/>
      <c r="E892" s="158"/>
      <c r="F892" s="158"/>
      <c r="H892" s="158"/>
      <c r="J892" s="158"/>
      <c r="L892" s="158"/>
      <c r="N892" s="158"/>
      <c r="P892" s="20"/>
    </row>
    <row r="893">
      <c r="B893" s="261"/>
      <c r="C893" s="158"/>
      <c r="D893" s="158"/>
      <c r="E893" s="158"/>
      <c r="F893" s="158"/>
      <c r="H893" s="158"/>
      <c r="J893" s="158"/>
      <c r="L893" s="158"/>
      <c r="N893" s="158"/>
      <c r="P893" s="20"/>
    </row>
    <row r="894">
      <c r="B894" s="261"/>
      <c r="C894" s="158"/>
      <c r="D894" s="158"/>
      <c r="E894" s="158"/>
      <c r="F894" s="158"/>
      <c r="H894" s="158"/>
      <c r="J894" s="158"/>
      <c r="L894" s="158"/>
      <c r="N894" s="158"/>
      <c r="P894" s="20"/>
    </row>
    <row r="895">
      <c r="B895" s="261"/>
      <c r="C895" s="158"/>
      <c r="D895" s="158"/>
      <c r="E895" s="158"/>
      <c r="F895" s="158"/>
      <c r="H895" s="158"/>
      <c r="J895" s="158"/>
      <c r="L895" s="158"/>
      <c r="N895" s="158"/>
      <c r="P895" s="20"/>
    </row>
    <row r="896">
      <c r="B896" s="261"/>
      <c r="C896" s="158"/>
      <c r="D896" s="158"/>
      <c r="E896" s="158"/>
      <c r="F896" s="158"/>
      <c r="H896" s="158"/>
      <c r="J896" s="158"/>
      <c r="L896" s="158"/>
      <c r="N896" s="158"/>
      <c r="P896" s="20"/>
    </row>
    <row r="897">
      <c r="B897" s="261"/>
      <c r="C897" s="158"/>
      <c r="D897" s="158"/>
      <c r="E897" s="158"/>
      <c r="F897" s="158"/>
      <c r="H897" s="158"/>
      <c r="J897" s="158"/>
      <c r="L897" s="158"/>
      <c r="N897" s="158"/>
      <c r="P897" s="20"/>
    </row>
    <row r="898">
      <c r="B898" s="261"/>
      <c r="C898" s="158"/>
      <c r="D898" s="158"/>
      <c r="E898" s="158"/>
      <c r="F898" s="158"/>
      <c r="H898" s="158"/>
      <c r="J898" s="158"/>
      <c r="L898" s="158"/>
      <c r="N898" s="158"/>
      <c r="P898" s="20"/>
    </row>
    <row r="899">
      <c r="B899" s="261"/>
      <c r="C899" s="158"/>
      <c r="D899" s="158"/>
      <c r="E899" s="158"/>
      <c r="F899" s="158"/>
      <c r="H899" s="158"/>
      <c r="J899" s="158"/>
      <c r="L899" s="158"/>
      <c r="N899" s="158"/>
      <c r="P899" s="20"/>
    </row>
    <row r="900">
      <c r="B900" s="261"/>
      <c r="C900" s="158"/>
      <c r="D900" s="158"/>
      <c r="E900" s="158"/>
      <c r="F900" s="158"/>
      <c r="H900" s="158"/>
      <c r="J900" s="158"/>
      <c r="L900" s="158"/>
      <c r="N900" s="158"/>
      <c r="P900" s="20"/>
    </row>
    <row r="901">
      <c r="B901" s="261"/>
      <c r="C901" s="158"/>
      <c r="D901" s="158"/>
      <c r="E901" s="158"/>
      <c r="F901" s="158"/>
      <c r="H901" s="158"/>
      <c r="J901" s="158"/>
      <c r="L901" s="158"/>
      <c r="N901" s="158"/>
      <c r="P901" s="20"/>
    </row>
    <row r="902">
      <c r="B902" s="261"/>
      <c r="C902" s="158"/>
      <c r="D902" s="158"/>
      <c r="E902" s="158"/>
      <c r="F902" s="158"/>
      <c r="H902" s="158"/>
      <c r="J902" s="158"/>
      <c r="L902" s="158"/>
      <c r="N902" s="158"/>
      <c r="P902" s="20"/>
    </row>
    <row r="903">
      <c r="B903" s="261"/>
      <c r="C903" s="158"/>
      <c r="D903" s="158"/>
      <c r="E903" s="158"/>
      <c r="F903" s="158"/>
      <c r="H903" s="158"/>
      <c r="J903" s="158"/>
      <c r="L903" s="158"/>
      <c r="N903" s="158"/>
      <c r="P903" s="20"/>
    </row>
    <row r="904">
      <c r="B904" s="261"/>
      <c r="C904" s="158"/>
      <c r="D904" s="158"/>
      <c r="E904" s="158"/>
      <c r="F904" s="158"/>
      <c r="H904" s="158"/>
      <c r="J904" s="158"/>
      <c r="L904" s="158"/>
      <c r="N904" s="158"/>
      <c r="P904" s="20"/>
    </row>
    <row r="905">
      <c r="B905" s="261"/>
      <c r="C905" s="158"/>
      <c r="D905" s="158"/>
      <c r="E905" s="158"/>
      <c r="F905" s="158"/>
      <c r="H905" s="158"/>
      <c r="J905" s="158"/>
      <c r="L905" s="158"/>
      <c r="N905" s="158"/>
      <c r="P905" s="20"/>
    </row>
    <row r="906">
      <c r="B906" s="261"/>
      <c r="C906" s="158"/>
      <c r="D906" s="158"/>
      <c r="E906" s="158"/>
      <c r="F906" s="158"/>
      <c r="H906" s="158"/>
      <c r="J906" s="158"/>
      <c r="L906" s="158"/>
      <c r="N906" s="158"/>
      <c r="P906" s="20"/>
    </row>
    <row r="907">
      <c r="B907" s="261"/>
      <c r="C907" s="158"/>
      <c r="D907" s="158"/>
      <c r="E907" s="158"/>
      <c r="F907" s="158"/>
      <c r="H907" s="158"/>
      <c r="J907" s="158"/>
      <c r="L907" s="158"/>
      <c r="N907" s="158"/>
      <c r="P907" s="20"/>
    </row>
    <row r="908">
      <c r="B908" s="261"/>
      <c r="C908" s="158"/>
      <c r="D908" s="158"/>
      <c r="E908" s="158"/>
      <c r="F908" s="158"/>
      <c r="H908" s="158"/>
      <c r="J908" s="158"/>
      <c r="L908" s="158"/>
      <c r="N908" s="158"/>
      <c r="P908" s="20"/>
    </row>
    <row r="909">
      <c r="B909" s="261"/>
      <c r="C909" s="158"/>
      <c r="D909" s="158"/>
      <c r="E909" s="158"/>
      <c r="F909" s="158"/>
      <c r="H909" s="158"/>
      <c r="J909" s="158"/>
      <c r="L909" s="158"/>
      <c r="N909" s="158"/>
      <c r="P909" s="20"/>
    </row>
    <row r="910">
      <c r="B910" s="261"/>
      <c r="C910" s="158"/>
      <c r="D910" s="158"/>
      <c r="E910" s="158"/>
      <c r="F910" s="158"/>
      <c r="H910" s="158"/>
      <c r="J910" s="158"/>
      <c r="L910" s="158"/>
      <c r="N910" s="158"/>
      <c r="P910" s="20"/>
    </row>
    <row r="911">
      <c r="B911" s="261"/>
      <c r="C911" s="158"/>
      <c r="D911" s="158"/>
      <c r="E911" s="158"/>
      <c r="F911" s="158"/>
      <c r="H911" s="158"/>
      <c r="J911" s="158"/>
      <c r="L911" s="158"/>
      <c r="N911" s="158"/>
      <c r="P911" s="20"/>
    </row>
    <row r="912">
      <c r="B912" s="261"/>
      <c r="C912" s="158"/>
      <c r="D912" s="158"/>
      <c r="E912" s="158"/>
      <c r="F912" s="158"/>
      <c r="H912" s="158"/>
      <c r="J912" s="158"/>
      <c r="L912" s="158"/>
      <c r="N912" s="158"/>
      <c r="P912" s="20"/>
    </row>
    <row r="913">
      <c r="B913" s="261"/>
      <c r="C913" s="158"/>
      <c r="D913" s="158"/>
      <c r="E913" s="158"/>
      <c r="F913" s="158"/>
      <c r="H913" s="158"/>
      <c r="J913" s="158"/>
      <c r="L913" s="158"/>
      <c r="N913" s="158"/>
      <c r="P913" s="20"/>
    </row>
    <row r="914">
      <c r="B914" s="261"/>
      <c r="C914" s="158"/>
      <c r="D914" s="158"/>
      <c r="E914" s="158"/>
      <c r="F914" s="158"/>
      <c r="H914" s="158"/>
      <c r="J914" s="158"/>
      <c r="L914" s="158"/>
      <c r="N914" s="158"/>
      <c r="P914" s="20"/>
    </row>
    <row r="915">
      <c r="B915" s="261"/>
      <c r="C915" s="158"/>
      <c r="D915" s="158"/>
      <c r="E915" s="158"/>
      <c r="F915" s="158"/>
      <c r="H915" s="158"/>
      <c r="J915" s="158"/>
      <c r="L915" s="158"/>
      <c r="N915" s="158"/>
      <c r="P915" s="20"/>
    </row>
    <row r="916">
      <c r="B916" s="261"/>
      <c r="C916" s="158"/>
      <c r="D916" s="158"/>
      <c r="E916" s="158"/>
      <c r="F916" s="158"/>
      <c r="H916" s="158"/>
      <c r="J916" s="158"/>
      <c r="L916" s="158"/>
      <c r="N916" s="158"/>
      <c r="P916" s="20"/>
    </row>
    <row r="917">
      <c r="B917" s="261"/>
      <c r="C917" s="158"/>
      <c r="D917" s="158"/>
      <c r="E917" s="158"/>
      <c r="F917" s="158"/>
      <c r="H917" s="158"/>
      <c r="J917" s="158"/>
      <c r="L917" s="158"/>
      <c r="N917" s="158"/>
      <c r="P917" s="20"/>
    </row>
    <row r="918">
      <c r="B918" s="261"/>
      <c r="C918" s="158"/>
      <c r="D918" s="158"/>
      <c r="E918" s="158"/>
      <c r="F918" s="158"/>
      <c r="H918" s="158"/>
      <c r="J918" s="158"/>
      <c r="L918" s="158"/>
      <c r="N918" s="158"/>
      <c r="P918" s="20"/>
    </row>
    <row r="919">
      <c r="B919" s="261"/>
      <c r="C919" s="158"/>
      <c r="D919" s="158"/>
      <c r="E919" s="158"/>
      <c r="F919" s="158"/>
      <c r="H919" s="158"/>
      <c r="J919" s="158"/>
      <c r="L919" s="158"/>
      <c r="N919" s="158"/>
      <c r="P919" s="20"/>
    </row>
    <row r="920">
      <c r="B920" s="261"/>
      <c r="C920" s="158"/>
      <c r="D920" s="158"/>
      <c r="E920" s="158"/>
      <c r="F920" s="158"/>
      <c r="H920" s="158"/>
      <c r="J920" s="158"/>
      <c r="L920" s="158"/>
      <c r="N920" s="158"/>
      <c r="P920" s="20"/>
    </row>
    <row r="921">
      <c r="B921" s="261"/>
      <c r="C921" s="158"/>
      <c r="D921" s="158"/>
      <c r="E921" s="158"/>
      <c r="F921" s="158"/>
      <c r="H921" s="158"/>
      <c r="J921" s="158"/>
      <c r="L921" s="158"/>
      <c r="N921" s="158"/>
      <c r="P921" s="20"/>
    </row>
    <row r="922">
      <c r="B922" s="261"/>
      <c r="C922" s="158"/>
      <c r="D922" s="158"/>
      <c r="E922" s="158"/>
      <c r="F922" s="158"/>
      <c r="H922" s="158"/>
      <c r="J922" s="158"/>
      <c r="L922" s="158"/>
      <c r="N922" s="158"/>
      <c r="P922" s="20"/>
    </row>
    <row r="923">
      <c r="B923" s="261"/>
      <c r="C923" s="158"/>
      <c r="D923" s="158"/>
      <c r="E923" s="158"/>
      <c r="F923" s="158"/>
      <c r="H923" s="158"/>
      <c r="J923" s="158"/>
      <c r="L923" s="158"/>
      <c r="N923" s="158"/>
      <c r="P923" s="20"/>
    </row>
    <row r="924">
      <c r="B924" s="261"/>
      <c r="C924" s="158"/>
      <c r="D924" s="158"/>
      <c r="E924" s="158"/>
      <c r="F924" s="158"/>
      <c r="H924" s="158"/>
      <c r="J924" s="158"/>
      <c r="L924" s="158"/>
      <c r="N924" s="158"/>
      <c r="P924" s="20"/>
    </row>
    <row r="925">
      <c r="B925" s="261"/>
      <c r="C925" s="158"/>
      <c r="D925" s="158"/>
      <c r="E925" s="158"/>
      <c r="F925" s="158"/>
      <c r="H925" s="158"/>
      <c r="J925" s="158"/>
      <c r="L925" s="158"/>
      <c r="N925" s="158"/>
      <c r="P925" s="20"/>
    </row>
    <row r="926">
      <c r="B926" s="261"/>
      <c r="C926" s="158"/>
      <c r="D926" s="158"/>
      <c r="E926" s="158"/>
      <c r="F926" s="158"/>
      <c r="H926" s="158"/>
      <c r="J926" s="158"/>
      <c r="L926" s="158"/>
      <c r="N926" s="158"/>
      <c r="P926" s="20"/>
    </row>
    <row r="927">
      <c r="B927" s="261"/>
      <c r="C927" s="158"/>
      <c r="D927" s="158"/>
      <c r="E927" s="158"/>
      <c r="F927" s="158"/>
      <c r="H927" s="158"/>
      <c r="J927" s="158"/>
      <c r="L927" s="158"/>
      <c r="N927" s="158"/>
      <c r="P927" s="20"/>
    </row>
    <row r="928">
      <c r="B928" s="261"/>
      <c r="C928" s="158"/>
      <c r="D928" s="158"/>
      <c r="E928" s="158"/>
      <c r="F928" s="158"/>
      <c r="H928" s="158"/>
      <c r="J928" s="158"/>
      <c r="L928" s="158"/>
      <c r="N928" s="158"/>
      <c r="P928" s="20"/>
    </row>
    <row r="929">
      <c r="B929" s="261"/>
      <c r="C929" s="158"/>
      <c r="D929" s="158"/>
      <c r="E929" s="158"/>
      <c r="F929" s="158"/>
      <c r="H929" s="158"/>
      <c r="J929" s="158"/>
      <c r="L929" s="158"/>
      <c r="N929" s="158"/>
      <c r="P929" s="20"/>
    </row>
    <row r="930">
      <c r="B930" s="261"/>
      <c r="C930" s="158"/>
      <c r="D930" s="158"/>
      <c r="E930" s="158"/>
      <c r="F930" s="158"/>
      <c r="H930" s="158"/>
      <c r="J930" s="158"/>
      <c r="L930" s="158"/>
      <c r="N930" s="158"/>
      <c r="P930" s="20"/>
    </row>
    <row r="931">
      <c r="B931" s="261"/>
      <c r="C931" s="158"/>
      <c r="D931" s="158"/>
      <c r="E931" s="158"/>
      <c r="F931" s="158"/>
      <c r="H931" s="158"/>
      <c r="J931" s="158"/>
      <c r="L931" s="158"/>
      <c r="N931" s="158"/>
      <c r="P931" s="20"/>
    </row>
    <row r="932">
      <c r="B932" s="261"/>
      <c r="C932" s="158"/>
      <c r="D932" s="158"/>
      <c r="E932" s="158"/>
      <c r="F932" s="158"/>
      <c r="H932" s="158"/>
      <c r="J932" s="158"/>
      <c r="L932" s="158"/>
      <c r="N932" s="158"/>
      <c r="P932" s="20"/>
    </row>
    <row r="933">
      <c r="B933" s="261"/>
      <c r="C933" s="158"/>
      <c r="D933" s="158"/>
      <c r="E933" s="158"/>
      <c r="F933" s="158"/>
      <c r="H933" s="158"/>
      <c r="J933" s="158"/>
      <c r="L933" s="158"/>
      <c r="N933" s="158"/>
      <c r="P933" s="20"/>
    </row>
    <row r="934">
      <c r="B934" s="261"/>
      <c r="C934" s="158"/>
      <c r="D934" s="158"/>
      <c r="E934" s="158"/>
      <c r="F934" s="158"/>
      <c r="H934" s="158"/>
      <c r="J934" s="158"/>
      <c r="L934" s="158"/>
      <c r="N934" s="158"/>
      <c r="P934" s="20"/>
    </row>
    <row r="935">
      <c r="B935" s="261"/>
      <c r="C935" s="158"/>
      <c r="D935" s="158"/>
      <c r="E935" s="158"/>
      <c r="F935" s="158"/>
      <c r="H935" s="158"/>
      <c r="J935" s="158"/>
      <c r="L935" s="158"/>
      <c r="N935" s="158"/>
      <c r="P935" s="20"/>
    </row>
    <row r="936">
      <c r="B936" s="261"/>
      <c r="C936" s="158"/>
      <c r="D936" s="158"/>
      <c r="E936" s="158"/>
      <c r="F936" s="158"/>
      <c r="H936" s="158"/>
      <c r="J936" s="158"/>
      <c r="L936" s="158"/>
      <c r="N936" s="158"/>
      <c r="P936" s="20"/>
    </row>
    <row r="937">
      <c r="B937" s="261"/>
      <c r="C937" s="158"/>
      <c r="D937" s="158"/>
      <c r="E937" s="158"/>
      <c r="F937" s="158"/>
      <c r="H937" s="158"/>
      <c r="J937" s="158"/>
      <c r="L937" s="158"/>
      <c r="N937" s="158"/>
      <c r="P937" s="20"/>
    </row>
    <row r="938">
      <c r="B938" s="261"/>
      <c r="C938" s="158"/>
      <c r="D938" s="158"/>
      <c r="E938" s="158"/>
      <c r="F938" s="158"/>
      <c r="H938" s="158"/>
      <c r="J938" s="158"/>
      <c r="L938" s="158"/>
      <c r="N938" s="158"/>
      <c r="P938" s="20"/>
    </row>
    <row r="939">
      <c r="B939" s="261"/>
      <c r="C939" s="158"/>
      <c r="D939" s="158"/>
      <c r="E939" s="158"/>
      <c r="F939" s="158"/>
      <c r="H939" s="158"/>
      <c r="J939" s="158"/>
      <c r="L939" s="158"/>
      <c r="N939" s="158"/>
      <c r="P939" s="20"/>
    </row>
    <row r="940">
      <c r="B940" s="261"/>
      <c r="C940" s="158"/>
      <c r="D940" s="158"/>
      <c r="E940" s="158"/>
      <c r="F940" s="158"/>
      <c r="H940" s="158"/>
      <c r="J940" s="158"/>
      <c r="L940" s="158"/>
      <c r="N940" s="158"/>
      <c r="P940" s="20"/>
    </row>
    <row r="941">
      <c r="B941" s="261"/>
      <c r="C941" s="158"/>
      <c r="D941" s="158"/>
      <c r="E941" s="158"/>
      <c r="F941" s="158"/>
      <c r="H941" s="158"/>
      <c r="J941" s="158"/>
      <c r="L941" s="158"/>
      <c r="N941" s="158"/>
      <c r="P941" s="20"/>
    </row>
    <row r="942">
      <c r="B942" s="261"/>
      <c r="C942" s="158"/>
      <c r="D942" s="158"/>
      <c r="E942" s="158"/>
      <c r="F942" s="158"/>
      <c r="H942" s="158"/>
      <c r="J942" s="158"/>
      <c r="L942" s="158"/>
      <c r="N942" s="158"/>
      <c r="P942" s="20"/>
    </row>
    <row r="943">
      <c r="B943" s="261"/>
      <c r="C943" s="158"/>
      <c r="D943" s="158"/>
      <c r="E943" s="158"/>
      <c r="F943" s="158"/>
      <c r="H943" s="158"/>
      <c r="J943" s="158"/>
      <c r="L943" s="158"/>
      <c r="N943" s="158"/>
      <c r="P943" s="20"/>
    </row>
    <row r="944">
      <c r="B944" s="261"/>
      <c r="C944" s="158"/>
      <c r="D944" s="158"/>
      <c r="E944" s="158"/>
      <c r="F944" s="158"/>
      <c r="H944" s="158"/>
      <c r="J944" s="158"/>
      <c r="L944" s="158"/>
      <c r="N944" s="158"/>
      <c r="P944" s="20"/>
    </row>
    <row r="945">
      <c r="B945" s="261"/>
      <c r="C945" s="158"/>
      <c r="D945" s="158"/>
      <c r="E945" s="158"/>
      <c r="F945" s="158"/>
      <c r="H945" s="158"/>
      <c r="J945" s="158"/>
      <c r="L945" s="158"/>
      <c r="N945" s="158"/>
      <c r="P945" s="20"/>
    </row>
    <row r="946">
      <c r="B946" s="261"/>
      <c r="C946" s="158"/>
      <c r="D946" s="158"/>
      <c r="E946" s="158"/>
      <c r="F946" s="158"/>
      <c r="H946" s="158"/>
      <c r="J946" s="158"/>
      <c r="L946" s="158"/>
      <c r="N946" s="158"/>
      <c r="P946" s="20"/>
    </row>
    <row r="947">
      <c r="B947" s="261"/>
      <c r="C947" s="158"/>
      <c r="D947" s="158"/>
      <c r="E947" s="158"/>
      <c r="F947" s="158"/>
      <c r="H947" s="158"/>
      <c r="J947" s="158"/>
      <c r="L947" s="158"/>
      <c r="N947" s="158"/>
      <c r="P947" s="20"/>
    </row>
    <row r="948">
      <c r="B948" s="261"/>
      <c r="C948" s="158"/>
      <c r="D948" s="158"/>
      <c r="E948" s="158"/>
      <c r="F948" s="158"/>
      <c r="H948" s="158"/>
      <c r="J948" s="158"/>
      <c r="L948" s="158"/>
      <c r="N948" s="158"/>
      <c r="P948" s="20"/>
    </row>
    <row r="949">
      <c r="B949" s="261"/>
      <c r="C949" s="158"/>
      <c r="D949" s="158"/>
      <c r="E949" s="158"/>
      <c r="F949" s="158"/>
      <c r="H949" s="158"/>
      <c r="J949" s="158"/>
      <c r="L949" s="158"/>
      <c r="N949" s="158"/>
      <c r="P949" s="20"/>
    </row>
    <row r="950">
      <c r="B950" s="261"/>
      <c r="C950" s="158"/>
      <c r="D950" s="158"/>
      <c r="E950" s="158"/>
      <c r="F950" s="158"/>
      <c r="H950" s="158"/>
      <c r="J950" s="158"/>
      <c r="L950" s="158"/>
      <c r="N950" s="158"/>
      <c r="P950" s="20"/>
    </row>
    <row r="951">
      <c r="B951" s="261"/>
      <c r="C951" s="158"/>
      <c r="D951" s="158"/>
      <c r="E951" s="158"/>
      <c r="F951" s="158"/>
      <c r="H951" s="158"/>
      <c r="J951" s="158"/>
      <c r="L951" s="158"/>
      <c r="N951" s="158"/>
      <c r="P951" s="20"/>
    </row>
    <row r="952">
      <c r="B952" s="261"/>
      <c r="C952" s="158"/>
      <c r="D952" s="158"/>
      <c r="E952" s="158"/>
      <c r="F952" s="158"/>
      <c r="H952" s="158"/>
      <c r="J952" s="158"/>
      <c r="L952" s="158"/>
      <c r="N952" s="158"/>
      <c r="P952" s="20"/>
    </row>
    <row r="953">
      <c r="B953" s="261"/>
      <c r="C953" s="158"/>
      <c r="D953" s="158"/>
      <c r="E953" s="158"/>
      <c r="F953" s="158"/>
      <c r="H953" s="158"/>
      <c r="J953" s="158"/>
      <c r="L953" s="158"/>
      <c r="N953" s="158"/>
      <c r="P953" s="20"/>
    </row>
    <row r="954">
      <c r="B954" s="261"/>
      <c r="C954" s="158"/>
      <c r="D954" s="158"/>
      <c r="E954" s="158"/>
      <c r="F954" s="158"/>
      <c r="H954" s="158"/>
      <c r="J954" s="158"/>
      <c r="L954" s="158"/>
      <c r="N954" s="158"/>
      <c r="P954" s="20"/>
    </row>
    <row r="955">
      <c r="B955" s="261"/>
      <c r="C955" s="158"/>
      <c r="D955" s="158"/>
      <c r="E955" s="158"/>
      <c r="F955" s="158"/>
      <c r="H955" s="158"/>
      <c r="J955" s="158"/>
      <c r="L955" s="158"/>
      <c r="N955" s="158"/>
      <c r="P955" s="20"/>
    </row>
    <row r="956">
      <c r="B956" s="261"/>
      <c r="C956" s="158"/>
      <c r="D956" s="158"/>
      <c r="E956" s="158"/>
      <c r="F956" s="158"/>
      <c r="H956" s="158"/>
      <c r="J956" s="158"/>
      <c r="L956" s="158"/>
      <c r="N956" s="158"/>
      <c r="P956" s="20"/>
    </row>
    <row r="957">
      <c r="B957" s="261"/>
      <c r="C957" s="158"/>
      <c r="D957" s="158"/>
      <c r="E957" s="158"/>
      <c r="F957" s="158"/>
      <c r="H957" s="158"/>
      <c r="J957" s="158"/>
      <c r="L957" s="158"/>
      <c r="N957" s="158"/>
      <c r="P957" s="20"/>
    </row>
    <row r="958">
      <c r="B958" s="261"/>
      <c r="C958" s="158"/>
      <c r="D958" s="158"/>
      <c r="E958" s="158"/>
      <c r="F958" s="158"/>
      <c r="H958" s="158"/>
      <c r="J958" s="158"/>
      <c r="L958" s="158"/>
      <c r="N958" s="158"/>
      <c r="P958" s="20"/>
    </row>
    <row r="959">
      <c r="B959" s="261"/>
      <c r="C959" s="158"/>
      <c r="D959" s="158"/>
      <c r="E959" s="158"/>
      <c r="F959" s="158"/>
      <c r="H959" s="158"/>
      <c r="J959" s="158"/>
      <c r="L959" s="158"/>
      <c r="N959" s="158"/>
      <c r="P959" s="20"/>
    </row>
    <row r="960">
      <c r="B960" s="261"/>
      <c r="C960" s="158"/>
      <c r="D960" s="158"/>
      <c r="E960" s="158"/>
      <c r="F960" s="158"/>
      <c r="H960" s="158"/>
      <c r="J960" s="158"/>
      <c r="L960" s="158"/>
      <c r="N960" s="158"/>
      <c r="P960" s="20"/>
    </row>
    <row r="961">
      <c r="B961" s="261"/>
      <c r="C961" s="158"/>
      <c r="D961" s="158"/>
      <c r="E961" s="158"/>
      <c r="F961" s="158"/>
      <c r="H961" s="158"/>
      <c r="J961" s="158"/>
      <c r="L961" s="158"/>
      <c r="N961" s="158"/>
      <c r="P961" s="20"/>
    </row>
    <row r="962">
      <c r="B962" s="261"/>
      <c r="C962" s="158"/>
      <c r="D962" s="158"/>
      <c r="E962" s="158"/>
      <c r="F962" s="158"/>
      <c r="H962" s="158"/>
      <c r="J962" s="158"/>
      <c r="L962" s="158"/>
      <c r="N962" s="158"/>
      <c r="P962" s="20"/>
    </row>
    <row r="963">
      <c r="B963" s="261"/>
      <c r="C963" s="158"/>
      <c r="D963" s="158"/>
      <c r="E963" s="158"/>
      <c r="F963" s="158"/>
      <c r="H963" s="158"/>
      <c r="J963" s="158"/>
      <c r="L963" s="158"/>
      <c r="N963" s="158"/>
      <c r="P963" s="20"/>
    </row>
    <row r="964">
      <c r="B964" s="261"/>
      <c r="C964" s="158"/>
      <c r="D964" s="158"/>
      <c r="E964" s="158"/>
      <c r="F964" s="158"/>
      <c r="H964" s="158"/>
      <c r="J964" s="158"/>
      <c r="L964" s="158"/>
      <c r="N964" s="158"/>
      <c r="P964" s="20"/>
    </row>
    <row r="965">
      <c r="B965" s="261"/>
      <c r="C965" s="158"/>
      <c r="D965" s="158"/>
      <c r="E965" s="158"/>
      <c r="F965" s="158"/>
      <c r="H965" s="158"/>
      <c r="J965" s="158"/>
      <c r="L965" s="158"/>
      <c r="N965" s="158"/>
      <c r="P965" s="20"/>
    </row>
    <row r="966">
      <c r="B966" s="261"/>
      <c r="C966" s="158"/>
      <c r="D966" s="158"/>
      <c r="E966" s="158"/>
      <c r="F966" s="158"/>
      <c r="H966" s="158"/>
      <c r="J966" s="158"/>
      <c r="L966" s="158"/>
      <c r="N966" s="158"/>
      <c r="P966" s="20"/>
    </row>
    <row r="967">
      <c r="B967" s="261"/>
      <c r="C967" s="158"/>
      <c r="D967" s="158"/>
      <c r="E967" s="158"/>
      <c r="F967" s="158"/>
      <c r="H967" s="158"/>
      <c r="J967" s="158"/>
      <c r="L967" s="158"/>
      <c r="N967" s="158"/>
      <c r="P967" s="20"/>
    </row>
    <row r="968">
      <c r="B968" s="261"/>
      <c r="C968" s="158"/>
      <c r="D968" s="158"/>
      <c r="E968" s="158"/>
      <c r="F968" s="158"/>
      <c r="H968" s="158"/>
      <c r="J968" s="158"/>
      <c r="L968" s="158"/>
      <c r="N968" s="158"/>
      <c r="P968" s="20"/>
    </row>
    <row r="969">
      <c r="B969" s="261"/>
      <c r="C969" s="158"/>
      <c r="D969" s="158"/>
      <c r="E969" s="158"/>
      <c r="F969" s="158"/>
      <c r="H969" s="158"/>
      <c r="J969" s="158"/>
      <c r="L969" s="158"/>
      <c r="N969" s="158"/>
      <c r="P969" s="20"/>
    </row>
    <row r="970">
      <c r="B970" s="261"/>
      <c r="C970" s="158"/>
      <c r="D970" s="158"/>
      <c r="E970" s="158"/>
      <c r="F970" s="158"/>
      <c r="H970" s="158"/>
      <c r="J970" s="158"/>
      <c r="L970" s="158"/>
      <c r="N970" s="158"/>
      <c r="P970" s="20"/>
    </row>
    <row r="971">
      <c r="B971" s="261"/>
      <c r="C971" s="158"/>
      <c r="D971" s="158"/>
      <c r="E971" s="158"/>
      <c r="F971" s="158"/>
      <c r="H971" s="158"/>
      <c r="J971" s="158"/>
      <c r="L971" s="158"/>
      <c r="N971" s="158"/>
      <c r="P971" s="20"/>
    </row>
    <row r="972">
      <c r="B972" s="261"/>
      <c r="C972" s="158"/>
      <c r="D972" s="158"/>
      <c r="E972" s="158"/>
      <c r="F972" s="158"/>
      <c r="H972" s="158"/>
      <c r="J972" s="158"/>
      <c r="L972" s="158"/>
      <c r="N972" s="158"/>
      <c r="P972" s="20"/>
    </row>
    <row r="973">
      <c r="B973" s="261"/>
      <c r="C973" s="158"/>
      <c r="D973" s="158"/>
      <c r="E973" s="158"/>
      <c r="F973" s="158"/>
      <c r="H973" s="158"/>
      <c r="J973" s="158"/>
      <c r="L973" s="158"/>
      <c r="N973" s="158"/>
      <c r="P973" s="20"/>
    </row>
    <row r="974">
      <c r="B974" s="261"/>
      <c r="C974" s="158"/>
      <c r="D974" s="158"/>
      <c r="E974" s="158"/>
      <c r="F974" s="158"/>
      <c r="H974" s="158"/>
      <c r="J974" s="158"/>
      <c r="L974" s="158"/>
      <c r="N974" s="158"/>
      <c r="P974" s="20"/>
    </row>
    <row r="975">
      <c r="B975" s="261"/>
      <c r="C975" s="158"/>
      <c r="D975" s="158"/>
      <c r="E975" s="158"/>
      <c r="F975" s="158"/>
      <c r="H975" s="158"/>
      <c r="J975" s="158"/>
      <c r="L975" s="158"/>
      <c r="N975" s="158"/>
      <c r="P975" s="20"/>
    </row>
    <row r="976">
      <c r="B976" s="261"/>
      <c r="C976" s="158"/>
      <c r="D976" s="158"/>
      <c r="E976" s="158"/>
      <c r="F976" s="158"/>
      <c r="H976" s="158"/>
      <c r="J976" s="158"/>
      <c r="L976" s="158"/>
      <c r="N976" s="158"/>
      <c r="P976" s="20"/>
    </row>
    <row r="977">
      <c r="B977" s="261"/>
      <c r="C977" s="158"/>
      <c r="D977" s="158"/>
      <c r="E977" s="158"/>
      <c r="F977" s="158"/>
      <c r="H977" s="158"/>
      <c r="J977" s="158"/>
      <c r="L977" s="158"/>
      <c r="N977" s="158"/>
      <c r="P977" s="20"/>
    </row>
    <row r="978">
      <c r="B978" s="261"/>
      <c r="C978" s="158"/>
      <c r="D978" s="158"/>
      <c r="E978" s="158"/>
      <c r="F978" s="158"/>
      <c r="H978" s="158"/>
      <c r="J978" s="158"/>
      <c r="L978" s="158"/>
      <c r="N978" s="158"/>
      <c r="P978" s="20"/>
    </row>
    <row r="979">
      <c r="B979" s="261"/>
      <c r="C979" s="158"/>
      <c r="D979" s="158"/>
      <c r="E979" s="158"/>
      <c r="F979" s="158"/>
      <c r="H979" s="158"/>
      <c r="J979" s="158"/>
      <c r="L979" s="158"/>
      <c r="N979" s="158"/>
      <c r="P979" s="20"/>
    </row>
    <row r="980">
      <c r="B980" s="261"/>
      <c r="C980" s="158"/>
      <c r="D980" s="158"/>
      <c r="E980" s="158"/>
      <c r="F980" s="158"/>
      <c r="H980" s="158"/>
      <c r="J980" s="158"/>
      <c r="L980" s="158"/>
      <c r="N980" s="158"/>
      <c r="P980" s="20"/>
    </row>
    <row r="981">
      <c r="B981" s="261"/>
      <c r="C981" s="158"/>
      <c r="D981" s="158"/>
      <c r="E981" s="158"/>
      <c r="F981" s="158"/>
      <c r="H981" s="158"/>
      <c r="J981" s="158"/>
      <c r="L981" s="158"/>
      <c r="N981" s="158"/>
      <c r="P981" s="20"/>
    </row>
    <row r="982">
      <c r="B982" s="261"/>
      <c r="C982" s="158"/>
      <c r="D982" s="158"/>
      <c r="E982" s="158"/>
      <c r="F982" s="158"/>
      <c r="H982" s="158"/>
      <c r="J982" s="158"/>
      <c r="L982" s="158"/>
      <c r="N982" s="158"/>
      <c r="P982" s="20"/>
    </row>
    <row r="983">
      <c r="B983" s="261"/>
      <c r="C983" s="158"/>
      <c r="D983" s="158"/>
      <c r="E983" s="158"/>
      <c r="F983" s="158"/>
      <c r="H983" s="158"/>
      <c r="J983" s="158"/>
      <c r="L983" s="158"/>
      <c r="N983" s="158"/>
      <c r="P983" s="20"/>
    </row>
    <row r="984">
      <c r="B984" s="261"/>
      <c r="C984" s="158"/>
      <c r="D984" s="158"/>
      <c r="E984" s="158"/>
      <c r="F984" s="158"/>
      <c r="H984" s="158"/>
      <c r="J984" s="158"/>
      <c r="L984" s="158"/>
      <c r="N984" s="158"/>
      <c r="P984" s="20"/>
    </row>
    <row r="985">
      <c r="B985" s="261"/>
      <c r="C985" s="158"/>
      <c r="D985" s="158"/>
      <c r="E985" s="158"/>
      <c r="F985" s="158"/>
      <c r="H985" s="158"/>
      <c r="J985" s="158"/>
      <c r="L985" s="158"/>
      <c r="N985" s="158"/>
      <c r="P985" s="20"/>
    </row>
    <row r="986">
      <c r="B986" s="261"/>
      <c r="C986" s="158"/>
      <c r="D986" s="158"/>
      <c r="E986" s="158"/>
      <c r="F986" s="158"/>
      <c r="H986" s="158"/>
      <c r="J986" s="158"/>
      <c r="L986" s="158"/>
      <c r="N986" s="158"/>
      <c r="P986" s="20"/>
    </row>
    <row r="987">
      <c r="B987" s="261"/>
      <c r="C987" s="158"/>
      <c r="D987" s="158"/>
      <c r="E987" s="158"/>
      <c r="F987" s="158"/>
      <c r="H987" s="158"/>
      <c r="J987" s="158"/>
      <c r="L987" s="158"/>
      <c r="N987" s="158"/>
      <c r="P987" s="20"/>
    </row>
    <row r="988">
      <c r="B988" s="261"/>
      <c r="C988" s="158"/>
      <c r="D988" s="158"/>
      <c r="E988" s="158"/>
      <c r="F988" s="158"/>
      <c r="H988" s="158"/>
      <c r="J988" s="158"/>
      <c r="L988" s="158"/>
      <c r="N988" s="158"/>
      <c r="P988" s="20"/>
    </row>
    <row r="989">
      <c r="B989" s="261"/>
      <c r="C989" s="158"/>
      <c r="D989" s="158"/>
      <c r="E989" s="158"/>
      <c r="F989" s="158"/>
      <c r="H989" s="158"/>
      <c r="J989" s="158"/>
      <c r="L989" s="158"/>
      <c r="N989" s="158"/>
      <c r="P989" s="20"/>
    </row>
    <row r="990">
      <c r="B990" s="261"/>
      <c r="C990" s="158"/>
      <c r="D990" s="158"/>
      <c r="E990" s="158"/>
      <c r="F990" s="158"/>
      <c r="H990" s="158"/>
      <c r="J990" s="158"/>
      <c r="L990" s="158"/>
      <c r="N990" s="158"/>
      <c r="P990" s="20"/>
    </row>
    <row r="991">
      <c r="B991" s="261"/>
      <c r="C991" s="158"/>
      <c r="D991" s="158"/>
      <c r="E991" s="158"/>
      <c r="F991" s="158"/>
      <c r="H991" s="158"/>
      <c r="J991" s="158"/>
      <c r="L991" s="158"/>
      <c r="N991" s="158"/>
      <c r="P991" s="20"/>
    </row>
    <row r="992">
      <c r="B992" s="261"/>
      <c r="C992" s="158"/>
      <c r="D992" s="158"/>
      <c r="E992" s="158"/>
      <c r="F992" s="158"/>
      <c r="H992" s="158"/>
      <c r="J992" s="158"/>
      <c r="L992" s="158"/>
      <c r="N992" s="158"/>
      <c r="P992" s="20"/>
    </row>
    <row r="993">
      <c r="B993" s="261"/>
      <c r="C993" s="158"/>
      <c r="D993" s="158"/>
      <c r="E993" s="158"/>
      <c r="F993" s="158"/>
      <c r="H993" s="158"/>
      <c r="J993" s="158"/>
      <c r="L993" s="158"/>
      <c r="N993" s="158"/>
      <c r="P993" s="20"/>
    </row>
    <row r="994">
      <c r="B994" s="261"/>
      <c r="C994" s="158"/>
      <c r="D994" s="158"/>
      <c r="E994" s="158"/>
      <c r="F994" s="158"/>
      <c r="H994" s="158"/>
      <c r="J994" s="158"/>
      <c r="L994" s="158"/>
      <c r="N994" s="158"/>
      <c r="P994" s="20"/>
    </row>
    <row r="995">
      <c r="B995" s="261"/>
      <c r="C995" s="158"/>
      <c r="D995" s="158"/>
      <c r="E995" s="158"/>
      <c r="F995" s="158"/>
      <c r="H995" s="158"/>
      <c r="J995" s="158"/>
      <c r="L995" s="158"/>
      <c r="N995" s="158"/>
      <c r="P995" s="20"/>
    </row>
    <row r="996">
      <c r="B996" s="261"/>
      <c r="C996" s="158"/>
      <c r="D996" s="158"/>
      <c r="E996" s="158"/>
      <c r="F996" s="158"/>
      <c r="H996" s="158"/>
      <c r="J996" s="158"/>
      <c r="L996" s="158"/>
      <c r="N996" s="158"/>
      <c r="P996" s="20"/>
    </row>
    <row r="997">
      <c r="B997" s="261"/>
      <c r="C997" s="158"/>
      <c r="D997" s="158"/>
      <c r="E997" s="158"/>
      <c r="F997" s="158"/>
      <c r="H997" s="158"/>
      <c r="J997" s="158"/>
      <c r="L997" s="158"/>
      <c r="N997" s="158"/>
      <c r="P997" s="20"/>
    </row>
    <row r="998">
      <c r="B998" s="261"/>
      <c r="C998" s="158"/>
      <c r="D998" s="158"/>
      <c r="E998" s="158"/>
      <c r="F998" s="158"/>
      <c r="H998" s="158"/>
      <c r="J998" s="158"/>
      <c r="L998" s="158"/>
      <c r="N998" s="158"/>
      <c r="P998" s="20"/>
    </row>
    <row r="999">
      <c r="B999" s="261"/>
      <c r="C999" s="158"/>
      <c r="D999" s="158"/>
      <c r="E999" s="158"/>
      <c r="F999" s="158"/>
      <c r="H999" s="158"/>
      <c r="J999" s="158"/>
      <c r="L999" s="158"/>
      <c r="N999" s="158"/>
      <c r="P999" s="20"/>
    </row>
    <row r="1000">
      <c r="B1000" s="261"/>
      <c r="C1000" s="158"/>
      <c r="D1000" s="158"/>
      <c r="E1000" s="158"/>
      <c r="F1000" s="158"/>
      <c r="H1000" s="158"/>
      <c r="J1000" s="158"/>
      <c r="L1000" s="158"/>
      <c r="N1000" s="158"/>
      <c r="P1000" s="20"/>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88"/>
    <col customWidth="1" min="2" max="2" width="19.5"/>
    <col customWidth="1" min="3" max="3" width="15.38"/>
    <col customWidth="1" min="5" max="5" width="23.25"/>
    <col customWidth="1" min="6" max="6" width="25.25"/>
    <col customWidth="1" min="8" max="8" width="21.5"/>
    <col customWidth="1" min="9" max="9" width="22.13"/>
    <col customWidth="1" min="13" max="13" width="38.5"/>
    <col customWidth="1" min="14" max="14" width="41.88"/>
    <col customWidth="1" min="15" max="15" width="69.5"/>
  </cols>
  <sheetData>
    <row r="1">
      <c r="A1" s="38" t="s">
        <v>21</v>
      </c>
      <c r="B1" s="39" t="s">
        <v>22</v>
      </c>
      <c r="C1" s="40" t="s">
        <v>23</v>
      </c>
      <c r="D1" s="39" t="s">
        <v>24</v>
      </c>
      <c r="E1" s="228" t="s">
        <v>25</v>
      </c>
      <c r="F1" s="227" t="s">
        <v>26</v>
      </c>
      <c r="G1" s="228" t="s">
        <v>27</v>
      </c>
      <c r="H1" s="41" t="s">
        <v>28</v>
      </c>
      <c r="I1" s="42" t="s">
        <v>29</v>
      </c>
      <c r="J1" s="43" t="s">
        <v>30</v>
      </c>
      <c r="K1" s="42" t="s">
        <v>31</v>
      </c>
      <c r="L1" s="39" t="s">
        <v>30</v>
      </c>
      <c r="M1" s="40" t="s">
        <v>32</v>
      </c>
      <c r="N1" s="39" t="s">
        <v>33</v>
      </c>
      <c r="O1" s="40" t="s">
        <v>34</v>
      </c>
      <c r="P1" s="44" t="s">
        <v>35</v>
      </c>
      <c r="Q1" s="45">
        <f>SUM(H2:H27)</f>
        <v>60162.15</v>
      </c>
    </row>
    <row r="2">
      <c r="A2" s="262" t="s">
        <v>312</v>
      </c>
      <c r="B2" s="263" t="s">
        <v>313</v>
      </c>
      <c r="C2" s="48" t="s">
        <v>314</v>
      </c>
      <c r="D2" s="208">
        <v>1.0</v>
      </c>
      <c r="E2" s="264" t="s">
        <v>285</v>
      </c>
      <c r="F2" s="265" t="s">
        <v>285</v>
      </c>
      <c r="G2" s="266">
        <v>122.0</v>
      </c>
      <c r="H2" s="123">
        <v>133.0</v>
      </c>
      <c r="I2" s="48" t="s">
        <v>309</v>
      </c>
      <c r="J2" s="49" t="s">
        <v>39</v>
      </c>
      <c r="K2" s="267" t="s">
        <v>315</v>
      </c>
      <c r="L2" s="268" t="s">
        <v>39</v>
      </c>
      <c r="M2" s="61" t="s">
        <v>3</v>
      </c>
      <c r="N2" s="169"/>
      <c r="O2" s="181"/>
      <c r="P2" s="19"/>
      <c r="Q2" s="1"/>
      <c r="R2" s="1"/>
      <c r="S2" s="1"/>
      <c r="T2" s="1"/>
      <c r="U2" s="1"/>
      <c r="V2" s="1"/>
      <c r="W2" s="1"/>
      <c r="X2" s="1"/>
      <c r="Y2" s="1"/>
      <c r="Z2" s="1"/>
    </row>
    <row r="3">
      <c r="A3" s="269" t="s">
        <v>316</v>
      </c>
      <c r="B3" s="143" t="s">
        <v>317</v>
      </c>
      <c r="C3" s="49" t="s">
        <v>318</v>
      </c>
      <c r="D3" s="98">
        <v>1.0</v>
      </c>
      <c r="E3" s="72" t="s">
        <v>285</v>
      </c>
      <c r="F3" s="49" t="s">
        <v>285</v>
      </c>
      <c r="G3" s="50">
        <v>195.0</v>
      </c>
      <c r="H3" s="123">
        <f t="shared" ref="H3:H9" si="1">D3*G3</f>
        <v>195</v>
      </c>
      <c r="I3" s="48" t="s">
        <v>309</v>
      </c>
      <c r="J3" s="49" t="s">
        <v>39</v>
      </c>
      <c r="K3" s="52" t="s">
        <v>319</v>
      </c>
      <c r="L3" s="53" t="s">
        <v>39</v>
      </c>
      <c r="M3" s="61" t="s">
        <v>3</v>
      </c>
      <c r="N3" s="169"/>
      <c r="O3" s="181"/>
      <c r="P3" s="19"/>
      <c r="Q3" s="1"/>
      <c r="R3" s="1"/>
      <c r="S3" s="1"/>
      <c r="T3" s="1"/>
      <c r="U3" s="1"/>
      <c r="V3" s="1"/>
      <c r="W3" s="1"/>
      <c r="X3" s="1"/>
      <c r="Y3" s="1"/>
      <c r="Z3" s="1"/>
    </row>
    <row r="4">
      <c r="A4" s="269" t="s">
        <v>320</v>
      </c>
      <c r="B4" s="270" t="s">
        <v>321</v>
      </c>
      <c r="C4" s="49" t="s">
        <v>254</v>
      </c>
      <c r="D4" s="98">
        <v>1.0</v>
      </c>
      <c r="E4" s="72" t="s">
        <v>285</v>
      </c>
      <c r="F4" s="49" t="s">
        <v>285</v>
      </c>
      <c r="G4" s="50">
        <v>80.3</v>
      </c>
      <c r="H4" s="123">
        <f t="shared" si="1"/>
        <v>80.3</v>
      </c>
      <c r="I4" s="48" t="s">
        <v>309</v>
      </c>
      <c r="J4" s="49" t="s">
        <v>39</v>
      </c>
      <c r="K4" s="52" t="s">
        <v>319</v>
      </c>
      <c r="L4" s="53" t="s">
        <v>39</v>
      </c>
      <c r="M4" s="61" t="s">
        <v>3</v>
      </c>
      <c r="N4" s="137"/>
      <c r="O4" s="203"/>
      <c r="P4" s="147"/>
      <c r="Q4" s="135"/>
      <c r="R4" s="135"/>
      <c r="S4" s="135"/>
      <c r="T4" s="135"/>
      <c r="U4" s="135"/>
      <c r="V4" s="135"/>
      <c r="W4" s="135"/>
      <c r="X4" s="135"/>
      <c r="Y4" s="135"/>
      <c r="Z4" s="135"/>
    </row>
    <row r="5">
      <c r="A5" s="172" t="s">
        <v>322</v>
      </c>
      <c r="B5" s="91" t="s">
        <v>323</v>
      </c>
      <c r="C5" s="241" t="s">
        <v>283</v>
      </c>
      <c r="D5" s="71">
        <v>2.0</v>
      </c>
      <c r="E5" s="83" t="s">
        <v>324</v>
      </c>
      <c r="F5" s="91" t="s">
        <v>325</v>
      </c>
      <c r="G5" s="68">
        <v>210.0</v>
      </c>
      <c r="H5" s="123">
        <f t="shared" si="1"/>
        <v>420</v>
      </c>
      <c r="I5" s="48" t="s">
        <v>309</v>
      </c>
      <c r="J5" s="49" t="s">
        <v>39</v>
      </c>
      <c r="K5" s="52" t="s">
        <v>315</v>
      </c>
      <c r="L5" s="53" t="s">
        <v>39</v>
      </c>
      <c r="M5" s="94" t="s">
        <v>41</v>
      </c>
      <c r="N5" s="96" t="s">
        <v>326</v>
      </c>
      <c r="O5" s="137" t="s">
        <v>327</v>
      </c>
      <c r="P5" s="19"/>
      <c r="Q5" s="1"/>
      <c r="R5" s="1"/>
      <c r="S5" s="1"/>
      <c r="T5" s="1"/>
      <c r="U5" s="1"/>
      <c r="V5" s="1"/>
      <c r="W5" s="1"/>
      <c r="X5" s="1"/>
      <c r="Y5" s="1"/>
      <c r="Z5" s="1"/>
    </row>
    <row r="6">
      <c r="A6" s="170" t="s">
        <v>328</v>
      </c>
      <c r="B6" s="51" t="s">
        <v>329</v>
      </c>
      <c r="C6" s="149" t="s">
        <v>330</v>
      </c>
      <c r="D6" s="208">
        <v>1.0</v>
      </c>
      <c r="E6" s="85" t="s">
        <v>220</v>
      </c>
      <c r="F6" s="91" t="s">
        <v>125</v>
      </c>
      <c r="G6" s="50">
        <v>99.68</v>
      </c>
      <c r="H6" s="123">
        <f t="shared" si="1"/>
        <v>99.68</v>
      </c>
      <c r="I6" s="48" t="s">
        <v>331</v>
      </c>
      <c r="J6" s="49" t="s">
        <v>39</v>
      </c>
      <c r="K6" s="52" t="s">
        <v>332</v>
      </c>
      <c r="L6" s="53" t="s">
        <v>39</v>
      </c>
      <c r="M6" s="61" t="s">
        <v>3</v>
      </c>
      <c r="N6" s="96" t="s">
        <v>333</v>
      </c>
      <c r="O6" s="181"/>
      <c r="P6" s="19"/>
      <c r="Q6" s="1"/>
      <c r="R6" s="1"/>
      <c r="S6" s="1"/>
      <c r="T6" s="1"/>
      <c r="U6" s="1"/>
      <c r="V6" s="1"/>
      <c r="W6" s="1"/>
      <c r="X6" s="1"/>
      <c r="Y6" s="1"/>
      <c r="Z6" s="1"/>
    </row>
    <row r="7">
      <c r="A7" s="75" t="s">
        <v>242</v>
      </c>
      <c r="B7" s="91">
        <v>1.4175053E7</v>
      </c>
      <c r="C7" s="271" t="s">
        <v>243</v>
      </c>
      <c r="D7" s="71">
        <v>5.0</v>
      </c>
      <c r="E7" s="116" t="s">
        <v>244</v>
      </c>
      <c r="F7" s="272" t="s">
        <v>45</v>
      </c>
      <c r="G7" s="51">
        <v>14.14</v>
      </c>
      <c r="H7" s="123">
        <f t="shared" si="1"/>
        <v>70.7</v>
      </c>
      <c r="I7" s="48" t="s">
        <v>331</v>
      </c>
      <c r="J7" s="49" t="s">
        <v>39</v>
      </c>
      <c r="K7" s="52" t="s">
        <v>334</v>
      </c>
      <c r="L7" s="53" t="s">
        <v>39</v>
      </c>
      <c r="M7" s="61" t="s">
        <v>3</v>
      </c>
      <c r="N7" s="169"/>
      <c r="O7" s="181"/>
      <c r="P7" s="19"/>
      <c r="Q7" s="1"/>
      <c r="R7" s="1"/>
      <c r="S7" s="1"/>
      <c r="T7" s="1"/>
      <c r="U7" s="1"/>
      <c r="V7" s="1"/>
      <c r="W7" s="1"/>
      <c r="X7" s="1"/>
      <c r="Y7" s="1"/>
      <c r="Z7" s="1"/>
    </row>
    <row r="8">
      <c r="A8" s="46" t="s">
        <v>335</v>
      </c>
      <c r="B8" s="243"/>
      <c r="C8" s="190">
        <v>1.0</v>
      </c>
      <c r="D8" s="53">
        <v>1.0</v>
      </c>
      <c r="E8" s="190" t="s">
        <v>336</v>
      </c>
      <c r="F8" s="53" t="s">
        <v>336</v>
      </c>
      <c r="G8" s="195">
        <v>39.0</v>
      </c>
      <c r="H8" s="123">
        <f t="shared" si="1"/>
        <v>39</v>
      </c>
      <c r="I8" s="48" t="s">
        <v>315</v>
      </c>
      <c r="J8" s="49" t="s">
        <v>39</v>
      </c>
      <c r="K8" s="52"/>
      <c r="L8" s="53"/>
      <c r="M8" s="94" t="s">
        <v>41</v>
      </c>
      <c r="N8" s="169"/>
      <c r="O8" s="181"/>
      <c r="P8" s="19"/>
      <c r="Q8" s="1"/>
      <c r="R8" s="1"/>
      <c r="S8" s="1"/>
      <c r="T8" s="1"/>
      <c r="U8" s="1"/>
      <c r="V8" s="1"/>
      <c r="W8" s="1"/>
      <c r="X8" s="1"/>
      <c r="Y8" s="1"/>
      <c r="Z8" s="1"/>
    </row>
    <row r="9">
      <c r="A9" s="46" t="s">
        <v>337</v>
      </c>
      <c r="B9" s="59"/>
      <c r="C9" s="239">
        <v>1.0</v>
      </c>
      <c r="D9" s="53">
        <v>1.0</v>
      </c>
      <c r="E9" s="53" t="s">
        <v>311</v>
      </c>
      <c r="F9" s="53" t="s">
        <v>311</v>
      </c>
      <c r="G9" s="127">
        <v>36.72</v>
      </c>
      <c r="H9" s="123">
        <f t="shared" si="1"/>
        <v>36.72</v>
      </c>
      <c r="I9" s="48" t="s">
        <v>315</v>
      </c>
      <c r="J9" s="49" t="s">
        <v>39</v>
      </c>
      <c r="K9" s="52"/>
      <c r="L9" s="53"/>
      <c r="M9" s="61" t="s">
        <v>3</v>
      </c>
      <c r="N9" s="169"/>
      <c r="O9" s="181"/>
      <c r="P9" s="19"/>
      <c r="Q9" s="1"/>
      <c r="R9" s="1"/>
      <c r="S9" s="1"/>
      <c r="T9" s="1"/>
      <c r="U9" s="1"/>
      <c r="V9" s="1"/>
      <c r="W9" s="1"/>
      <c r="X9" s="1"/>
      <c r="Y9" s="1"/>
      <c r="Z9" s="1"/>
    </row>
    <row r="10">
      <c r="A10" s="139" t="s">
        <v>338</v>
      </c>
      <c r="B10" s="60">
        <v>1.3210132E7</v>
      </c>
      <c r="C10" s="116" t="s">
        <v>87</v>
      </c>
      <c r="D10" s="83">
        <v>2.0</v>
      </c>
      <c r="E10" s="116" t="s">
        <v>82</v>
      </c>
      <c r="F10" s="83" t="s">
        <v>82</v>
      </c>
      <c r="G10" s="273">
        <v>15.14</v>
      </c>
      <c r="H10" s="140">
        <f t="shared" ref="H10:H36" si="2">G10*D10</f>
        <v>30.28</v>
      </c>
      <c r="I10" s="116" t="s">
        <v>315</v>
      </c>
      <c r="J10" s="83" t="s">
        <v>39</v>
      </c>
      <c r="K10" s="190" t="s">
        <v>339</v>
      </c>
      <c r="L10" s="53" t="s">
        <v>39</v>
      </c>
      <c r="M10" s="141" t="s">
        <v>85</v>
      </c>
      <c r="N10" s="181" t="s">
        <v>340</v>
      </c>
      <c r="O10" s="181"/>
      <c r="P10" s="19"/>
      <c r="Q10" s="1"/>
      <c r="R10" s="1"/>
      <c r="S10" s="1"/>
      <c r="T10" s="1"/>
      <c r="U10" s="1"/>
      <c r="V10" s="1"/>
      <c r="W10" s="1"/>
      <c r="X10" s="1"/>
      <c r="Y10" s="1"/>
      <c r="Z10" s="1"/>
    </row>
    <row r="11">
      <c r="A11" s="46" t="s">
        <v>341</v>
      </c>
      <c r="B11" s="182"/>
      <c r="C11" s="187"/>
      <c r="D11" s="122">
        <v>1.0</v>
      </c>
      <c r="E11" s="77" t="s">
        <v>293</v>
      </c>
      <c r="F11" s="122" t="s">
        <v>293</v>
      </c>
      <c r="G11" s="123">
        <v>816.0</v>
      </c>
      <c r="H11" s="274">
        <f t="shared" si="2"/>
        <v>816</v>
      </c>
      <c r="I11" s="48" t="s">
        <v>339</v>
      </c>
      <c r="J11" s="83" t="s">
        <v>39</v>
      </c>
      <c r="K11" s="48" t="s">
        <v>339</v>
      </c>
      <c r="L11" s="83" t="s">
        <v>39</v>
      </c>
      <c r="M11" s="275" t="s">
        <v>6</v>
      </c>
      <c r="N11" s="169"/>
      <c r="O11" s="137"/>
      <c r="P11" s="19"/>
      <c r="Q11" s="1"/>
      <c r="R11" s="1"/>
      <c r="S11" s="1"/>
      <c r="T11" s="1"/>
      <c r="U11" s="1"/>
      <c r="V11" s="1"/>
      <c r="W11" s="1"/>
      <c r="X11" s="1"/>
      <c r="Y11" s="1"/>
      <c r="Z11" s="1"/>
    </row>
    <row r="12">
      <c r="A12" s="121" t="s">
        <v>342</v>
      </c>
      <c r="B12" s="182"/>
      <c r="C12" s="187"/>
      <c r="D12" s="276">
        <v>1.0</v>
      </c>
      <c r="E12" s="77" t="s">
        <v>171</v>
      </c>
      <c r="F12" s="122" t="s">
        <v>171</v>
      </c>
      <c r="G12" s="127">
        <v>51.99</v>
      </c>
      <c r="H12" s="51">
        <f t="shared" si="2"/>
        <v>51.99</v>
      </c>
      <c r="I12" s="48" t="s">
        <v>339</v>
      </c>
      <c r="J12" s="83" t="s">
        <v>39</v>
      </c>
      <c r="K12" s="48" t="s">
        <v>339</v>
      </c>
      <c r="L12" s="83" t="s">
        <v>39</v>
      </c>
      <c r="M12" s="61" t="s">
        <v>3</v>
      </c>
      <c r="N12" s="63"/>
      <c r="O12" s="169"/>
      <c r="P12" s="1"/>
      <c r="Q12" s="1"/>
      <c r="R12" s="1"/>
      <c r="S12" s="1"/>
      <c r="T12" s="1"/>
      <c r="U12" s="1"/>
      <c r="V12" s="1"/>
      <c r="W12" s="1"/>
      <c r="X12" s="1"/>
      <c r="Y12" s="1"/>
      <c r="Z12" s="1"/>
    </row>
    <row r="13">
      <c r="A13" s="170" t="s">
        <v>343</v>
      </c>
      <c r="B13" s="91" t="s">
        <v>344</v>
      </c>
      <c r="C13" s="241" t="s">
        <v>118</v>
      </c>
      <c r="D13" s="71">
        <v>2.0</v>
      </c>
      <c r="E13" s="83" t="s">
        <v>101</v>
      </c>
      <c r="F13" s="91" t="s">
        <v>125</v>
      </c>
      <c r="G13" s="47">
        <v>80.85</v>
      </c>
      <c r="H13" s="51">
        <f t="shared" si="2"/>
        <v>161.7</v>
      </c>
      <c r="I13" s="48" t="s">
        <v>339</v>
      </c>
      <c r="J13" s="83" t="s">
        <v>39</v>
      </c>
      <c r="K13" s="277" t="s">
        <v>345</v>
      </c>
      <c r="L13" s="53" t="s">
        <v>39</v>
      </c>
      <c r="M13" s="61" t="s">
        <v>3</v>
      </c>
      <c r="N13" s="172"/>
      <c r="O13" s="96"/>
      <c r="P13" s="1"/>
      <c r="Q13" s="1"/>
      <c r="R13" s="1"/>
      <c r="S13" s="1"/>
      <c r="T13" s="1"/>
      <c r="U13" s="1"/>
      <c r="V13" s="1"/>
      <c r="W13" s="1"/>
      <c r="X13" s="1"/>
      <c r="Y13" s="1"/>
      <c r="Z13" s="1"/>
    </row>
    <row r="14">
      <c r="A14" s="62" t="s">
        <v>346</v>
      </c>
      <c r="B14" s="242"/>
      <c r="C14" s="59"/>
      <c r="D14" s="53">
        <v>15.0</v>
      </c>
      <c r="E14" s="59"/>
      <c r="F14" s="53" t="s">
        <v>347</v>
      </c>
      <c r="G14" s="278">
        <v>3636.0</v>
      </c>
      <c r="H14" s="274">
        <f t="shared" si="2"/>
        <v>54540</v>
      </c>
      <c r="I14" s="48" t="s">
        <v>348</v>
      </c>
      <c r="J14" s="83" t="s">
        <v>39</v>
      </c>
      <c r="K14" s="52"/>
      <c r="L14" s="53"/>
      <c r="M14" s="275" t="s">
        <v>6</v>
      </c>
      <c r="N14" s="172"/>
      <c r="O14" s="169"/>
      <c r="P14" s="1"/>
      <c r="Q14" s="1"/>
      <c r="R14" s="1"/>
      <c r="S14" s="1"/>
      <c r="T14" s="1"/>
      <c r="U14" s="1"/>
      <c r="V14" s="1"/>
      <c r="W14" s="1"/>
      <c r="X14" s="1"/>
      <c r="Y14" s="1"/>
      <c r="Z14" s="1"/>
    </row>
    <row r="15">
      <c r="A15" s="170" t="s">
        <v>349</v>
      </c>
      <c r="B15" s="51" t="s">
        <v>350</v>
      </c>
      <c r="C15" s="149" t="s">
        <v>351</v>
      </c>
      <c r="D15" s="208">
        <v>2.0</v>
      </c>
      <c r="E15" s="148" t="s">
        <v>220</v>
      </c>
      <c r="F15" s="148" t="s">
        <v>125</v>
      </c>
      <c r="G15" s="47">
        <v>19.89</v>
      </c>
      <c r="H15" s="51">
        <f t="shared" si="2"/>
        <v>39.78</v>
      </c>
      <c r="I15" s="48" t="s">
        <v>352</v>
      </c>
      <c r="J15" s="83" t="s">
        <v>39</v>
      </c>
      <c r="K15" s="52" t="s">
        <v>353</v>
      </c>
      <c r="L15" s="53" t="s">
        <v>354</v>
      </c>
      <c r="M15" s="61" t="s">
        <v>3</v>
      </c>
      <c r="N15" s="172"/>
      <c r="O15" s="17"/>
      <c r="P15" s="1"/>
      <c r="Q15" s="1"/>
      <c r="R15" s="1"/>
      <c r="S15" s="1"/>
      <c r="T15" s="1"/>
      <c r="U15" s="1"/>
      <c r="V15" s="1"/>
      <c r="W15" s="1"/>
      <c r="X15" s="1"/>
      <c r="Y15" s="1"/>
      <c r="Z15" s="1"/>
    </row>
    <row r="16">
      <c r="A16" s="155" t="s">
        <v>136</v>
      </c>
      <c r="B16" s="125" t="s">
        <v>137</v>
      </c>
      <c r="C16" s="243" t="s">
        <v>138</v>
      </c>
      <c r="D16" s="208">
        <v>2.0</v>
      </c>
      <c r="E16" s="272" t="s">
        <v>139</v>
      </c>
      <c r="F16" s="125" t="s">
        <v>140</v>
      </c>
      <c r="G16" s="117">
        <v>92.0</v>
      </c>
      <c r="H16" s="51">
        <f t="shared" si="2"/>
        <v>184</v>
      </c>
      <c r="I16" s="48" t="s">
        <v>355</v>
      </c>
      <c r="J16" s="83" t="s">
        <v>39</v>
      </c>
      <c r="K16" s="48" t="s">
        <v>355</v>
      </c>
      <c r="L16" s="83" t="s">
        <v>39</v>
      </c>
      <c r="M16" s="61" t="s">
        <v>3</v>
      </c>
      <c r="N16" s="96" t="s">
        <v>356</v>
      </c>
      <c r="O16" s="16"/>
      <c r="P16" s="19"/>
      <c r="Q16" s="1"/>
      <c r="R16" s="1"/>
      <c r="S16" s="1"/>
      <c r="T16" s="1"/>
      <c r="U16" s="1"/>
      <c r="V16" s="1"/>
      <c r="W16" s="1"/>
      <c r="X16" s="1"/>
      <c r="Y16" s="1"/>
      <c r="Z16" s="1"/>
    </row>
    <row r="17">
      <c r="A17" s="46" t="s">
        <v>357</v>
      </c>
      <c r="B17" s="279"/>
      <c r="C17" s="53" t="s">
        <v>358</v>
      </c>
      <c r="D17" s="190">
        <v>1.0</v>
      </c>
      <c r="E17" s="53" t="s">
        <v>293</v>
      </c>
      <c r="F17" s="46" t="s">
        <v>359</v>
      </c>
      <c r="G17" s="50">
        <v>1632.0</v>
      </c>
      <c r="H17" s="74">
        <f t="shared" si="2"/>
        <v>1632</v>
      </c>
      <c r="I17" s="52" t="s">
        <v>360</v>
      </c>
      <c r="J17" s="83" t="s">
        <v>39</v>
      </c>
      <c r="K17" s="52"/>
      <c r="L17" s="53"/>
      <c r="M17" s="46" t="s">
        <v>361</v>
      </c>
      <c r="N17" s="169"/>
      <c r="O17" s="181"/>
      <c r="P17" s="19"/>
      <c r="Q17" s="1"/>
      <c r="R17" s="1"/>
      <c r="S17" s="1"/>
      <c r="T17" s="1"/>
      <c r="U17" s="1"/>
      <c r="V17" s="1"/>
      <c r="W17" s="1"/>
      <c r="X17" s="1"/>
      <c r="Y17" s="1"/>
      <c r="Z17" s="1"/>
    </row>
    <row r="18">
      <c r="A18" s="46" t="s">
        <v>362</v>
      </c>
      <c r="B18" s="280"/>
      <c r="C18" s="53" t="s">
        <v>358</v>
      </c>
      <c r="D18" s="190">
        <v>1.0</v>
      </c>
      <c r="E18" s="53" t="s">
        <v>293</v>
      </c>
      <c r="F18" s="46" t="s">
        <v>359</v>
      </c>
      <c r="G18" s="137">
        <v>1632.0</v>
      </c>
      <c r="H18" s="74">
        <f t="shared" si="2"/>
        <v>1632</v>
      </c>
      <c r="I18" s="52" t="s">
        <v>360</v>
      </c>
      <c r="J18" s="83" t="s">
        <v>39</v>
      </c>
      <c r="K18" s="52"/>
      <c r="L18" s="53"/>
      <c r="M18" s="46" t="s">
        <v>363</v>
      </c>
      <c r="N18" s="169"/>
      <c r="O18" s="137"/>
      <c r="P18" s="19"/>
      <c r="Q18" s="1"/>
      <c r="R18" s="1"/>
      <c r="S18" s="1"/>
      <c r="T18" s="1"/>
      <c r="U18" s="1"/>
      <c r="V18" s="1"/>
      <c r="W18" s="1"/>
      <c r="X18" s="1"/>
      <c r="Y18" s="1"/>
      <c r="Z18" s="1"/>
    </row>
    <row r="19">
      <c r="A19" s="56"/>
      <c r="B19" s="281"/>
      <c r="C19" s="243"/>
      <c r="D19" s="190"/>
      <c r="E19" s="125"/>
      <c r="F19" s="56"/>
      <c r="G19" s="128"/>
      <c r="H19" s="74">
        <f t="shared" si="2"/>
        <v>0</v>
      </c>
      <c r="I19" s="48"/>
      <c r="J19" s="53"/>
      <c r="K19" s="48"/>
      <c r="L19" s="53"/>
      <c r="M19" s="46"/>
      <c r="N19" s="169"/>
      <c r="O19" s="181"/>
      <c r="P19" s="19"/>
      <c r="Q19" s="1"/>
      <c r="R19" s="1"/>
      <c r="S19" s="1"/>
      <c r="T19" s="1"/>
      <c r="U19" s="1"/>
      <c r="V19" s="1"/>
      <c r="W19" s="1"/>
      <c r="X19" s="1"/>
      <c r="Y19" s="1"/>
      <c r="Z19" s="1"/>
    </row>
    <row r="20">
      <c r="A20" s="282"/>
      <c r="B20" s="182"/>
      <c r="C20" s="67"/>
      <c r="D20" s="122"/>
      <c r="E20" s="67"/>
      <c r="F20" s="283"/>
      <c r="G20" s="284"/>
      <c r="H20" s="74">
        <f t="shared" si="2"/>
        <v>0</v>
      </c>
      <c r="I20" s="285"/>
      <c r="J20" s="53"/>
      <c r="K20" s="52"/>
      <c r="L20" s="53"/>
      <c r="M20" s="46"/>
      <c r="N20" s="286"/>
      <c r="O20" s="286"/>
      <c r="P20" s="287"/>
      <c r="Q20" s="288"/>
      <c r="R20" s="288"/>
      <c r="S20" s="288"/>
      <c r="T20" s="288"/>
      <c r="U20" s="288"/>
      <c r="V20" s="288"/>
      <c r="W20" s="288"/>
      <c r="X20" s="288"/>
      <c r="Y20" s="288"/>
      <c r="Z20" s="288"/>
    </row>
    <row r="21">
      <c r="A21" s="70"/>
      <c r="B21" s="70"/>
      <c r="C21" s="70"/>
      <c r="D21" s="125"/>
      <c r="E21" s="70"/>
      <c r="F21" s="156"/>
      <c r="G21" s="163"/>
      <c r="H21" s="74">
        <f t="shared" si="2"/>
        <v>0</v>
      </c>
      <c r="I21" s="163"/>
      <c r="J21" s="164"/>
      <c r="K21" s="163"/>
      <c r="L21" s="164"/>
      <c r="M21" s="70"/>
      <c r="N21" s="164"/>
      <c r="O21" s="163"/>
      <c r="P21" s="20"/>
    </row>
    <row r="22">
      <c r="A22" s="157"/>
      <c r="B22" s="70"/>
      <c r="C22" s="70"/>
      <c r="D22" s="156"/>
      <c r="E22" s="70"/>
      <c r="F22" s="156"/>
      <c r="G22" s="163"/>
      <c r="H22" s="74">
        <f t="shared" si="2"/>
        <v>0</v>
      </c>
      <c r="I22" s="163"/>
      <c r="J22" s="164"/>
      <c r="K22" s="163"/>
      <c r="L22" s="164"/>
      <c r="M22" s="163"/>
      <c r="N22" s="164"/>
      <c r="O22" s="163"/>
      <c r="P22" s="20"/>
    </row>
    <row r="23">
      <c r="A23" s="155"/>
      <c r="B23" s="125"/>
      <c r="C23" s="59"/>
      <c r="D23" s="125"/>
      <c r="E23" s="289"/>
      <c r="F23" s="59"/>
      <c r="G23" s="290"/>
      <c r="H23" s="74">
        <f t="shared" si="2"/>
        <v>0</v>
      </c>
      <c r="I23" s="243"/>
      <c r="J23" s="243"/>
      <c r="K23" s="187"/>
      <c r="L23" s="67"/>
      <c r="M23" s="55"/>
      <c r="N23" s="291"/>
      <c r="O23" s="292"/>
      <c r="P23" s="291"/>
      <c r="Q23" s="291"/>
      <c r="R23" s="291"/>
      <c r="S23" s="291"/>
      <c r="T23" s="291"/>
      <c r="U23" s="291"/>
      <c r="V23" s="291"/>
      <c r="W23" s="293"/>
      <c r="X23" s="293"/>
      <c r="Y23" s="293"/>
      <c r="Z23" s="293"/>
    </row>
    <row r="24">
      <c r="A24" s="70"/>
      <c r="B24" s="156"/>
      <c r="C24" s="70"/>
      <c r="D24" s="156"/>
      <c r="E24" s="70"/>
      <c r="F24" s="156"/>
      <c r="G24" s="163"/>
      <c r="H24" s="74">
        <f t="shared" si="2"/>
        <v>0</v>
      </c>
      <c r="I24" s="163"/>
      <c r="J24" s="164"/>
      <c r="K24" s="163"/>
      <c r="L24" s="164"/>
      <c r="M24" s="163"/>
      <c r="N24" s="164"/>
      <c r="O24" s="163"/>
      <c r="P24" s="20"/>
    </row>
    <row r="25">
      <c r="A25" s="70"/>
      <c r="B25" s="156"/>
      <c r="C25" s="70"/>
      <c r="D25" s="156"/>
      <c r="E25" s="70"/>
      <c r="F25" s="156"/>
      <c r="G25" s="163"/>
      <c r="H25" s="74">
        <f t="shared" si="2"/>
        <v>0</v>
      </c>
      <c r="I25" s="163"/>
      <c r="J25" s="164"/>
      <c r="K25" s="163"/>
      <c r="L25" s="164"/>
      <c r="M25" s="163"/>
      <c r="N25" s="164"/>
      <c r="O25" s="163"/>
      <c r="P25" s="20"/>
    </row>
    <row r="26">
      <c r="A26" s="163"/>
      <c r="B26" s="164"/>
      <c r="C26" s="163"/>
      <c r="D26" s="164"/>
      <c r="E26" s="163"/>
      <c r="F26" s="164"/>
      <c r="G26" s="163"/>
      <c r="H26" s="74">
        <f t="shared" si="2"/>
        <v>0</v>
      </c>
      <c r="I26" s="163"/>
      <c r="J26" s="164"/>
      <c r="K26" s="163"/>
      <c r="L26" s="164"/>
      <c r="M26" s="163"/>
      <c r="N26" s="164"/>
      <c r="O26" s="163"/>
      <c r="P26" s="20"/>
    </row>
    <row r="27">
      <c r="A27" s="163"/>
      <c r="B27" s="164"/>
      <c r="C27" s="163"/>
      <c r="D27" s="164"/>
      <c r="E27" s="163"/>
      <c r="F27" s="164"/>
      <c r="G27" s="163"/>
      <c r="H27" s="74">
        <f t="shared" si="2"/>
        <v>0</v>
      </c>
      <c r="I27" s="163"/>
      <c r="J27" s="164"/>
      <c r="K27" s="163"/>
      <c r="L27" s="164"/>
      <c r="M27" s="163"/>
      <c r="N27" s="164"/>
      <c r="O27" s="163"/>
      <c r="P27" s="20"/>
    </row>
    <row r="28">
      <c r="A28" s="163"/>
      <c r="B28" s="164"/>
      <c r="C28" s="163"/>
      <c r="D28" s="164"/>
      <c r="E28" s="163"/>
      <c r="F28" s="164"/>
      <c r="G28" s="163"/>
      <c r="H28" s="74">
        <f t="shared" si="2"/>
        <v>0</v>
      </c>
      <c r="I28" s="163"/>
      <c r="J28" s="164"/>
      <c r="K28" s="163"/>
      <c r="L28" s="164"/>
      <c r="M28" s="163"/>
      <c r="N28" s="164"/>
      <c r="O28" s="163"/>
      <c r="P28" s="20"/>
    </row>
    <row r="29">
      <c r="A29" s="163"/>
      <c r="B29" s="164"/>
      <c r="C29" s="163"/>
      <c r="D29" s="164"/>
      <c r="E29" s="163"/>
      <c r="F29" s="164"/>
      <c r="G29" s="163"/>
      <c r="H29" s="74">
        <f t="shared" si="2"/>
        <v>0</v>
      </c>
      <c r="I29" s="163"/>
      <c r="J29" s="164"/>
      <c r="K29" s="163"/>
      <c r="L29" s="164"/>
      <c r="M29" s="163"/>
      <c r="N29" s="164"/>
      <c r="O29" s="163"/>
      <c r="P29" s="20"/>
    </row>
    <row r="30">
      <c r="A30" s="163"/>
      <c r="B30" s="164"/>
      <c r="C30" s="163"/>
      <c r="D30" s="164"/>
      <c r="E30" s="163"/>
      <c r="F30" s="164"/>
      <c r="G30" s="163"/>
      <c r="H30" s="74">
        <f t="shared" si="2"/>
        <v>0</v>
      </c>
      <c r="I30" s="163"/>
      <c r="J30" s="164"/>
      <c r="K30" s="163"/>
      <c r="L30" s="164"/>
      <c r="M30" s="163"/>
      <c r="N30" s="164"/>
      <c r="O30" s="163"/>
      <c r="P30" s="20"/>
    </row>
    <row r="31">
      <c r="A31" s="163"/>
      <c r="B31" s="164"/>
      <c r="C31" s="163"/>
      <c r="D31" s="164"/>
      <c r="E31" s="163"/>
      <c r="F31" s="164"/>
      <c r="G31" s="163"/>
      <c r="H31" s="74">
        <f t="shared" si="2"/>
        <v>0</v>
      </c>
      <c r="I31" s="163"/>
      <c r="J31" s="164"/>
      <c r="K31" s="163"/>
      <c r="L31" s="164"/>
      <c r="M31" s="163"/>
      <c r="N31" s="164"/>
      <c r="O31" s="163"/>
      <c r="P31" s="20"/>
    </row>
    <row r="32">
      <c r="A32" s="163"/>
      <c r="B32" s="164"/>
      <c r="C32" s="163"/>
      <c r="D32" s="164"/>
      <c r="E32" s="163"/>
      <c r="F32" s="164"/>
      <c r="G32" s="163"/>
      <c r="H32" s="74">
        <f t="shared" si="2"/>
        <v>0</v>
      </c>
      <c r="I32" s="163"/>
      <c r="J32" s="164"/>
      <c r="K32" s="163"/>
      <c r="L32" s="164"/>
      <c r="M32" s="163"/>
      <c r="N32" s="164"/>
      <c r="O32" s="163"/>
      <c r="P32" s="20"/>
    </row>
    <row r="33">
      <c r="A33" s="163"/>
      <c r="B33" s="164"/>
      <c r="C33" s="163"/>
      <c r="D33" s="164"/>
      <c r="E33" s="163"/>
      <c r="F33" s="164"/>
      <c r="G33" s="163"/>
      <c r="H33" s="74">
        <f t="shared" si="2"/>
        <v>0</v>
      </c>
      <c r="I33" s="163"/>
      <c r="J33" s="164"/>
      <c r="K33" s="163"/>
      <c r="L33" s="164"/>
      <c r="M33" s="163"/>
      <c r="N33" s="164"/>
      <c r="O33" s="163"/>
      <c r="P33" s="20"/>
    </row>
    <row r="34">
      <c r="A34" s="163"/>
      <c r="B34" s="164"/>
      <c r="C34" s="163"/>
      <c r="D34" s="164"/>
      <c r="E34" s="163"/>
      <c r="F34" s="164"/>
      <c r="G34" s="163"/>
      <c r="H34" s="74">
        <f t="shared" si="2"/>
        <v>0</v>
      </c>
      <c r="I34" s="163"/>
      <c r="J34" s="164"/>
      <c r="K34" s="163"/>
      <c r="L34" s="164"/>
      <c r="M34" s="163"/>
      <c r="N34" s="164"/>
      <c r="O34" s="163"/>
      <c r="P34" s="20"/>
    </row>
    <row r="35">
      <c r="A35" s="163"/>
      <c r="B35" s="164"/>
      <c r="C35" s="163"/>
      <c r="D35" s="164"/>
      <c r="E35" s="163"/>
      <c r="F35" s="164"/>
      <c r="G35" s="163"/>
      <c r="H35" s="74">
        <f t="shared" si="2"/>
        <v>0</v>
      </c>
      <c r="I35" s="163"/>
      <c r="J35" s="164"/>
      <c r="K35" s="163"/>
      <c r="L35" s="164"/>
      <c r="M35" s="163"/>
      <c r="N35" s="164"/>
      <c r="O35" s="163"/>
      <c r="P35" s="20"/>
    </row>
    <row r="36">
      <c r="A36" s="163"/>
      <c r="B36" s="164"/>
      <c r="C36" s="163"/>
      <c r="D36" s="164"/>
      <c r="E36" s="163"/>
      <c r="F36" s="164"/>
      <c r="G36" s="163"/>
      <c r="H36" s="74">
        <f t="shared" si="2"/>
        <v>0</v>
      </c>
      <c r="I36" s="163"/>
      <c r="J36" s="164"/>
      <c r="K36" s="163"/>
      <c r="L36" s="164"/>
      <c r="M36" s="163"/>
      <c r="N36" s="164"/>
      <c r="O36" s="163"/>
      <c r="P36" s="20"/>
    </row>
    <row r="37">
      <c r="A37" s="163"/>
      <c r="B37" s="164"/>
      <c r="C37" s="163"/>
      <c r="D37" s="164"/>
      <c r="E37" s="163"/>
      <c r="F37" s="164"/>
      <c r="G37" s="163"/>
      <c r="H37" s="164"/>
      <c r="I37" s="163"/>
      <c r="J37" s="164"/>
      <c r="K37" s="163"/>
      <c r="L37" s="164"/>
      <c r="M37" s="163"/>
      <c r="N37" s="164"/>
      <c r="O37" s="163"/>
      <c r="P37" s="20"/>
    </row>
    <row r="38">
      <c r="B38" s="158"/>
      <c r="D38" s="158"/>
      <c r="F38" s="158"/>
      <c r="H38" s="158"/>
      <c r="J38" s="158"/>
      <c r="L38" s="158"/>
      <c r="N38" s="158"/>
      <c r="P38" s="20"/>
    </row>
    <row r="39">
      <c r="B39" s="158"/>
      <c r="D39" s="158"/>
      <c r="F39" s="158"/>
      <c r="H39" s="158"/>
      <c r="J39" s="158"/>
      <c r="L39" s="158"/>
      <c r="N39" s="158"/>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row r="997">
      <c r="B997" s="158"/>
      <c r="D997" s="158"/>
      <c r="F997" s="158"/>
      <c r="H997" s="158"/>
      <c r="J997" s="158"/>
      <c r="L997" s="158"/>
      <c r="N997" s="158"/>
      <c r="P997" s="20"/>
    </row>
    <row r="998">
      <c r="B998" s="158"/>
      <c r="D998" s="158"/>
      <c r="F998" s="158"/>
      <c r="H998" s="158"/>
      <c r="J998" s="158"/>
      <c r="L998" s="158"/>
      <c r="N998" s="158"/>
      <c r="P998" s="20"/>
    </row>
    <row r="999">
      <c r="B999" s="158"/>
      <c r="D999" s="158"/>
      <c r="F999" s="158"/>
      <c r="H999" s="158"/>
      <c r="J999" s="158"/>
      <c r="L999" s="158"/>
      <c r="N999" s="158"/>
      <c r="P999" s="20"/>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 customWidth="1" min="5" max="5" width="23.25"/>
    <col customWidth="1" min="6" max="6" width="25.25"/>
    <col customWidth="1" min="8" max="8" width="21.5"/>
    <col customWidth="1" min="13" max="13" width="15.13"/>
    <col customWidth="1" min="15" max="15" width="25.75"/>
  </cols>
  <sheetData>
    <row r="1">
      <c r="A1" s="38" t="s">
        <v>21</v>
      </c>
      <c r="B1" s="39" t="s">
        <v>22</v>
      </c>
      <c r="C1" s="40" t="s">
        <v>23</v>
      </c>
      <c r="D1" s="39" t="s">
        <v>24</v>
      </c>
      <c r="E1" s="40" t="s">
        <v>25</v>
      </c>
      <c r="F1" s="39" t="s">
        <v>26</v>
      </c>
      <c r="G1" s="40" t="s">
        <v>27</v>
      </c>
      <c r="H1" s="41" t="s">
        <v>28</v>
      </c>
      <c r="I1" s="42" t="s">
        <v>29</v>
      </c>
      <c r="J1" s="43" t="s">
        <v>30</v>
      </c>
      <c r="K1" s="42" t="s">
        <v>31</v>
      </c>
      <c r="L1" s="39" t="s">
        <v>30</v>
      </c>
      <c r="M1" s="40" t="s">
        <v>32</v>
      </c>
      <c r="N1" s="39" t="s">
        <v>33</v>
      </c>
      <c r="O1" s="40" t="s">
        <v>34</v>
      </c>
      <c r="P1" s="44" t="s">
        <v>35</v>
      </c>
      <c r="Q1" s="45">
        <f>SUM(H2:H27)</f>
        <v>150</v>
      </c>
    </row>
    <row r="2">
      <c r="A2" s="294" t="s">
        <v>364</v>
      </c>
      <c r="B2" s="295"/>
      <c r="C2" s="52"/>
      <c r="D2" s="53">
        <v>1.0</v>
      </c>
      <c r="E2" s="46"/>
      <c r="F2" s="46"/>
      <c r="G2" s="127">
        <v>150.0</v>
      </c>
      <c r="H2" s="51">
        <f t="shared" ref="H2:H37" si="1">G2*D2</f>
        <v>150</v>
      </c>
      <c r="I2" s="52" t="s">
        <v>365</v>
      </c>
      <c r="J2" s="53" t="s">
        <v>39</v>
      </c>
      <c r="K2" s="52" t="s">
        <v>365</v>
      </c>
      <c r="L2" s="53" t="s">
        <v>39</v>
      </c>
      <c r="M2" s="94" t="s">
        <v>41</v>
      </c>
      <c r="N2" s="169"/>
      <c r="O2" s="137"/>
      <c r="P2" s="19"/>
      <c r="Q2" s="1"/>
      <c r="R2" s="1"/>
      <c r="S2" s="1"/>
      <c r="T2" s="1"/>
      <c r="U2" s="1"/>
      <c r="V2" s="1"/>
      <c r="W2" s="1"/>
      <c r="X2" s="1"/>
      <c r="Y2" s="1"/>
      <c r="Z2" s="1"/>
    </row>
    <row r="3">
      <c r="A3" s="294"/>
      <c r="B3" s="295"/>
      <c r="C3" s="52"/>
      <c r="D3" s="53"/>
      <c r="E3" s="46"/>
      <c r="F3" s="46"/>
      <c r="G3" s="127"/>
      <c r="H3" s="51">
        <f t="shared" si="1"/>
        <v>0</v>
      </c>
      <c r="I3" s="52"/>
      <c r="J3" s="53"/>
      <c r="K3" s="52"/>
      <c r="L3" s="53"/>
      <c r="M3" s="46"/>
      <c r="N3" s="169"/>
      <c r="O3" s="181"/>
      <c r="P3" s="19"/>
      <c r="Q3" s="1"/>
      <c r="R3" s="1"/>
      <c r="S3" s="1"/>
      <c r="T3" s="1"/>
      <c r="U3" s="1"/>
      <c r="V3" s="1"/>
      <c r="W3" s="1"/>
      <c r="X3" s="1"/>
      <c r="Y3" s="1"/>
      <c r="Z3" s="1"/>
    </row>
    <row r="4">
      <c r="A4" s="294"/>
      <c r="B4" s="296"/>
      <c r="C4" s="52"/>
      <c r="D4" s="53"/>
      <c r="E4" s="46"/>
      <c r="F4" s="62"/>
      <c r="G4" s="127"/>
      <c r="H4" s="74">
        <f t="shared" si="1"/>
        <v>0</v>
      </c>
      <c r="I4" s="52"/>
      <c r="J4" s="53"/>
      <c r="K4" s="52"/>
      <c r="L4" s="53"/>
      <c r="M4" s="46"/>
      <c r="N4" s="164"/>
      <c r="O4" s="163"/>
      <c r="P4" s="20"/>
    </row>
    <row r="5">
      <c r="A5" s="56"/>
      <c r="B5" s="58"/>
      <c r="C5" s="243"/>
      <c r="D5" s="125"/>
      <c r="E5" s="56"/>
      <c r="F5" s="55"/>
      <c r="G5" s="117"/>
      <c r="H5" s="51">
        <f t="shared" si="1"/>
        <v>0</v>
      </c>
      <c r="I5" s="149"/>
      <c r="J5" s="91"/>
      <c r="K5" s="243"/>
      <c r="L5" s="125"/>
      <c r="M5" s="56"/>
      <c r="N5" s="169"/>
      <c r="O5" s="163"/>
      <c r="P5" s="20"/>
    </row>
    <row r="6">
      <c r="A6" s="181"/>
      <c r="B6" s="51"/>
      <c r="C6" s="149"/>
      <c r="D6" s="91"/>
      <c r="E6" s="181"/>
      <c r="F6" s="169"/>
      <c r="G6" s="128"/>
      <c r="H6" s="51">
        <f t="shared" si="1"/>
        <v>0</v>
      </c>
      <c r="I6" s="149"/>
      <c r="J6" s="91"/>
      <c r="K6" s="243"/>
      <c r="L6" s="125"/>
      <c r="M6" s="56"/>
      <c r="N6" s="164"/>
      <c r="O6" s="181"/>
      <c r="P6" s="20"/>
    </row>
    <row r="7">
      <c r="A7" s="163"/>
      <c r="B7" s="164"/>
      <c r="C7" s="163"/>
      <c r="D7" s="164"/>
      <c r="E7" s="163"/>
      <c r="F7" s="164"/>
      <c r="G7" s="163"/>
      <c r="H7" s="74">
        <f t="shared" si="1"/>
        <v>0</v>
      </c>
      <c r="I7" s="163"/>
      <c r="J7" s="164"/>
      <c r="K7" s="163"/>
      <c r="L7" s="164"/>
      <c r="M7" s="163"/>
      <c r="N7" s="164"/>
      <c r="O7" s="163"/>
      <c r="P7" s="20"/>
    </row>
    <row r="8">
      <c r="A8" s="163"/>
      <c r="B8" s="164"/>
      <c r="C8" s="163"/>
      <c r="D8" s="164"/>
      <c r="E8" s="163"/>
      <c r="F8" s="164"/>
      <c r="G8" s="163"/>
      <c r="H8" s="74">
        <f t="shared" si="1"/>
        <v>0</v>
      </c>
      <c r="I8" s="163"/>
      <c r="J8" s="164"/>
      <c r="K8" s="163"/>
      <c r="L8" s="164"/>
      <c r="M8" s="163"/>
      <c r="N8" s="164"/>
      <c r="O8" s="163"/>
      <c r="P8" s="20"/>
    </row>
    <row r="9">
      <c r="A9" s="163"/>
      <c r="B9" s="164"/>
      <c r="C9" s="163"/>
      <c r="D9" s="164"/>
      <c r="E9" s="163"/>
      <c r="F9" s="164"/>
      <c r="G9" s="163"/>
      <c r="H9" s="74">
        <f t="shared" si="1"/>
        <v>0</v>
      </c>
      <c r="I9" s="163"/>
      <c r="J9" s="164"/>
      <c r="K9" s="163"/>
      <c r="L9" s="164"/>
      <c r="M9" s="163"/>
      <c r="N9" s="164"/>
      <c r="O9" s="163"/>
      <c r="P9" s="20"/>
    </row>
    <row r="10">
      <c r="A10" s="163"/>
      <c r="B10" s="164"/>
      <c r="C10" s="163"/>
      <c r="D10" s="164"/>
      <c r="E10" s="163"/>
      <c r="F10" s="164"/>
      <c r="G10" s="163"/>
      <c r="H10" s="74">
        <f t="shared" si="1"/>
        <v>0</v>
      </c>
      <c r="I10" s="163"/>
      <c r="J10" s="164"/>
      <c r="K10" s="163"/>
      <c r="L10" s="164"/>
      <c r="M10" s="163"/>
      <c r="N10" s="164"/>
      <c r="O10" s="163"/>
      <c r="P10" s="20"/>
    </row>
    <row r="11">
      <c r="A11" s="163"/>
      <c r="B11" s="164"/>
      <c r="C11" s="163"/>
      <c r="D11" s="164"/>
      <c r="E11" s="163"/>
      <c r="F11" s="164"/>
      <c r="G11" s="163"/>
      <c r="H11" s="74">
        <f t="shared" si="1"/>
        <v>0</v>
      </c>
      <c r="I11" s="163"/>
      <c r="J11" s="164"/>
      <c r="K11" s="163"/>
      <c r="L11" s="164"/>
      <c r="M11" s="163"/>
      <c r="N11" s="164"/>
      <c r="O11" s="163"/>
      <c r="P11" s="20"/>
    </row>
    <row r="12">
      <c r="A12" s="163"/>
      <c r="B12" s="164"/>
      <c r="C12" s="163"/>
      <c r="D12" s="164"/>
      <c r="E12" s="163"/>
      <c r="F12" s="164"/>
      <c r="G12" s="163"/>
      <c r="H12" s="74">
        <f t="shared" si="1"/>
        <v>0</v>
      </c>
      <c r="I12" s="163"/>
      <c r="J12" s="164"/>
      <c r="K12" s="163"/>
      <c r="L12" s="164"/>
      <c r="M12" s="163"/>
      <c r="N12" s="164"/>
      <c r="O12" s="163"/>
      <c r="P12" s="20"/>
    </row>
    <row r="13">
      <c r="A13" s="163"/>
      <c r="B13" s="164"/>
      <c r="C13" s="163"/>
      <c r="D13" s="164"/>
      <c r="E13" s="163"/>
      <c r="F13" s="164"/>
      <c r="G13" s="163"/>
      <c r="H13" s="74">
        <f t="shared" si="1"/>
        <v>0</v>
      </c>
      <c r="I13" s="163"/>
      <c r="J13" s="164"/>
      <c r="K13" s="163"/>
      <c r="L13" s="164"/>
      <c r="M13" s="163"/>
      <c r="N13" s="164"/>
      <c r="O13" s="163"/>
      <c r="P13" s="20"/>
    </row>
    <row r="14">
      <c r="A14" s="163"/>
      <c r="B14" s="164"/>
      <c r="C14" s="163"/>
      <c r="D14" s="164"/>
      <c r="E14" s="163"/>
      <c r="F14" s="164"/>
      <c r="G14" s="163"/>
      <c r="H14" s="74">
        <f t="shared" si="1"/>
        <v>0</v>
      </c>
      <c r="I14" s="163"/>
      <c r="J14" s="164"/>
      <c r="K14" s="163"/>
      <c r="L14" s="164"/>
      <c r="M14" s="163"/>
      <c r="N14" s="164"/>
      <c r="O14" s="163"/>
      <c r="P14" s="20"/>
    </row>
    <row r="15">
      <c r="A15" s="163"/>
      <c r="B15" s="164"/>
      <c r="C15" s="163"/>
      <c r="D15" s="164"/>
      <c r="E15" s="163"/>
      <c r="F15" s="164"/>
      <c r="G15" s="163"/>
      <c r="H15" s="74">
        <f t="shared" si="1"/>
        <v>0</v>
      </c>
      <c r="I15" s="163"/>
      <c r="J15" s="164"/>
      <c r="K15" s="163"/>
      <c r="L15" s="164"/>
      <c r="M15" s="163"/>
      <c r="N15" s="164"/>
      <c r="O15" s="163"/>
      <c r="P15" s="20"/>
    </row>
    <row r="16">
      <c r="A16" s="163"/>
      <c r="B16" s="164"/>
      <c r="C16" s="163"/>
      <c r="D16" s="164"/>
      <c r="E16" s="163"/>
      <c r="F16" s="164"/>
      <c r="G16" s="163"/>
      <c r="H16" s="74">
        <f t="shared" si="1"/>
        <v>0</v>
      </c>
      <c r="I16" s="163"/>
      <c r="J16" s="164"/>
      <c r="K16" s="163"/>
      <c r="L16" s="164"/>
      <c r="M16" s="163"/>
      <c r="N16" s="164"/>
      <c r="O16" s="163"/>
      <c r="P16" s="20"/>
    </row>
    <row r="17">
      <c r="A17" s="163"/>
      <c r="B17" s="164"/>
      <c r="C17" s="163"/>
      <c r="D17" s="164"/>
      <c r="E17" s="163"/>
      <c r="F17" s="164"/>
      <c r="G17" s="163"/>
      <c r="H17" s="74">
        <f t="shared" si="1"/>
        <v>0</v>
      </c>
      <c r="I17" s="163"/>
      <c r="J17" s="164"/>
      <c r="K17" s="163"/>
      <c r="L17" s="164"/>
      <c r="M17" s="163"/>
      <c r="N17" s="164"/>
      <c r="O17" s="163"/>
      <c r="P17" s="20"/>
    </row>
    <row r="18">
      <c r="A18" s="163"/>
      <c r="B18" s="164"/>
      <c r="C18" s="163"/>
      <c r="D18" s="164"/>
      <c r="E18" s="163"/>
      <c r="F18" s="164"/>
      <c r="G18" s="163"/>
      <c r="H18" s="74">
        <f t="shared" si="1"/>
        <v>0</v>
      </c>
      <c r="I18" s="163"/>
      <c r="J18" s="164"/>
      <c r="K18" s="163"/>
      <c r="L18" s="164"/>
      <c r="M18" s="163"/>
      <c r="N18" s="164"/>
      <c r="O18" s="163"/>
      <c r="P18" s="20"/>
    </row>
    <row r="19">
      <c r="A19" s="163"/>
      <c r="B19" s="164"/>
      <c r="C19" s="163"/>
      <c r="D19" s="164"/>
      <c r="E19" s="163"/>
      <c r="F19" s="164"/>
      <c r="G19" s="163"/>
      <c r="H19" s="74">
        <f t="shared" si="1"/>
        <v>0</v>
      </c>
      <c r="I19" s="163"/>
      <c r="J19" s="164"/>
      <c r="K19" s="163"/>
      <c r="L19" s="164"/>
      <c r="M19" s="163"/>
      <c r="N19" s="164"/>
      <c r="O19" s="163"/>
      <c r="P19" s="20"/>
    </row>
    <row r="20">
      <c r="A20" s="163"/>
      <c r="B20" s="164"/>
      <c r="C20" s="163"/>
      <c r="D20" s="164"/>
      <c r="E20" s="163"/>
      <c r="F20" s="164"/>
      <c r="G20" s="163"/>
      <c r="H20" s="74">
        <f t="shared" si="1"/>
        <v>0</v>
      </c>
      <c r="I20" s="163"/>
      <c r="J20" s="164"/>
      <c r="K20" s="163"/>
      <c r="L20" s="164"/>
      <c r="M20" s="163"/>
      <c r="N20" s="164"/>
      <c r="O20" s="163"/>
      <c r="P20" s="20"/>
    </row>
    <row r="21">
      <c r="A21" s="163"/>
      <c r="B21" s="164"/>
      <c r="C21" s="163"/>
      <c r="D21" s="164"/>
      <c r="E21" s="163"/>
      <c r="F21" s="164"/>
      <c r="G21" s="163"/>
      <c r="H21" s="74">
        <f t="shared" si="1"/>
        <v>0</v>
      </c>
      <c r="I21" s="163"/>
      <c r="J21" s="164"/>
      <c r="K21" s="163"/>
      <c r="L21" s="164"/>
      <c r="M21" s="163"/>
      <c r="N21" s="164"/>
      <c r="O21" s="163"/>
      <c r="P21" s="20"/>
    </row>
    <row r="22">
      <c r="A22" s="163"/>
      <c r="B22" s="164"/>
      <c r="C22" s="163"/>
      <c r="D22" s="164"/>
      <c r="E22" s="163"/>
      <c r="F22" s="164"/>
      <c r="G22" s="163"/>
      <c r="H22" s="74">
        <f t="shared" si="1"/>
        <v>0</v>
      </c>
      <c r="I22" s="163"/>
      <c r="J22" s="164"/>
      <c r="K22" s="163"/>
      <c r="L22" s="164"/>
      <c r="M22" s="163"/>
      <c r="N22" s="164"/>
      <c r="O22" s="163"/>
      <c r="P22" s="20"/>
    </row>
    <row r="23">
      <c r="A23" s="163"/>
      <c r="B23" s="164"/>
      <c r="C23" s="163"/>
      <c r="D23" s="164"/>
      <c r="E23" s="163"/>
      <c r="F23" s="164"/>
      <c r="G23" s="163"/>
      <c r="H23" s="74">
        <f t="shared" si="1"/>
        <v>0</v>
      </c>
      <c r="I23" s="163"/>
      <c r="J23" s="164"/>
      <c r="K23" s="163"/>
      <c r="L23" s="164"/>
      <c r="M23" s="163"/>
      <c r="N23" s="164"/>
      <c r="O23" s="163"/>
      <c r="P23" s="20"/>
    </row>
    <row r="24">
      <c r="A24" s="163"/>
      <c r="B24" s="164"/>
      <c r="C24" s="163"/>
      <c r="D24" s="164"/>
      <c r="E24" s="163"/>
      <c r="F24" s="164"/>
      <c r="G24" s="163"/>
      <c r="H24" s="74">
        <f t="shared" si="1"/>
        <v>0</v>
      </c>
      <c r="I24" s="163"/>
      <c r="J24" s="164"/>
      <c r="K24" s="163"/>
      <c r="L24" s="164"/>
      <c r="M24" s="163"/>
      <c r="N24" s="164"/>
      <c r="O24" s="163"/>
      <c r="P24" s="20"/>
    </row>
    <row r="25">
      <c r="A25" s="163"/>
      <c r="B25" s="164"/>
      <c r="C25" s="163"/>
      <c r="D25" s="164"/>
      <c r="E25" s="163"/>
      <c r="F25" s="164"/>
      <c r="G25" s="163"/>
      <c r="H25" s="74">
        <f t="shared" si="1"/>
        <v>0</v>
      </c>
      <c r="I25" s="163"/>
      <c r="J25" s="164"/>
      <c r="K25" s="163"/>
      <c r="L25" s="164"/>
      <c r="M25" s="163"/>
      <c r="N25" s="164"/>
      <c r="O25" s="163"/>
      <c r="P25" s="20"/>
    </row>
    <row r="26">
      <c r="A26" s="163"/>
      <c r="B26" s="164"/>
      <c r="C26" s="163"/>
      <c r="D26" s="164"/>
      <c r="E26" s="163"/>
      <c r="F26" s="164"/>
      <c r="G26" s="163"/>
      <c r="H26" s="74">
        <f t="shared" si="1"/>
        <v>0</v>
      </c>
      <c r="I26" s="163"/>
      <c r="J26" s="164"/>
      <c r="K26" s="163"/>
      <c r="L26" s="164"/>
      <c r="M26" s="163"/>
      <c r="N26" s="164"/>
      <c r="O26" s="163"/>
      <c r="P26" s="20"/>
    </row>
    <row r="27">
      <c r="A27" s="163"/>
      <c r="B27" s="164"/>
      <c r="C27" s="163"/>
      <c r="D27" s="164"/>
      <c r="E27" s="163"/>
      <c r="F27" s="164"/>
      <c r="G27" s="163"/>
      <c r="H27" s="74">
        <f t="shared" si="1"/>
        <v>0</v>
      </c>
      <c r="I27" s="163"/>
      <c r="J27" s="164"/>
      <c r="K27" s="163"/>
      <c r="L27" s="164"/>
      <c r="M27" s="163"/>
      <c r="N27" s="164"/>
      <c r="O27" s="163"/>
      <c r="P27" s="20"/>
    </row>
    <row r="28">
      <c r="A28" s="163"/>
      <c r="B28" s="164"/>
      <c r="C28" s="163"/>
      <c r="D28" s="164"/>
      <c r="E28" s="163"/>
      <c r="F28" s="164"/>
      <c r="G28" s="163"/>
      <c r="H28" s="74">
        <f t="shared" si="1"/>
        <v>0</v>
      </c>
      <c r="I28" s="163"/>
      <c r="J28" s="164"/>
      <c r="K28" s="163"/>
      <c r="L28" s="164"/>
      <c r="M28" s="163"/>
      <c r="N28" s="164"/>
      <c r="O28" s="163"/>
      <c r="P28" s="20"/>
    </row>
    <row r="29">
      <c r="A29" s="163"/>
      <c r="B29" s="164"/>
      <c r="C29" s="163"/>
      <c r="D29" s="164"/>
      <c r="E29" s="163"/>
      <c r="F29" s="164"/>
      <c r="G29" s="163"/>
      <c r="H29" s="74">
        <f t="shared" si="1"/>
        <v>0</v>
      </c>
      <c r="I29" s="163"/>
      <c r="J29" s="164"/>
      <c r="K29" s="163"/>
      <c r="L29" s="164"/>
      <c r="M29" s="163"/>
      <c r="N29" s="164"/>
      <c r="O29" s="163"/>
      <c r="P29" s="20"/>
    </row>
    <row r="30">
      <c r="A30" s="163"/>
      <c r="B30" s="164"/>
      <c r="C30" s="163"/>
      <c r="D30" s="164"/>
      <c r="E30" s="163"/>
      <c r="F30" s="164"/>
      <c r="G30" s="163"/>
      <c r="H30" s="74">
        <f t="shared" si="1"/>
        <v>0</v>
      </c>
      <c r="I30" s="163"/>
      <c r="J30" s="164"/>
      <c r="K30" s="163"/>
      <c r="L30" s="164"/>
      <c r="M30" s="163"/>
      <c r="N30" s="164"/>
      <c r="O30" s="163"/>
      <c r="P30" s="20"/>
    </row>
    <row r="31">
      <c r="A31" s="163"/>
      <c r="B31" s="164"/>
      <c r="C31" s="163"/>
      <c r="D31" s="164"/>
      <c r="E31" s="163"/>
      <c r="F31" s="164"/>
      <c r="G31" s="163"/>
      <c r="H31" s="74">
        <f t="shared" si="1"/>
        <v>0</v>
      </c>
      <c r="I31" s="163"/>
      <c r="J31" s="164"/>
      <c r="K31" s="163"/>
      <c r="L31" s="164"/>
      <c r="M31" s="163"/>
      <c r="N31" s="164"/>
      <c r="O31" s="163"/>
      <c r="P31" s="20"/>
    </row>
    <row r="32">
      <c r="A32" s="163"/>
      <c r="B32" s="164"/>
      <c r="C32" s="163"/>
      <c r="D32" s="164"/>
      <c r="E32" s="163"/>
      <c r="F32" s="164"/>
      <c r="G32" s="163"/>
      <c r="H32" s="74">
        <f t="shared" si="1"/>
        <v>0</v>
      </c>
      <c r="I32" s="163"/>
      <c r="J32" s="164"/>
      <c r="K32" s="163"/>
      <c r="L32" s="164"/>
      <c r="M32" s="163"/>
      <c r="N32" s="164"/>
      <c r="O32" s="163"/>
      <c r="P32" s="20"/>
    </row>
    <row r="33">
      <c r="A33" s="163"/>
      <c r="B33" s="164"/>
      <c r="C33" s="163"/>
      <c r="D33" s="164"/>
      <c r="E33" s="163"/>
      <c r="F33" s="164"/>
      <c r="G33" s="163"/>
      <c r="H33" s="74">
        <f t="shared" si="1"/>
        <v>0</v>
      </c>
      <c r="I33" s="163"/>
      <c r="J33" s="164"/>
      <c r="K33" s="163"/>
      <c r="L33" s="164"/>
      <c r="M33" s="163"/>
      <c r="N33" s="164"/>
      <c r="O33" s="163"/>
      <c r="P33" s="20"/>
    </row>
    <row r="34">
      <c r="A34" s="163"/>
      <c r="B34" s="164"/>
      <c r="C34" s="163"/>
      <c r="D34" s="164"/>
      <c r="E34" s="163"/>
      <c r="F34" s="164"/>
      <c r="G34" s="163"/>
      <c r="H34" s="74">
        <f t="shared" si="1"/>
        <v>0</v>
      </c>
      <c r="I34" s="163"/>
      <c r="J34" s="164"/>
      <c r="K34" s="163"/>
      <c r="L34" s="164"/>
      <c r="M34" s="163"/>
      <c r="N34" s="164"/>
      <c r="O34" s="163"/>
      <c r="P34" s="20"/>
    </row>
    <row r="35">
      <c r="A35" s="163"/>
      <c r="B35" s="164"/>
      <c r="C35" s="163"/>
      <c r="D35" s="164"/>
      <c r="E35" s="163"/>
      <c r="F35" s="164"/>
      <c r="G35" s="163"/>
      <c r="H35" s="74">
        <f t="shared" si="1"/>
        <v>0</v>
      </c>
      <c r="I35" s="163"/>
      <c r="J35" s="164"/>
      <c r="K35" s="163"/>
      <c r="L35" s="164"/>
      <c r="M35" s="163"/>
      <c r="N35" s="164"/>
      <c r="O35" s="163"/>
      <c r="P35" s="20"/>
    </row>
    <row r="36">
      <c r="A36" s="163"/>
      <c r="B36" s="164"/>
      <c r="C36" s="163"/>
      <c r="D36" s="164"/>
      <c r="E36" s="163"/>
      <c r="F36" s="164"/>
      <c r="G36" s="163"/>
      <c r="H36" s="74">
        <f t="shared" si="1"/>
        <v>0</v>
      </c>
      <c r="I36" s="163"/>
      <c r="J36" s="164"/>
      <c r="K36" s="163"/>
      <c r="L36" s="164"/>
      <c r="M36" s="163"/>
      <c r="N36" s="164"/>
      <c r="O36" s="163"/>
      <c r="P36" s="20"/>
    </row>
    <row r="37">
      <c r="A37" s="163"/>
      <c r="B37" s="164"/>
      <c r="C37" s="163"/>
      <c r="D37" s="164"/>
      <c r="E37" s="163"/>
      <c r="F37" s="164"/>
      <c r="G37" s="163"/>
      <c r="H37" s="74">
        <f t="shared" si="1"/>
        <v>0</v>
      </c>
      <c r="I37" s="163"/>
      <c r="J37" s="164"/>
      <c r="K37" s="163"/>
      <c r="L37" s="164"/>
      <c r="M37" s="163"/>
      <c r="N37" s="164"/>
      <c r="O37" s="163"/>
      <c r="P37" s="20"/>
    </row>
    <row r="38">
      <c r="A38" s="163"/>
      <c r="B38" s="164"/>
      <c r="C38" s="163"/>
      <c r="D38" s="164"/>
      <c r="E38" s="163"/>
      <c r="F38" s="164"/>
      <c r="G38" s="163"/>
      <c r="H38" s="164"/>
      <c r="I38" s="163"/>
      <c r="J38" s="164"/>
      <c r="K38" s="163"/>
      <c r="L38" s="164"/>
      <c r="M38" s="163"/>
      <c r="N38" s="164"/>
      <c r="O38" s="163"/>
      <c r="P38" s="20"/>
    </row>
    <row r="39">
      <c r="B39" s="158"/>
      <c r="D39" s="158"/>
      <c r="F39" s="158"/>
      <c r="H39" s="158"/>
      <c r="J39" s="158"/>
      <c r="L39" s="158"/>
      <c r="N39" s="158"/>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row r="997">
      <c r="B997" s="158"/>
      <c r="D997" s="158"/>
      <c r="F997" s="158"/>
      <c r="H997" s="158"/>
      <c r="J997" s="158"/>
      <c r="L997" s="158"/>
      <c r="N997" s="158"/>
      <c r="P997" s="20"/>
    </row>
    <row r="998">
      <c r="B998" s="158"/>
      <c r="D998" s="158"/>
      <c r="F998" s="158"/>
      <c r="H998" s="158"/>
      <c r="J998" s="158"/>
      <c r="L998" s="158"/>
      <c r="N998" s="158"/>
      <c r="P998" s="20"/>
    </row>
    <row r="999">
      <c r="B999" s="158"/>
      <c r="D999" s="158"/>
      <c r="F999" s="158"/>
      <c r="H999" s="158"/>
      <c r="J999" s="158"/>
      <c r="L999" s="158"/>
      <c r="N999" s="158"/>
      <c r="P999" s="20"/>
    </row>
    <row r="1000">
      <c r="B1000" s="158"/>
      <c r="D1000" s="158"/>
      <c r="F1000" s="158"/>
      <c r="H1000" s="158"/>
      <c r="J1000" s="158"/>
      <c r="L1000" s="158"/>
      <c r="N1000" s="158"/>
      <c r="P1000" s="2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63"/>
    <col customWidth="1" min="2" max="2" width="20.88"/>
    <col customWidth="1" min="3" max="3" width="15.88"/>
    <col customWidth="1" min="5" max="5" width="23.25"/>
    <col customWidth="1" min="6" max="6" width="39.5"/>
    <col customWidth="1" min="8" max="8" width="21.5"/>
    <col customWidth="1" min="11" max="11" width="19.75"/>
    <col customWidth="1" min="13" max="13" width="30.0"/>
    <col customWidth="1" min="14" max="14" width="20.63"/>
    <col customWidth="1" min="15" max="15" width="35.0"/>
    <col customWidth="1" min="16" max="16" width="20.75"/>
  </cols>
  <sheetData>
    <row r="1">
      <c r="A1" s="297" t="s">
        <v>21</v>
      </c>
      <c r="B1" s="39" t="s">
        <v>22</v>
      </c>
      <c r="C1" s="40" t="s">
        <v>23</v>
      </c>
      <c r="D1" s="227" t="s">
        <v>24</v>
      </c>
      <c r="E1" s="40" t="s">
        <v>25</v>
      </c>
      <c r="F1" s="39" t="s">
        <v>26</v>
      </c>
      <c r="G1" s="40" t="s">
        <v>27</v>
      </c>
      <c r="H1" s="41" t="s">
        <v>28</v>
      </c>
      <c r="I1" s="42" t="s">
        <v>29</v>
      </c>
      <c r="J1" s="43" t="s">
        <v>30</v>
      </c>
      <c r="K1" s="298" t="s">
        <v>31</v>
      </c>
      <c r="L1" s="227" t="s">
        <v>30</v>
      </c>
      <c r="M1" s="40" t="s">
        <v>32</v>
      </c>
      <c r="N1" s="39" t="s">
        <v>33</v>
      </c>
      <c r="O1" s="40" t="s">
        <v>34</v>
      </c>
      <c r="P1" s="44" t="s">
        <v>35</v>
      </c>
      <c r="Q1" s="45">
        <f>SUM(H2:H27)</f>
        <v>3820.2</v>
      </c>
    </row>
    <row r="2">
      <c r="A2" s="299" t="s">
        <v>366</v>
      </c>
      <c r="B2" s="267">
        <v>7007.0</v>
      </c>
      <c r="C2" s="300" t="s">
        <v>367</v>
      </c>
      <c r="D2" s="265">
        <v>1.0</v>
      </c>
      <c r="E2" s="299" t="s">
        <v>368</v>
      </c>
      <c r="F2" s="238" t="s">
        <v>45</v>
      </c>
      <c r="G2" s="301">
        <v>425.38</v>
      </c>
      <c r="H2" s="51">
        <f t="shared" ref="H2:H37" si="1">G2*D2</f>
        <v>425.38</v>
      </c>
      <c r="I2" s="48" t="s">
        <v>369</v>
      </c>
      <c r="J2" s="93" t="s">
        <v>39</v>
      </c>
      <c r="K2" s="268" t="s">
        <v>370</v>
      </c>
      <c r="L2" s="267" t="s">
        <v>39</v>
      </c>
      <c r="M2" s="61" t="s">
        <v>3</v>
      </c>
      <c r="N2" s="169"/>
      <c r="O2" s="137" t="s">
        <v>371</v>
      </c>
      <c r="P2" s="19"/>
      <c r="Q2" s="1"/>
      <c r="R2" s="1"/>
      <c r="S2" s="1"/>
      <c r="T2" s="1"/>
      <c r="U2" s="1"/>
      <c r="V2" s="1"/>
      <c r="W2" s="1"/>
      <c r="X2" s="1"/>
      <c r="Y2" s="1"/>
      <c r="Z2" s="1"/>
    </row>
    <row r="3">
      <c r="A3" s="46" t="s">
        <v>372</v>
      </c>
      <c r="B3" s="302"/>
      <c r="C3" s="303" t="s">
        <v>373</v>
      </c>
      <c r="D3" s="49">
        <v>1.0</v>
      </c>
      <c r="E3" s="129" t="s">
        <v>311</v>
      </c>
      <c r="F3" s="96" t="s">
        <v>374</v>
      </c>
      <c r="G3" s="127">
        <v>53.9</v>
      </c>
      <c r="H3" s="51">
        <f t="shared" si="1"/>
        <v>53.9</v>
      </c>
      <c r="I3" s="48" t="s">
        <v>375</v>
      </c>
      <c r="J3" s="93" t="s">
        <v>39</v>
      </c>
      <c r="K3" s="239" t="s">
        <v>376</v>
      </c>
      <c r="L3" s="53" t="s">
        <v>39</v>
      </c>
      <c r="M3" s="304" t="s">
        <v>377</v>
      </c>
      <c r="N3" s="305"/>
      <c r="O3" s="181"/>
      <c r="P3" s="19"/>
      <c r="Q3" s="1"/>
      <c r="R3" s="1"/>
      <c r="S3" s="1"/>
      <c r="T3" s="1"/>
      <c r="U3" s="1"/>
      <c r="V3" s="1"/>
      <c r="W3" s="1"/>
      <c r="X3" s="1"/>
      <c r="Y3" s="1"/>
      <c r="Z3" s="1"/>
    </row>
    <row r="4">
      <c r="A4" s="141" t="s">
        <v>64</v>
      </c>
      <c r="B4" s="84">
        <v>3.0123328E7</v>
      </c>
      <c r="C4" s="84">
        <v>1000.0</v>
      </c>
      <c r="D4" s="72">
        <v>2.0</v>
      </c>
      <c r="E4" s="17" t="s">
        <v>65</v>
      </c>
      <c r="F4" s="177" t="s">
        <v>66</v>
      </c>
      <c r="G4" s="50">
        <v>53.2</v>
      </c>
      <c r="H4" s="51">
        <f t="shared" si="1"/>
        <v>106.4</v>
      </c>
      <c r="I4" s="48" t="s">
        <v>375</v>
      </c>
      <c r="J4" s="93" t="s">
        <v>39</v>
      </c>
      <c r="K4" s="53" t="s">
        <v>378</v>
      </c>
      <c r="L4" s="53" t="s">
        <v>39</v>
      </c>
      <c r="M4" s="61" t="s">
        <v>3</v>
      </c>
      <c r="N4" s="169"/>
      <c r="O4" s="181"/>
      <c r="P4" s="19"/>
      <c r="Q4" s="1"/>
      <c r="R4" s="1"/>
      <c r="S4" s="1"/>
      <c r="T4" s="1"/>
      <c r="U4" s="1"/>
      <c r="V4" s="1"/>
      <c r="W4" s="1"/>
      <c r="X4" s="1"/>
      <c r="Y4" s="1"/>
      <c r="Z4" s="1"/>
    </row>
    <row r="5">
      <c r="A5" s="137" t="s">
        <v>379</v>
      </c>
      <c r="B5" s="48" t="s">
        <v>380</v>
      </c>
      <c r="C5" s="48" t="s">
        <v>381</v>
      </c>
      <c r="D5" s="98">
        <v>1.0</v>
      </c>
      <c r="E5" s="306" t="s">
        <v>382</v>
      </c>
      <c r="F5" s="194" t="s">
        <v>45</v>
      </c>
      <c r="G5" s="127">
        <v>108.82</v>
      </c>
      <c r="H5" s="51">
        <f t="shared" si="1"/>
        <v>108.82</v>
      </c>
      <c r="I5" s="48" t="s">
        <v>375</v>
      </c>
      <c r="J5" s="93" t="s">
        <v>39</v>
      </c>
      <c r="K5" s="53" t="s">
        <v>383</v>
      </c>
      <c r="L5" s="52" t="s">
        <v>39</v>
      </c>
      <c r="M5" s="61" t="s">
        <v>3</v>
      </c>
      <c r="N5" s="169"/>
      <c r="O5" s="137"/>
      <c r="P5" s="19"/>
      <c r="Q5" s="1"/>
      <c r="R5" s="1"/>
      <c r="S5" s="1"/>
      <c r="T5" s="1"/>
      <c r="U5" s="1"/>
      <c r="V5" s="1"/>
      <c r="W5" s="1"/>
      <c r="X5" s="1"/>
      <c r="Y5" s="1"/>
      <c r="Z5" s="1"/>
    </row>
    <row r="6">
      <c r="A6" s="226" t="s">
        <v>384</v>
      </c>
      <c r="B6" s="51">
        <v>2.1270563E7</v>
      </c>
      <c r="C6" s="81" t="s">
        <v>385</v>
      </c>
      <c r="D6" s="208">
        <v>1.0</v>
      </c>
      <c r="E6" s="307" t="s">
        <v>386</v>
      </c>
      <c r="F6" s="46" t="s">
        <v>387</v>
      </c>
      <c r="G6" s="127">
        <v>120.5</v>
      </c>
      <c r="H6" s="58">
        <f t="shared" si="1"/>
        <v>120.5</v>
      </c>
      <c r="I6" s="81" t="s">
        <v>388</v>
      </c>
      <c r="J6" s="93" t="s">
        <v>39</v>
      </c>
      <c r="K6" s="53" t="s">
        <v>389</v>
      </c>
      <c r="L6" s="52" t="s">
        <v>39</v>
      </c>
      <c r="M6" s="131" t="s">
        <v>41</v>
      </c>
      <c r="N6" s="96" t="s">
        <v>390</v>
      </c>
      <c r="O6" s="37" t="s">
        <v>391</v>
      </c>
      <c r="P6" s="19"/>
      <c r="Q6" s="1"/>
      <c r="R6" s="1"/>
      <c r="S6" s="1"/>
      <c r="T6" s="1"/>
      <c r="U6" s="1"/>
      <c r="V6" s="1"/>
      <c r="W6" s="1"/>
      <c r="X6" s="1"/>
      <c r="Y6" s="1"/>
      <c r="Z6" s="1"/>
    </row>
    <row r="7">
      <c r="A7" s="129" t="s">
        <v>392</v>
      </c>
      <c r="B7" s="51">
        <v>562281.0</v>
      </c>
      <c r="C7" s="52" t="s">
        <v>393</v>
      </c>
      <c r="D7" s="98">
        <v>1.0</v>
      </c>
      <c r="E7" s="308" t="s">
        <v>394</v>
      </c>
      <c r="F7" s="129" t="s">
        <v>125</v>
      </c>
      <c r="G7" s="73">
        <v>283.23</v>
      </c>
      <c r="H7" s="51">
        <f t="shared" si="1"/>
        <v>283.23</v>
      </c>
      <c r="I7" s="72" t="s">
        <v>383</v>
      </c>
      <c r="J7" s="93" t="s">
        <v>39</v>
      </c>
      <c r="K7" s="53" t="s">
        <v>395</v>
      </c>
      <c r="L7" s="52" t="s">
        <v>39</v>
      </c>
      <c r="M7" s="131" t="s">
        <v>41</v>
      </c>
      <c r="N7" s="96" t="s">
        <v>390</v>
      </c>
      <c r="O7" s="181"/>
      <c r="P7" s="19"/>
      <c r="Q7" s="1"/>
      <c r="R7" s="1"/>
      <c r="S7" s="1"/>
      <c r="T7" s="1"/>
      <c r="U7" s="1"/>
      <c r="V7" s="1"/>
      <c r="W7" s="1"/>
      <c r="X7" s="1"/>
      <c r="Y7" s="1"/>
      <c r="Z7" s="1"/>
    </row>
    <row r="8">
      <c r="A8" s="170" t="s">
        <v>396</v>
      </c>
      <c r="B8" s="51">
        <v>561283.0</v>
      </c>
      <c r="C8" s="52" t="s">
        <v>397</v>
      </c>
      <c r="D8" s="98">
        <v>1.0</v>
      </c>
      <c r="E8" s="308" t="s">
        <v>394</v>
      </c>
      <c r="F8" s="129" t="s">
        <v>125</v>
      </c>
      <c r="G8" s="73">
        <v>172.62</v>
      </c>
      <c r="H8" s="51">
        <f t="shared" si="1"/>
        <v>172.62</v>
      </c>
      <c r="I8" s="72" t="s">
        <v>383</v>
      </c>
      <c r="J8" s="93" t="s">
        <v>39</v>
      </c>
      <c r="K8" s="53" t="s">
        <v>395</v>
      </c>
      <c r="L8" s="52" t="s">
        <v>39</v>
      </c>
      <c r="M8" s="131" t="s">
        <v>41</v>
      </c>
      <c r="N8" s="96" t="s">
        <v>390</v>
      </c>
      <c r="O8" s="181"/>
      <c r="P8" s="19"/>
      <c r="Q8" s="1"/>
      <c r="R8" s="1"/>
      <c r="S8" s="1"/>
      <c r="T8" s="1"/>
      <c r="U8" s="1"/>
      <c r="V8" s="1"/>
      <c r="W8" s="1"/>
      <c r="X8" s="1"/>
      <c r="Y8" s="1"/>
      <c r="Z8" s="1"/>
    </row>
    <row r="9">
      <c r="A9" s="129" t="s">
        <v>398</v>
      </c>
      <c r="B9" s="86" t="s">
        <v>399</v>
      </c>
      <c r="C9" s="52" t="s">
        <v>385</v>
      </c>
      <c r="D9" s="98">
        <v>1.0</v>
      </c>
      <c r="E9" s="308" t="s">
        <v>400</v>
      </c>
      <c r="F9" s="194" t="s">
        <v>45</v>
      </c>
      <c r="G9" s="73">
        <v>554.0</v>
      </c>
      <c r="H9" s="51">
        <f t="shared" si="1"/>
        <v>554</v>
      </c>
      <c r="I9" s="72" t="s">
        <v>383</v>
      </c>
      <c r="J9" s="93" t="s">
        <v>39</v>
      </c>
      <c r="K9" s="53" t="s">
        <v>395</v>
      </c>
      <c r="L9" s="52" t="s">
        <v>39</v>
      </c>
      <c r="M9" s="131" t="s">
        <v>41</v>
      </c>
      <c r="N9" s="96" t="s">
        <v>401</v>
      </c>
      <c r="O9" s="181"/>
      <c r="P9" s="19"/>
      <c r="Q9" s="1"/>
      <c r="R9" s="1"/>
      <c r="S9" s="1"/>
      <c r="T9" s="1"/>
      <c r="U9" s="1"/>
      <c r="V9" s="1"/>
      <c r="W9" s="1"/>
      <c r="X9" s="1"/>
      <c r="Y9" s="1"/>
      <c r="Z9" s="1"/>
    </row>
    <row r="10">
      <c r="A10" s="139" t="s">
        <v>402</v>
      </c>
      <c r="B10" s="86">
        <v>557995.0</v>
      </c>
      <c r="C10" s="52" t="s">
        <v>403</v>
      </c>
      <c r="D10" s="98">
        <v>1.0</v>
      </c>
      <c r="E10" s="309" t="s">
        <v>394</v>
      </c>
      <c r="F10" s="129" t="s">
        <v>125</v>
      </c>
      <c r="G10" s="62">
        <v>261.27</v>
      </c>
      <c r="H10" s="51">
        <f t="shared" si="1"/>
        <v>261.27</v>
      </c>
      <c r="I10" s="72" t="s">
        <v>383</v>
      </c>
      <c r="J10" s="93" t="s">
        <v>39</v>
      </c>
      <c r="K10" s="53" t="s">
        <v>395</v>
      </c>
      <c r="L10" s="52" t="s">
        <v>39</v>
      </c>
      <c r="M10" s="131" t="s">
        <v>41</v>
      </c>
      <c r="N10" s="96" t="s">
        <v>390</v>
      </c>
      <c r="O10" s="181"/>
      <c r="P10" s="19"/>
      <c r="Q10" s="1"/>
      <c r="R10" s="1"/>
      <c r="S10" s="1"/>
      <c r="T10" s="1"/>
      <c r="U10" s="1"/>
      <c r="V10" s="1"/>
      <c r="W10" s="1"/>
      <c r="X10" s="1"/>
      <c r="Y10" s="1"/>
      <c r="Z10" s="1"/>
    </row>
    <row r="11">
      <c r="A11" s="170" t="s">
        <v>404</v>
      </c>
      <c r="B11" s="51">
        <v>564116.0</v>
      </c>
      <c r="C11" s="52" t="s">
        <v>405</v>
      </c>
      <c r="D11" s="98">
        <v>1.0</v>
      </c>
      <c r="E11" s="309" t="s">
        <v>394</v>
      </c>
      <c r="F11" s="129" t="s">
        <v>125</v>
      </c>
      <c r="G11" s="73">
        <v>295.0</v>
      </c>
      <c r="H11" s="51">
        <f t="shared" si="1"/>
        <v>295</v>
      </c>
      <c r="I11" s="72" t="s">
        <v>383</v>
      </c>
      <c r="J11" s="93" t="s">
        <v>39</v>
      </c>
      <c r="K11" s="53" t="s">
        <v>395</v>
      </c>
      <c r="L11" s="52" t="s">
        <v>39</v>
      </c>
      <c r="M11" s="131" t="s">
        <v>41</v>
      </c>
      <c r="N11" s="96" t="s">
        <v>390</v>
      </c>
      <c r="O11" s="181"/>
      <c r="P11" s="19"/>
      <c r="Q11" s="1"/>
      <c r="R11" s="1"/>
      <c r="S11" s="1"/>
      <c r="T11" s="1"/>
      <c r="U11" s="1"/>
      <c r="V11" s="1"/>
      <c r="W11" s="1"/>
      <c r="X11" s="1"/>
      <c r="Y11" s="1"/>
      <c r="Z11" s="1"/>
    </row>
    <row r="12">
      <c r="A12" s="129" t="s">
        <v>406</v>
      </c>
      <c r="B12" s="51" t="s">
        <v>407</v>
      </c>
      <c r="C12" s="52" t="s">
        <v>408</v>
      </c>
      <c r="D12" s="98">
        <v>1.0</v>
      </c>
      <c r="E12" s="309" t="s">
        <v>400</v>
      </c>
      <c r="F12" s="194" t="s">
        <v>45</v>
      </c>
      <c r="G12" s="73">
        <v>167.0</v>
      </c>
      <c r="H12" s="51">
        <f t="shared" si="1"/>
        <v>167</v>
      </c>
      <c r="I12" s="72" t="s">
        <v>383</v>
      </c>
      <c r="J12" s="93" t="s">
        <v>39</v>
      </c>
      <c r="K12" s="53" t="s">
        <v>395</v>
      </c>
      <c r="L12" s="52" t="s">
        <v>39</v>
      </c>
      <c r="M12" s="131" t="s">
        <v>41</v>
      </c>
      <c r="N12" s="96" t="s">
        <v>409</v>
      </c>
      <c r="O12" s="181"/>
      <c r="P12" s="19"/>
      <c r="Q12" s="1"/>
      <c r="R12" s="1"/>
      <c r="S12" s="1"/>
      <c r="T12" s="1"/>
      <c r="U12" s="1"/>
      <c r="V12" s="1"/>
      <c r="W12" s="1"/>
      <c r="X12" s="1"/>
      <c r="Y12" s="1"/>
      <c r="Z12" s="1"/>
    </row>
    <row r="13">
      <c r="A13" s="310" t="s">
        <v>410</v>
      </c>
      <c r="B13" s="51" t="s">
        <v>411</v>
      </c>
      <c r="C13" s="52">
        <v>1.0</v>
      </c>
      <c r="D13" s="98">
        <v>1.0</v>
      </c>
      <c r="E13" s="309" t="s">
        <v>400</v>
      </c>
      <c r="F13" s="194" t="s">
        <v>45</v>
      </c>
      <c r="G13" s="73">
        <v>152.0</v>
      </c>
      <c r="H13" s="51">
        <f t="shared" si="1"/>
        <v>152</v>
      </c>
      <c r="I13" s="72" t="s">
        <v>383</v>
      </c>
      <c r="J13" s="93" t="s">
        <v>39</v>
      </c>
      <c r="K13" s="53" t="s">
        <v>412</v>
      </c>
      <c r="L13" s="52" t="s">
        <v>39</v>
      </c>
      <c r="M13" s="131" t="s">
        <v>41</v>
      </c>
      <c r="N13" s="96" t="s">
        <v>413</v>
      </c>
      <c r="O13" s="181"/>
      <c r="P13" s="19"/>
      <c r="Q13" s="1"/>
      <c r="R13" s="1"/>
      <c r="S13" s="1"/>
      <c r="T13" s="1"/>
      <c r="U13" s="1"/>
      <c r="V13" s="1"/>
      <c r="W13" s="1"/>
      <c r="X13" s="1"/>
      <c r="Y13" s="1"/>
      <c r="Z13" s="1"/>
    </row>
    <row r="14">
      <c r="A14" s="63" t="s">
        <v>414</v>
      </c>
      <c r="B14" s="91"/>
      <c r="C14" s="52">
        <v>1.0</v>
      </c>
      <c r="D14" s="98">
        <v>1.0</v>
      </c>
      <c r="E14" s="96" t="s">
        <v>415</v>
      </c>
      <c r="F14" s="137" t="s">
        <v>415</v>
      </c>
      <c r="G14" s="195">
        <v>288.0</v>
      </c>
      <c r="H14" s="74">
        <f t="shared" si="1"/>
        <v>288</v>
      </c>
      <c r="I14" s="53" t="s">
        <v>412</v>
      </c>
      <c r="J14" s="52" t="s">
        <v>39</v>
      </c>
      <c r="K14" s="53" t="s">
        <v>412</v>
      </c>
      <c r="L14" s="52" t="s">
        <v>39</v>
      </c>
      <c r="M14" s="131" t="s">
        <v>41</v>
      </c>
      <c r="N14" s="96"/>
      <c r="O14" s="181"/>
      <c r="P14" s="19"/>
      <c r="Q14" s="1"/>
      <c r="R14" s="1"/>
      <c r="S14" s="1"/>
      <c r="T14" s="1"/>
      <c r="U14" s="1"/>
      <c r="V14" s="1"/>
      <c r="W14" s="1"/>
      <c r="X14" s="1"/>
      <c r="Y14" s="1"/>
      <c r="Z14" s="1"/>
    </row>
    <row r="15">
      <c r="A15" s="16" t="s">
        <v>416</v>
      </c>
      <c r="B15" s="71"/>
      <c r="C15" s="52">
        <v>1.0</v>
      </c>
      <c r="D15" s="98">
        <v>1.0</v>
      </c>
      <c r="E15" s="17" t="s">
        <v>417</v>
      </c>
      <c r="F15" s="18" t="s">
        <v>418</v>
      </c>
      <c r="G15" s="137">
        <v>279.75</v>
      </c>
      <c r="H15" s="74">
        <f t="shared" si="1"/>
        <v>279.75</v>
      </c>
      <c r="I15" s="53" t="s">
        <v>412</v>
      </c>
      <c r="J15" s="52" t="s">
        <v>39</v>
      </c>
      <c r="K15" s="53" t="s">
        <v>412</v>
      </c>
      <c r="L15" s="52" t="s">
        <v>39</v>
      </c>
      <c r="M15" s="61" t="s">
        <v>3</v>
      </c>
      <c r="N15" s="169"/>
      <c r="O15" s="137"/>
      <c r="P15" s="16"/>
      <c r="Q15" s="1"/>
      <c r="R15" s="1"/>
      <c r="S15" s="1"/>
      <c r="T15" s="1"/>
      <c r="U15" s="1"/>
      <c r="V15" s="1"/>
      <c r="W15" s="1"/>
      <c r="X15" s="1"/>
      <c r="Y15" s="1"/>
      <c r="Z15" s="1"/>
    </row>
    <row r="16">
      <c r="A16" s="18" t="s">
        <v>419</v>
      </c>
      <c r="B16" s="22">
        <v>563794.0</v>
      </c>
      <c r="C16" s="52" t="s">
        <v>405</v>
      </c>
      <c r="D16" s="98">
        <v>1.0</v>
      </c>
      <c r="E16" s="16" t="s">
        <v>394</v>
      </c>
      <c r="F16" s="96" t="s">
        <v>125</v>
      </c>
      <c r="G16" s="46">
        <v>73.08</v>
      </c>
      <c r="H16" s="51">
        <f t="shared" si="1"/>
        <v>73.08</v>
      </c>
      <c r="I16" s="48" t="s">
        <v>420</v>
      </c>
      <c r="J16" s="52" t="s">
        <v>39</v>
      </c>
      <c r="K16" s="53" t="s">
        <v>421</v>
      </c>
      <c r="L16" s="52" t="s">
        <v>39</v>
      </c>
      <c r="M16" s="311" t="s">
        <v>148</v>
      </c>
      <c r="N16" s="96" t="s">
        <v>422</v>
      </c>
      <c r="O16" s="181"/>
      <c r="P16" s="19"/>
      <c r="Q16" s="1"/>
      <c r="R16" s="1"/>
      <c r="S16" s="1"/>
      <c r="T16" s="1"/>
      <c r="U16" s="1"/>
      <c r="V16" s="1"/>
      <c r="W16" s="1"/>
      <c r="X16" s="1"/>
      <c r="Y16" s="1"/>
      <c r="Z16" s="1"/>
    </row>
    <row r="17">
      <c r="A17" s="217" t="s">
        <v>252</v>
      </c>
      <c r="B17" s="312" t="s">
        <v>253</v>
      </c>
      <c r="C17" s="49" t="s">
        <v>283</v>
      </c>
      <c r="D17" s="49">
        <v>3.0</v>
      </c>
      <c r="E17" s="217" t="s">
        <v>255</v>
      </c>
      <c r="F17" s="96" t="s">
        <v>423</v>
      </c>
      <c r="G17" s="137">
        <v>77.0</v>
      </c>
      <c r="H17" s="51">
        <f t="shared" si="1"/>
        <v>231</v>
      </c>
      <c r="I17" s="48" t="s">
        <v>420</v>
      </c>
      <c r="J17" s="52" t="s">
        <v>39</v>
      </c>
      <c r="K17" s="53" t="s">
        <v>376</v>
      </c>
      <c r="L17" s="52" t="s">
        <v>39</v>
      </c>
      <c r="M17" s="311" t="s">
        <v>148</v>
      </c>
      <c r="N17" s="96" t="s">
        <v>424</v>
      </c>
      <c r="O17" s="181"/>
      <c r="P17" s="19"/>
      <c r="Q17" s="1"/>
      <c r="R17" s="1"/>
      <c r="S17" s="1"/>
      <c r="T17" s="1"/>
      <c r="U17" s="1"/>
      <c r="V17" s="1"/>
      <c r="W17" s="1"/>
      <c r="X17" s="1"/>
      <c r="Y17" s="1"/>
      <c r="Z17" s="1"/>
    </row>
    <row r="18" ht="16.5" customHeight="1">
      <c r="A18" s="217" t="s">
        <v>425</v>
      </c>
      <c r="B18" s="313" t="s">
        <v>426</v>
      </c>
      <c r="C18" s="53" t="s">
        <v>427</v>
      </c>
      <c r="D18" s="53">
        <v>1.0</v>
      </c>
      <c r="E18" s="16" t="s">
        <v>428</v>
      </c>
      <c r="F18" s="23" t="s">
        <v>428</v>
      </c>
      <c r="G18" s="73">
        <v>149.0</v>
      </c>
      <c r="H18" s="51">
        <f t="shared" si="1"/>
        <v>149</v>
      </c>
      <c r="I18" s="48" t="s">
        <v>420</v>
      </c>
      <c r="J18" s="52" t="s">
        <v>39</v>
      </c>
      <c r="K18" s="122" t="s">
        <v>389</v>
      </c>
      <c r="L18" s="81" t="s">
        <v>39</v>
      </c>
      <c r="M18" s="311" t="s">
        <v>148</v>
      </c>
      <c r="N18" s="96" t="s">
        <v>356</v>
      </c>
      <c r="O18" s="197" t="s">
        <v>429</v>
      </c>
      <c r="P18" s="19"/>
      <c r="Q18" s="1"/>
      <c r="R18" s="1"/>
      <c r="S18" s="1"/>
      <c r="T18" s="1"/>
      <c r="U18" s="1"/>
      <c r="V18" s="1"/>
      <c r="W18" s="1"/>
      <c r="X18" s="1"/>
      <c r="Y18" s="1"/>
      <c r="Z18" s="1"/>
    </row>
    <row r="19">
      <c r="A19" s="16" t="s">
        <v>430</v>
      </c>
      <c r="B19" s="22" t="s">
        <v>431</v>
      </c>
      <c r="C19" s="48" t="s">
        <v>283</v>
      </c>
      <c r="D19" s="53">
        <v>1.0</v>
      </c>
      <c r="E19" s="173" t="s">
        <v>400</v>
      </c>
      <c r="F19" s="96" t="s">
        <v>113</v>
      </c>
      <c r="G19" s="137">
        <v>99.25</v>
      </c>
      <c r="H19" s="51">
        <f t="shared" si="1"/>
        <v>99.25</v>
      </c>
      <c r="I19" s="48" t="s">
        <v>420</v>
      </c>
      <c r="J19" s="52" t="s">
        <v>39</v>
      </c>
      <c r="K19" s="53" t="s">
        <v>432</v>
      </c>
      <c r="L19" s="81" t="s">
        <v>39</v>
      </c>
      <c r="M19" s="311" t="s">
        <v>148</v>
      </c>
      <c r="N19" s="96" t="s">
        <v>53</v>
      </c>
      <c r="O19" s="181"/>
      <c r="P19" s="19"/>
      <c r="Q19" s="1"/>
      <c r="R19" s="1"/>
      <c r="S19" s="1"/>
      <c r="T19" s="1"/>
      <c r="U19" s="1"/>
      <c r="V19" s="1"/>
      <c r="W19" s="1"/>
      <c r="X19" s="1"/>
      <c r="Y19" s="1"/>
      <c r="Z19" s="1"/>
    </row>
    <row r="20">
      <c r="A20" s="16"/>
      <c r="B20" s="71"/>
      <c r="C20" s="48"/>
      <c r="D20" s="49"/>
      <c r="E20" s="55"/>
      <c r="F20" s="96"/>
      <c r="G20" s="137"/>
      <c r="H20" s="74">
        <f t="shared" si="1"/>
        <v>0</v>
      </c>
      <c r="I20" s="48"/>
      <c r="J20" s="59"/>
      <c r="K20" s="122"/>
      <c r="L20" s="52"/>
      <c r="M20" s="46"/>
      <c r="N20" s="169"/>
      <c r="O20" s="181"/>
      <c r="P20" s="19"/>
      <c r="Q20" s="1"/>
      <c r="R20" s="1"/>
      <c r="S20" s="1"/>
      <c r="T20" s="1"/>
      <c r="U20" s="1"/>
      <c r="V20" s="1"/>
      <c r="W20" s="1"/>
      <c r="X20" s="1"/>
      <c r="Y20" s="1"/>
      <c r="Z20" s="1"/>
    </row>
    <row r="21">
      <c r="A21" s="170"/>
      <c r="B21" s="148"/>
      <c r="C21" s="91"/>
      <c r="D21" s="72"/>
      <c r="E21" s="172"/>
      <c r="F21" s="169"/>
      <c r="G21" s="50"/>
      <c r="H21" s="74">
        <f t="shared" si="1"/>
        <v>0</v>
      </c>
      <c r="I21" s="48"/>
      <c r="J21" s="59"/>
      <c r="K21" s="53"/>
      <c r="L21" s="52"/>
      <c r="M21" s="46"/>
      <c r="N21" s="169"/>
      <c r="O21" s="181"/>
      <c r="P21" s="19"/>
      <c r="Q21" s="1"/>
      <c r="R21" s="1"/>
      <c r="S21" s="1"/>
      <c r="T21" s="1"/>
      <c r="U21" s="1"/>
      <c r="V21" s="1"/>
      <c r="W21" s="1"/>
      <c r="X21" s="1"/>
      <c r="Y21" s="1"/>
      <c r="Z21" s="1"/>
    </row>
    <row r="22">
      <c r="A22" s="137"/>
      <c r="B22" s="49"/>
      <c r="C22" s="48"/>
      <c r="D22" s="49"/>
      <c r="E22" s="172"/>
      <c r="F22" s="169"/>
      <c r="G22" s="137"/>
      <c r="H22" s="74">
        <f t="shared" si="1"/>
        <v>0</v>
      </c>
      <c r="I22" s="48"/>
      <c r="J22" s="243"/>
      <c r="K22" s="53"/>
      <c r="L22" s="52"/>
      <c r="M22" s="56"/>
      <c r="N22" s="169"/>
      <c r="O22" s="181"/>
      <c r="P22" s="19"/>
      <c r="Q22" s="1"/>
      <c r="R22" s="1"/>
      <c r="S22" s="1"/>
      <c r="T22" s="1"/>
      <c r="U22" s="1"/>
      <c r="V22" s="1"/>
      <c r="W22" s="1"/>
      <c r="X22" s="1"/>
      <c r="Y22" s="1"/>
      <c r="Z22" s="1"/>
    </row>
    <row r="23">
      <c r="A23" s="170"/>
      <c r="B23" s="91"/>
      <c r="C23" s="241"/>
      <c r="D23" s="49"/>
      <c r="E23" s="170"/>
      <c r="F23" s="169"/>
      <c r="G23" s="68"/>
      <c r="H23" s="74">
        <f t="shared" si="1"/>
        <v>0</v>
      </c>
      <c r="I23" s="48"/>
      <c r="J23" s="243"/>
      <c r="K23" s="53"/>
      <c r="L23" s="52"/>
      <c r="M23" s="46"/>
      <c r="N23" s="96"/>
      <c r="O23" s="137"/>
      <c r="P23" s="19"/>
      <c r="Q23" s="1"/>
      <c r="R23" s="1"/>
      <c r="S23" s="1"/>
      <c r="T23" s="1"/>
      <c r="U23" s="1"/>
      <c r="V23" s="1"/>
      <c r="W23" s="1"/>
      <c r="X23" s="1"/>
      <c r="Y23" s="1"/>
      <c r="Z23" s="1"/>
    </row>
    <row r="24">
      <c r="A24" s="137"/>
      <c r="B24" s="49"/>
      <c r="C24" s="48"/>
      <c r="D24" s="49"/>
      <c r="E24" s="137"/>
      <c r="F24" s="96"/>
      <c r="G24" s="137"/>
      <c r="H24" s="74">
        <f t="shared" si="1"/>
        <v>0</v>
      </c>
      <c r="I24" s="48"/>
      <c r="J24" s="49"/>
      <c r="K24" s="52"/>
      <c r="L24" s="53"/>
      <c r="M24" s="46"/>
      <c r="N24" s="169"/>
      <c r="O24" s="181"/>
      <c r="P24" s="19"/>
      <c r="Q24" s="1"/>
      <c r="R24" s="1"/>
      <c r="S24" s="1"/>
      <c r="T24" s="1"/>
      <c r="U24" s="1"/>
      <c r="V24" s="1"/>
      <c r="W24" s="1"/>
      <c r="X24" s="1"/>
      <c r="Y24" s="1"/>
      <c r="Z24" s="1"/>
    </row>
    <row r="25">
      <c r="A25" s="255"/>
      <c r="B25" s="164"/>
      <c r="C25" s="163"/>
      <c r="D25" s="164"/>
      <c r="E25" s="163"/>
      <c r="F25" s="164"/>
      <c r="G25" s="163"/>
      <c r="H25" s="74">
        <f t="shared" si="1"/>
        <v>0</v>
      </c>
      <c r="I25" s="163"/>
      <c r="J25" s="164"/>
      <c r="K25" s="70"/>
      <c r="L25" s="156"/>
      <c r="M25" s="70"/>
      <c r="N25" s="164"/>
      <c r="O25" s="163"/>
      <c r="P25" s="20"/>
    </row>
    <row r="26">
      <c r="A26" s="163"/>
      <c r="B26" s="164"/>
      <c r="C26" s="163"/>
      <c r="D26" s="164"/>
      <c r="E26" s="163"/>
      <c r="F26" s="164"/>
      <c r="G26" s="163"/>
      <c r="H26" s="74">
        <f t="shared" si="1"/>
        <v>0</v>
      </c>
      <c r="I26" s="163"/>
      <c r="J26" s="164"/>
      <c r="K26" s="163"/>
      <c r="L26" s="164"/>
      <c r="M26" s="70"/>
      <c r="N26" s="164"/>
      <c r="O26" s="163"/>
      <c r="P26" s="20"/>
    </row>
    <row r="27">
      <c r="A27" s="163"/>
      <c r="B27" s="164"/>
      <c r="C27" s="163"/>
      <c r="D27" s="164"/>
      <c r="E27" s="163"/>
      <c r="F27" s="164"/>
      <c r="G27" s="163"/>
      <c r="H27" s="74">
        <f t="shared" si="1"/>
        <v>0</v>
      </c>
      <c r="I27" s="163"/>
      <c r="J27" s="164"/>
      <c r="K27" s="163"/>
      <c r="L27" s="164"/>
      <c r="M27" s="163"/>
      <c r="N27" s="164"/>
      <c r="O27" s="163"/>
      <c r="P27" s="20"/>
    </row>
    <row r="28">
      <c r="A28" s="163"/>
      <c r="B28" s="164"/>
      <c r="C28" s="163"/>
      <c r="D28" s="164"/>
      <c r="E28" s="163"/>
      <c r="F28" s="164"/>
      <c r="G28" s="163"/>
      <c r="H28" s="74">
        <f t="shared" si="1"/>
        <v>0</v>
      </c>
      <c r="I28" s="163"/>
      <c r="J28" s="164"/>
      <c r="K28" s="163"/>
      <c r="L28" s="164"/>
      <c r="M28" s="163"/>
      <c r="N28" s="164"/>
      <c r="O28" s="163"/>
      <c r="P28" s="20"/>
    </row>
    <row r="29">
      <c r="A29" s="163"/>
      <c r="B29" s="164"/>
      <c r="C29" s="163"/>
      <c r="D29" s="164"/>
      <c r="E29" s="163"/>
      <c r="F29" s="164"/>
      <c r="G29" s="163"/>
      <c r="H29" s="74">
        <f t="shared" si="1"/>
        <v>0</v>
      </c>
      <c r="I29" s="163"/>
      <c r="J29" s="164"/>
      <c r="K29" s="163"/>
      <c r="L29" s="164"/>
      <c r="M29" s="163"/>
      <c r="N29" s="164"/>
      <c r="O29" s="163"/>
      <c r="P29" s="20"/>
    </row>
    <row r="30">
      <c r="A30" s="163"/>
      <c r="B30" s="164"/>
      <c r="C30" s="163"/>
      <c r="D30" s="164"/>
      <c r="E30" s="163"/>
      <c r="F30" s="164"/>
      <c r="G30" s="163"/>
      <c r="H30" s="74">
        <f t="shared" si="1"/>
        <v>0</v>
      </c>
      <c r="I30" s="163"/>
      <c r="J30" s="164"/>
      <c r="K30" s="163"/>
      <c r="L30" s="164"/>
      <c r="M30" s="163"/>
      <c r="N30" s="164"/>
      <c r="O30" s="163"/>
      <c r="P30" s="20"/>
    </row>
    <row r="31">
      <c r="A31" s="163"/>
      <c r="B31" s="164"/>
      <c r="C31" s="163"/>
      <c r="D31" s="164"/>
      <c r="E31" s="163"/>
      <c r="F31" s="164"/>
      <c r="G31" s="163"/>
      <c r="H31" s="74">
        <f t="shared" si="1"/>
        <v>0</v>
      </c>
      <c r="I31" s="163"/>
      <c r="J31" s="164"/>
      <c r="K31" s="163"/>
      <c r="L31" s="164"/>
      <c r="M31" s="163"/>
      <c r="N31" s="164"/>
      <c r="O31" s="163"/>
      <c r="P31" s="20"/>
    </row>
    <row r="32">
      <c r="A32" s="163"/>
      <c r="B32" s="164"/>
      <c r="C32" s="163"/>
      <c r="D32" s="164"/>
      <c r="E32" s="163"/>
      <c r="F32" s="164"/>
      <c r="G32" s="163"/>
      <c r="H32" s="74">
        <f t="shared" si="1"/>
        <v>0</v>
      </c>
      <c r="I32" s="163"/>
      <c r="J32" s="164"/>
      <c r="K32" s="163"/>
      <c r="L32" s="164"/>
      <c r="M32" s="163"/>
      <c r="N32" s="164"/>
      <c r="O32" s="163"/>
      <c r="P32" s="20"/>
    </row>
    <row r="33">
      <c r="A33" s="163"/>
      <c r="B33" s="164"/>
      <c r="C33" s="163"/>
      <c r="D33" s="164"/>
      <c r="E33" s="163"/>
      <c r="F33" s="164"/>
      <c r="G33" s="163"/>
      <c r="H33" s="74">
        <f t="shared" si="1"/>
        <v>0</v>
      </c>
      <c r="I33" s="163"/>
      <c r="J33" s="164"/>
      <c r="K33" s="163"/>
      <c r="L33" s="164"/>
      <c r="M33" s="163"/>
      <c r="N33" s="164"/>
      <c r="O33" s="163"/>
      <c r="P33" s="20"/>
    </row>
    <row r="34">
      <c r="A34" s="163"/>
      <c r="B34" s="164"/>
      <c r="C34" s="163"/>
      <c r="D34" s="164"/>
      <c r="E34" s="163"/>
      <c r="F34" s="164"/>
      <c r="G34" s="163"/>
      <c r="H34" s="74">
        <f t="shared" si="1"/>
        <v>0</v>
      </c>
      <c r="I34" s="163"/>
      <c r="J34" s="164"/>
      <c r="K34" s="163"/>
      <c r="L34" s="164"/>
      <c r="M34" s="163"/>
      <c r="N34" s="164"/>
      <c r="O34" s="163"/>
      <c r="P34" s="20"/>
    </row>
    <row r="35">
      <c r="A35" s="163"/>
      <c r="B35" s="164"/>
      <c r="C35" s="163"/>
      <c r="D35" s="164"/>
      <c r="E35" s="163"/>
      <c r="F35" s="164"/>
      <c r="G35" s="163"/>
      <c r="H35" s="74">
        <f t="shared" si="1"/>
        <v>0</v>
      </c>
      <c r="I35" s="163"/>
      <c r="J35" s="164"/>
      <c r="K35" s="163"/>
      <c r="L35" s="164"/>
      <c r="M35" s="163"/>
      <c r="N35" s="164"/>
      <c r="O35" s="163"/>
      <c r="P35" s="20"/>
    </row>
    <row r="36">
      <c r="A36" s="163"/>
      <c r="B36" s="164"/>
      <c r="C36" s="163"/>
      <c r="D36" s="164"/>
      <c r="E36" s="163"/>
      <c r="F36" s="164"/>
      <c r="G36" s="163"/>
      <c r="H36" s="74">
        <f t="shared" si="1"/>
        <v>0</v>
      </c>
      <c r="I36" s="163"/>
      <c r="J36" s="164"/>
      <c r="K36" s="163"/>
      <c r="L36" s="164"/>
      <c r="M36" s="163"/>
      <c r="N36" s="164"/>
      <c r="O36" s="163"/>
      <c r="P36" s="20"/>
    </row>
    <row r="37">
      <c r="A37" s="163"/>
      <c r="B37" s="164"/>
      <c r="C37" s="163"/>
      <c r="D37" s="164"/>
      <c r="E37" s="163"/>
      <c r="F37" s="164"/>
      <c r="G37" s="163"/>
      <c r="H37" s="74">
        <f t="shared" si="1"/>
        <v>0</v>
      </c>
      <c r="I37" s="163"/>
      <c r="J37" s="164"/>
      <c r="K37" s="163"/>
      <c r="L37" s="164"/>
      <c r="M37" s="163"/>
      <c r="N37" s="164"/>
      <c r="O37" s="163"/>
      <c r="P37" s="20"/>
    </row>
    <row r="38">
      <c r="A38" s="163"/>
      <c r="B38" s="164"/>
      <c r="C38" s="163"/>
      <c r="D38" s="164"/>
      <c r="E38" s="163"/>
      <c r="F38" s="164"/>
      <c r="G38" s="163"/>
      <c r="H38" s="164"/>
      <c r="I38" s="163"/>
      <c r="J38" s="164"/>
      <c r="K38" s="163"/>
      <c r="L38" s="164"/>
      <c r="M38" s="163"/>
      <c r="N38" s="164"/>
      <c r="O38" s="163"/>
      <c r="P38" s="20"/>
    </row>
    <row r="39">
      <c r="B39" s="158"/>
      <c r="D39" s="158"/>
      <c r="F39" s="158"/>
      <c r="G39" s="162"/>
      <c r="H39" s="158"/>
      <c r="J39" s="158"/>
      <c r="L39" s="158"/>
      <c r="N39" s="158"/>
      <c r="P39" s="20"/>
    </row>
    <row r="40">
      <c r="B40" s="158"/>
      <c r="D40" s="158"/>
      <c r="F40" s="158"/>
      <c r="G40" s="162"/>
      <c r="H40" s="158"/>
      <c r="J40" s="158"/>
      <c r="L40" s="158"/>
      <c r="N40" s="158"/>
      <c r="P40" s="20"/>
    </row>
    <row r="41">
      <c r="B41" s="158"/>
      <c r="D41" s="158"/>
      <c r="F41" s="158"/>
      <c r="G41" s="162"/>
      <c r="H41" s="158"/>
      <c r="J41" s="158"/>
      <c r="L41" s="158"/>
      <c r="N41" s="158"/>
      <c r="P41" s="20"/>
    </row>
    <row r="42">
      <c r="B42" s="158"/>
      <c r="D42" s="158"/>
      <c r="F42" s="158"/>
      <c r="G42" s="162"/>
      <c r="H42" s="158"/>
      <c r="J42" s="158"/>
      <c r="L42" s="158"/>
      <c r="N42" s="158"/>
      <c r="P42" s="20"/>
    </row>
    <row r="43">
      <c r="B43" s="158"/>
      <c r="D43" s="158"/>
      <c r="F43" s="158"/>
      <c r="G43" s="162"/>
      <c r="H43" s="158"/>
      <c r="J43" s="158"/>
      <c r="L43" s="158"/>
      <c r="N43" s="158"/>
      <c r="P43" s="20"/>
    </row>
    <row r="44">
      <c r="B44" s="158"/>
      <c r="D44" s="158"/>
      <c r="F44" s="158"/>
      <c r="G44" s="162"/>
      <c r="H44" s="158"/>
      <c r="J44" s="158"/>
      <c r="L44" s="158"/>
      <c r="N44" s="158"/>
      <c r="P44" s="20"/>
    </row>
    <row r="45">
      <c r="B45" s="158"/>
      <c r="D45" s="158"/>
      <c r="F45" s="158"/>
      <c r="G45" s="162"/>
      <c r="H45" s="158"/>
      <c r="J45" s="158"/>
      <c r="L45" s="158"/>
      <c r="N45" s="158"/>
      <c r="P45" s="20"/>
    </row>
    <row r="46">
      <c r="B46" s="158"/>
      <c r="D46" s="158"/>
      <c r="F46" s="158"/>
      <c r="G46" s="162"/>
      <c r="H46" s="158"/>
      <c r="J46" s="158"/>
      <c r="L46" s="158"/>
      <c r="N46" s="158"/>
      <c r="P46" s="20"/>
    </row>
    <row r="47">
      <c r="B47" s="158"/>
      <c r="D47" s="158"/>
      <c r="F47" s="158"/>
      <c r="G47" s="162"/>
      <c r="H47" s="158"/>
      <c r="J47" s="158"/>
      <c r="L47" s="158"/>
      <c r="N47" s="158"/>
      <c r="P47" s="20"/>
    </row>
    <row r="48">
      <c r="B48" s="158"/>
      <c r="D48" s="158"/>
      <c r="F48" s="158"/>
      <c r="G48" s="162"/>
      <c r="H48" s="158"/>
      <c r="J48" s="158"/>
      <c r="L48" s="158"/>
      <c r="N48" s="158"/>
      <c r="P48" s="20"/>
    </row>
    <row r="49">
      <c r="B49" s="158"/>
      <c r="D49" s="158"/>
      <c r="F49" s="158"/>
      <c r="G49" s="162"/>
      <c r="H49" s="158"/>
      <c r="J49" s="158"/>
      <c r="L49" s="158"/>
      <c r="N49" s="158"/>
      <c r="P49" s="20"/>
    </row>
    <row r="50">
      <c r="B50" s="158"/>
      <c r="D50" s="158"/>
      <c r="F50" s="158"/>
      <c r="G50" s="162"/>
      <c r="H50" s="158"/>
      <c r="J50" s="158"/>
      <c r="L50" s="158"/>
      <c r="N50" s="158"/>
      <c r="P50" s="20"/>
    </row>
    <row r="51">
      <c r="B51" s="158"/>
      <c r="D51" s="158"/>
      <c r="F51" s="158"/>
      <c r="G51" s="162"/>
      <c r="H51" s="158"/>
      <c r="J51" s="158"/>
      <c r="L51" s="158"/>
      <c r="N51" s="158"/>
      <c r="P51" s="20"/>
    </row>
    <row r="52">
      <c r="B52" s="158"/>
      <c r="D52" s="158"/>
      <c r="F52" s="158"/>
      <c r="G52" s="162"/>
      <c r="H52" s="158"/>
      <c r="J52" s="158"/>
      <c r="L52" s="158"/>
      <c r="N52" s="158"/>
      <c r="P52" s="20"/>
    </row>
    <row r="53">
      <c r="B53" s="158"/>
      <c r="D53" s="158"/>
      <c r="F53" s="158"/>
      <c r="G53" s="162"/>
      <c r="H53" s="158"/>
      <c r="J53" s="158"/>
      <c r="L53" s="158"/>
      <c r="N53" s="158"/>
      <c r="P53" s="20"/>
    </row>
    <row r="54">
      <c r="B54" s="158"/>
      <c r="D54" s="158"/>
      <c r="F54" s="158"/>
      <c r="G54" s="162"/>
      <c r="H54" s="158"/>
      <c r="J54" s="158"/>
      <c r="L54" s="158"/>
      <c r="N54" s="158"/>
      <c r="P54" s="20"/>
    </row>
    <row r="55">
      <c r="B55" s="158"/>
      <c r="D55" s="158"/>
      <c r="F55" s="158"/>
      <c r="G55" s="162"/>
      <c r="H55" s="158"/>
      <c r="J55" s="158"/>
      <c r="L55" s="158"/>
      <c r="N55" s="158"/>
      <c r="P55" s="20"/>
    </row>
    <row r="56">
      <c r="B56" s="158"/>
      <c r="D56" s="158"/>
      <c r="F56" s="158"/>
      <c r="G56" s="162"/>
      <c r="H56" s="158"/>
      <c r="J56" s="158"/>
      <c r="L56" s="158"/>
      <c r="N56" s="158"/>
      <c r="P56" s="20"/>
    </row>
    <row r="57">
      <c r="B57" s="158"/>
      <c r="D57" s="158"/>
      <c r="F57" s="158"/>
      <c r="G57" s="162"/>
      <c r="H57" s="158"/>
      <c r="J57" s="158"/>
      <c r="L57" s="158"/>
      <c r="N57" s="158"/>
      <c r="P57" s="20"/>
    </row>
    <row r="58">
      <c r="B58" s="158"/>
      <c r="D58" s="158"/>
      <c r="F58" s="158"/>
      <c r="G58" s="162"/>
      <c r="H58" s="158"/>
      <c r="J58" s="158"/>
      <c r="L58" s="158"/>
      <c r="N58" s="158"/>
      <c r="P58" s="20"/>
    </row>
    <row r="59">
      <c r="B59" s="158"/>
      <c r="D59" s="158"/>
      <c r="F59" s="158"/>
      <c r="G59" s="162"/>
      <c r="H59" s="158"/>
      <c r="J59" s="158"/>
      <c r="L59" s="158"/>
      <c r="N59" s="158"/>
      <c r="P59" s="20"/>
    </row>
    <row r="60">
      <c r="B60" s="158"/>
      <c r="D60" s="158"/>
      <c r="F60" s="158"/>
      <c r="G60" s="162"/>
      <c r="H60" s="158"/>
      <c r="J60" s="158"/>
      <c r="L60" s="158"/>
      <c r="N60" s="158"/>
      <c r="P60" s="20"/>
    </row>
    <row r="61">
      <c r="B61" s="158"/>
      <c r="D61" s="158"/>
      <c r="F61" s="158"/>
      <c r="G61" s="162"/>
      <c r="H61" s="158"/>
      <c r="J61" s="158"/>
      <c r="L61" s="158"/>
      <c r="N61" s="158"/>
      <c r="P61" s="20"/>
    </row>
    <row r="62">
      <c r="B62" s="158"/>
      <c r="D62" s="158"/>
      <c r="F62" s="158"/>
      <c r="G62" s="162"/>
      <c r="H62" s="158"/>
      <c r="J62" s="158"/>
      <c r="L62" s="158"/>
      <c r="N62" s="158"/>
      <c r="P62" s="20"/>
    </row>
    <row r="63">
      <c r="B63" s="158"/>
      <c r="D63" s="158"/>
      <c r="F63" s="158"/>
      <c r="G63" s="162"/>
      <c r="H63" s="158"/>
      <c r="J63" s="158"/>
      <c r="L63" s="158"/>
      <c r="N63" s="158"/>
      <c r="P63" s="20"/>
    </row>
    <row r="64">
      <c r="B64" s="158"/>
      <c r="D64" s="158"/>
      <c r="F64" s="158"/>
      <c r="G64" s="162"/>
      <c r="H64" s="158"/>
      <c r="J64" s="158"/>
      <c r="L64" s="158"/>
      <c r="N64" s="158"/>
      <c r="P64" s="20"/>
    </row>
    <row r="65">
      <c r="B65" s="158"/>
      <c r="D65" s="158"/>
      <c r="F65" s="158"/>
      <c r="G65" s="162"/>
      <c r="H65" s="158"/>
      <c r="J65" s="158"/>
      <c r="L65" s="158"/>
      <c r="N65" s="158"/>
      <c r="P65" s="20"/>
    </row>
    <row r="66">
      <c r="B66" s="158"/>
      <c r="D66" s="158"/>
      <c r="F66" s="158"/>
      <c r="G66" s="162"/>
      <c r="H66" s="158"/>
      <c r="J66" s="158"/>
      <c r="L66" s="158"/>
      <c r="N66" s="158"/>
      <c r="P66" s="20"/>
    </row>
    <row r="67">
      <c r="B67" s="158"/>
      <c r="D67" s="158"/>
      <c r="F67" s="158"/>
      <c r="G67" s="162"/>
      <c r="H67" s="158"/>
      <c r="J67" s="158"/>
      <c r="L67" s="158"/>
      <c r="N67" s="158"/>
      <c r="P67" s="20"/>
    </row>
    <row r="68">
      <c r="B68" s="158"/>
      <c r="D68" s="158"/>
      <c r="F68" s="158"/>
      <c r="G68" s="162"/>
      <c r="H68" s="158"/>
      <c r="J68" s="158"/>
      <c r="L68" s="158"/>
      <c r="N68" s="158"/>
      <c r="P68" s="20"/>
    </row>
    <row r="69">
      <c r="B69" s="158"/>
      <c r="D69" s="158"/>
      <c r="F69" s="158"/>
      <c r="G69" s="162"/>
      <c r="H69" s="158"/>
      <c r="J69" s="158"/>
      <c r="L69" s="158"/>
      <c r="N69" s="158"/>
      <c r="P69" s="20"/>
    </row>
    <row r="70">
      <c r="B70" s="158"/>
      <c r="D70" s="158"/>
      <c r="F70" s="158"/>
      <c r="G70" s="162"/>
      <c r="H70" s="158"/>
      <c r="J70" s="158"/>
      <c r="L70" s="158"/>
      <c r="N70" s="158"/>
      <c r="P70" s="20"/>
    </row>
    <row r="71">
      <c r="B71" s="158"/>
      <c r="D71" s="158"/>
      <c r="F71" s="158"/>
      <c r="G71" s="162"/>
      <c r="H71" s="158"/>
      <c r="J71" s="158"/>
      <c r="L71" s="158"/>
      <c r="N71" s="158"/>
      <c r="P71" s="20"/>
    </row>
    <row r="72">
      <c r="B72" s="158"/>
      <c r="D72" s="158"/>
      <c r="F72" s="158"/>
      <c r="G72" s="162"/>
      <c r="H72" s="158"/>
      <c r="J72" s="158"/>
      <c r="L72" s="158"/>
      <c r="N72" s="158"/>
      <c r="P72" s="20"/>
    </row>
    <row r="73">
      <c r="B73" s="158"/>
      <c r="D73" s="158"/>
      <c r="F73" s="158"/>
      <c r="G73" s="162"/>
      <c r="H73" s="158"/>
      <c r="J73" s="158"/>
      <c r="L73" s="158"/>
      <c r="N73" s="158"/>
      <c r="P73" s="20"/>
    </row>
    <row r="74">
      <c r="B74" s="158"/>
      <c r="D74" s="158"/>
      <c r="F74" s="158"/>
      <c r="G74" s="162"/>
      <c r="H74" s="158"/>
      <c r="J74" s="158"/>
      <c r="L74" s="158"/>
      <c r="N74" s="158"/>
      <c r="P74" s="20"/>
    </row>
    <row r="75">
      <c r="B75" s="158"/>
      <c r="D75" s="158"/>
      <c r="F75" s="158"/>
      <c r="G75" s="162"/>
      <c r="H75" s="158"/>
      <c r="J75" s="158"/>
      <c r="L75" s="158"/>
      <c r="N75" s="158"/>
      <c r="P75" s="20"/>
    </row>
    <row r="76">
      <c r="B76" s="158"/>
      <c r="D76" s="158"/>
      <c r="F76" s="158"/>
      <c r="G76" s="162"/>
      <c r="H76" s="158"/>
      <c r="J76" s="158"/>
      <c r="L76" s="158"/>
      <c r="N76" s="158"/>
      <c r="P76" s="20"/>
    </row>
    <row r="77">
      <c r="B77" s="158"/>
      <c r="D77" s="158"/>
      <c r="F77" s="158"/>
      <c r="G77" s="162"/>
      <c r="H77" s="158"/>
      <c r="J77" s="158"/>
      <c r="L77" s="158"/>
      <c r="N77" s="158"/>
      <c r="P77" s="20"/>
    </row>
    <row r="78">
      <c r="B78" s="158"/>
      <c r="D78" s="158"/>
      <c r="F78" s="158"/>
      <c r="G78" s="162"/>
      <c r="H78" s="158"/>
      <c r="J78" s="158"/>
      <c r="L78" s="158"/>
      <c r="N78" s="158"/>
      <c r="P78" s="20"/>
    </row>
    <row r="79">
      <c r="B79" s="158"/>
      <c r="D79" s="158"/>
      <c r="F79" s="158"/>
      <c r="G79" s="162"/>
      <c r="H79" s="158"/>
      <c r="J79" s="158"/>
      <c r="L79" s="158"/>
      <c r="N79" s="158"/>
      <c r="P79" s="20"/>
    </row>
    <row r="80">
      <c r="B80" s="158"/>
      <c r="D80" s="158"/>
      <c r="F80" s="158"/>
      <c r="G80" s="162"/>
      <c r="H80" s="158"/>
      <c r="J80" s="158"/>
      <c r="L80" s="158"/>
      <c r="N80" s="158"/>
      <c r="P80" s="20"/>
    </row>
    <row r="81">
      <c r="B81" s="158"/>
      <c r="D81" s="158"/>
      <c r="F81" s="158"/>
      <c r="G81" s="162"/>
      <c r="H81" s="158"/>
      <c r="J81" s="158"/>
      <c r="L81" s="158"/>
      <c r="N81" s="158"/>
      <c r="P81" s="20"/>
    </row>
    <row r="82">
      <c r="B82" s="158"/>
      <c r="D82" s="158"/>
      <c r="F82" s="158"/>
      <c r="G82" s="162"/>
      <c r="H82" s="158"/>
      <c r="J82" s="158"/>
      <c r="L82" s="158"/>
      <c r="N82" s="158"/>
      <c r="P82" s="20"/>
    </row>
    <row r="83">
      <c r="B83" s="158"/>
      <c r="D83" s="158"/>
      <c r="F83" s="158"/>
      <c r="G83" s="162"/>
      <c r="H83" s="158"/>
      <c r="J83" s="158"/>
      <c r="L83" s="158"/>
      <c r="N83" s="158"/>
      <c r="P83" s="20"/>
    </row>
    <row r="84">
      <c r="B84" s="158"/>
      <c r="D84" s="158"/>
      <c r="F84" s="158"/>
      <c r="G84" s="162"/>
      <c r="H84" s="158"/>
      <c r="J84" s="158"/>
      <c r="L84" s="158"/>
      <c r="N84" s="158"/>
      <c r="P84" s="20"/>
    </row>
    <row r="85">
      <c r="B85" s="158"/>
      <c r="D85" s="158"/>
      <c r="F85" s="158"/>
      <c r="G85" s="162"/>
      <c r="H85" s="158"/>
      <c r="J85" s="158"/>
      <c r="L85" s="158"/>
      <c r="N85" s="158"/>
      <c r="P85" s="20"/>
    </row>
    <row r="86">
      <c r="B86" s="158"/>
      <c r="D86" s="158"/>
      <c r="F86" s="158"/>
      <c r="G86" s="162"/>
      <c r="H86" s="158"/>
      <c r="J86" s="158"/>
      <c r="L86" s="158"/>
      <c r="N86" s="158"/>
      <c r="P86" s="20"/>
    </row>
    <row r="87">
      <c r="B87" s="158"/>
      <c r="D87" s="158"/>
      <c r="F87" s="158"/>
      <c r="G87" s="162"/>
      <c r="H87" s="158"/>
      <c r="J87" s="158"/>
      <c r="L87" s="158"/>
      <c r="N87" s="158"/>
      <c r="P87" s="20"/>
    </row>
    <row r="88">
      <c r="B88" s="158"/>
      <c r="D88" s="158"/>
      <c r="F88" s="158"/>
      <c r="G88" s="162"/>
      <c r="H88" s="158"/>
      <c r="J88" s="158"/>
      <c r="L88" s="158"/>
      <c r="N88" s="158"/>
      <c r="P88" s="20"/>
    </row>
    <row r="89">
      <c r="B89" s="158"/>
      <c r="D89" s="158"/>
      <c r="F89" s="158"/>
      <c r="G89" s="162"/>
      <c r="H89" s="158"/>
      <c r="J89" s="158"/>
      <c r="L89" s="158"/>
      <c r="N89" s="158"/>
      <c r="P89" s="20"/>
    </row>
    <row r="90">
      <c r="B90" s="158"/>
      <c r="D90" s="158"/>
      <c r="F90" s="158"/>
      <c r="G90" s="162"/>
      <c r="H90" s="158"/>
      <c r="J90" s="158"/>
      <c r="L90" s="158"/>
      <c r="N90" s="158"/>
      <c r="P90" s="20"/>
    </row>
    <row r="91">
      <c r="B91" s="158"/>
      <c r="D91" s="158"/>
      <c r="F91" s="158"/>
      <c r="G91" s="162"/>
      <c r="H91" s="158"/>
      <c r="J91" s="158"/>
      <c r="L91" s="158"/>
      <c r="N91" s="158"/>
      <c r="P91" s="20"/>
    </row>
    <row r="92">
      <c r="B92" s="158"/>
      <c r="D92" s="158"/>
      <c r="F92" s="158"/>
      <c r="G92" s="162"/>
      <c r="H92" s="158"/>
      <c r="J92" s="158"/>
      <c r="L92" s="158"/>
      <c r="N92" s="158"/>
      <c r="P92" s="20"/>
    </row>
    <row r="93">
      <c r="B93" s="158"/>
      <c r="D93" s="158"/>
      <c r="F93" s="158"/>
      <c r="G93" s="162"/>
      <c r="H93" s="158"/>
      <c r="J93" s="158"/>
      <c r="L93" s="158"/>
      <c r="N93" s="158"/>
      <c r="P93" s="20"/>
    </row>
    <row r="94">
      <c r="B94" s="158"/>
      <c r="D94" s="158"/>
      <c r="F94" s="158"/>
      <c r="G94" s="162"/>
      <c r="H94" s="158"/>
      <c r="J94" s="158"/>
      <c r="L94" s="158"/>
      <c r="N94" s="158"/>
      <c r="P94" s="20"/>
    </row>
    <row r="95">
      <c r="B95" s="158"/>
      <c r="D95" s="158"/>
      <c r="F95" s="158"/>
      <c r="G95" s="162"/>
      <c r="H95" s="158"/>
      <c r="J95" s="158"/>
      <c r="L95" s="158"/>
      <c r="N95" s="158"/>
      <c r="P95" s="20"/>
    </row>
    <row r="96">
      <c r="B96" s="158"/>
      <c r="D96" s="158"/>
      <c r="F96" s="158"/>
      <c r="G96" s="162"/>
      <c r="H96" s="158"/>
      <c r="J96" s="158"/>
      <c r="L96" s="158"/>
      <c r="N96" s="158"/>
      <c r="P96" s="20"/>
    </row>
    <row r="97">
      <c r="B97" s="158"/>
      <c r="D97" s="158"/>
      <c r="F97" s="158"/>
      <c r="G97" s="162"/>
      <c r="H97" s="158"/>
      <c r="J97" s="158"/>
      <c r="L97" s="158"/>
      <c r="N97" s="158"/>
      <c r="P97" s="20"/>
    </row>
    <row r="98">
      <c r="B98" s="158"/>
      <c r="D98" s="158"/>
      <c r="F98" s="158"/>
      <c r="G98" s="162"/>
      <c r="H98" s="158"/>
      <c r="J98" s="158"/>
      <c r="L98" s="158"/>
      <c r="N98" s="158"/>
      <c r="P98" s="20"/>
    </row>
    <row r="99">
      <c r="B99" s="158"/>
      <c r="D99" s="158"/>
      <c r="F99" s="158"/>
      <c r="G99" s="162"/>
      <c r="H99" s="158"/>
      <c r="J99" s="158"/>
      <c r="L99" s="158"/>
      <c r="N99" s="158"/>
      <c r="P99" s="20"/>
    </row>
    <row r="100">
      <c r="B100" s="158"/>
      <c r="D100" s="158"/>
      <c r="F100" s="158"/>
      <c r="G100" s="162"/>
      <c r="H100" s="158"/>
      <c r="J100" s="158"/>
      <c r="L100" s="158"/>
      <c r="N100" s="158"/>
      <c r="P100" s="20"/>
    </row>
    <row r="101">
      <c r="B101" s="158"/>
      <c r="D101" s="158"/>
      <c r="F101" s="158"/>
      <c r="G101" s="162"/>
      <c r="H101" s="158"/>
      <c r="J101" s="158"/>
      <c r="L101" s="158"/>
      <c r="N101" s="158"/>
      <c r="P101" s="20"/>
    </row>
    <row r="102">
      <c r="B102" s="158"/>
      <c r="D102" s="158"/>
      <c r="F102" s="158"/>
      <c r="G102" s="162"/>
      <c r="H102" s="158"/>
      <c r="J102" s="158"/>
      <c r="L102" s="158"/>
      <c r="N102" s="158"/>
      <c r="P102" s="20"/>
    </row>
    <row r="103">
      <c r="B103" s="158"/>
      <c r="D103" s="158"/>
      <c r="F103" s="158"/>
      <c r="G103" s="162"/>
      <c r="H103" s="158"/>
      <c r="J103" s="158"/>
      <c r="L103" s="158"/>
      <c r="N103" s="158"/>
      <c r="P103" s="20"/>
    </row>
    <row r="104">
      <c r="B104" s="158"/>
      <c r="D104" s="158"/>
      <c r="F104" s="158"/>
      <c r="G104" s="162"/>
      <c r="H104" s="158"/>
      <c r="J104" s="158"/>
      <c r="L104" s="158"/>
      <c r="N104" s="158"/>
      <c r="P104" s="20"/>
    </row>
    <row r="105">
      <c r="B105" s="158"/>
      <c r="D105" s="158"/>
      <c r="F105" s="158"/>
      <c r="G105" s="162"/>
      <c r="H105" s="158"/>
      <c r="J105" s="158"/>
      <c r="L105" s="158"/>
      <c r="N105" s="158"/>
      <c r="P105" s="20"/>
    </row>
    <row r="106">
      <c r="B106" s="158"/>
      <c r="D106" s="158"/>
      <c r="F106" s="158"/>
      <c r="G106" s="162"/>
      <c r="H106" s="158"/>
      <c r="J106" s="158"/>
      <c r="L106" s="158"/>
      <c r="N106" s="158"/>
      <c r="P106" s="20"/>
    </row>
    <row r="107">
      <c r="B107" s="158"/>
      <c r="D107" s="158"/>
      <c r="F107" s="158"/>
      <c r="G107" s="162"/>
      <c r="H107" s="158"/>
      <c r="J107" s="158"/>
      <c r="L107" s="158"/>
      <c r="N107" s="158"/>
      <c r="P107" s="20"/>
    </row>
    <row r="108">
      <c r="B108" s="158"/>
      <c r="D108" s="158"/>
      <c r="F108" s="158"/>
      <c r="G108" s="162"/>
      <c r="H108" s="158"/>
      <c r="J108" s="158"/>
      <c r="L108" s="158"/>
      <c r="N108" s="158"/>
      <c r="P108" s="20"/>
    </row>
    <row r="109">
      <c r="B109" s="158"/>
      <c r="D109" s="158"/>
      <c r="F109" s="158"/>
      <c r="G109" s="162"/>
      <c r="H109" s="158"/>
      <c r="J109" s="158"/>
      <c r="L109" s="158"/>
      <c r="N109" s="158"/>
      <c r="P109" s="20"/>
    </row>
    <row r="110">
      <c r="B110" s="158"/>
      <c r="D110" s="158"/>
      <c r="F110" s="158"/>
      <c r="G110" s="162"/>
      <c r="H110" s="158"/>
      <c r="J110" s="158"/>
      <c r="L110" s="158"/>
      <c r="N110" s="158"/>
      <c r="P110" s="20"/>
    </row>
    <row r="111">
      <c r="B111" s="158"/>
      <c r="D111" s="158"/>
      <c r="F111" s="158"/>
      <c r="G111" s="162"/>
      <c r="H111" s="158"/>
      <c r="J111" s="158"/>
      <c r="L111" s="158"/>
      <c r="N111" s="158"/>
      <c r="P111" s="20"/>
    </row>
    <row r="112">
      <c r="B112" s="158"/>
      <c r="D112" s="158"/>
      <c r="F112" s="158"/>
      <c r="G112" s="162"/>
      <c r="H112" s="158"/>
      <c r="J112" s="158"/>
      <c r="L112" s="158"/>
      <c r="N112" s="158"/>
      <c r="P112" s="20"/>
    </row>
    <row r="113">
      <c r="B113" s="158"/>
      <c r="D113" s="158"/>
      <c r="F113" s="158"/>
      <c r="G113" s="162"/>
      <c r="H113" s="158"/>
      <c r="J113" s="158"/>
      <c r="L113" s="158"/>
      <c r="N113" s="158"/>
      <c r="P113" s="20"/>
    </row>
    <row r="114">
      <c r="B114" s="158"/>
      <c r="D114" s="158"/>
      <c r="F114" s="158"/>
      <c r="G114" s="162"/>
      <c r="H114" s="158"/>
      <c r="J114" s="158"/>
      <c r="L114" s="158"/>
      <c r="N114" s="158"/>
      <c r="P114" s="20"/>
    </row>
    <row r="115">
      <c r="B115" s="158"/>
      <c r="D115" s="158"/>
      <c r="F115" s="158"/>
      <c r="G115" s="162"/>
      <c r="H115" s="158"/>
      <c r="J115" s="158"/>
      <c r="L115" s="158"/>
      <c r="N115" s="158"/>
      <c r="P115" s="20"/>
    </row>
    <row r="116">
      <c r="B116" s="158"/>
      <c r="D116" s="158"/>
      <c r="F116" s="158"/>
      <c r="G116" s="162"/>
      <c r="H116" s="158"/>
      <c r="J116" s="158"/>
      <c r="L116" s="158"/>
      <c r="N116" s="158"/>
      <c r="P116" s="20"/>
    </row>
    <row r="117">
      <c r="B117" s="158"/>
      <c r="D117" s="158"/>
      <c r="F117" s="158"/>
      <c r="G117" s="162"/>
      <c r="H117" s="158"/>
      <c r="J117" s="158"/>
      <c r="L117" s="158"/>
      <c r="N117" s="158"/>
      <c r="P117" s="20"/>
    </row>
    <row r="118">
      <c r="B118" s="158"/>
      <c r="D118" s="158"/>
      <c r="F118" s="158"/>
      <c r="G118" s="162"/>
      <c r="H118" s="158"/>
      <c r="J118" s="158"/>
      <c r="L118" s="158"/>
      <c r="N118" s="158"/>
      <c r="P118" s="20"/>
    </row>
    <row r="119">
      <c r="B119" s="158"/>
      <c r="D119" s="158"/>
      <c r="F119" s="158"/>
      <c r="G119" s="162"/>
      <c r="H119" s="158"/>
      <c r="J119" s="158"/>
      <c r="L119" s="158"/>
      <c r="N119" s="158"/>
      <c r="P119" s="20"/>
    </row>
    <row r="120">
      <c r="B120" s="158"/>
      <c r="D120" s="158"/>
      <c r="F120" s="158"/>
      <c r="G120" s="162"/>
      <c r="H120" s="158"/>
      <c r="J120" s="158"/>
      <c r="L120" s="158"/>
      <c r="N120" s="158"/>
      <c r="P120" s="20"/>
    </row>
    <row r="121">
      <c r="B121" s="158"/>
      <c r="D121" s="158"/>
      <c r="F121" s="158"/>
      <c r="G121" s="162"/>
      <c r="H121" s="158"/>
      <c r="J121" s="158"/>
      <c r="L121" s="158"/>
      <c r="N121" s="158"/>
      <c r="P121" s="20"/>
    </row>
    <row r="122">
      <c r="B122" s="158"/>
      <c r="D122" s="158"/>
      <c r="F122" s="158"/>
      <c r="G122" s="162"/>
      <c r="H122" s="158"/>
      <c r="J122" s="158"/>
      <c r="L122" s="158"/>
      <c r="N122" s="158"/>
      <c r="P122" s="20"/>
    </row>
    <row r="123">
      <c r="B123" s="158"/>
      <c r="D123" s="158"/>
      <c r="F123" s="158"/>
      <c r="G123" s="162"/>
      <c r="H123" s="158"/>
      <c r="J123" s="158"/>
      <c r="L123" s="158"/>
      <c r="N123" s="158"/>
      <c r="P123" s="20"/>
    </row>
    <row r="124">
      <c r="B124" s="158"/>
      <c r="D124" s="158"/>
      <c r="F124" s="158"/>
      <c r="G124" s="162"/>
      <c r="H124" s="158"/>
      <c r="J124" s="158"/>
      <c r="L124" s="158"/>
      <c r="N124" s="158"/>
      <c r="P124" s="20"/>
    </row>
    <row r="125">
      <c r="B125" s="158"/>
      <c r="D125" s="158"/>
      <c r="F125" s="158"/>
      <c r="G125" s="162"/>
      <c r="H125" s="158"/>
      <c r="J125" s="158"/>
      <c r="L125" s="158"/>
      <c r="N125" s="158"/>
      <c r="P125" s="20"/>
    </row>
    <row r="126">
      <c r="B126" s="158"/>
      <c r="D126" s="158"/>
      <c r="F126" s="158"/>
      <c r="G126" s="162"/>
      <c r="H126" s="158"/>
      <c r="J126" s="158"/>
      <c r="L126" s="158"/>
      <c r="N126" s="158"/>
      <c r="P126" s="20"/>
    </row>
    <row r="127">
      <c r="B127" s="158"/>
      <c r="D127" s="158"/>
      <c r="F127" s="158"/>
      <c r="G127" s="162"/>
      <c r="H127" s="158"/>
      <c r="J127" s="158"/>
      <c r="L127" s="158"/>
      <c r="N127" s="158"/>
      <c r="P127" s="20"/>
    </row>
    <row r="128">
      <c r="B128" s="158"/>
      <c r="D128" s="158"/>
      <c r="F128" s="158"/>
      <c r="G128" s="162"/>
      <c r="H128" s="158"/>
      <c r="J128" s="158"/>
      <c r="L128" s="158"/>
      <c r="N128" s="158"/>
      <c r="P128" s="20"/>
    </row>
    <row r="129">
      <c r="B129" s="158"/>
      <c r="D129" s="158"/>
      <c r="F129" s="158"/>
      <c r="G129" s="162"/>
      <c r="H129" s="158"/>
      <c r="J129" s="158"/>
      <c r="L129" s="158"/>
      <c r="N129" s="158"/>
      <c r="P129" s="20"/>
    </row>
    <row r="130">
      <c r="B130" s="158"/>
      <c r="D130" s="158"/>
      <c r="F130" s="158"/>
      <c r="G130" s="162"/>
      <c r="H130" s="158"/>
      <c r="J130" s="158"/>
      <c r="L130" s="158"/>
      <c r="N130" s="158"/>
      <c r="P130" s="20"/>
    </row>
    <row r="131">
      <c r="B131" s="158"/>
      <c r="D131" s="158"/>
      <c r="F131" s="158"/>
      <c r="G131" s="162"/>
      <c r="H131" s="158"/>
      <c r="J131" s="158"/>
      <c r="L131" s="158"/>
      <c r="N131" s="158"/>
      <c r="P131" s="20"/>
    </row>
    <row r="132">
      <c r="B132" s="158"/>
      <c r="D132" s="158"/>
      <c r="F132" s="158"/>
      <c r="G132" s="162"/>
      <c r="H132" s="158"/>
      <c r="J132" s="158"/>
      <c r="L132" s="158"/>
      <c r="N132" s="158"/>
      <c r="P132" s="20"/>
    </row>
    <row r="133">
      <c r="B133" s="158"/>
      <c r="D133" s="158"/>
      <c r="F133" s="158"/>
      <c r="G133" s="162"/>
      <c r="H133" s="158"/>
      <c r="J133" s="158"/>
      <c r="L133" s="158"/>
      <c r="N133" s="158"/>
      <c r="P133" s="20"/>
    </row>
    <row r="134">
      <c r="B134" s="158"/>
      <c r="D134" s="158"/>
      <c r="F134" s="158"/>
      <c r="G134" s="162"/>
      <c r="H134" s="158"/>
      <c r="J134" s="158"/>
      <c r="L134" s="158"/>
      <c r="N134" s="158"/>
      <c r="P134" s="20"/>
    </row>
    <row r="135">
      <c r="B135" s="158"/>
      <c r="D135" s="158"/>
      <c r="F135" s="158"/>
      <c r="G135" s="162"/>
      <c r="H135" s="158"/>
      <c r="J135" s="158"/>
      <c r="L135" s="158"/>
      <c r="N135" s="158"/>
      <c r="P135" s="20"/>
    </row>
    <row r="136">
      <c r="B136" s="158"/>
      <c r="D136" s="158"/>
      <c r="F136" s="158"/>
      <c r="G136" s="162"/>
      <c r="H136" s="158"/>
      <c r="J136" s="158"/>
      <c r="L136" s="158"/>
      <c r="N136" s="158"/>
      <c r="P136" s="20"/>
    </row>
    <row r="137">
      <c r="B137" s="158"/>
      <c r="D137" s="158"/>
      <c r="F137" s="158"/>
      <c r="G137" s="162"/>
      <c r="H137" s="158"/>
      <c r="J137" s="158"/>
      <c r="L137" s="158"/>
      <c r="N137" s="158"/>
      <c r="P137" s="20"/>
    </row>
    <row r="138">
      <c r="B138" s="158"/>
      <c r="D138" s="158"/>
      <c r="F138" s="158"/>
      <c r="G138" s="162"/>
      <c r="H138" s="158"/>
      <c r="J138" s="158"/>
      <c r="L138" s="158"/>
      <c r="N138" s="158"/>
      <c r="P138" s="20"/>
    </row>
    <row r="139">
      <c r="B139" s="158"/>
      <c r="D139" s="158"/>
      <c r="F139" s="158"/>
      <c r="G139" s="162"/>
      <c r="H139" s="158"/>
      <c r="J139" s="158"/>
      <c r="L139" s="158"/>
      <c r="N139" s="158"/>
      <c r="P139" s="20"/>
    </row>
    <row r="140">
      <c r="B140" s="158"/>
      <c r="D140" s="158"/>
      <c r="F140" s="158"/>
      <c r="G140" s="162"/>
      <c r="H140" s="158"/>
      <c r="J140" s="158"/>
      <c r="L140" s="158"/>
      <c r="N140" s="158"/>
      <c r="P140" s="20"/>
    </row>
    <row r="141">
      <c r="B141" s="158"/>
      <c r="D141" s="158"/>
      <c r="F141" s="158"/>
      <c r="G141" s="162"/>
      <c r="H141" s="158"/>
      <c r="J141" s="158"/>
      <c r="L141" s="158"/>
      <c r="N141" s="158"/>
      <c r="P141" s="20"/>
    </row>
    <row r="142">
      <c r="B142" s="158"/>
      <c r="D142" s="158"/>
      <c r="F142" s="158"/>
      <c r="G142" s="162"/>
      <c r="H142" s="158"/>
      <c r="J142" s="158"/>
      <c r="L142" s="158"/>
      <c r="N142" s="158"/>
      <c r="P142" s="20"/>
    </row>
    <row r="143">
      <c r="B143" s="158"/>
      <c r="D143" s="158"/>
      <c r="F143" s="158"/>
      <c r="G143" s="162"/>
      <c r="H143" s="158"/>
      <c r="J143" s="158"/>
      <c r="L143" s="158"/>
      <c r="N143" s="158"/>
      <c r="P143" s="20"/>
    </row>
    <row r="144">
      <c r="B144" s="158"/>
      <c r="D144" s="158"/>
      <c r="F144" s="158"/>
      <c r="G144" s="162"/>
      <c r="H144" s="158"/>
      <c r="J144" s="158"/>
      <c r="L144" s="158"/>
      <c r="N144" s="158"/>
      <c r="P144" s="20"/>
    </row>
    <row r="145">
      <c r="B145" s="158"/>
      <c r="D145" s="158"/>
      <c r="F145" s="158"/>
      <c r="G145" s="162"/>
      <c r="H145" s="158"/>
      <c r="J145" s="158"/>
      <c r="L145" s="158"/>
      <c r="N145" s="158"/>
      <c r="P145" s="20"/>
    </row>
    <row r="146">
      <c r="B146" s="158"/>
      <c r="D146" s="158"/>
      <c r="F146" s="158"/>
      <c r="G146" s="162"/>
      <c r="H146" s="158"/>
      <c r="J146" s="158"/>
      <c r="L146" s="158"/>
      <c r="N146" s="158"/>
      <c r="P146" s="20"/>
    </row>
    <row r="147">
      <c r="B147" s="158"/>
      <c r="D147" s="158"/>
      <c r="F147" s="158"/>
      <c r="G147" s="162"/>
      <c r="H147" s="158"/>
      <c r="J147" s="158"/>
      <c r="L147" s="158"/>
      <c r="N147" s="158"/>
      <c r="P147" s="20"/>
    </row>
    <row r="148">
      <c r="B148" s="158"/>
      <c r="D148" s="158"/>
      <c r="F148" s="158"/>
      <c r="G148" s="162"/>
      <c r="H148" s="158"/>
      <c r="J148" s="158"/>
      <c r="L148" s="158"/>
      <c r="N148" s="158"/>
      <c r="P148" s="20"/>
    </row>
    <row r="149">
      <c r="B149" s="158"/>
      <c r="D149" s="158"/>
      <c r="F149" s="158"/>
      <c r="G149" s="162"/>
      <c r="H149" s="158"/>
      <c r="J149" s="158"/>
      <c r="L149" s="158"/>
      <c r="N149" s="158"/>
      <c r="P149" s="20"/>
    </row>
    <row r="150">
      <c r="B150" s="158"/>
      <c r="D150" s="158"/>
      <c r="F150" s="158"/>
      <c r="G150" s="162"/>
      <c r="H150" s="158"/>
      <c r="J150" s="158"/>
      <c r="L150" s="158"/>
      <c r="N150" s="158"/>
      <c r="P150" s="20"/>
    </row>
    <row r="151">
      <c r="B151" s="158"/>
      <c r="D151" s="158"/>
      <c r="F151" s="158"/>
      <c r="G151" s="162"/>
      <c r="H151" s="158"/>
      <c r="J151" s="158"/>
      <c r="L151" s="158"/>
      <c r="N151" s="158"/>
      <c r="P151" s="20"/>
    </row>
    <row r="152">
      <c r="B152" s="158"/>
      <c r="D152" s="158"/>
      <c r="F152" s="158"/>
      <c r="G152" s="162"/>
      <c r="H152" s="158"/>
      <c r="J152" s="158"/>
      <c r="L152" s="158"/>
      <c r="N152" s="158"/>
      <c r="P152" s="20"/>
    </row>
    <row r="153">
      <c r="B153" s="158"/>
      <c r="D153" s="158"/>
      <c r="F153" s="158"/>
      <c r="G153" s="162"/>
      <c r="H153" s="158"/>
      <c r="J153" s="158"/>
      <c r="L153" s="158"/>
      <c r="N153" s="158"/>
      <c r="P153" s="20"/>
    </row>
    <row r="154">
      <c r="B154" s="158"/>
      <c r="D154" s="158"/>
      <c r="F154" s="158"/>
      <c r="G154" s="162"/>
      <c r="H154" s="158"/>
      <c r="J154" s="158"/>
      <c r="L154" s="158"/>
      <c r="N154" s="158"/>
      <c r="P154" s="20"/>
    </row>
    <row r="155">
      <c r="B155" s="158"/>
      <c r="D155" s="158"/>
      <c r="F155" s="158"/>
      <c r="G155" s="162"/>
      <c r="H155" s="158"/>
      <c r="J155" s="158"/>
      <c r="L155" s="158"/>
      <c r="N155" s="158"/>
      <c r="P155" s="20"/>
    </row>
    <row r="156">
      <c r="B156" s="158"/>
      <c r="D156" s="158"/>
      <c r="F156" s="158"/>
      <c r="G156" s="162"/>
      <c r="H156" s="158"/>
      <c r="J156" s="158"/>
      <c r="L156" s="158"/>
      <c r="N156" s="158"/>
      <c r="P156" s="20"/>
    </row>
    <row r="157">
      <c r="B157" s="158"/>
      <c r="D157" s="158"/>
      <c r="F157" s="158"/>
      <c r="G157" s="162"/>
      <c r="H157" s="158"/>
      <c r="J157" s="158"/>
      <c r="L157" s="158"/>
      <c r="N157" s="158"/>
      <c r="P157" s="20"/>
    </row>
    <row r="158">
      <c r="B158" s="158"/>
      <c r="D158" s="158"/>
      <c r="F158" s="158"/>
      <c r="G158" s="162"/>
      <c r="H158" s="158"/>
      <c r="J158" s="158"/>
      <c r="L158" s="158"/>
      <c r="N158" s="158"/>
      <c r="P158" s="20"/>
    </row>
    <row r="159">
      <c r="B159" s="158"/>
      <c r="D159" s="158"/>
      <c r="F159" s="158"/>
      <c r="G159" s="162"/>
      <c r="H159" s="158"/>
      <c r="J159" s="158"/>
      <c r="L159" s="158"/>
      <c r="N159" s="158"/>
      <c r="P159" s="20"/>
    </row>
    <row r="160">
      <c r="B160" s="158"/>
      <c r="D160" s="158"/>
      <c r="F160" s="158"/>
      <c r="G160" s="162"/>
      <c r="H160" s="158"/>
      <c r="J160" s="158"/>
      <c r="L160" s="158"/>
      <c r="N160" s="158"/>
      <c r="P160" s="20"/>
    </row>
    <row r="161">
      <c r="B161" s="158"/>
      <c r="D161" s="158"/>
      <c r="F161" s="158"/>
      <c r="G161" s="162"/>
      <c r="H161" s="158"/>
      <c r="J161" s="158"/>
      <c r="L161" s="158"/>
      <c r="N161" s="158"/>
      <c r="P161" s="20"/>
    </row>
    <row r="162">
      <c r="B162" s="158"/>
      <c r="D162" s="158"/>
      <c r="F162" s="158"/>
      <c r="G162" s="162"/>
      <c r="H162" s="158"/>
      <c r="J162" s="158"/>
      <c r="L162" s="158"/>
      <c r="N162" s="158"/>
      <c r="P162" s="20"/>
    </row>
    <row r="163">
      <c r="B163" s="158"/>
      <c r="D163" s="158"/>
      <c r="F163" s="158"/>
      <c r="G163" s="162"/>
      <c r="H163" s="158"/>
      <c r="J163" s="158"/>
      <c r="L163" s="158"/>
      <c r="N163" s="158"/>
      <c r="P163" s="20"/>
    </row>
    <row r="164">
      <c r="B164" s="158"/>
      <c r="D164" s="158"/>
      <c r="F164" s="158"/>
      <c r="G164" s="162"/>
      <c r="H164" s="158"/>
      <c r="J164" s="158"/>
      <c r="L164" s="158"/>
      <c r="N164" s="158"/>
      <c r="P164" s="20"/>
    </row>
    <row r="165">
      <c r="B165" s="158"/>
      <c r="D165" s="158"/>
      <c r="F165" s="158"/>
      <c r="G165" s="162"/>
      <c r="H165" s="158"/>
      <c r="J165" s="158"/>
      <c r="L165" s="158"/>
      <c r="N165" s="158"/>
      <c r="P165" s="20"/>
    </row>
    <row r="166">
      <c r="B166" s="158"/>
      <c r="D166" s="158"/>
      <c r="F166" s="158"/>
      <c r="G166" s="162"/>
      <c r="H166" s="158"/>
      <c r="J166" s="158"/>
      <c r="L166" s="158"/>
      <c r="N166" s="158"/>
      <c r="P166" s="20"/>
    </row>
    <row r="167">
      <c r="B167" s="158"/>
      <c r="D167" s="158"/>
      <c r="F167" s="158"/>
      <c r="G167" s="162"/>
      <c r="H167" s="158"/>
      <c r="J167" s="158"/>
      <c r="L167" s="158"/>
      <c r="N167" s="158"/>
      <c r="P167" s="20"/>
    </row>
    <row r="168">
      <c r="B168" s="158"/>
      <c r="D168" s="158"/>
      <c r="F168" s="158"/>
      <c r="G168" s="162"/>
      <c r="H168" s="158"/>
      <c r="J168" s="158"/>
      <c r="L168" s="158"/>
      <c r="N168" s="158"/>
      <c r="P168" s="20"/>
    </row>
    <row r="169">
      <c r="B169" s="158"/>
      <c r="D169" s="158"/>
      <c r="F169" s="158"/>
      <c r="G169" s="162"/>
      <c r="H169" s="158"/>
      <c r="J169" s="158"/>
      <c r="L169" s="158"/>
      <c r="N169" s="158"/>
      <c r="P169" s="20"/>
    </row>
    <row r="170">
      <c r="B170" s="158"/>
      <c r="D170" s="158"/>
      <c r="F170" s="158"/>
      <c r="G170" s="162"/>
      <c r="H170" s="158"/>
      <c r="J170" s="158"/>
      <c r="L170" s="158"/>
      <c r="N170" s="158"/>
      <c r="P170" s="20"/>
    </row>
    <row r="171">
      <c r="B171" s="158"/>
      <c r="D171" s="158"/>
      <c r="F171" s="158"/>
      <c r="G171" s="162"/>
      <c r="H171" s="158"/>
      <c r="J171" s="158"/>
      <c r="L171" s="158"/>
      <c r="N171" s="158"/>
      <c r="P171" s="20"/>
    </row>
    <row r="172">
      <c r="B172" s="158"/>
      <c r="D172" s="158"/>
      <c r="F172" s="158"/>
      <c r="G172" s="162"/>
      <c r="H172" s="158"/>
      <c r="J172" s="158"/>
      <c r="L172" s="158"/>
      <c r="N172" s="158"/>
      <c r="P172" s="20"/>
    </row>
    <row r="173">
      <c r="B173" s="158"/>
      <c r="D173" s="158"/>
      <c r="F173" s="158"/>
      <c r="G173" s="162"/>
      <c r="H173" s="158"/>
      <c r="J173" s="158"/>
      <c r="L173" s="158"/>
      <c r="N173" s="158"/>
      <c r="P173" s="20"/>
    </row>
    <row r="174">
      <c r="B174" s="158"/>
      <c r="D174" s="158"/>
      <c r="F174" s="158"/>
      <c r="G174" s="162"/>
      <c r="H174" s="158"/>
      <c r="J174" s="158"/>
      <c r="L174" s="158"/>
      <c r="N174" s="158"/>
      <c r="P174" s="20"/>
    </row>
    <row r="175">
      <c r="B175" s="158"/>
      <c r="D175" s="158"/>
      <c r="F175" s="158"/>
      <c r="G175" s="162"/>
      <c r="H175" s="158"/>
      <c r="J175" s="158"/>
      <c r="L175" s="158"/>
      <c r="N175" s="158"/>
      <c r="P175" s="20"/>
    </row>
    <row r="176">
      <c r="B176" s="158"/>
      <c r="D176" s="158"/>
      <c r="F176" s="158"/>
      <c r="G176" s="162"/>
      <c r="H176" s="158"/>
      <c r="J176" s="158"/>
      <c r="L176" s="158"/>
      <c r="N176" s="158"/>
      <c r="P176" s="20"/>
    </row>
    <row r="177">
      <c r="B177" s="158"/>
      <c r="D177" s="158"/>
      <c r="F177" s="158"/>
      <c r="G177" s="162"/>
      <c r="H177" s="158"/>
      <c r="J177" s="158"/>
      <c r="L177" s="158"/>
      <c r="N177" s="158"/>
      <c r="P177" s="20"/>
    </row>
    <row r="178">
      <c r="B178" s="158"/>
      <c r="D178" s="158"/>
      <c r="F178" s="158"/>
      <c r="G178" s="162"/>
      <c r="H178" s="158"/>
      <c r="J178" s="158"/>
      <c r="L178" s="158"/>
      <c r="N178" s="158"/>
      <c r="P178" s="20"/>
    </row>
    <row r="179">
      <c r="B179" s="158"/>
      <c r="D179" s="158"/>
      <c r="F179" s="158"/>
      <c r="G179" s="162"/>
      <c r="H179" s="158"/>
      <c r="J179" s="158"/>
      <c r="L179" s="158"/>
      <c r="N179" s="158"/>
      <c r="P179" s="20"/>
    </row>
    <row r="180">
      <c r="B180" s="158"/>
      <c r="D180" s="158"/>
      <c r="F180" s="158"/>
      <c r="G180" s="162"/>
      <c r="H180" s="158"/>
      <c r="J180" s="158"/>
      <c r="L180" s="158"/>
      <c r="N180" s="158"/>
      <c r="P180" s="20"/>
    </row>
    <row r="181">
      <c r="B181" s="158"/>
      <c r="D181" s="158"/>
      <c r="F181" s="158"/>
      <c r="G181" s="162"/>
      <c r="H181" s="158"/>
      <c r="J181" s="158"/>
      <c r="L181" s="158"/>
      <c r="N181" s="158"/>
      <c r="P181" s="20"/>
    </row>
    <row r="182">
      <c r="B182" s="158"/>
      <c r="D182" s="158"/>
      <c r="F182" s="158"/>
      <c r="G182" s="162"/>
      <c r="H182" s="158"/>
      <c r="J182" s="158"/>
      <c r="L182" s="158"/>
      <c r="N182" s="158"/>
      <c r="P182" s="20"/>
    </row>
    <row r="183">
      <c r="B183" s="158"/>
      <c r="D183" s="158"/>
      <c r="F183" s="158"/>
      <c r="G183" s="162"/>
      <c r="H183" s="158"/>
      <c r="J183" s="158"/>
      <c r="L183" s="158"/>
      <c r="N183" s="158"/>
      <c r="P183" s="20"/>
    </row>
    <row r="184">
      <c r="B184" s="158"/>
      <c r="D184" s="158"/>
      <c r="F184" s="158"/>
      <c r="G184" s="162"/>
      <c r="H184" s="158"/>
      <c r="J184" s="158"/>
      <c r="L184" s="158"/>
      <c r="N184" s="158"/>
      <c r="P184" s="20"/>
    </row>
    <row r="185">
      <c r="B185" s="158"/>
      <c r="D185" s="158"/>
      <c r="F185" s="158"/>
      <c r="G185" s="162"/>
      <c r="H185" s="158"/>
      <c r="J185" s="158"/>
      <c r="L185" s="158"/>
      <c r="N185" s="158"/>
      <c r="P185" s="20"/>
    </row>
    <row r="186">
      <c r="B186" s="158"/>
      <c r="D186" s="158"/>
      <c r="F186" s="158"/>
      <c r="G186" s="162"/>
      <c r="H186" s="158"/>
      <c r="J186" s="158"/>
      <c r="L186" s="158"/>
      <c r="N186" s="158"/>
      <c r="P186" s="20"/>
    </row>
    <row r="187">
      <c r="B187" s="158"/>
      <c r="D187" s="158"/>
      <c r="F187" s="158"/>
      <c r="G187" s="162"/>
      <c r="H187" s="158"/>
      <c r="J187" s="158"/>
      <c r="L187" s="158"/>
      <c r="N187" s="158"/>
      <c r="P187" s="20"/>
    </row>
    <row r="188">
      <c r="B188" s="158"/>
      <c r="D188" s="158"/>
      <c r="F188" s="158"/>
      <c r="G188" s="162"/>
      <c r="H188" s="158"/>
      <c r="J188" s="158"/>
      <c r="L188" s="158"/>
      <c r="N188" s="158"/>
      <c r="P188" s="20"/>
    </row>
    <row r="189">
      <c r="B189" s="158"/>
      <c r="D189" s="158"/>
      <c r="F189" s="158"/>
      <c r="G189" s="162"/>
      <c r="H189" s="158"/>
      <c r="J189" s="158"/>
      <c r="L189" s="158"/>
      <c r="N189" s="158"/>
      <c r="P189" s="20"/>
    </row>
    <row r="190">
      <c r="B190" s="158"/>
      <c r="D190" s="158"/>
      <c r="F190" s="158"/>
      <c r="G190" s="162"/>
      <c r="H190" s="158"/>
      <c r="J190" s="158"/>
      <c r="L190" s="158"/>
      <c r="N190" s="158"/>
      <c r="P190" s="20"/>
    </row>
    <row r="191">
      <c r="B191" s="158"/>
      <c r="D191" s="158"/>
      <c r="F191" s="158"/>
      <c r="G191" s="162"/>
      <c r="H191" s="158"/>
      <c r="J191" s="158"/>
      <c r="L191" s="158"/>
      <c r="N191" s="158"/>
      <c r="P191" s="20"/>
    </row>
    <row r="192">
      <c r="B192" s="158"/>
      <c r="D192" s="158"/>
      <c r="F192" s="158"/>
      <c r="G192" s="162"/>
      <c r="H192" s="158"/>
      <c r="J192" s="158"/>
      <c r="L192" s="158"/>
      <c r="N192" s="158"/>
      <c r="P192" s="20"/>
    </row>
    <row r="193">
      <c r="B193" s="158"/>
      <c r="D193" s="158"/>
      <c r="F193" s="158"/>
      <c r="G193" s="162"/>
      <c r="H193" s="158"/>
      <c r="J193" s="158"/>
      <c r="L193" s="158"/>
      <c r="N193" s="158"/>
      <c r="P193" s="20"/>
    </row>
    <row r="194">
      <c r="B194" s="158"/>
      <c r="D194" s="158"/>
      <c r="F194" s="158"/>
      <c r="G194" s="162"/>
      <c r="H194" s="158"/>
      <c r="J194" s="158"/>
      <c r="L194" s="158"/>
      <c r="N194" s="158"/>
      <c r="P194" s="20"/>
    </row>
    <row r="195">
      <c r="B195" s="158"/>
      <c r="D195" s="158"/>
      <c r="F195" s="158"/>
      <c r="G195" s="162"/>
      <c r="H195" s="158"/>
      <c r="J195" s="158"/>
      <c r="L195" s="158"/>
      <c r="N195" s="158"/>
      <c r="P195" s="20"/>
    </row>
    <row r="196">
      <c r="B196" s="158"/>
      <c r="D196" s="158"/>
      <c r="F196" s="158"/>
      <c r="G196" s="162"/>
      <c r="H196" s="158"/>
      <c r="J196" s="158"/>
      <c r="L196" s="158"/>
      <c r="N196" s="158"/>
      <c r="P196" s="20"/>
    </row>
    <row r="197">
      <c r="B197" s="158"/>
      <c r="D197" s="158"/>
      <c r="F197" s="158"/>
      <c r="G197" s="162"/>
      <c r="H197" s="158"/>
      <c r="J197" s="158"/>
      <c r="L197" s="158"/>
      <c r="N197" s="158"/>
      <c r="P197" s="20"/>
    </row>
    <row r="198">
      <c r="B198" s="158"/>
      <c r="D198" s="158"/>
      <c r="F198" s="158"/>
      <c r="G198" s="162"/>
      <c r="H198" s="158"/>
      <c r="J198" s="158"/>
      <c r="L198" s="158"/>
      <c r="N198" s="158"/>
      <c r="P198" s="20"/>
    </row>
    <row r="199">
      <c r="B199" s="158"/>
      <c r="D199" s="158"/>
      <c r="F199" s="158"/>
      <c r="G199" s="162"/>
      <c r="H199" s="158"/>
      <c r="J199" s="158"/>
      <c r="L199" s="158"/>
      <c r="N199" s="158"/>
      <c r="P199" s="20"/>
    </row>
    <row r="200">
      <c r="B200" s="158"/>
      <c r="D200" s="158"/>
      <c r="F200" s="158"/>
      <c r="G200" s="162"/>
      <c r="H200" s="158"/>
      <c r="J200" s="158"/>
      <c r="L200" s="158"/>
      <c r="N200" s="158"/>
      <c r="P200" s="20"/>
    </row>
    <row r="201">
      <c r="B201" s="158"/>
      <c r="D201" s="158"/>
      <c r="F201" s="158"/>
      <c r="G201" s="162"/>
      <c r="H201" s="158"/>
      <c r="J201" s="158"/>
      <c r="L201" s="158"/>
      <c r="N201" s="158"/>
      <c r="P201" s="20"/>
    </row>
    <row r="202">
      <c r="B202" s="158"/>
      <c r="D202" s="158"/>
      <c r="F202" s="158"/>
      <c r="G202" s="162"/>
      <c r="H202" s="158"/>
      <c r="J202" s="158"/>
      <c r="L202" s="158"/>
      <c r="N202" s="158"/>
      <c r="P202" s="20"/>
    </row>
    <row r="203">
      <c r="B203" s="158"/>
      <c r="D203" s="158"/>
      <c r="F203" s="158"/>
      <c r="G203" s="162"/>
      <c r="H203" s="158"/>
      <c r="J203" s="158"/>
      <c r="L203" s="158"/>
      <c r="N203" s="158"/>
      <c r="P203" s="20"/>
    </row>
    <row r="204">
      <c r="B204" s="158"/>
      <c r="D204" s="158"/>
      <c r="F204" s="158"/>
      <c r="G204" s="162"/>
      <c r="H204" s="158"/>
      <c r="J204" s="158"/>
      <c r="L204" s="158"/>
      <c r="N204" s="158"/>
      <c r="P204" s="20"/>
    </row>
    <row r="205">
      <c r="B205" s="158"/>
      <c r="D205" s="158"/>
      <c r="F205" s="158"/>
      <c r="G205" s="162"/>
      <c r="H205" s="158"/>
      <c r="J205" s="158"/>
      <c r="L205" s="158"/>
      <c r="N205" s="158"/>
      <c r="P205" s="20"/>
    </row>
    <row r="206">
      <c r="B206" s="158"/>
      <c r="D206" s="158"/>
      <c r="F206" s="158"/>
      <c r="G206" s="162"/>
      <c r="H206" s="158"/>
      <c r="J206" s="158"/>
      <c r="L206" s="158"/>
      <c r="N206" s="158"/>
      <c r="P206" s="20"/>
    </row>
    <row r="207">
      <c r="B207" s="158"/>
      <c r="D207" s="158"/>
      <c r="F207" s="158"/>
      <c r="G207" s="162"/>
      <c r="H207" s="158"/>
      <c r="J207" s="158"/>
      <c r="L207" s="158"/>
      <c r="N207" s="158"/>
      <c r="P207" s="20"/>
    </row>
    <row r="208">
      <c r="B208" s="158"/>
      <c r="D208" s="158"/>
      <c r="F208" s="158"/>
      <c r="G208" s="162"/>
      <c r="H208" s="158"/>
      <c r="J208" s="158"/>
      <c r="L208" s="158"/>
      <c r="N208" s="158"/>
      <c r="P208" s="20"/>
    </row>
    <row r="209">
      <c r="B209" s="158"/>
      <c r="D209" s="158"/>
      <c r="F209" s="158"/>
      <c r="G209" s="162"/>
      <c r="H209" s="158"/>
      <c r="J209" s="158"/>
      <c r="L209" s="158"/>
      <c r="N209" s="158"/>
      <c r="P209" s="20"/>
    </row>
    <row r="210">
      <c r="B210" s="158"/>
      <c r="D210" s="158"/>
      <c r="F210" s="158"/>
      <c r="G210" s="162"/>
      <c r="H210" s="158"/>
      <c r="J210" s="158"/>
      <c r="L210" s="158"/>
      <c r="N210" s="158"/>
      <c r="P210" s="20"/>
    </row>
    <row r="211">
      <c r="B211" s="158"/>
      <c r="D211" s="158"/>
      <c r="F211" s="158"/>
      <c r="G211" s="162"/>
      <c r="H211" s="158"/>
      <c r="J211" s="158"/>
      <c r="L211" s="158"/>
      <c r="N211" s="158"/>
      <c r="P211" s="20"/>
    </row>
    <row r="212">
      <c r="B212" s="158"/>
      <c r="D212" s="158"/>
      <c r="F212" s="158"/>
      <c r="G212" s="162"/>
      <c r="H212" s="158"/>
      <c r="J212" s="158"/>
      <c r="L212" s="158"/>
      <c r="N212" s="158"/>
      <c r="P212" s="20"/>
    </row>
    <row r="213">
      <c r="B213" s="158"/>
      <c r="D213" s="158"/>
      <c r="F213" s="158"/>
      <c r="G213" s="162"/>
      <c r="H213" s="158"/>
      <c r="J213" s="158"/>
      <c r="L213" s="158"/>
      <c r="N213" s="158"/>
      <c r="P213" s="20"/>
    </row>
    <row r="214">
      <c r="B214" s="158"/>
      <c r="D214" s="158"/>
      <c r="F214" s="158"/>
      <c r="G214" s="162"/>
      <c r="H214" s="158"/>
      <c r="J214" s="158"/>
      <c r="L214" s="158"/>
      <c r="N214" s="158"/>
      <c r="P214" s="20"/>
    </row>
    <row r="215">
      <c r="B215" s="158"/>
      <c r="D215" s="158"/>
      <c r="F215" s="158"/>
      <c r="G215" s="162"/>
      <c r="H215" s="158"/>
      <c r="J215" s="158"/>
      <c r="L215" s="158"/>
      <c r="N215" s="158"/>
      <c r="P215" s="20"/>
    </row>
    <row r="216">
      <c r="B216" s="158"/>
      <c r="D216" s="158"/>
      <c r="F216" s="158"/>
      <c r="G216" s="162"/>
      <c r="H216" s="158"/>
      <c r="J216" s="158"/>
      <c r="L216" s="158"/>
      <c r="N216" s="158"/>
      <c r="P216" s="20"/>
    </row>
    <row r="217">
      <c r="B217" s="158"/>
      <c r="D217" s="158"/>
      <c r="F217" s="158"/>
      <c r="G217" s="162"/>
      <c r="H217" s="158"/>
      <c r="J217" s="158"/>
      <c r="L217" s="158"/>
      <c r="N217" s="158"/>
      <c r="P217" s="20"/>
    </row>
    <row r="218">
      <c r="B218" s="158"/>
      <c r="D218" s="158"/>
      <c r="F218" s="158"/>
      <c r="G218" s="162"/>
      <c r="H218" s="158"/>
      <c r="J218" s="158"/>
      <c r="L218" s="158"/>
      <c r="N218" s="158"/>
      <c r="P218" s="20"/>
    </row>
    <row r="219">
      <c r="B219" s="158"/>
      <c r="D219" s="158"/>
      <c r="F219" s="158"/>
      <c r="G219" s="162"/>
      <c r="H219" s="158"/>
      <c r="J219" s="158"/>
      <c r="L219" s="158"/>
      <c r="N219" s="158"/>
      <c r="P219" s="20"/>
    </row>
    <row r="220">
      <c r="B220" s="158"/>
      <c r="D220" s="158"/>
      <c r="F220" s="158"/>
      <c r="G220" s="162"/>
      <c r="H220" s="158"/>
      <c r="J220" s="158"/>
      <c r="L220" s="158"/>
      <c r="N220" s="158"/>
      <c r="P220" s="20"/>
    </row>
    <row r="221">
      <c r="B221" s="158"/>
      <c r="D221" s="158"/>
      <c r="F221" s="158"/>
      <c r="G221" s="162"/>
      <c r="H221" s="158"/>
      <c r="J221" s="158"/>
      <c r="L221" s="158"/>
      <c r="N221" s="158"/>
      <c r="P221" s="20"/>
    </row>
    <row r="222">
      <c r="B222" s="158"/>
      <c r="D222" s="158"/>
      <c r="F222" s="158"/>
      <c r="G222" s="162"/>
      <c r="H222" s="158"/>
      <c r="J222" s="158"/>
      <c r="L222" s="158"/>
      <c r="N222" s="158"/>
      <c r="P222" s="20"/>
    </row>
    <row r="223">
      <c r="B223" s="158"/>
      <c r="D223" s="158"/>
      <c r="F223" s="158"/>
      <c r="G223" s="162"/>
      <c r="H223" s="158"/>
      <c r="J223" s="158"/>
      <c r="L223" s="158"/>
      <c r="N223" s="158"/>
      <c r="P223" s="20"/>
    </row>
    <row r="224">
      <c r="B224" s="158"/>
      <c r="D224" s="158"/>
      <c r="F224" s="158"/>
      <c r="G224" s="162"/>
      <c r="H224" s="158"/>
      <c r="J224" s="158"/>
      <c r="L224" s="158"/>
      <c r="N224" s="158"/>
      <c r="P224" s="20"/>
    </row>
    <row r="225">
      <c r="B225" s="158"/>
      <c r="D225" s="158"/>
      <c r="F225" s="158"/>
      <c r="G225" s="162"/>
      <c r="H225" s="158"/>
      <c r="J225" s="158"/>
      <c r="L225" s="158"/>
      <c r="N225" s="158"/>
      <c r="P225" s="20"/>
    </row>
    <row r="226">
      <c r="B226" s="158"/>
      <c r="D226" s="158"/>
      <c r="F226" s="158"/>
      <c r="G226" s="162"/>
      <c r="H226" s="158"/>
      <c r="J226" s="158"/>
      <c r="L226" s="158"/>
      <c r="N226" s="158"/>
      <c r="P226" s="20"/>
    </row>
    <row r="227">
      <c r="B227" s="158"/>
      <c r="D227" s="158"/>
      <c r="F227" s="158"/>
      <c r="G227" s="162"/>
      <c r="H227" s="158"/>
      <c r="J227" s="158"/>
      <c r="L227" s="158"/>
      <c r="N227" s="158"/>
      <c r="P227" s="20"/>
    </row>
    <row r="228">
      <c r="B228" s="158"/>
      <c r="D228" s="158"/>
      <c r="F228" s="158"/>
      <c r="G228" s="162"/>
      <c r="H228" s="158"/>
      <c r="J228" s="158"/>
      <c r="L228" s="158"/>
      <c r="N228" s="158"/>
      <c r="P228" s="20"/>
    </row>
    <row r="229">
      <c r="B229" s="158"/>
      <c r="D229" s="158"/>
      <c r="F229" s="158"/>
      <c r="G229" s="162"/>
      <c r="H229" s="158"/>
      <c r="J229" s="158"/>
      <c r="L229" s="158"/>
      <c r="N229" s="158"/>
      <c r="P229" s="20"/>
    </row>
    <row r="230">
      <c r="B230" s="158"/>
      <c r="D230" s="158"/>
      <c r="F230" s="158"/>
      <c r="G230" s="162"/>
      <c r="H230" s="158"/>
      <c r="J230" s="158"/>
      <c r="L230" s="158"/>
      <c r="N230" s="158"/>
      <c r="P230" s="20"/>
    </row>
    <row r="231">
      <c r="B231" s="158"/>
      <c r="D231" s="158"/>
      <c r="F231" s="158"/>
      <c r="G231" s="162"/>
      <c r="H231" s="158"/>
      <c r="J231" s="158"/>
      <c r="L231" s="158"/>
      <c r="N231" s="158"/>
      <c r="P231" s="20"/>
    </row>
    <row r="232">
      <c r="B232" s="158"/>
      <c r="D232" s="158"/>
      <c r="F232" s="158"/>
      <c r="G232" s="162"/>
      <c r="H232" s="158"/>
      <c r="J232" s="158"/>
      <c r="L232" s="158"/>
      <c r="N232" s="158"/>
      <c r="P232" s="20"/>
    </row>
    <row r="233">
      <c r="B233" s="158"/>
      <c r="D233" s="158"/>
      <c r="F233" s="158"/>
      <c r="G233" s="162"/>
      <c r="H233" s="158"/>
      <c r="J233" s="158"/>
      <c r="L233" s="158"/>
      <c r="N233" s="158"/>
      <c r="P233" s="20"/>
    </row>
    <row r="234">
      <c r="B234" s="158"/>
      <c r="D234" s="158"/>
      <c r="F234" s="158"/>
      <c r="G234" s="162"/>
      <c r="H234" s="158"/>
      <c r="J234" s="158"/>
      <c r="L234" s="158"/>
      <c r="N234" s="158"/>
      <c r="P234" s="20"/>
    </row>
    <row r="235">
      <c r="B235" s="158"/>
      <c r="D235" s="158"/>
      <c r="F235" s="158"/>
      <c r="G235" s="162"/>
      <c r="H235" s="158"/>
      <c r="J235" s="158"/>
      <c r="L235" s="158"/>
      <c r="N235" s="158"/>
      <c r="P235" s="20"/>
    </row>
    <row r="236">
      <c r="B236" s="158"/>
      <c r="D236" s="158"/>
      <c r="F236" s="158"/>
      <c r="G236" s="162"/>
      <c r="H236" s="158"/>
      <c r="J236" s="158"/>
      <c r="L236" s="158"/>
      <c r="N236" s="158"/>
      <c r="P236" s="20"/>
    </row>
    <row r="237">
      <c r="B237" s="158"/>
      <c r="D237" s="158"/>
      <c r="F237" s="158"/>
      <c r="G237" s="162"/>
      <c r="H237" s="158"/>
      <c r="J237" s="158"/>
      <c r="L237" s="158"/>
      <c r="N237" s="158"/>
      <c r="P237" s="20"/>
    </row>
    <row r="238">
      <c r="B238" s="158"/>
      <c r="D238" s="158"/>
      <c r="F238" s="158"/>
      <c r="G238" s="162"/>
      <c r="H238" s="158"/>
      <c r="J238" s="158"/>
      <c r="L238" s="158"/>
      <c r="N238" s="158"/>
      <c r="P238" s="20"/>
    </row>
    <row r="239">
      <c r="B239" s="158"/>
      <c r="D239" s="158"/>
      <c r="F239" s="158"/>
      <c r="G239" s="162"/>
      <c r="H239" s="158"/>
      <c r="J239" s="158"/>
      <c r="L239" s="158"/>
      <c r="N239" s="158"/>
      <c r="P239" s="20"/>
    </row>
    <row r="240">
      <c r="B240" s="158"/>
      <c r="D240" s="158"/>
      <c r="F240" s="158"/>
      <c r="G240" s="162"/>
      <c r="H240" s="158"/>
      <c r="J240" s="158"/>
      <c r="L240" s="158"/>
      <c r="N240" s="158"/>
      <c r="P240" s="20"/>
    </row>
    <row r="241">
      <c r="B241" s="158"/>
      <c r="D241" s="158"/>
      <c r="F241" s="158"/>
      <c r="G241" s="162"/>
      <c r="H241" s="158"/>
      <c r="J241" s="158"/>
      <c r="L241" s="158"/>
      <c r="N241" s="158"/>
      <c r="P241" s="20"/>
    </row>
    <row r="242">
      <c r="B242" s="158"/>
      <c r="D242" s="158"/>
      <c r="F242" s="158"/>
      <c r="G242" s="162"/>
      <c r="H242" s="158"/>
      <c r="J242" s="158"/>
      <c r="L242" s="158"/>
      <c r="N242" s="158"/>
      <c r="P242" s="20"/>
    </row>
    <row r="243">
      <c r="B243" s="158"/>
      <c r="D243" s="158"/>
      <c r="F243" s="158"/>
      <c r="G243" s="162"/>
      <c r="H243" s="158"/>
      <c r="J243" s="158"/>
      <c r="L243" s="158"/>
      <c r="N243" s="158"/>
      <c r="P243" s="20"/>
    </row>
    <row r="244">
      <c r="B244" s="158"/>
      <c r="D244" s="158"/>
      <c r="F244" s="158"/>
      <c r="G244" s="162"/>
      <c r="H244" s="158"/>
      <c r="J244" s="158"/>
      <c r="L244" s="158"/>
      <c r="N244" s="158"/>
      <c r="P244" s="20"/>
    </row>
    <row r="245">
      <c r="B245" s="158"/>
      <c r="D245" s="158"/>
      <c r="F245" s="158"/>
      <c r="G245" s="162"/>
      <c r="H245" s="158"/>
      <c r="J245" s="158"/>
      <c r="L245" s="158"/>
      <c r="N245" s="158"/>
      <c r="P245" s="20"/>
    </row>
    <row r="246">
      <c r="B246" s="158"/>
      <c r="D246" s="158"/>
      <c r="F246" s="158"/>
      <c r="G246" s="162"/>
      <c r="H246" s="158"/>
      <c r="J246" s="158"/>
      <c r="L246" s="158"/>
      <c r="N246" s="158"/>
      <c r="P246" s="20"/>
    </row>
    <row r="247">
      <c r="B247" s="158"/>
      <c r="D247" s="158"/>
      <c r="F247" s="158"/>
      <c r="G247" s="162"/>
      <c r="H247" s="158"/>
      <c r="J247" s="158"/>
      <c r="L247" s="158"/>
      <c r="N247" s="158"/>
      <c r="P247" s="20"/>
    </row>
    <row r="248">
      <c r="B248" s="158"/>
      <c r="D248" s="158"/>
      <c r="F248" s="158"/>
      <c r="G248" s="162"/>
      <c r="H248" s="158"/>
      <c r="J248" s="158"/>
      <c r="L248" s="158"/>
      <c r="N248" s="158"/>
      <c r="P248" s="20"/>
    </row>
    <row r="249">
      <c r="B249" s="158"/>
      <c r="D249" s="158"/>
      <c r="F249" s="158"/>
      <c r="G249" s="162"/>
      <c r="H249" s="158"/>
      <c r="J249" s="158"/>
      <c r="L249" s="158"/>
      <c r="N249" s="158"/>
      <c r="P249" s="20"/>
    </row>
    <row r="250">
      <c r="B250" s="158"/>
      <c r="D250" s="158"/>
      <c r="F250" s="158"/>
      <c r="G250" s="162"/>
      <c r="H250" s="158"/>
      <c r="J250" s="158"/>
      <c r="L250" s="158"/>
      <c r="N250" s="158"/>
      <c r="P250" s="20"/>
    </row>
    <row r="251">
      <c r="B251" s="158"/>
      <c r="D251" s="158"/>
      <c r="F251" s="158"/>
      <c r="G251" s="162"/>
      <c r="H251" s="158"/>
      <c r="J251" s="158"/>
      <c r="L251" s="158"/>
      <c r="N251" s="158"/>
      <c r="P251" s="20"/>
    </row>
    <row r="252">
      <c r="B252" s="158"/>
      <c r="D252" s="158"/>
      <c r="F252" s="158"/>
      <c r="G252" s="162"/>
      <c r="H252" s="158"/>
      <c r="J252" s="158"/>
      <c r="L252" s="158"/>
      <c r="N252" s="158"/>
      <c r="P252" s="20"/>
    </row>
    <row r="253">
      <c r="B253" s="158"/>
      <c r="D253" s="158"/>
      <c r="F253" s="158"/>
      <c r="G253" s="162"/>
      <c r="H253" s="158"/>
      <c r="J253" s="158"/>
      <c r="L253" s="158"/>
      <c r="N253" s="158"/>
      <c r="P253" s="20"/>
    </row>
    <row r="254">
      <c r="B254" s="158"/>
      <c r="D254" s="158"/>
      <c r="F254" s="158"/>
      <c r="G254" s="162"/>
      <c r="H254" s="158"/>
      <c r="J254" s="158"/>
      <c r="L254" s="158"/>
      <c r="N254" s="158"/>
      <c r="P254" s="20"/>
    </row>
    <row r="255">
      <c r="B255" s="158"/>
      <c r="D255" s="158"/>
      <c r="F255" s="158"/>
      <c r="G255" s="162"/>
      <c r="H255" s="158"/>
      <c r="J255" s="158"/>
      <c r="L255" s="158"/>
      <c r="N255" s="158"/>
      <c r="P255" s="20"/>
    </row>
    <row r="256">
      <c r="B256" s="158"/>
      <c r="D256" s="158"/>
      <c r="F256" s="158"/>
      <c r="G256" s="162"/>
      <c r="H256" s="158"/>
      <c r="J256" s="158"/>
      <c r="L256" s="158"/>
      <c r="N256" s="158"/>
      <c r="P256" s="20"/>
    </row>
    <row r="257">
      <c r="B257" s="158"/>
      <c r="D257" s="158"/>
      <c r="F257" s="158"/>
      <c r="G257" s="162"/>
      <c r="H257" s="158"/>
      <c r="J257" s="158"/>
      <c r="L257" s="158"/>
      <c r="N257" s="158"/>
      <c r="P257" s="20"/>
    </row>
    <row r="258">
      <c r="B258" s="158"/>
      <c r="D258" s="158"/>
      <c r="F258" s="158"/>
      <c r="G258" s="162"/>
      <c r="H258" s="158"/>
      <c r="J258" s="158"/>
      <c r="L258" s="158"/>
      <c r="N258" s="158"/>
      <c r="P258" s="20"/>
    </row>
    <row r="259">
      <c r="B259" s="158"/>
      <c r="D259" s="158"/>
      <c r="F259" s="158"/>
      <c r="G259" s="162"/>
      <c r="H259" s="158"/>
      <c r="J259" s="158"/>
      <c r="L259" s="158"/>
      <c r="N259" s="158"/>
      <c r="P259" s="20"/>
    </row>
    <row r="260">
      <c r="B260" s="158"/>
      <c r="D260" s="158"/>
      <c r="F260" s="158"/>
      <c r="G260" s="162"/>
      <c r="H260" s="158"/>
      <c r="J260" s="158"/>
      <c r="L260" s="158"/>
      <c r="N260" s="158"/>
      <c r="P260" s="20"/>
    </row>
    <row r="261">
      <c r="B261" s="158"/>
      <c r="D261" s="158"/>
      <c r="F261" s="158"/>
      <c r="G261" s="162"/>
      <c r="H261" s="158"/>
      <c r="J261" s="158"/>
      <c r="L261" s="158"/>
      <c r="N261" s="158"/>
      <c r="P261" s="20"/>
    </row>
    <row r="262">
      <c r="B262" s="158"/>
      <c r="D262" s="158"/>
      <c r="F262" s="158"/>
      <c r="G262" s="162"/>
      <c r="H262" s="158"/>
      <c r="J262" s="158"/>
      <c r="L262" s="158"/>
      <c r="N262" s="158"/>
      <c r="P262" s="20"/>
    </row>
    <row r="263">
      <c r="B263" s="158"/>
      <c r="D263" s="158"/>
      <c r="F263" s="158"/>
      <c r="G263" s="162"/>
      <c r="H263" s="158"/>
      <c r="J263" s="158"/>
      <c r="L263" s="158"/>
      <c r="N263" s="158"/>
      <c r="P263" s="20"/>
    </row>
    <row r="264">
      <c r="B264" s="158"/>
      <c r="D264" s="158"/>
      <c r="F264" s="158"/>
      <c r="G264" s="162"/>
      <c r="H264" s="158"/>
      <c r="J264" s="158"/>
      <c r="L264" s="158"/>
      <c r="N264" s="158"/>
      <c r="P264" s="20"/>
    </row>
    <row r="265">
      <c r="B265" s="158"/>
      <c r="D265" s="158"/>
      <c r="F265" s="158"/>
      <c r="G265" s="162"/>
      <c r="H265" s="158"/>
      <c r="J265" s="158"/>
      <c r="L265" s="158"/>
      <c r="N265" s="158"/>
      <c r="P265" s="20"/>
    </row>
    <row r="266">
      <c r="B266" s="158"/>
      <c r="D266" s="158"/>
      <c r="F266" s="158"/>
      <c r="G266" s="162"/>
      <c r="H266" s="158"/>
      <c r="J266" s="158"/>
      <c r="L266" s="158"/>
      <c r="N266" s="158"/>
      <c r="P266" s="20"/>
    </row>
    <row r="267">
      <c r="B267" s="158"/>
      <c r="D267" s="158"/>
      <c r="F267" s="158"/>
      <c r="G267" s="162"/>
      <c r="H267" s="158"/>
      <c r="J267" s="158"/>
      <c r="L267" s="158"/>
      <c r="N267" s="158"/>
      <c r="P267" s="20"/>
    </row>
    <row r="268">
      <c r="B268" s="158"/>
      <c r="D268" s="158"/>
      <c r="F268" s="158"/>
      <c r="G268" s="162"/>
      <c r="H268" s="158"/>
      <c r="J268" s="158"/>
      <c r="L268" s="158"/>
      <c r="N268" s="158"/>
      <c r="P268" s="20"/>
    </row>
    <row r="269">
      <c r="B269" s="158"/>
      <c r="D269" s="158"/>
      <c r="F269" s="158"/>
      <c r="G269" s="162"/>
      <c r="H269" s="158"/>
      <c r="J269" s="158"/>
      <c r="L269" s="158"/>
      <c r="N269" s="158"/>
      <c r="P269" s="20"/>
    </row>
    <row r="270">
      <c r="B270" s="158"/>
      <c r="D270" s="158"/>
      <c r="F270" s="158"/>
      <c r="G270" s="162"/>
      <c r="H270" s="158"/>
      <c r="J270" s="158"/>
      <c r="L270" s="158"/>
      <c r="N270" s="158"/>
      <c r="P270" s="20"/>
    </row>
    <row r="271">
      <c r="B271" s="158"/>
      <c r="D271" s="158"/>
      <c r="F271" s="158"/>
      <c r="G271" s="162"/>
      <c r="H271" s="158"/>
      <c r="J271" s="158"/>
      <c r="L271" s="158"/>
      <c r="N271" s="158"/>
      <c r="P271" s="20"/>
    </row>
    <row r="272">
      <c r="B272" s="158"/>
      <c r="D272" s="158"/>
      <c r="F272" s="158"/>
      <c r="G272" s="162"/>
      <c r="H272" s="158"/>
      <c r="J272" s="158"/>
      <c r="L272" s="158"/>
      <c r="N272" s="158"/>
      <c r="P272" s="20"/>
    </row>
    <row r="273">
      <c r="B273" s="158"/>
      <c r="D273" s="158"/>
      <c r="F273" s="158"/>
      <c r="G273" s="162"/>
      <c r="H273" s="158"/>
      <c r="J273" s="158"/>
      <c r="L273" s="158"/>
      <c r="N273" s="158"/>
      <c r="P273" s="20"/>
    </row>
    <row r="274">
      <c r="B274" s="158"/>
      <c r="D274" s="158"/>
      <c r="F274" s="158"/>
      <c r="G274" s="162"/>
      <c r="H274" s="158"/>
      <c r="J274" s="158"/>
      <c r="L274" s="158"/>
      <c r="N274" s="158"/>
      <c r="P274" s="20"/>
    </row>
    <row r="275">
      <c r="B275" s="158"/>
      <c r="D275" s="158"/>
      <c r="F275" s="158"/>
      <c r="G275" s="162"/>
      <c r="H275" s="158"/>
      <c r="J275" s="158"/>
      <c r="L275" s="158"/>
      <c r="N275" s="158"/>
      <c r="P275" s="20"/>
    </row>
    <row r="276">
      <c r="B276" s="158"/>
      <c r="D276" s="158"/>
      <c r="F276" s="158"/>
      <c r="G276" s="162"/>
      <c r="H276" s="158"/>
      <c r="J276" s="158"/>
      <c r="L276" s="158"/>
      <c r="N276" s="158"/>
      <c r="P276" s="20"/>
    </row>
    <row r="277">
      <c r="B277" s="158"/>
      <c r="D277" s="158"/>
      <c r="F277" s="158"/>
      <c r="G277" s="162"/>
      <c r="H277" s="158"/>
      <c r="J277" s="158"/>
      <c r="L277" s="158"/>
      <c r="N277" s="158"/>
      <c r="P277" s="20"/>
    </row>
    <row r="278">
      <c r="B278" s="158"/>
      <c r="D278" s="158"/>
      <c r="F278" s="158"/>
      <c r="G278" s="162"/>
      <c r="H278" s="158"/>
      <c r="J278" s="158"/>
      <c r="L278" s="158"/>
      <c r="N278" s="158"/>
      <c r="P278" s="20"/>
    </row>
    <row r="279">
      <c r="B279" s="158"/>
      <c r="D279" s="158"/>
      <c r="F279" s="158"/>
      <c r="G279" s="162"/>
      <c r="H279" s="158"/>
      <c r="J279" s="158"/>
      <c r="L279" s="158"/>
      <c r="N279" s="158"/>
      <c r="P279" s="20"/>
    </row>
    <row r="280">
      <c r="B280" s="158"/>
      <c r="D280" s="158"/>
      <c r="F280" s="158"/>
      <c r="G280" s="162"/>
      <c r="H280" s="158"/>
      <c r="J280" s="158"/>
      <c r="L280" s="158"/>
      <c r="N280" s="158"/>
      <c r="P280" s="20"/>
    </row>
    <row r="281">
      <c r="B281" s="158"/>
      <c r="D281" s="158"/>
      <c r="F281" s="158"/>
      <c r="G281" s="162"/>
      <c r="H281" s="158"/>
      <c r="J281" s="158"/>
      <c r="L281" s="158"/>
      <c r="N281" s="158"/>
      <c r="P281" s="20"/>
    </row>
    <row r="282">
      <c r="B282" s="158"/>
      <c r="D282" s="158"/>
      <c r="F282" s="158"/>
      <c r="G282" s="162"/>
      <c r="H282" s="158"/>
      <c r="J282" s="158"/>
      <c r="L282" s="158"/>
      <c r="N282" s="158"/>
      <c r="P282" s="20"/>
    </row>
    <row r="283">
      <c r="B283" s="158"/>
      <c r="D283" s="158"/>
      <c r="F283" s="158"/>
      <c r="G283" s="162"/>
      <c r="H283" s="158"/>
      <c r="J283" s="158"/>
      <c r="L283" s="158"/>
      <c r="N283" s="158"/>
      <c r="P283" s="20"/>
    </row>
    <row r="284">
      <c r="B284" s="158"/>
      <c r="D284" s="158"/>
      <c r="F284" s="158"/>
      <c r="G284" s="162"/>
      <c r="H284" s="158"/>
      <c r="J284" s="158"/>
      <c r="L284" s="158"/>
      <c r="N284" s="158"/>
      <c r="P284" s="20"/>
    </row>
    <row r="285">
      <c r="B285" s="158"/>
      <c r="D285" s="158"/>
      <c r="F285" s="158"/>
      <c r="G285" s="162"/>
      <c r="H285" s="158"/>
      <c r="J285" s="158"/>
      <c r="L285" s="158"/>
      <c r="N285" s="158"/>
      <c r="P285" s="20"/>
    </row>
    <row r="286">
      <c r="B286" s="158"/>
      <c r="D286" s="158"/>
      <c r="F286" s="158"/>
      <c r="G286" s="162"/>
      <c r="H286" s="158"/>
      <c r="J286" s="158"/>
      <c r="L286" s="158"/>
      <c r="N286" s="158"/>
      <c r="P286" s="20"/>
    </row>
    <row r="287">
      <c r="B287" s="158"/>
      <c r="D287" s="158"/>
      <c r="F287" s="158"/>
      <c r="G287" s="162"/>
      <c r="H287" s="158"/>
      <c r="J287" s="158"/>
      <c r="L287" s="158"/>
      <c r="N287" s="158"/>
      <c r="P287" s="20"/>
    </row>
    <row r="288">
      <c r="B288" s="158"/>
      <c r="D288" s="158"/>
      <c r="F288" s="158"/>
      <c r="G288" s="162"/>
      <c r="H288" s="158"/>
      <c r="J288" s="158"/>
      <c r="L288" s="158"/>
      <c r="N288" s="158"/>
      <c r="P288" s="20"/>
    </row>
    <row r="289">
      <c r="B289" s="158"/>
      <c r="D289" s="158"/>
      <c r="F289" s="158"/>
      <c r="G289" s="162"/>
      <c r="H289" s="158"/>
      <c r="J289" s="158"/>
      <c r="L289" s="158"/>
      <c r="N289" s="158"/>
      <c r="P289" s="20"/>
    </row>
    <row r="290">
      <c r="B290" s="158"/>
      <c r="D290" s="158"/>
      <c r="F290" s="158"/>
      <c r="G290" s="162"/>
      <c r="H290" s="158"/>
      <c r="J290" s="158"/>
      <c r="L290" s="158"/>
      <c r="N290" s="158"/>
      <c r="P290" s="20"/>
    </row>
    <row r="291">
      <c r="B291" s="158"/>
      <c r="D291" s="158"/>
      <c r="F291" s="158"/>
      <c r="G291" s="162"/>
      <c r="H291" s="158"/>
      <c r="J291" s="158"/>
      <c r="L291" s="158"/>
      <c r="N291" s="158"/>
      <c r="P291" s="20"/>
    </row>
    <row r="292">
      <c r="B292" s="158"/>
      <c r="D292" s="158"/>
      <c r="F292" s="158"/>
      <c r="G292" s="162"/>
      <c r="H292" s="158"/>
      <c r="J292" s="158"/>
      <c r="L292" s="158"/>
      <c r="N292" s="158"/>
      <c r="P292" s="20"/>
    </row>
    <row r="293">
      <c r="B293" s="158"/>
      <c r="D293" s="158"/>
      <c r="F293" s="158"/>
      <c r="G293" s="162"/>
      <c r="H293" s="158"/>
      <c r="J293" s="158"/>
      <c r="L293" s="158"/>
      <c r="N293" s="158"/>
      <c r="P293" s="20"/>
    </row>
    <row r="294">
      <c r="B294" s="158"/>
      <c r="D294" s="158"/>
      <c r="F294" s="158"/>
      <c r="G294" s="162"/>
      <c r="H294" s="158"/>
      <c r="J294" s="158"/>
      <c r="L294" s="158"/>
      <c r="N294" s="158"/>
      <c r="P294" s="20"/>
    </row>
    <row r="295">
      <c r="B295" s="158"/>
      <c r="D295" s="158"/>
      <c r="F295" s="158"/>
      <c r="G295" s="162"/>
      <c r="H295" s="158"/>
      <c r="J295" s="158"/>
      <c r="L295" s="158"/>
      <c r="N295" s="158"/>
      <c r="P295" s="20"/>
    </row>
    <row r="296">
      <c r="B296" s="158"/>
      <c r="D296" s="158"/>
      <c r="F296" s="158"/>
      <c r="G296" s="162"/>
      <c r="H296" s="158"/>
      <c r="J296" s="158"/>
      <c r="L296" s="158"/>
      <c r="N296" s="158"/>
      <c r="P296" s="20"/>
    </row>
    <row r="297">
      <c r="B297" s="158"/>
      <c r="D297" s="158"/>
      <c r="F297" s="158"/>
      <c r="G297" s="162"/>
      <c r="H297" s="158"/>
      <c r="J297" s="158"/>
      <c r="L297" s="158"/>
      <c r="N297" s="158"/>
      <c r="P297" s="20"/>
    </row>
    <row r="298">
      <c r="B298" s="158"/>
      <c r="D298" s="158"/>
      <c r="F298" s="158"/>
      <c r="G298" s="162"/>
      <c r="H298" s="158"/>
      <c r="J298" s="158"/>
      <c r="L298" s="158"/>
      <c r="N298" s="158"/>
      <c r="P298" s="20"/>
    </row>
    <row r="299">
      <c r="B299" s="158"/>
      <c r="D299" s="158"/>
      <c r="F299" s="158"/>
      <c r="G299" s="162"/>
      <c r="H299" s="158"/>
      <c r="J299" s="158"/>
      <c r="L299" s="158"/>
      <c r="N299" s="158"/>
      <c r="P299" s="20"/>
    </row>
    <row r="300">
      <c r="B300" s="158"/>
      <c r="D300" s="158"/>
      <c r="F300" s="158"/>
      <c r="G300" s="162"/>
      <c r="H300" s="158"/>
      <c r="J300" s="158"/>
      <c r="L300" s="158"/>
      <c r="N300" s="158"/>
      <c r="P300" s="20"/>
    </row>
    <row r="301">
      <c r="B301" s="158"/>
      <c r="D301" s="158"/>
      <c r="F301" s="158"/>
      <c r="G301" s="162"/>
      <c r="H301" s="158"/>
      <c r="J301" s="158"/>
      <c r="L301" s="158"/>
      <c r="N301" s="158"/>
      <c r="P301" s="20"/>
    </row>
    <row r="302">
      <c r="B302" s="158"/>
      <c r="D302" s="158"/>
      <c r="F302" s="158"/>
      <c r="G302" s="162"/>
      <c r="H302" s="158"/>
      <c r="J302" s="158"/>
      <c r="L302" s="158"/>
      <c r="N302" s="158"/>
      <c r="P302" s="20"/>
    </row>
    <row r="303">
      <c r="B303" s="158"/>
      <c r="D303" s="158"/>
      <c r="F303" s="158"/>
      <c r="G303" s="162"/>
      <c r="H303" s="158"/>
      <c r="J303" s="158"/>
      <c r="L303" s="158"/>
      <c r="N303" s="158"/>
      <c r="P303" s="20"/>
    </row>
    <row r="304">
      <c r="B304" s="158"/>
      <c r="D304" s="158"/>
      <c r="F304" s="158"/>
      <c r="G304" s="162"/>
      <c r="H304" s="158"/>
      <c r="J304" s="158"/>
      <c r="L304" s="158"/>
      <c r="N304" s="158"/>
      <c r="P304" s="20"/>
    </row>
    <row r="305">
      <c r="B305" s="158"/>
      <c r="D305" s="158"/>
      <c r="F305" s="158"/>
      <c r="G305" s="162"/>
      <c r="H305" s="158"/>
      <c r="J305" s="158"/>
      <c r="L305" s="158"/>
      <c r="N305" s="158"/>
      <c r="P305" s="20"/>
    </row>
    <row r="306">
      <c r="B306" s="158"/>
      <c r="D306" s="158"/>
      <c r="F306" s="158"/>
      <c r="G306" s="162"/>
      <c r="H306" s="158"/>
      <c r="J306" s="158"/>
      <c r="L306" s="158"/>
      <c r="N306" s="158"/>
      <c r="P306" s="20"/>
    </row>
    <row r="307">
      <c r="B307" s="158"/>
      <c r="D307" s="158"/>
      <c r="F307" s="158"/>
      <c r="G307" s="162"/>
      <c r="H307" s="158"/>
      <c r="J307" s="158"/>
      <c r="L307" s="158"/>
      <c r="N307" s="158"/>
      <c r="P307" s="20"/>
    </row>
    <row r="308">
      <c r="B308" s="158"/>
      <c r="D308" s="158"/>
      <c r="F308" s="158"/>
      <c r="G308" s="162"/>
      <c r="H308" s="158"/>
      <c r="J308" s="158"/>
      <c r="L308" s="158"/>
      <c r="N308" s="158"/>
      <c r="P308" s="20"/>
    </row>
    <row r="309">
      <c r="B309" s="158"/>
      <c r="D309" s="158"/>
      <c r="F309" s="158"/>
      <c r="G309" s="162"/>
      <c r="H309" s="158"/>
      <c r="J309" s="158"/>
      <c r="L309" s="158"/>
      <c r="N309" s="158"/>
      <c r="P309" s="20"/>
    </row>
    <row r="310">
      <c r="B310" s="158"/>
      <c r="D310" s="158"/>
      <c r="F310" s="158"/>
      <c r="G310" s="162"/>
      <c r="H310" s="158"/>
      <c r="J310" s="158"/>
      <c r="L310" s="158"/>
      <c r="N310" s="158"/>
      <c r="P310" s="20"/>
    </row>
    <row r="311">
      <c r="B311" s="158"/>
      <c r="D311" s="158"/>
      <c r="F311" s="158"/>
      <c r="G311" s="162"/>
      <c r="H311" s="158"/>
      <c r="J311" s="158"/>
      <c r="L311" s="158"/>
      <c r="N311" s="158"/>
      <c r="P311" s="20"/>
    </row>
    <row r="312">
      <c r="B312" s="158"/>
      <c r="D312" s="158"/>
      <c r="F312" s="158"/>
      <c r="G312" s="162"/>
      <c r="H312" s="158"/>
      <c r="J312" s="158"/>
      <c r="L312" s="158"/>
      <c r="N312" s="158"/>
      <c r="P312" s="20"/>
    </row>
    <row r="313">
      <c r="B313" s="158"/>
      <c r="D313" s="158"/>
      <c r="F313" s="158"/>
      <c r="G313" s="162"/>
      <c r="H313" s="158"/>
      <c r="J313" s="158"/>
      <c r="L313" s="158"/>
      <c r="N313" s="158"/>
      <c r="P313" s="20"/>
    </row>
    <row r="314">
      <c r="B314" s="158"/>
      <c r="D314" s="158"/>
      <c r="F314" s="158"/>
      <c r="G314" s="162"/>
      <c r="H314" s="158"/>
      <c r="J314" s="158"/>
      <c r="L314" s="158"/>
      <c r="N314" s="158"/>
      <c r="P314" s="20"/>
    </row>
    <row r="315">
      <c r="B315" s="158"/>
      <c r="D315" s="158"/>
      <c r="F315" s="158"/>
      <c r="G315" s="162"/>
      <c r="H315" s="158"/>
      <c r="J315" s="158"/>
      <c r="L315" s="158"/>
      <c r="N315" s="158"/>
      <c r="P315" s="20"/>
    </row>
    <row r="316">
      <c r="B316" s="158"/>
      <c r="D316" s="158"/>
      <c r="F316" s="158"/>
      <c r="G316" s="162"/>
      <c r="H316" s="158"/>
      <c r="J316" s="158"/>
      <c r="L316" s="158"/>
      <c r="N316" s="158"/>
      <c r="P316" s="20"/>
    </row>
    <row r="317">
      <c r="B317" s="158"/>
      <c r="D317" s="158"/>
      <c r="F317" s="158"/>
      <c r="G317" s="162"/>
      <c r="H317" s="158"/>
      <c r="J317" s="158"/>
      <c r="L317" s="158"/>
      <c r="N317" s="158"/>
      <c r="P317" s="20"/>
    </row>
    <row r="318">
      <c r="B318" s="158"/>
      <c r="D318" s="158"/>
      <c r="F318" s="158"/>
      <c r="G318" s="162"/>
      <c r="H318" s="158"/>
      <c r="J318" s="158"/>
      <c r="L318" s="158"/>
      <c r="N318" s="158"/>
      <c r="P318" s="20"/>
    </row>
    <row r="319">
      <c r="B319" s="158"/>
      <c r="D319" s="158"/>
      <c r="F319" s="158"/>
      <c r="G319" s="162"/>
      <c r="H319" s="158"/>
      <c r="J319" s="158"/>
      <c r="L319" s="158"/>
      <c r="N319" s="158"/>
      <c r="P319" s="20"/>
    </row>
    <row r="320">
      <c r="B320" s="158"/>
      <c r="D320" s="158"/>
      <c r="F320" s="158"/>
      <c r="G320" s="162"/>
      <c r="H320" s="158"/>
      <c r="J320" s="158"/>
      <c r="L320" s="158"/>
      <c r="N320" s="158"/>
      <c r="P320" s="20"/>
    </row>
    <row r="321">
      <c r="B321" s="158"/>
      <c r="D321" s="158"/>
      <c r="F321" s="158"/>
      <c r="G321" s="162"/>
      <c r="H321" s="158"/>
      <c r="J321" s="158"/>
      <c r="L321" s="158"/>
      <c r="N321" s="158"/>
      <c r="P321" s="20"/>
    </row>
    <row r="322">
      <c r="B322" s="158"/>
      <c r="D322" s="158"/>
      <c r="F322" s="158"/>
      <c r="G322" s="162"/>
      <c r="H322" s="158"/>
      <c r="J322" s="158"/>
      <c r="L322" s="158"/>
      <c r="N322" s="158"/>
      <c r="P322" s="20"/>
    </row>
    <row r="323">
      <c r="B323" s="158"/>
      <c r="D323" s="158"/>
      <c r="F323" s="158"/>
      <c r="G323" s="162"/>
      <c r="H323" s="158"/>
      <c r="J323" s="158"/>
      <c r="L323" s="158"/>
      <c r="N323" s="158"/>
      <c r="P323" s="20"/>
    </row>
    <row r="324">
      <c r="B324" s="158"/>
      <c r="D324" s="158"/>
      <c r="F324" s="158"/>
      <c r="G324" s="162"/>
      <c r="H324" s="158"/>
      <c r="J324" s="158"/>
      <c r="L324" s="158"/>
      <c r="N324" s="158"/>
      <c r="P324" s="20"/>
    </row>
    <row r="325">
      <c r="B325" s="158"/>
      <c r="D325" s="158"/>
      <c r="F325" s="158"/>
      <c r="G325" s="162"/>
      <c r="H325" s="158"/>
      <c r="J325" s="158"/>
      <c r="L325" s="158"/>
      <c r="N325" s="158"/>
      <c r="P325" s="20"/>
    </row>
    <row r="326">
      <c r="B326" s="158"/>
      <c r="D326" s="158"/>
      <c r="F326" s="158"/>
      <c r="G326" s="162"/>
      <c r="H326" s="158"/>
      <c r="J326" s="158"/>
      <c r="L326" s="158"/>
      <c r="N326" s="158"/>
      <c r="P326" s="20"/>
    </row>
    <row r="327">
      <c r="B327" s="158"/>
      <c r="D327" s="158"/>
      <c r="F327" s="158"/>
      <c r="G327" s="162"/>
      <c r="H327" s="158"/>
      <c r="J327" s="158"/>
      <c r="L327" s="158"/>
      <c r="N327" s="158"/>
      <c r="P327" s="20"/>
    </row>
    <row r="328">
      <c r="B328" s="158"/>
      <c r="D328" s="158"/>
      <c r="F328" s="158"/>
      <c r="G328" s="162"/>
      <c r="H328" s="158"/>
      <c r="J328" s="158"/>
      <c r="L328" s="158"/>
      <c r="N328" s="158"/>
      <c r="P328" s="20"/>
    </row>
    <row r="329">
      <c r="B329" s="158"/>
      <c r="D329" s="158"/>
      <c r="F329" s="158"/>
      <c r="G329" s="162"/>
      <c r="H329" s="158"/>
      <c r="J329" s="158"/>
      <c r="L329" s="158"/>
      <c r="N329" s="158"/>
      <c r="P329" s="20"/>
    </row>
    <row r="330">
      <c r="B330" s="158"/>
      <c r="D330" s="158"/>
      <c r="F330" s="158"/>
      <c r="G330" s="162"/>
      <c r="H330" s="158"/>
      <c r="J330" s="158"/>
      <c r="L330" s="158"/>
      <c r="N330" s="158"/>
      <c r="P330" s="20"/>
    </row>
    <row r="331">
      <c r="B331" s="158"/>
      <c r="D331" s="158"/>
      <c r="F331" s="158"/>
      <c r="G331" s="162"/>
      <c r="H331" s="158"/>
      <c r="J331" s="158"/>
      <c r="L331" s="158"/>
      <c r="N331" s="158"/>
      <c r="P331" s="20"/>
    </row>
    <row r="332">
      <c r="B332" s="158"/>
      <c r="D332" s="158"/>
      <c r="F332" s="158"/>
      <c r="G332" s="162"/>
      <c r="H332" s="158"/>
      <c r="J332" s="158"/>
      <c r="L332" s="158"/>
      <c r="N332" s="158"/>
      <c r="P332" s="20"/>
    </row>
    <row r="333">
      <c r="B333" s="158"/>
      <c r="D333" s="158"/>
      <c r="F333" s="158"/>
      <c r="G333" s="162"/>
      <c r="H333" s="158"/>
      <c r="J333" s="158"/>
      <c r="L333" s="158"/>
      <c r="N333" s="158"/>
      <c r="P333" s="20"/>
    </row>
    <row r="334">
      <c r="B334" s="158"/>
      <c r="D334" s="158"/>
      <c r="F334" s="158"/>
      <c r="G334" s="162"/>
      <c r="H334" s="158"/>
      <c r="J334" s="158"/>
      <c r="L334" s="158"/>
      <c r="N334" s="158"/>
      <c r="P334" s="20"/>
    </row>
    <row r="335">
      <c r="B335" s="158"/>
      <c r="D335" s="158"/>
      <c r="F335" s="158"/>
      <c r="G335" s="162"/>
      <c r="H335" s="158"/>
      <c r="J335" s="158"/>
      <c r="L335" s="158"/>
      <c r="N335" s="158"/>
      <c r="P335" s="20"/>
    </row>
    <row r="336">
      <c r="B336" s="158"/>
      <c r="D336" s="158"/>
      <c r="F336" s="158"/>
      <c r="G336" s="162"/>
      <c r="H336" s="158"/>
      <c r="J336" s="158"/>
      <c r="L336" s="158"/>
      <c r="N336" s="158"/>
      <c r="P336" s="20"/>
    </row>
    <row r="337">
      <c r="B337" s="158"/>
      <c r="D337" s="158"/>
      <c r="F337" s="158"/>
      <c r="G337" s="162"/>
      <c r="H337" s="158"/>
      <c r="J337" s="158"/>
      <c r="L337" s="158"/>
      <c r="N337" s="158"/>
      <c r="P337" s="20"/>
    </row>
    <row r="338">
      <c r="B338" s="158"/>
      <c r="D338" s="158"/>
      <c r="F338" s="158"/>
      <c r="G338" s="162"/>
      <c r="H338" s="158"/>
      <c r="J338" s="158"/>
      <c r="L338" s="158"/>
      <c r="N338" s="158"/>
      <c r="P338" s="20"/>
    </row>
    <row r="339">
      <c r="B339" s="158"/>
      <c r="D339" s="158"/>
      <c r="F339" s="158"/>
      <c r="G339" s="162"/>
      <c r="H339" s="158"/>
      <c r="J339" s="158"/>
      <c r="L339" s="158"/>
      <c r="N339" s="158"/>
      <c r="P339" s="20"/>
    </row>
    <row r="340">
      <c r="B340" s="158"/>
      <c r="D340" s="158"/>
      <c r="F340" s="158"/>
      <c r="G340" s="162"/>
      <c r="H340" s="158"/>
      <c r="J340" s="158"/>
      <c r="L340" s="158"/>
      <c r="N340" s="158"/>
      <c r="P340" s="20"/>
    </row>
    <row r="341">
      <c r="B341" s="158"/>
      <c r="D341" s="158"/>
      <c r="F341" s="158"/>
      <c r="G341" s="162"/>
      <c r="H341" s="158"/>
      <c r="J341" s="158"/>
      <c r="L341" s="158"/>
      <c r="N341" s="158"/>
      <c r="P341" s="20"/>
    </row>
    <row r="342">
      <c r="B342" s="158"/>
      <c r="D342" s="158"/>
      <c r="F342" s="158"/>
      <c r="G342" s="162"/>
      <c r="H342" s="158"/>
      <c r="J342" s="158"/>
      <c r="L342" s="158"/>
      <c r="N342" s="158"/>
      <c r="P342" s="20"/>
    </row>
    <row r="343">
      <c r="B343" s="158"/>
      <c r="D343" s="158"/>
      <c r="F343" s="158"/>
      <c r="G343" s="162"/>
      <c r="H343" s="158"/>
      <c r="J343" s="158"/>
      <c r="L343" s="158"/>
      <c r="N343" s="158"/>
      <c r="P343" s="20"/>
    </row>
    <row r="344">
      <c r="B344" s="158"/>
      <c r="D344" s="158"/>
      <c r="F344" s="158"/>
      <c r="G344" s="162"/>
      <c r="H344" s="158"/>
      <c r="J344" s="158"/>
      <c r="L344" s="158"/>
      <c r="N344" s="158"/>
      <c r="P344" s="20"/>
    </row>
    <row r="345">
      <c r="B345" s="158"/>
      <c r="D345" s="158"/>
      <c r="F345" s="158"/>
      <c r="G345" s="162"/>
      <c r="H345" s="158"/>
      <c r="J345" s="158"/>
      <c r="L345" s="158"/>
      <c r="N345" s="158"/>
      <c r="P345" s="20"/>
    </row>
    <row r="346">
      <c r="B346" s="158"/>
      <c r="D346" s="158"/>
      <c r="F346" s="158"/>
      <c r="G346" s="162"/>
      <c r="H346" s="158"/>
      <c r="J346" s="158"/>
      <c r="L346" s="158"/>
      <c r="N346" s="158"/>
      <c r="P346" s="20"/>
    </row>
    <row r="347">
      <c r="B347" s="158"/>
      <c r="D347" s="158"/>
      <c r="F347" s="158"/>
      <c r="G347" s="162"/>
      <c r="H347" s="158"/>
      <c r="J347" s="158"/>
      <c r="L347" s="158"/>
      <c r="N347" s="158"/>
      <c r="P347" s="20"/>
    </row>
    <row r="348">
      <c r="B348" s="158"/>
      <c r="D348" s="158"/>
      <c r="F348" s="158"/>
      <c r="G348" s="162"/>
      <c r="H348" s="158"/>
      <c r="J348" s="158"/>
      <c r="L348" s="158"/>
      <c r="N348" s="158"/>
      <c r="P348" s="20"/>
    </row>
    <row r="349">
      <c r="B349" s="158"/>
      <c r="D349" s="158"/>
      <c r="F349" s="158"/>
      <c r="G349" s="162"/>
      <c r="H349" s="158"/>
      <c r="J349" s="158"/>
      <c r="L349" s="158"/>
      <c r="N349" s="158"/>
      <c r="P349" s="20"/>
    </row>
    <row r="350">
      <c r="B350" s="158"/>
      <c r="D350" s="158"/>
      <c r="F350" s="158"/>
      <c r="G350" s="162"/>
      <c r="H350" s="158"/>
      <c r="J350" s="158"/>
      <c r="L350" s="158"/>
      <c r="N350" s="158"/>
      <c r="P350" s="20"/>
    </row>
    <row r="351">
      <c r="B351" s="158"/>
      <c r="D351" s="158"/>
      <c r="F351" s="158"/>
      <c r="G351" s="162"/>
      <c r="H351" s="158"/>
      <c r="J351" s="158"/>
      <c r="L351" s="158"/>
      <c r="N351" s="158"/>
      <c r="P351" s="20"/>
    </row>
    <row r="352">
      <c r="B352" s="158"/>
      <c r="D352" s="158"/>
      <c r="F352" s="158"/>
      <c r="G352" s="162"/>
      <c r="H352" s="158"/>
      <c r="J352" s="158"/>
      <c r="L352" s="158"/>
      <c r="N352" s="158"/>
      <c r="P352" s="20"/>
    </row>
    <row r="353">
      <c r="B353" s="158"/>
      <c r="D353" s="158"/>
      <c r="F353" s="158"/>
      <c r="G353" s="162"/>
      <c r="H353" s="158"/>
      <c r="J353" s="158"/>
      <c r="L353" s="158"/>
      <c r="N353" s="158"/>
      <c r="P353" s="20"/>
    </row>
    <row r="354">
      <c r="B354" s="158"/>
      <c r="D354" s="158"/>
      <c r="F354" s="158"/>
      <c r="G354" s="162"/>
      <c r="H354" s="158"/>
      <c r="J354" s="158"/>
      <c r="L354" s="158"/>
      <c r="N354" s="158"/>
      <c r="P354" s="20"/>
    </row>
    <row r="355">
      <c r="B355" s="158"/>
      <c r="D355" s="158"/>
      <c r="F355" s="158"/>
      <c r="G355" s="162"/>
      <c r="H355" s="158"/>
      <c r="J355" s="158"/>
      <c r="L355" s="158"/>
      <c r="N355" s="158"/>
      <c r="P355" s="20"/>
    </row>
    <row r="356">
      <c r="B356" s="158"/>
      <c r="D356" s="158"/>
      <c r="F356" s="158"/>
      <c r="G356" s="162"/>
      <c r="H356" s="158"/>
      <c r="J356" s="158"/>
      <c r="L356" s="158"/>
      <c r="N356" s="158"/>
      <c r="P356" s="20"/>
    </row>
    <row r="357">
      <c r="B357" s="158"/>
      <c r="D357" s="158"/>
      <c r="F357" s="158"/>
      <c r="G357" s="162"/>
      <c r="H357" s="158"/>
      <c r="J357" s="158"/>
      <c r="L357" s="158"/>
      <c r="N357" s="158"/>
      <c r="P357" s="20"/>
    </row>
    <row r="358">
      <c r="B358" s="158"/>
      <c r="D358" s="158"/>
      <c r="F358" s="158"/>
      <c r="G358" s="162"/>
      <c r="H358" s="158"/>
      <c r="J358" s="158"/>
      <c r="L358" s="158"/>
      <c r="N358" s="158"/>
      <c r="P358" s="20"/>
    </row>
    <row r="359">
      <c r="B359" s="158"/>
      <c r="D359" s="158"/>
      <c r="F359" s="158"/>
      <c r="G359" s="162"/>
      <c r="H359" s="158"/>
      <c r="J359" s="158"/>
      <c r="L359" s="158"/>
      <c r="N359" s="158"/>
      <c r="P359" s="20"/>
    </row>
    <row r="360">
      <c r="B360" s="158"/>
      <c r="D360" s="158"/>
      <c r="F360" s="158"/>
      <c r="G360" s="162"/>
      <c r="H360" s="158"/>
      <c r="J360" s="158"/>
      <c r="L360" s="158"/>
      <c r="N360" s="158"/>
      <c r="P360" s="20"/>
    </row>
    <row r="361">
      <c r="B361" s="158"/>
      <c r="D361" s="158"/>
      <c r="F361" s="158"/>
      <c r="G361" s="162"/>
      <c r="H361" s="158"/>
      <c r="J361" s="158"/>
      <c r="L361" s="158"/>
      <c r="N361" s="158"/>
      <c r="P361" s="20"/>
    </row>
    <row r="362">
      <c r="B362" s="158"/>
      <c r="D362" s="158"/>
      <c r="F362" s="158"/>
      <c r="G362" s="162"/>
      <c r="H362" s="158"/>
      <c r="J362" s="158"/>
      <c r="L362" s="158"/>
      <c r="N362" s="158"/>
      <c r="P362" s="20"/>
    </row>
    <row r="363">
      <c r="B363" s="158"/>
      <c r="D363" s="158"/>
      <c r="F363" s="158"/>
      <c r="G363" s="162"/>
      <c r="H363" s="158"/>
      <c r="J363" s="158"/>
      <c r="L363" s="158"/>
      <c r="N363" s="158"/>
      <c r="P363" s="20"/>
    </row>
    <row r="364">
      <c r="B364" s="158"/>
      <c r="D364" s="158"/>
      <c r="F364" s="158"/>
      <c r="G364" s="162"/>
      <c r="H364" s="158"/>
      <c r="J364" s="158"/>
      <c r="L364" s="158"/>
      <c r="N364" s="158"/>
      <c r="P364" s="20"/>
    </row>
    <row r="365">
      <c r="B365" s="158"/>
      <c r="D365" s="158"/>
      <c r="F365" s="158"/>
      <c r="G365" s="162"/>
      <c r="H365" s="158"/>
      <c r="J365" s="158"/>
      <c r="L365" s="158"/>
      <c r="N365" s="158"/>
      <c r="P365" s="20"/>
    </row>
    <row r="366">
      <c r="B366" s="158"/>
      <c r="D366" s="158"/>
      <c r="F366" s="158"/>
      <c r="G366" s="162"/>
      <c r="H366" s="158"/>
      <c r="J366" s="158"/>
      <c r="L366" s="158"/>
      <c r="N366" s="158"/>
      <c r="P366" s="20"/>
    </row>
    <row r="367">
      <c r="B367" s="158"/>
      <c r="D367" s="158"/>
      <c r="F367" s="158"/>
      <c r="G367" s="162"/>
      <c r="H367" s="158"/>
      <c r="J367" s="158"/>
      <c r="L367" s="158"/>
      <c r="N367" s="158"/>
      <c r="P367" s="20"/>
    </row>
    <row r="368">
      <c r="B368" s="158"/>
      <c r="D368" s="158"/>
      <c r="F368" s="158"/>
      <c r="G368" s="162"/>
      <c r="H368" s="158"/>
      <c r="J368" s="158"/>
      <c r="L368" s="158"/>
      <c r="N368" s="158"/>
      <c r="P368" s="20"/>
    </row>
    <row r="369">
      <c r="B369" s="158"/>
      <c r="D369" s="158"/>
      <c r="F369" s="158"/>
      <c r="G369" s="162"/>
      <c r="H369" s="158"/>
      <c r="J369" s="158"/>
      <c r="L369" s="158"/>
      <c r="N369" s="158"/>
      <c r="P369" s="20"/>
    </row>
    <row r="370">
      <c r="B370" s="158"/>
      <c r="D370" s="158"/>
      <c r="F370" s="158"/>
      <c r="G370" s="162"/>
      <c r="H370" s="158"/>
      <c r="J370" s="158"/>
      <c r="L370" s="158"/>
      <c r="N370" s="158"/>
      <c r="P370" s="20"/>
    </row>
    <row r="371">
      <c r="B371" s="158"/>
      <c r="D371" s="158"/>
      <c r="F371" s="158"/>
      <c r="G371" s="162"/>
      <c r="H371" s="158"/>
      <c r="J371" s="158"/>
      <c r="L371" s="158"/>
      <c r="N371" s="158"/>
      <c r="P371" s="20"/>
    </row>
    <row r="372">
      <c r="B372" s="158"/>
      <c r="D372" s="158"/>
      <c r="F372" s="158"/>
      <c r="G372" s="162"/>
      <c r="H372" s="158"/>
      <c r="J372" s="158"/>
      <c r="L372" s="158"/>
      <c r="N372" s="158"/>
      <c r="P372" s="20"/>
    </row>
    <row r="373">
      <c r="B373" s="158"/>
      <c r="D373" s="158"/>
      <c r="F373" s="158"/>
      <c r="G373" s="162"/>
      <c r="H373" s="158"/>
      <c r="J373" s="158"/>
      <c r="L373" s="158"/>
      <c r="N373" s="158"/>
      <c r="P373" s="20"/>
    </row>
    <row r="374">
      <c r="B374" s="158"/>
      <c r="D374" s="158"/>
      <c r="F374" s="158"/>
      <c r="G374" s="162"/>
      <c r="H374" s="158"/>
      <c r="J374" s="158"/>
      <c r="L374" s="158"/>
      <c r="N374" s="158"/>
      <c r="P374" s="20"/>
    </row>
    <row r="375">
      <c r="B375" s="158"/>
      <c r="D375" s="158"/>
      <c r="F375" s="158"/>
      <c r="G375" s="162"/>
      <c r="H375" s="158"/>
      <c r="J375" s="158"/>
      <c r="L375" s="158"/>
      <c r="N375" s="158"/>
      <c r="P375" s="20"/>
    </row>
    <row r="376">
      <c r="B376" s="158"/>
      <c r="D376" s="158"/>
      <c r="F376" s="158"/>
      <c r="G376" s="162"/>
      <c r="H376" s="158"/>
      <c r="J376" s="158"/>
      <c r="L376" s="158"/>
      <c r="N376" s="158"/>
      <c r="P376" s="20"/>
    </row>
    <row r="377">
      <c r="B377" s="158"/>
      <c r="D377" s="158"/>
      <c r="F377" s="158"/>
      <c r="G377" s="162"/>
      <c r="H377" s="158"/>
      <c r="J377" s="158"/>
      <c r="L377" s="158"/>
      <c r="N377" s="158"/>
      <c r="P377" s="20"/>
    </row>
    <row r="378">
      <c r="B378" s="158"/>
      <c r="D378" s="158"/>
      <c r="F378" s="158"/>
      <c r="G378" s="162"/>
      <c r="H378" s="158"/>
      <c r="J378" s="158"/>
      <c r="L378" s="158"/>
      <c r="N378" s="158"/>
      <c r="P378" s="20"/>
    </row>
    <row r="379">
      <c r="B379" s="158"/>
      <c r="D379" s="158"/>
      <c r="F379" s="158"/>
      <c r="G379" s="162"/>
      <c r="H379" s="158"/>
      <c r="J379" s="158"/>
      <c r="L379" s="158"/>
      <c r="N379" s="158"/>
      <c r="P379" s="20"/>
    </row>
    <row r="380">
      <c r="B380" s="158"/>
      <c r="D380" s="158"/>
      <c r="F380" s="158"/>
      <c r="G380" s="162"/>
      <c r="H380" s="158"/>
      <c r="J380" s="158"/>
      <c r="L380" s="158"/>
      <c r="N380" s="158"/>
      <c r="P380" s="20"/>
    </row>
    <row r="381">
      <c r="B381" s="158"/>
      <c r="D381" s="158"/>
      <c r="F381" s="158"/>
      <c r="G381" s="162"/>
      <c r="H381" s="158"/>
      <c r="J381" s="158"/>
      <c r="L381" s="158"/>
      <c r="N381" s="158"/>
      <c r="P381" s="20"/>
    </row>
    <row r="382">
      <c r="B382" s="158"/>
      <c r="D382" s="158"/>
      <c r="F382" s="158"/>
      <c r="G382" s="162"/>
      <c r="H382" s="158"/>
      <c r="J382" s="158"/>
      <c r="L382" s="158"/>
      <c r="N382" s="158"/>
      <c r="P382" s="20"/>
    </row>
    <row r="383">
      <c r="B383" s="158"/>
      <c r="D383" s="158"/>
      <c r="F383" s="158"/>
      <c r="G383" s="162"/>
      <c r="H383" s="158"/>
      <c r="J383" s="158"/>
      <c r="L383" s="158"/>
      <c r="N383" s="158"/>
      <c r="P383" s="20"/>
    </row>
    <row r="384">
      <c r="B384" s="158"/>
      <c r="D384" s="158"/>
      <c r="F384" s="158"/>
      <c r="G384" s="162"/>
      <c r="H384" s="158"/>
      <c r="J384" s="158"/>
      <c r="L384" s="158"/>
      <c r="N384" s="158"/>
      <c r="P384" s="20"/>
    </row>
    <row r="385">
      <c r="B385" s="158"/>
      <c r="D385" s="158"/>
      <c r="F385" s="158"/>
      <c r="G385" s="162"/>
      <c r="H385" s="158"/>
      <c r="J385" s="158"/>
      <c r="L385" s="158"/>
      <c r="N385" s="158"/>
      <c r="P385" s="20"/>
    </row>
    <row r="386">
      <c r="B386" s="158"/>
      <c r="D386" s="158"/>
      <c r="F386" s="158"/>
      <c r="G386" s="162"/>
      <c r="H386" s="158"/>
      <c r="J386" s="158"/>
      <c r="L386" s="158"/>
      <c r="N386" s="158"/>
      <c r="P386" s="20"/>
    </row>
    <row r="387">
      <c r="B387" s="158"/>
      <c r="D387" s="158"/>
      <c r="F387" s="158"/>
      <c r="G387" s="162"/>
      <c r="H387" s="158"/>
      <c r="J387" s="158"/>
      <c r="L387" s="158"/>
      <c r="N387" s="158"/>
      <c r="P387" s="20"/>
    </row>
    <row r="388">
      <c r="B388" s="158"/>
      <c r="D388" s="158"/>
      <c r="F388" s="158"/>
      <c r="G388" s="162"/>
      <c r="H388" s="158"/>
      <c r="J388" s="158"/>
      <c r="L388" s="158"/>
      <c r="N388" s="158"/>
      <c r="P388" s="20"/>
    </row>
    <row r="389">
      <c r="B389" s="158"/>
      <c r="D389" s="158"/>
      <c r="F389" s="158"/>
      <c r="G389" s="162"/>
      <c r="H389" s="158"/>
      <c r="J389" s="158"/>
      <c r="L389" s="158"/>
      <c r="N389" s="158"/>
      <c r="P389" s="20"/>
    </row>
    <row r="390">
      <c r="B390" s="158"/>
      <c r="D390" s="158"/>
      <c r="F390" s="158"/>
      <c r="G390" s="162"/>
      <c r="H390" s="158"/>
      <c r="J390" s="158"/>
      <c r="L390" s="158"/>
      <c r="N390" s="158"/>
      <c r="P390" s="20"/>
    </row>
    <row r="391">
      <c r="B391" s="158"/>
      <c r="D391" s="158"/>
      <c r="F391" s="158"/>
      <c r="G391" s="162"/>
      <c r="H391" s="158"/>
      <c r="J391" s="158"/>
      <c r="L391" s="158"/>
      <c r="N391" s="158"/>
      <c r="P391" s="20"/>
    </row>
    <row r="392">
      <c r="B392" s="158"/>
      <c r="D392" s="158"/>
      <c r="F392" s="158"/>
      <c r="G392" s="162"/>
      <c r="H392" s="158"/>
      <c r="J392" s="158"/>
      <c r="L392" s="158"/>
      <c r="N392" s="158"/>
      <c r="P392" s="20"/>
    </row>
    <row r="393">
      <c r="B393" s="158"/>
      <c r="D393" s="158"/>
      <c r="F393" s="158"/>
      <c r="G393" s="162"/>
      <c r="H393" s="158"/>
      <c r="J393" s="158"/>
      <c r="L393" s="158"/>
      <c r="N393" s="158"/>
      <c r="P393" s="20"/>
    </row>
    <row r="394">
      <c r="B394" s="158"/>
      <c r="D394" s="158"/>
      <c r="F394" s="158"/>
      <c r="G394" s="162"/>
      <c r="H394" s="158"/>
      <c r="J394" s="158"/>
      <c r="L394" s="158"/>
      <c r="N394" s="158"/>
      <c r="P394" s="20"/>
    </row>
    <row r="395">
      <c r="B395" s="158"/>
      <c r="D395" s="158"/>
      <c r="F395" s="158"/>
      <c r="G395" s="162"/>
      <c r="H395" s="158"/>
      <c r="J395" s="158"/>
      <c r="L395" s="158"/>
      <c r="N395" s="158"/>
      <c r="P395" s="20"/>
    </row>
    <row r="396">
      <c r="B396" s="158"/>
      <c r="D396" s="158"/>
      <c r="F396" s="158"/>
      <c r="G396" s="162"/>
      <c r="H396" s="158"/>
      <c r="J396" s="158"/>
      <c r="L396" s="158"/>
      <c r="N396" s="158"/>
      <c r="P396" s="20"/>
    </row>
    <row r="397">
      <c r="B397" s="158"/>
      <c r="D397" s="158"/>
      <c r="F397" s="158"/>
      <c r="G397" s="162"/>
      <c r="H397" s="158"/>
      <c r="J397" s="158"/>
      <c r="L397" s="158"/>
      <c r="N397" s="158"/>
      <c r="P397" s="20"/>
    </row>
    <row r="398">
      <c r="B398" s="158"/>
      <c r="D398" s="158"/>
      <c r="F398" s="158"/>
      <c r="G398" s="162"/>
      <c r="H398" s="158"/>
      <c r="J398" s="158"/>
      <c r="L398" s="158"/>
      <c r="N398" s="158"/>
      <c r="P398" s="20"/>
    </row>
    <row r="399">
      <c r="B399" s="158"/>
      <c r="D399" s="158"/>
      <c r="F399" s="158"/>
      <c r="G399" s="162"/>
      <c r="H399" s="158"/>
      <c r="J399" s="158"/>
      <c r="L399" s="158"/>
      <c r="N399" s="158"/>
      <c r="P399" s="20"/>
    </row>
    <row r="400">
      <c r="B400" s="158"/>
      <c r="D400" s="158"/>
      <c r="F400" s="158"/>
      <c r="G400" s="162"/>
      <c r="H400" s="158"/>
      <c r="J400" s="158"/>
      <c r="L400" s="158"/>
      <c r="N400" s="158"/>
      <c r="P400" s="20"/>
    </row>
    <row r="401">
      <c r="B401" s="158"/>
      <c r="D401" s="158"/>
      <c r="F401" s="158"/>
      <c r="G401" s="162"/>
      <c r="H401" s="158"/>
      <c r="J401" s="158"/>
      <c r="L401" s="158"/>
      <c r="N401" s="158"/>
      <c r="P401" s="20"/>
    </row>
    <row r="402">
      <c r="B402" s="158"/>
      <c r="D402" s="158"/>
      <c r="F402" s="158"/>
      <c r="G402" s="162"/>
      <c r="H402" s="158"/>
      <c r="J402" s="158"/>
      <c r="L402" s="158"/>
      <c r="N402" s="158"/>
      <c r="P402" s="20"/>
    </row>
    <row r="403">
      <c r="B403" s="158"/>
      <c r="D403" s="158"/>
      <c r="F403" s="158"/>
      <c r="G403" s="162"/>
      <c r="H403" s="158"/>
      <c r="J403" s="158"/>
      <c r="L403" s="158"/>
      <c r="N403" s="158"/>
      <c r="P403" s="20"/>
    </row>
    <row r="404">
      <c r="B404" s="158"/>
      <c r="D404" s="158"/>
      <c r="F404" s="158"/>
      <c r="G404" s="162"/>
      <c r="H404" s="158"/>
      <c r="J404" s="158"/>
      <c r="L404" s="158"/>
      <c r="N404" s="158"/>
      <c r="P404" s="20"/>
    </row>
    <row r="405">
      <c r="B405" s="158"/>
      <c r="D405" s="158"/>
      <c r="F405" s="158"/>
      <c r="G405" s="162"/>
      <c r="H405" s="158"/>
      <c r="J405" s="158"/>
      <c r="L405" s="158"/>
      <c r="N405" s="158"/>
      <c r="P405" s="20"/>
    </row>
    <row r="406">
      <c r="B406" s="158"/>
      <c r="D406" s="158"/>
      <c r="F406" s="158"/>
      <c r="G406" s="162"/>
      <c r="H406" s="158"/>
      <c r="J406" s="158"/>
      <c r="L406" s="158"/>
      <c r="N406" s="158"/>
      <c r="P406" s="20"/>
    </row>
    <row r="407">
      <c r="B407" s="158"/>
      <c r="D407" s="158"/>
      <c r="F407" s="158"/>
      <c r="G407" s="162"/>
      <c r="H407" s="158"/>
      <c r="J407" s="158"/>
      <c r="L407" s="158"/>
      <c r="N407" s="158"/>
      <c r="P407" s="20"/>
    </row>
    <row r="408">
      <c r="B408" s="158"/>
      <c r="D408" s="158"/>
      <c r="F408" s="158"/>
      <c r="G408" s="162"/>
      <c r="H408" s="158"/>
      <c r="J408" s="158"/>
      <c r="L408" s="158"/>
      <c r="N408" s="158"/>
      <c r="P408" s="20"/>
    </row>
    <row r="409">
      <c r="B409" s="158"/>
      <c r="D409" s="158"/>
      <c r="F409" s="158"/>
      <c r="G409" s="162"/>
      <c r="H409" s="158"/>
      <c r="J409" s="158"/>
      <c r="L409" s="158"/>
      <c r="N409" s="158"/>
      <c r="P409" s="20"/>
    </row>
    <row r="410">
      <c r="B410" s="158"/>
      <c r="D410" s="158"/>
      <c r="F410" s="158"/>
      <c r="G410" s="162"/>
      <c r="H410" s="158"/>
      <c r="J410" s="158"/>
      <c r="L410" s="158"/>
      <c r="N410" s="158"/>
      <c r="P410" s="20"/>
    </row>
    <row r="411">
      <c r="B411" s="158"/>
      <c r="D411" s="158"/>
      <c r="F411" s="158"/>
      <c r="G411" s="162"/>
      <c r="H411" s="158"/>
      <c r="J411" s="158"/>
      <c r="L411" s="158"/>
      <c r="N411" s="158"/>
      <c r="P411" s="20"/>
    </row>
    <row r="412">
      <c r="B412" s="158"/>
      <c r="D412" s="158"/>
      <c r="F412" s="158"/>
      <c r="G412" s="162"/>
      <c r="H412" s="158"/>
      <c r="J412" s="158"/>
      <c r="L412" s="158"/>
      <c r="N412" s="158"/>
      <c r="P412" s="20"/>
    </row>
    <row r="413">
      <c r="B413" s="158"/>
      <c r="D413" s="158"/>
      <c r="F413" s="158"/>
      <c r="G413" s="162"/>
      <c r="H413" s="158"/>
      <c r="J413" s="158"/>
      <c r="L413" s="158"/>
      <c r="N413" s="158"/>
      <c r="P413" s="20"/>
    </row>
    <row r="414">
      <c r="B414" s="158"/>
      <c r="D414" s="158"/>
      <c r="F414" s="158"/>
      <c r="G414" s="162"/>
      <c r="H414" s="158"/>
      <c r="J414" s="158"/>
      <c r="L414" s="158"/>
      <c r="N414" s="158"/>
      <c r="P414" s="20"/>
    </row>
    <row r="415">
      <c r="B415" s="158"/>
      <c r="D415" s="158"/>
      <c r="F415" s="158"/>
      <c r="G415" s="162"/>
      <c r="H415" s="158"/>
      <c r="J415" s="158"/>
      <c r="L415" s="158"/>
      <c r="N415" s="158"/>
      <c r="P415" s="20"/>
    </row>
    <row r="416">
      <c r="B416" s="158"/>
      <c r="D416" s="158"/>
      <c r="F416" s="158"/>
      <c r="G416" s="162"/>
      <c r="H416" s="158"/>
      <c r="J416" s="158"/>
      <c r="L416" s="158"/>
      <c r="N416" s="158"/>
      <c r="P416" s="20"/>
    </row>
    <row r="417">
      <c r="B417" s="158"/>
      <c r="D417" s="158"/>
      <c r="F417" s="158"/>
      <c r="G417" s="162"/>
      <c r="H417" s="158"/>
      <c r="J417" s="158"/>
      <c r="L417" s="158"/>
      <c r="N417" s="158"/>
      <c r="P417" s="20"/>
    </row>
    <row r="418">
      <c r="B418" s="158"/>
      <c r="D418" s="158"/>
      <c r="F418" s="158"/>
      <c r="G418" s="162"/>
      <c r="H418" s="158"/>
      <c r="J418" s="158"/>
      <c r="L418" s="158"/>
      <c r="N418" s="158"/>
      <c r="P418" s="20"/>
    </row>
    <row r="419">
      <c r="B419" s="158"/>
      <c r="D419" s="158"/>
      <c r="F419" s="158"/>
      <c r="G419" s="162"/>
      <c r="H419" s="158"/>
      <c r="J419" s="158"/>
      <c r="L419" s="158"/>
      <c r="N419" s="158"/>
      <c r="P419" s="20"/>
    </row>
    <row r="420">
      <c r="B420" s="158"/>
      <c r="D420" s="158"/>
      <c r="F420" s="158"/>
      <c r="G420" s="162"/>
      <c r="H420" s="158"/>
      <c r="J420" s="158"/>
      <c r="L420" s="158"/>
      <c r="N420" s="158"/>
      <c r="P420" s="20"/>
    </row>
    <row r="421">
      <c r="B421" s="158"/>
      <c r="D421" s="158"/>
      <c r="F421" s="158"/>
      <c r="G421" s="162"/>
      <c r="H421" s="158"/>
      <c r="J421" s="158"/>
      <c r="L421" s="158"/>
      <c r="N421" s="158"/>
      <c r="P421" s="20"/>
    </row>
    <row r="422">
      <c r="B422" s="158"/>
      <c r="D422" s="158"/>
      <c r="F422" s="158"/>
      <c r="G422" s="162"/>
      <c r="H422" s="158"/>
      <c r="J422" s="158"/>
      <c r="L422" s="158"/>
      <c r="N422" s="158"/>
      <c r="P422" s="20"/>
    </row>
    <row r="423">
      <c r="B423" s="158"/>
      <c r="D423" s="158"/>
      <c r="F423" s="158"/>
      <c r="G423" s="162"/>
      <c r="H423" s="158"/>
      <c r="J423" s="158"/>
      <c r="L423" s="158"/>
      <c r="N423" s="158"/>
      <c r="P423" s="20"/>
    </row>
    <row r="424">
      <c r="B424" s="158"/>
      <c r="D424" s="158"/>
      <c r="F424" s="158"/>
      <c r="G424" s="162"/>
      <c r="H424" s="158"/>
      <c r="J424" s="158"/>
      <c r="L424" s="158"/>
      <c r="N424" s="158"/>
      <c r="P424" s="20"/>
    </row>
    <row r="425">
      <c r="B425" s="158"/>
      <c r="D425" s="158"/>
      <c r="F425" s="158"/>
      <c r="G425" s="162"/>
      <c r="H425" s="158"/>
      <c r="J425" s="158"/>
      <c r="L425" s="158"/>
      <c r="N425" s="158"/>
      <c r="P425" s="20"/>
    </row>
    <row r="426">
      <c r="B426" s="158"/>
      <c r="D426" s="158"/>
      <c r="F426" s="158"/>
      <c r="G426" s="162"/>
      <c r="H426" s="158"/>
      <c r="J426" s="158"/>
      <c r="L426" s="158"/>
      <c r="N426" s="158"/>
      <c r="P426" s="20"/>
    </row>
    <row r="427">
      <c r="B427" s="158"/>
      <c r="D427" s="158"/>
      <c r="F427" s="158"/>
      <c r="G427" s="162"/>
      <c r="H427" s="158"/>
      <c r="J427" s="158"/>
      <c r="L427" s="158"/>
      <c r="N427" s="158"/>
      <c r="P427" s="20"/>
    </row>
    <row r="428">
      <c r="B428" s="158"/>
      <c r="D428" s="158"/>
      <c r="F428" s="158"/>
      <c r="G428" s="162"/>
      <c r="H428" s="158"/>
      <c r="J428" s="158"/>
      <c r="L428" s="158"/>
      <c r="N428" s="158"/>
      <c r="P428" s="20"/>
    </row>
    <row r="429">
      <c r="B429" s="158"/>
      <c r="D429" s="158"/>
      <c r="F429" s="158"/>
      <c r="G429" s="162"/>
      <c r="H429" s="158"/>
      <c r="J429" s="158"/>
      <c r="L429" s="158"/>
      <c r="N429" s="158"/>
      <c r="P429" s="20"/>
    </row>
    <row r="430">
      <c r="B430" s="158"/>
      <c r="D430" s="158"/>
      <c r="F430" s="158"/>
      <c r="G430" s="162"/>
      <c r="H430" s="158"/>
      <c r="J430" s="158"/>
      <c r="L430" s="158"/>
      <c r="N430" s="158"/>
      <c r="P430" s="20"/>
    </row>
    <row r="431">
      <c r="B431" s="158"/>
      <c r="D431" s="158"/>
      <c r="F431" s="158"/>
      <c r="G431" s="162"/>
      <c r="H431" s="158"/>
      <c r="J431" s="158"/>
      <c r="L431" s="158"/>
      <c r="N431" s="158"/>
      <c r="P431" s="20"/>
    </row>
    <row r="432">
      <c r="B432" s="158"/>
      <c r="D432" s="158"/>
      <c r="F432" s="158"/>
      <c r="G432" s="162"/>
      <c r="H432" s="158"/>
      <c r="J432" s="158"/>
      <c r="L432" s="158"/>
      <c r="N432" s="158"/>
      <c r="P432" s="20"/>
    </row>
    <row r="433">
      <c r="B433" s="158"/>
      <c r="D433" s="158"/>
      <c r="F433" s="158"/>
      <c r="G433" s="162"/>
      <c r="H433" s="158"/>
      <c r="J433" s="158"/>
      <c r="L433" s="158"/>
      <c r="N433" s="158"/>
      <c r="P433" s="20"/>
    </row>
    <row r="434">
      <c r="B434" s="158"/>
      <c r="D434" s="158"/>
      <c r="F434" s="158"/>
      <c r="G434" s="162"/>
      <c r="H434" s="158"/>
      <c r="J434" s="158"/>
      <c r="L434" s="158"/>
      <c r="N434" s="158"/>
      <c r="P434" s="20"/>
    </row>
    <row r="435">
      <c r="B435" s="158"/>
      <c r="D435" s="158"/>
      <c r="F435" s="158"/>
      <c r="G435" s="162"/>
      <c r="H435" s="158"/>
      <c r="J435" s="158"/>
      <c r="L435" s="158"/>
      <c r="N435" s="158"/>
      <c r="P435" s="20"/>
    </row>
    <row r="436">
      <c r="B436" s="158"/>
      <c r="D436" s="158"/>
      <c r="F436" s="158"/>
      <c r="G436" s="162"/>
      <c r="H436" s="158"/>
      <c r="J436" s="158"/>
      <c r="L436" s="158"/>
      <c r="N436" s="158"/>
      <c r="P436" s="20"/>
    </row>
    <row r="437">
      <c r="B437" s="158"/>
      <c r="D437" s="158"/>
      <c r="F437" s="158"/>
      <c r="G437" s="162"/>
      <c r="H437" s="158"/>
      <c r="J437" s="158"/>
      <c r="L437" s="158"/>
      <c r="N437" s="158"/>
      <c r="P437" s="20"/>
    </row>
    <row r="438">
      <c r="B438" s="158"/>
      <c r="D438" s="158"/>
      <c r="F438" s="158"/>
      <c r="G438" s="162"/>
      <c r="H438" s="158"/>
      <c r="J438" s="158"/>
      <c r="L438" s="158"/>
      <c r="N438" s="158"/>
      <c r="P438" s="20"/>
    </row>
    <row r="439">
      <c r="B439" s="158"/>
      <c r="D439" s="158"/>
      <c r="F439" s="158"/>
      <c r="G439" s="162"/>
      <c r="H439" s="158"/>
      <c r="J439" s="158"/>
      <c r="L439" s="158"/>
      <c r="N439" s="158"/>
      <c r="P439" s="20"/>
    </row>
    <row r="440">
      <c r="B440" s="158"/>
      <c r="D440" s="158"/>
      <c r="F440" s="158"/>
      <c r="G440" s="162"/>
      <c r="H440" s="158"/>
      <c r="J440" s="158"/>
      <c r="L440" s="158"/>
      <c r="N440" s="158"/>
      <c r="P440" s="20"/>
    </row>
    <row r="441">
      <c r="B441" s="158"/>
      <c r="D441" s="158"/>
      <c r="F441" s="158"/>
      <c r="G441" s="162"/>
      <c r="H441" s="158"/>
      <c r="J441" s="158"/>
      <c r="L441" s="158"/>
      <c r="N441" s="158"/>
      <c r="P441" s="20"/>
    </row>
    <row r="442">
      <c r="B442" s="158"/>
      <c r="D442" s="158"/>
      <c r="F442" s="158"/>
      <c r="G442" s="162"/>
      <c r="H442" s="158"/>
      <c r="J442" s="158"/>
      <c r="L442" s="158"/>
      <c r="N442" s="158"/>
      <c r="P442" s="20"/>
    </row>
    <row r="443">
      <c r="B443" s="158"/>
      <c r="D443" s="158"/>
      <c r="F443" s="158"/>
      <c r="G443" s="162"/>
      <c r="H443" s="158"/>
      <c r="J443" s="158"/>
      <c r="L443" s="158"/>
      <c r="N443" s="158"/>
      <c r="P443" s="20"/>
    </row>
    <row r="444">
      <c r="B444" s="158"/>
      <c r="D444" s="158"/>
      <c r="F444" s="158"/>
      <c r="G444" s="162"/>
      <c r="H444" s="158"/>
      <c r="J444" s="158"/>
      <c r="L444" s="158"/>
      <c r="N444" s="158"/>
      <c r="P444" s="20"/>
    </row>
    <row r="445">
      <c r="B445" s="158"/>
      <c r="D445" s="158"/>
      <c r="F445" s="158"/>
      <c r="G445" s="162"/>
      <c r="H445" s="158"/>
      <c r="J445" s="158"/>
      <c r="L445" s="158"/>
      <c r="N445" s="158"/>
      <c r="P445" s="20"/>
    </row>
    <row r="446">
      <c r="B446" s="158"/>
      <c r="D446" s="158"/>
      <c r="F446" s="158"/>
      <c r="G446" s="162"/>
      <c r="H446" s="158"/>
      <c r="J446" s="158"/>
      <c r="L446" s="158"/>
      <c r="N446" s="158"/>
      <c r="P446" s="20"/>
    </row>
    <row r="447">
      <c r="B447" s="158"/>
      <c r="D447" s="158"/>
      <c r="F447" s="158"/>
      <c r="G447" s="162"/>
      <c r="H447" s="158"/>
      <c r="J447" s="158"/>
      <c r="L447" s="158"/>
      <c r="N447" s="158"/>
      <c r="P447" s="20"/>
    </row>
    <row r="448">
      <c r="B448" s="158"/>
      <c r="D448" s="158"/>
      <c r="F448" s="158"/>
      <c r="G448" s="162"/>
      <c r="H448" s="158"/>
      <c r="J448" s="158"/>
      <c r="L448" s="158"/>
      <c r="N448" s="158"/>
      <c r="P448" s="20"/>
    </row>
    <row r="449">
      <c r="B449" s="158"/>
      <c r="D449" s="158"/>
      <c r="F449" s="158"/>
      <c r="G449" s="162"/>
      <c r="H449" s="158"/>
      <c r="J449" s="158"/>
      <c r="L449" s="158"/>
      <c r="N449" s="158"/>
      <c r="P449" s="20"/>
    </row>
    <row r="450">
      <c r="B450" s="158"/>
      <c r="D450" s="158"/>
      <c r="F450" s="158"/>
      <c r="G450" s="162"/>
      <c r="H450" s="158"/>
      <c r="J450" s="158"/>
      <c r="L450" s="158"/>
      <c r="N450" s="158"/>
      <c r="P450" s="20"/>
    </row>
    <row r="451">
      <c r="B451" s="158"/>
      <c r="D451" s="158"/>
      <c r="F451" s="158"/>
      <c r="G451" s="162"/>
      <c r="H451" s="158"/>
      <c r="J451" s="158"/>
      <c r="L451" s="158"/>
      <c r="N451" s="158"/>
      <c r="P451" s="20"/>
    </row>
    <row r="452">
      <c r="B452" s="158"/>
      <c r="D452" s="158"/>
      <c r="F452" s="158"/>
      <c r="G452" s="162"/>
      <c r="H452" s="158"/>
      <c r="J452" s="158"/>
      <c r="L452" s="158"/>
      <c r="N452" s="158"/>
      <c r="P452" s="20"/>
    </row>
    <row r="453">
      <c r="B453" s="158"/>
      <c r="D453" s="158"/>
      <c r="F453" s="158"/>
      <c r="G453" s="162"/>
      <c r="H453" s="158"/>
      <c r="J453" s="158"/>
      <c r="L453" s="158"/>
      <c r="N453" s="158"/>
      <c r="P453" s="20"/>
    </row>
    <row r="454">
      <c r="B454" s="158"/>
      <c r="D454" s="158"/>
      <c r="F454" s="158"/>
      <c r="G454" s="162"/>
      <c r="H454" s="158"/>
      <c r="J454" s="158"/>
      <c r="L454" s="158"/>
      <c r="N454" s="158"/>
      <c r="P454" s="20"/>
    </row>
    <row r="455">
      <c r="B455" s="158"/>
      <c r="D455" s="158"/>
      <c r="F455" s="158"/>
      <c r="G455" s="162"/>
      <c r="H455" s="158"/>
      <c r="J455" s="158"/>
      <c r="L455" s="158"/>
      <c r="N455" s="158"/>
      <c r="P455" s="20"/>
    </row>
    <row r="456">
      <c r="B456" s="158"/>
      <c r="D456" s="158"/>
      <c r="F456" s="158"/>
      <c r="G456" s="162"/>
      <c r="H456" s="158"/>
      <c r="J456" s="158"/>
      <c r="L456" s="158"/>
      <c r="N456" s="158"/>
      <c r="P456" s="20"/>
    </row>
    <row r="457">
      <c r="B457" s="158"/>
      <c r="D457" s="158"/>
      <c r="F457" s="158"/>
      <c r="G457" s="162"/>
      <c r="H457" s="158"/>
      <c r="J457" s="158"/>
      <c r="L457" s="158"/>
      <c r="N457" s="158"/>
      <c r="P457" s="20"/>
    </row>
    <row r="458">
      <c r="B458" s="158"/>
      <c r="D458" s="158"/>
      <c r="F458" s="158"/>
      <c r="G458" s="162"/>
      <c r="H458" s="158"/>
      <c r="J458" s="158"/>
      <c r="L458" s="158"/>
      <c r="N458" s="158"/>
      <c r="P458" s="20"/>
    </row>
    <row r="459">
      <c r="B459" s="158"/>
      <c r="D459" s="158"/>
      <c r="F459" s="158"/>
      <c r="G459" s="162"/>
      <c r="H459" s="158"/>
      <c r="J459" s="158"/>
      <c r="L459" s="158"/>
      <c r="N459" s="158"/>
      <c r="P459" s="20"/>
    </row>
    <row r="460">
      <c r="B460" s="158"/>
      <c r="D460" s="158"/>
      <c r="F460" s="158"/>
      <c r="G460" s="162"/>
      <c r="H460" s="158"/>
      <c r="J460" s="158"/>
      <c r="L460" s="158"/>
      <c r="N460" s="158"/>
      <c r="P460" s="20"/>
    </row>
    <row r="461">
      <c r="B461" s="158"/>
      <c r="D461" s="158"/>
      <c r="F461" s="158"/>
      <c r="G461" s="162"/>
      <c r="H461" s="158"/>
      <c r="J461" s="158"/>
      <c r="L461" s="158"/>
      <c r="N461" s="158"/>
      <c r="P461" s="20"/>
    </row>
    <row r="462">
      <c r="B462" s="158"/>
      <c r="D462" s="158"/>
      <c r="F462" s="158"/>
      <c r="G462" s="162"/>
      <c r="H462" s="158"/>
      <c r="J462" s="158"/>
      <c r="L462" s="158"/>
      <c r="N462" s="158"/>
      <c r="P462" s="20"/>
    </row>
    <row r="463">
      <c r="B463" s="158"/>
      <c r="D463" s="158"/>
      <c r="F463" s="158"/>
      <c r="G463" s="162"/>
      <c r="H463" s="158"/>
      <c r="J463" s="158"/>
      <c r="L463" s="158"/>
      <c r="N463" s="158"/>
      <c r="P463" s="20"/>
    </row>
    <row r="464">
      <c r="B464" s="158"/>
      <c r="D464" s="158"/>
      <c r="F464" s="158"/>
      <c r="G464" s="162"/>
      <c r="H464" s="158"/>
      <c r="J464" s="158"/>
      <c r="L464" s="158"/>
      <c r="N464" s="158"/>
      <c r="P464" s="20"/>
    </row>
    <row r="465">
      <c r="B465" s="158"/>
      <c r="D465" s="158"/>
      <c r="F465" s="158"/>
      <c r="G465" s="162"/>
      <c r="H465" s="158"/>
      <c r="J465" s="158"/>
      <c r="L465" s="158"/>
      <c r="N465" s="158"/>
      <c r="P465" s="20"/>
    </row>
    <row r="466">
      <c r="B466" s="158"/>
      <c r="D466" s="158"/>
      <c r="F466" s="158"/>
      <c r="G466" s="162"/>
      <c r="H466" s="158"/>
      <c r="J466" s="158"/>
      <c r="L466" s="158"/>
      <c r="N466" s="158"/>
      <c r="P466" s="20"/>
    </row>
    <row r="467">
      <c r="B467" s="158"/>
      <c r="D467" s="158"/>
      <c r="F467" s="158"/>
      <c r="G467" s="162"/>
      <c r="H467" s="158"/>
      <c r="J467" s="158"/>
      <c r="L467" s="158"/>
      <c r="N467" s="158"/>
      <c r="P467" s="20"/>
    </row>
    <row r="468">
      <c r="B468" s="158"/>
      <c r="D468" s="158"/>
      <c r="F468" s="158"/>
      <c r="G468" s="162"/>
      <c r="H468" s="158"/>
      <c r="J468" s="158"/>
      <c r="L468" s="158"/>
      <c r="N468" s="158"/>
      <c r="P468" s="20"/>
    </row>
    <row r="469">
      <c r="B469" s="158"/>
      <c r="D469" s="158"/>
      <c r="F469" s="158"/>
      <c r="G469" s="162"/>
      <c r="H469" s="158"/>
      <c r="J469" s="158"/>
      <c r="L469" s="158"/>
      <c r="N469" s="158"/>
      <c r="P469" s="20"/>
    </row>
    <row r="470">
      <c r="B470" s="158"/>
      <c r="D470" s="158"/>
      <c r="F470" s="158"/>
      <c r="G470" s="162"/>
      <c r="H470" s="158"/>
      <c r="J470" s="158"/>
      <c r="L470" s="158"/>
      <c r="N470" s="158"/>
      <c r="P470" s="20"/>
    </row>
    <row r="471">
      <c r="B471" s="158"/>
      <c r="D471" s="158"/>
      <c r="F471" s="158"/>
      <c r="G471" s="162"/>
      <c r="H471" s="158"/>
      <c r="J471" s="158"/>
      <c r="L471" s="158"/>
      <c r="N471" s="158"/>
      <c r="P471" s="20"/>
    </row>
    <row r="472">
      <c r="B472" s="158"/>
      <c r="D472" s="158"/>
      <c r="F472" s="158"/>
      <c r="G472" s="162"/>
      <c r="H472" s="158"/>
      <c r="J472" s="158"/>
      <c r="L472" s="158"/>
      <c r="N472" s="158"/>
      <c r="P472" s="20"/>
    </row>
    <row r="473">
      <c r="B473" s="158"/>
      <c r="D473" s="158"/>
      <c r="F473" s="158"/>
      <c r="G473" s="162"/>
      <c r="H473" s="158"/>
      <c r="J473" s="158"/>
      <c r="L473" s="158"/>
      <c r="N473" s="158"/>
      <c r="P473" s="20"/>
    </row>
    <row r="474">
      <c r="B474" s="158"/>
      <c r="D474" s="158"/>
      <c r="F474" s="158"/>
      <c r="G474" s="162"/>
      <c r="H474" s="158"/>
      <c r="J474" s="158"/>
      <c r="L474" s="158"/>
      <c r="N474" s="158"/>
      <c r="P474" s="20"/>
    </row>
    <row r="475">
      <c r="B475" s="158"/>
      <c r="D475" s="158"/>
      <c r="F475" s="158"/>
      <c r="G475" s="162"/>
      <c r="H475" s="158"/>
      <c r="J475" s="158"/>
      <c r="L475" s="158"/>
      <c r="N475" s="158"/>
      <c r="P475" s="20"/>
    </row>
    <row r="476">
      <c r="B476" s="158"/>
      <c r="D476" s="158"/>
      <c r="F476" s="158"/>
      <c r="G476" s="162"/>
      <c r="H476" s="158"/>
      <c r="J476" s="158"/>
      <c r="L476" s="158"/>
      <c r="N476" s="158"/>
      <c r="P476" s="20"/>
    </row>
    <row r="477">
      <c r="B477" s="158"/>
      <c r="D477" s="158"/>
      <c r="F477" s="158"/>
      <c r="G477" s="162"/>
      <c r="H477" s="158"/>
      <c r="J477" s="158"/>
      <c r="L477" s="158"/>
      <c r="N477" s="158"/>
      <c r="P477" s="20"/>
    </row>
    <row r="478">
      <c r="B478" s="158"/>
      <c r="D478" s="158"/>
      <c r="F478" s="158"/>
      <c r="G478" s="162"/>
      <c r="H478" s="158"/>
      <c r="J478" s="158"/>
      <c r="L478" s="158"/>
      <c r="N478" s="158"/>
      <c r="P478" s="20"/>
    </row>
    <row r="479">
      <c r="B479" s="158"/>
      <c r="D479" s="158"/>
      <c r="F479" s="158"/>
      <c r="G479" s="162"/>
      <c r="H479" s="158"/>
      <c r="J479" s="158"/>
      <c r="L479" s="158"/>
      <c r="N479" s="158"/>
      <c r="P479" s="20"/>
    </row>
    <row r="480">
      <c r="B480" s="158"/>
      <c r="D480" s="158"/>
      <c r="F480" s="158"/>
      <c r="G480" s="162"/>
      <c r="H480" s="158"/>
      <c r="J480" s="158"/>
      <c r="L480" s="158"/>
      <c r="N480" s="158"/>
      <c r="P480" s="20"/>
    </row>
    <row r="481">
      <c r="B481" s="158"/>
      <c r="D481" s="158"/>
      <c r="F481" s="158"/>
      <c r="G481" s="162"/>
      <c r="H481" s="158"/>
      <c r="J481" s="158"/>
      <c r="L481" s="158"/>
      <c r="N481" s="158"/>
      <c r="P481" s="20"/>
    </row>
    <row r="482">
      <c r="B482" s="158"/>
      <c r="D482" s="158"/>
      <c r="F482" s="158"/>
      <c r="G482" s="162"/>
      <c r="H482" s="158"/>
      <c r="J482" s="158"/>
      <c r="L482" s="158"/>
      <c r="N482" s="158"/>
      <c r="P482" s="20"/>
    </row>
    <row r="483">
      <c r="B483" s="158"/>
      <c r="D483" s="158"/>
      <c r="F483" s="158"/>
      <c r="G483" s="162"/>
      <c r="H483" s="158"/>
      <c r="J483" s="158"/>
      <c r="L483" s="158"/>
      <c r="N483" s="158"/>
      <c r="P483" s="20"/>
    </row>
    <row r="484">
      <c r="B484" s="158"/>
      <c r="D484" s="158"/>
      <c r="F484" s="158"/>
      <c r="G484" s="162"/>
      <c r="H484" s="158"/>
      <c r="J484" s="158"/>
      <c r="L484" s="158"/>
      <c r="N484" s="158"/>
      <c r="P484" s="20"/>
    </row>
    <row r="485">
      <c r="B485" s="158"/>
      <c r="D485" s="158"/>
      <c r="F485" s="158"/>
      <c r="G485" s="162"/>
      <c r="H485" s="158"/>
      <c r="J485" s="158"/>
      <c r="L485" s="158"/>
      <c r="N485" s="158"/>
      <c r="P485" s="20"/>
    </row>
    <row r="486">
      <c r="B486" s="158"/>
      <c r="D486" s="158"/>
      <c r="F486" s="158"/>
      <c r="G486" s="162"/>
      <c r="H486" s="158"/>
      <c r="J486" s="158"/>
      <c r="L486" s="158"/>
      <c r="N486" s="158"/>
      <c r="P486" s="20"/>
    </row>
    <row r="487">
      <c r="B487" s="158"/>
      <c r="D487" s="158"/>
      <c r="F487" s="158"/>
      <c r="G487" s="162"/>
      <c r="H487" s="158"/>
      <c r="J487" s="158"/>
      <c r="L487" s="158"/>
      <c r="N487" s="158"/>
      <c r="P487" s="20"/>
    </row>
    <row r="488">
      <c r="B488" s="158"/>
      <c r="D488" s="158"/>
      <c r="F488" s="158"/>
      <c r="G488" s="162"/>
      <c r="H488" s="158"/>
      <c r="J488" s="158"/>
      <c r="L488" s="158"/>
      <c r="N488" s="158"/>
      <c r="P488" s="20"/>
    </row>
    <row r="489">
      <c r="B489" s="158"/>
      <c r="D489" s="158"/>
      <c r="F489" s="158"/>
      <c r="G489" s="162"/>
      <c r="H489" s="158"/>
      <c r="J489" s="158"/>
      <c r="L489" s="158"/>
      <c r="N489" s="158"/>
      <c r="P489" s="20"/>
    </row>
    <row r="490">
      <c r="B490" s="158"/>
      <c r="D490" s="158"/>
      <c r="F490" s="158"/>
      <c r="G490" s="162"/>
      <c r="H490" s="158"/>
      <c r="J490" s="158"/>
      <c r="L490" s="158"/>
      <c r="N490" s="158"/>
      <c r="P490" s="20"/>
    </row>
    <row r="491">
      <c r="B491" s="158"/>
      <c r="D491" s="158"/>
      <c r="F491" s="158"/>
      <c r="G491" s="162"/>
      <c r="H491" s="158"/>
      <c r="J491" s="158"/>
      <c r="L491" s="158"/>
      <c r="N491" s="158"/>
      <c r="P491" s="20"/>
    </row>
    <row r="492">
      <c r="B492" s="158"/>
      <c r="D492" s="158"/>
      <c r="F492" s="158"/>
      <c r="G492" s="162"/>
      <c r="H492" s="158"/>
      <c r="J492" s="158"/>
      <c r="L492" s="158"/>
      <c r="N492" s="158"/>
      <c r="P492" s="20"/>
    </row>
    <row r="493">
      <c r="B493" s="158"/>
      <c r="D493" s="158"/>
      <c r="F493" s="158"/>
      <c r="G493" s="162"/>
      <c r="H493" s="158"/>
      <c r="J493" s="158"/>
      <c r="L493" s="158"/>
      <c r="N493" s="158"/>
      <c r="P493" s="20"/>
    </row>
    <row r="494">
      <c r="B494" s="158"/>
      <c r="D494" s="158"/>
      <c r="F494" s="158"/>
      <c r="G494" s="162"/>
      <c r="H494" s="158"/>
      <c r="J494" s="158"/>
      <c r="L494" s="158"/>
      <c r="N494" s="158"/>
      <c r="P494" s="20"/>
    </row>
    <row r="495">
      <c r="B495" s="158"/>
      <c r="D495" s="158"/>
      <c r="F495" s="158"/>
      <c r="G495" s="162"/>
      <c r="H495" s="158"/>
      <c r="J495" s="158"/>
      <c r="L495" s="158"/>
      <c r="N495" s="158"/>
      <c r="P495" s="20"/>
    </row>
    <row r="496">
      <c r="B496" s="158"/>
      <c r="D496" s="158"/>
      <c r="F496" s="158"/>
      <c r="G496" s="162"/>
      <c r="H496" s="158"/>
      <c r="J496" s="158"/>
      <c r="L496" s="158"/>
      <c r="N496" s="158"/>
      <c r="P496" s="20"/>
    </row>
    <row r="497">
      <c r="B497" s="158"/>
      <c r="D497" s="158"/>
      <c r="F497" s="158"/>
      <c r="G497" s="162"/>
      <c r="H497" s="158"/>
      <c r="J497" s="158"/>
      <c r="L497" s="158"/>
      <c r="N497" s="158"/>
      <c r="P497" s="20"/>
    </row>
    <row r="498">
      <c r="B498" s="158"/>
      <c r="D498" s="158"/>
      <c r="F498" s="158"/>
      <c r="G498" s="162"/>
      <c r="H498" s="158"/>
      <c r="J498" s="158"/>
      <c r="L498" s="158"/>
      <c r="N498" s="158"/>
      <c r="P498" s="20"/>
    </row>
    <row r="499">
      <c r="B499" s="158"/>
      <c r="D499" s="158"/>
      <c r="F499" s="158"/>
      <c r="G499" s="162"/>
      <c r="H499" s="158"/>
      <c r="J499" s="158"/>
      <c r="L499" s="158"/>
      <c r="N499" s="158"/>
      <c r="P499" s="20"/>
    </row>
    <row r="500">
      <c r="B500" s="158"/>
      <c r="D500" s="158"/>
      <c r="F500" s="158"/>
      <c r="G500" s="162"/>
      <c r="H500" s="158"/>
      <c r="J500" s="158"/>
      <c r="L500" s="158"/>
      <c r="N500" s="158"/>
      <c r="P500" s="20"/>
    </row>
    <row r="501">
      <c r="B501" s="158"/>
      <c r="D501" s="158"/>
      <c r="F501" s="158"/>
      <c r="G501" s="162"/>
      <c r="H501" s="158"/>
      <c r="J501" s="158"/>
      <c r="L501" s="158"/>
      <c r="N501" s="158"/>
      <c r="P501" s="20"/>
    </row>
    <row r="502">
      <c r="B502" s="158"/>
      <c r="D502" s="158"/>
      <c r="F502" s="158"/>
      <c r="G502" s="162"/>
      <c r="H502" s="158"/>
      <c r="J502" s="158"/>
      <c r="L502" s="158"/>
      <c r="N502" s="158"/>
      <c r="P502" s="20"/>
    </row>
    <row r="503">
      <c r="B503" s="158"/>
      <c r="D503" s="158"/>
      <c r="F503" s="158"/>
      <c r="G503" s="162"/>
      <c r="H503" s="158"/>
      <c r="J503" s="158"/>
      <c r="L503" s="158"/>
      <c r="N503" s="158"/>
      <c r="P503" s="20"/>
    </row>
    <row r="504">
      <c r="B504" s="158"/>
      <c r="D504" s="158"/>
      <c r="F504" s="158"/>
      <c r="G504" s="162"/>
      <c r="H504" s="158"/>
      <c r="J504" s="158"/>
      <c r="L504" s="158"/>
      <c r="N504" s="158"/>
      <c r="P504" s="20"/>
    </row>
    <row r="505">
      <c r="B505" s="158"/>
      <c r="D505" s="158"/>
      <c r="F505" s="158"/>
      <c r="G505" s="162"/>
      <c r="H505" s="158"/>
      <c r="J505" s="158"/>
      <c r="L505" s="158"/>
      <c r="N505" s="158"/>
      <c r="P505" s="20"/>
    </row>
    <row r="506">
      <c r="B506" s="158"/>
      <c r="D506" s="158"/>
      <c r="F506" s="158"/>
      <c r="G506" s="162"/>
      <c r="H506" s="158"/>
      <c r="J506" s="158"/>
      <c r="L506" s="158"/>
      <c r="N506" s="158"/>
      <c r="P506" s="20"/>
    </row>
    <row r="507">
      <c r="B507" s="158"/>
      <c r="D507" s="158"/>
      <c r="F507" s="158"/>
      <c r="G507" s="162"/>
      <c r="H507" s="158"/>
      <c r="J507" s="158"/>
      <c r="L507" s="158"/>
      <c r="N507" s="158"/>
      <c r="P507" s="20"/>
    </row>
    <row r="508">
      <c r="B508" s="158"/>
      <c r="D508" s="158"/>
      <c r="F508" s="158"/>
      <c r="G508" s="162"/>
      <c r="H508" s="158"/>
      <c r="J508" s="158"/>
      <c r="L508" s="158"/>
      <c r="N508" s="158"/>
      <c r="P508" s="20"/>
    </row>
    <row r="509">
      <c r="B509" s="158"/>
      <c r="D509" s="158"/>
      <c r="F509" s="158"/>
      <c r="G509" s="162"/>
      <c r="H509" s="158"/>
      <c r="J509" s="158"/>
      <c r="L509" s="158"/>
      <c r="N509" s="158"/>
      <c r="P509" s="20"/>
    </row>
    <row r="510">
      <c r="B510" s="158"/>
      <c r="D510" s="158"/>
      <c r="F510" s="158"/>
      <c r="G510" s="162"/>
      <c r="H510" s="158"/>
      <c r="J510" s="158"/>
      <c r="L510" s="158"/>
      <c r="N510" s="158"/>
      <c r="P510" s="20"/>
    </row>
    <row r="511">
      <c r="B511" s="158"/>
      <c r="D511" s="158"/>
      <c r="F511" s="158"/>
      <c r="G511" s="162"/>
      <c r="H511" s="158"/>
      <c r="J511" s="158"/>
      <c r="L511" s="158"/>
      <c r="N511" s="158"/>
      <c r="P511" s="20"/>
    </row>
    <row r="512">
      <c r="B512" s="158"/>
      <c r="D512" s="158"/>
      <c r="F512" s="158"/>
      <c r="G512" s="162"/>
      <c r="H512" s="158"/>
      <c r="J512" s="158"/>
      <c r="L512" s="158"/>
      <c r="N512" s="158"/>
      <c r="P512" s="20"/>
    </row>
    <row r="513">
      <c r="B513" s="158"/>
      <c r="D513" s="158"/>
      <c r="F513" s="158"/>
      <c r="G513" s="162"/>
      <c r="H513" s="158"/>
      <c r="J513" s="158"/>
      <c r="L513" s="158"/>
      <c r="N513" s="158"/>
      <c r="P513" s="20"/>
    </row>
    <row r="514">
      <c r="B514" s="158"/>
      <c r="D514" s="158"/>
      <c r="F514" s="158"/>
      <c r="G514" s="162"/>
      <c r="H514" s="158"/>
      <c r="J514" s="158"/>
      <c r="L514" s="158"/>
      <c r="N514" s="158"/>
      <c r="P514" s="20"/>
    </row>
    <row r="515">
      <c r="B515" s="158"/>
      <c r="D515" s="158"/>
      <c r="F515" s="158"/>
      <c r="G515" s="162"/>
      <c r="H515" s="158"/>
      <c r="J515" s="158"/>
      <c r="L515" s="158"/>
      <c r="N515" s="158"/>
      <c r="P515" s="20"/>
    </row>
    <row r="516">
      <c r="B516" s="158"/>
      <c r="D516" s="158"/>
      <c r="F516" s="158"/>
      <c r="G516" s="162"/>
      <c r="H516" s="158"/>
      <c r="J516" s="158"/>
      <c r="L516" s="158"/>
      <c r="N516" s="158"/>
      <c r="P516" s="20"/>
    </row>
    <row r="517">
      <c r="B517" s="158"/>
      <c r="D517" s="158"/>
      <c r="F517" s="158"/>
      <c r="G517" s="162"/>
      <c r="H517" s="158"/>
      <c r="J517" s="158"/>
      <c r="L517" s="158"/>
      <c r="N517" s="158"/>
      <c r="P517" s="20"/>
    </row>
    <row r="518">
      <c r="B518" s="158"/>
      <c r="D518" s="158"/>
      <c r="F518" s="158"/>
      <c r="G518" s="162"/>
      <c r="H518" s="158"/>
      <c r="J518" s="158"/>
      <c r="L518" s="158"/>
      <c r="N518" s="158"/>
      <c r="P518" s="20"/>
    </row>
    <row r="519">
      <c r="B519" s="158"/>
      <c r="D519" s="158"/>
      <c r="F519" s="158"/>
      <c r="G519" s="162"/>
      <c r="H519" s="158"/>
      <c r="J519" s="158"/>
      <c r="L519" s="158"/>
      <c r="N519" s="158"/>
      <c r="P519" s="20"/>
    </row>
    <row r="520">
      <c r="B520" s="158"/>
      <c r="D520" s="158"/>
      <c r="F520" s="158"/>
      <c r="G520" s="162"/>
      <c r="H520" s="158"/>
      <c r="J520" s="158"/>
      <c r="L520" s="158"/>
      <c r="N520" s="158"/>
      <c r="P520" s="20"/>
    </row>
    <row r="521">
      <c r="B521" s="158"/>
      <c r="D521" s="158"/>
      <c r="F521" s="158"/>
      <c r="G521" s="162"/>
      <c r="H521" s="158"/>
      <c r="J521" s="158"/>
      <c r="L521" s="158"/>
      <c r="N521" s="158"/>
      <c r="P521" s="20"/>
    </row>
    <row r="522">
      <c r="B522" s="158"/>
      <c r="D522" s="158"/>
      <c r="F522" s="158"/>
      <c r="G522" s="162"/>
      <c r="H522" s="158"/>
      <c r="J522" s="158"/>
      <c r="L522" s="158"/>
      <c r="N522" s="158"/>
      <c r="P522" s="20"/>
    </row>
    <row r="523">
      <c r="B523" s="158"/>
      <c r="D523" s="158"/>
      <c r="F523" s="158"/>
      <c r="G523" s="162"/>
      <c r="H523" s="158"/>
      <c r="J523" s="158"/>
      <c r="L523" s="158"/>
      <c r="N523" s="158"/>
      <c r="P523" s="20"/>
    </row>
    <row r="524">
      <c r="B524" s="158"/>
      <c r="D524" s="158"/>
      <c r="F524" s="158"/>
      <c r="G524" s="162"/>
      <c r="H524" s="158"/>
      <c r="J524" s="158"/>
      <c r="L524" s="158"/>
      <c r="N524" s="158"/>
      <c r="P524" s="20"/>
    </row>
    <row r="525">
      <c r="B525" s="158"/>
      <c r="D525" s="158"/>
      <c r="F525" s="158"/>
      <c r="G525" s="162"/>
      <c r="H525" s="158"/>
      <c r="J525" s="158"/>
      <c r="L525" s="158"/>
      <c r="N525" s="158"/>
      <c r="P525" s="20"/>
    </row>
    <row r="526">
      <c r="B526" s="158"/>
      <c r="D526" s="158"/>
      <c r="F526" s="158"/>
      <c r="G526" s="162"/>
      <c r="H526" s="158"/>
      <c r="J526" s="158"/>
      <c r="L526" s="158"/>
      <c r="N526" s="158"/>
      <c r="P526" s="20"/>
    </row>
    <row r="527">
      <c r="B527" s="158"/>
      <c r="D527" s="158"/>
      <c r="F527" s="158"/>
      <c r="G527" s="162"/>
      <c r="H527" s="158"/>
      <c r="J527" s="158"/>
      <c r="L527" s="158"/>
      <c r="N527" s="158"/>
      <c r="P527" s="20"/>
    </row>
    <row r="528">
      <c r="B528" s="158"/>
      <c r="D528" s="158"/>
      <c r="F528" s="158"/>
      <c r="G528" s="162"/>
      <c r="H528" s="158"/>
      <c r="J528" s="158"/>
      <c r="L528" s="158"/>
      <c r="N528" s="158"/>
      <c r="P528" s="20"/>
    </row>
    <row r="529">
      <c r="B529" s="158"/>
      <c r="D529" s="158"/>
      <c r="F529" s="158"/>
      <c r="G529" s="162"/>
      <c r="H529" s="158"/>
      <c r="J529" s="158"/>
      <c r="L529" s="158"/>
      <c r="N529" s="158"/>
      <c r="P529" s="20"/>
    </row>
    <row r="530">
      <c r="B530" s="158"/>
      <c r="D530" s="158"/>
      <c r="F530" s="158"/>
      <c r="G530" s="162"/>
      <c r="H530" s="158"/>
      <c r="J530" s="158"/>
      <c r="L530" s="158"/>
      <c r="N530" s="158"/>
      <c r="P530" s="20"/>
    </row>
    <row r="531">
      <c r="B531" s="158"/>
      <c r="D531" s="158"/>
      <c r="F531" s="158"/>
      <c r="G531" s="162"/>
      <c r="H531" s="158"/>
      <c r="J531" s="158"/>
      <c r="L531" s="158"/>
      <c r="N531" s="158"/>
      <c r="P531" s="20"/>
    </row>
    <row r="532">
      <c r="B532" s="158"/>
      <c r="D532" s="158"/>
      <c r="F532" s="158"/>
      <c r="G532" s="162"/>
      <c r="H532" s="158"/>
      <c r="J532" s="158"/>
      <c r="L532" s="158"/>
      <c r="N532" s="158"/>
      <c r="P532" s="20"/>
    </row>
    <row r="533">
      <c r="B533" s="158"/>
      <c r="D533" s="158"/>
      <c r="F533" s="158"/>
      <c r="G533" s="162"/>
      <c r="H533" s="158"/>
      <c r="J533" s="158"/>
      <c r="L533" s="158"/>
      <c r="N533" s="158"/>
      <c r="P533" s="20"/>
    </row>
    <row r="534">
      <c r="B534" s="158"/>
      <c r="D534" s="158"/>
      <c r="F534" s="158"/>
      <c r="G534" s="162"/>
      <c r="H534" s="158"/>
      <c r="J534" s="158"/>
      <c r="L534" s="158"/>
      <c r="N534" s="158"/>
      <c r="P534" s="20"/>
    </row>
    <row r="535">
      <c r="B535" s="158"/>
      <c r="D535" s="158"/>
      <c r="F535" s="158"/>
      <c r="G535" s="162"/>
      <c r="H535" s="158"/>
      <c r="J535" s="158"/>
      <c r="L535" s="158"/>
      <c r="N535" s="158"/>
      <c r="P535" s="20"/>
    </row>
    <row r="536">
      <c r="B536" s="158"/>
      <c r="D536" s="158"/>
      <c r="F536" s="158"/>
      <c r="G536" s="162"/>
      <c r="H536" s="158"/>
      <c r="J536" s="158"/>
      <c r="L536" s="158"/>
      <c r="N536" s="158"/>
      <c r="P536" s="20"/>
    </row>
    <row r="537">
      <c r="B537" s="158"/>
      <c r="D537" s="158"/>
      <c r="F537" s="158"/>
      <c r="G537" s="162"/>
      <c r="H537" s="158"/>
      <c r="J537" s="158"/>
      <c r="L537" s="158"/>
      <c r="N537" s="158"/>
      <c r="P537" s="20"/>
    </row>
    <row r="538">
      <c r="B538" s="158"/>
      <c r="D538" s="158"/>
      <c r="F538" s="158"/>
      <c r="G538" s="162"/>
      <c r="H538" s="158"/>
      <c r="J538" s="158"/>
      <c r="L538" s="158"/>
      <c r="N538" s="158"/>
      <c r="P538" s="20"/>
    </row>
    <row r="539">
      <c r="B539" s="158"/>
      <c r="D539" s="158"/>
      <c r="F539" s="158"/>
      <c r="G539" s="162"/>
      <c r="H539" s="158"/>
      <c r="J539" s="158"/>
      <c r="L539" s="158"/>
      <c r="N539" s="158"/>
      <c r="P539" s="20"/>
    </row>
    <row r="540">
      <c r="B540" s="158"/>
      <c r="D540" s="158"/>
      <c r="F540" s="158"/>
      <c r="G540" s="162"/>
      <c r="H540" s="158"/>
      <c r="J540" s="158"/>
      <c r="L540" s="158"/>
      <c r="N540" s="158"/>
      <c r="P540" s="20"/>
    </row>
    <row r="541">
      <c r="B541" s="158"/>
      <c r="D541" s="158"/>
      <c r="F541" s="158"/>
      <c r="G541" s="162"/>
      <c r="H541" s="158"/>
      <c r="J541" s="158"/>
      <c r="L541" s="158"/>
      <c r="N541" s="158"/>
      <c r="P541" s="20"/>
    </row>
    <row r="542">
      <c r="B542" s="158"/>
      <c r="D542" s="158"/>
      <c r="F542" s="158"/>
      <c r="G542" s="162"/>
      <c r="H542" s="158"/>
      <c r="J542" s="158"/>
      <c r="L542" s="158"/>
      <c r="N542" s="158"/>
      <c r="P542" s="20"/>
    </row>
    <row r="543">
      <c r="B543" s="158"/>
      <c r="D543" s="158"/>
      <c r="F543" s="158"/>
      <c r="G543" s="162"/>
      <c r="H543" s="158"/>
      <c r="J543" s="158"/>
      <c r="L543" s="158"/>
      <c r="N543" s="158"/>
      <c r="P543" s="20"/>
    </row>
    <row r="544">
      <c r="B544" s="158"/>
      <c r="D544" s="158"/>
      <c r="F544" s="158"/>
      <c r="G544" s="162"/>
      <c r="H544" s="158"/>
      <c r="J544" s="158"/>
      <c r="L544" s="158"/>
      <c r="N544" s="158"/>
      <c r="P544" s="20"/>
    </row>
    <row r="545">
      <c r="B545" s="158"/>
      <c r="D545" s="158"/>
      <c r="F545" s="158"/>
      <c r="G545" s="162"/>
      <c r="H545" s="158"/>
      <c r="J545" s="158"/>
      <c r="L545" s="158"/>
      <c r="N545" s="158"/>
      <c r="P545" s="20"/>
    </row>
    <row r="546">
      <c r="B546" s="158"/>
      <c r="D546" s="158"/>
      <c r="F546" s="158"/>
      <c r="G546" s="162"/>
      <c r="H546" s="158"/>
      <c r="J546" s="158"/>
      <c r="L546" s="158"/>
      <c r="N546" s="158"/>
      <c r="P546" s="20"/>
    </row>
    <row r="547">
      <c r="B547" s="158"/>
      <c r="D547" s="158"/>
      <c r="F547" s="158"/>
      <c r="G547" s="162"/>
      <c r="H547" s="158"/>
      <c r="J547" s="158"/>
      <c r="L547" s="158"/>
      <c r="N547" s="158"/>
      <c r="P547" s="20"/>
    </row>
    <row r="548">
      <c r="B548" s="158"/>
      <c r="D548" s="158"/>
      <c r="F548" s="158"/>
      <c r="G548" s="162"/>
      <c r="H548" s="158"/>
      <c r="J548" s="158"/>
      <c r="L548" s="158"/>
      <c r="N548" s="158"/>
      <c r="P548" s="20"/>
    </row>
    <row r="549">
      <c r="B549" s="158"/>
      <c r="D549" s="158"/>
      <c r="F549" s="158"/>
      <c r="G549" s="162"/>
      <c r="H549" s="158"/>
      <c r="J549" s="158"/>
      <c r="L549" s="158"/>
      <c r="N549" s="158"/>
      <c r="P549" s="20"/>
    </row>
    <row r="550">
      <c r="B550" s="158"/>
      <c r="D550" s="158"/>
      <c r="F550" s="158"/>
      <c r="G550" s="162"/>
      <c r="H550" s="158"/>
      <c r="J550" s="158"/>
      <c r="L550" s="158"/>
      <c r="N550" s="158"/>
      <c r="P550" s="20"/>
    </row>
    <row r="551">
      <c r="B551" s="158"/>
      <c r="D551" s="158"/>
      <c r="F551" s="158"/>
      <c r="G551" s="162"/>
      <c r="H551" s="158"/>
      <c r="J551" s="158"/>
      <c r="L551" s="158"/>
      <c r="N551" s="158"/>
      <c r="P551" s="20"/>
    </row>
    <row r="552">
      <c r="B552" s="158"/>
      <c r="D552" s="158"/>
      <c r="F552" s="158"/>
      <c r="G552" s="162"/>
      <c r="H552" s="158"/>
      <c r="J552" s="158"/>
      <c r="L552" s="158"/>
      <c r="N552" s="158"/>
      <c r="P552" s="20"/>
    </row>
    <row r="553">
      <c r="B553" s="158"/>
      <c r="D553" s="158"/>
      <c r="F553" s="158"/>
      <c r="G553" s="162"/>
      <c r="H553" s="158"/>
      <c r="J553" s="158"/>
      <c r="L553" s="158"/>
      <c r="N553" s="158"/>
      <c r="P553" s="20"/>
    </row>
    <row r="554">
      <c r="B554" s="158"/>
      <c r="D554" s="158"/>
      <c r="F554" s="158"/>
      <c r="G554" s="162"/>
      <c r="H554" s="158"/>
      <c r="J554" s="158"/>
      <c r="L554" s="158"/>
      <c r="N554" s="158"/>
      <c r="P554" s="20"/>
    </row>
    <row r="555">
      <c r="B555" s="158"/>
      <c r="D555" s="158"/>
      <c r="F555" s="158"/>
      <c r="G555" s="162"/>
      <c r="H555" s="158"/>
      <c r="J555" s="158"/>
      <c r="L555" s="158"/>
      <c r="N555" s="158"/>
      <c r="P555" s="20"/>
    </row>
    <row r="556">
      <c r="B556" s="158"/>
      <c r="D556" s="158"/>
      <c r="F556" s="158"/>
      <c r="G556" s="162"/>
      <c r="H556" s="158"/>
      <c r="J556" s="158"/>
      <c r="L556" s="158"/>
      <c r="N556" s="158"/>
      <c r="P556" s="20"/>
    </row>
    <row r="557">
      <c r="B557" s="158"/>
      <c r="D557" s="158"/>
      <c r="F557" s="158"/>
      <c r="G557" s="162"/>
      <c r="H557" s="158"/>
      <c r="J557" s="158"/>
      <c r="L557" s="158"/>
      <c r="N557" s="158"/>
      <c r="P557" s="20"/>
    </row>
    <row r="558">
      <c r="B558" s="158"/>
      <c r="D558" s="158"/>
      <c r="F558" s="158"/>
      <c r="G558" s="162"/>
      <c r="H558" s="158"/>
      <c r="J558" s="158"/>
      <c r="L558" s="158"/>
      <c r="N558" s="158"/>
      <c r="P558" s="20"/>
    </row>
    <row r="559">
      <c r="B559" s="158"/>
      <c r="D559" s="158"/>
      <c r="F559" s="158"/>
      <c r="G559" s="162"/>
      <c r="H559" s="158"/>
      <c r="J559" s="158"/>
      <c r="L559" s="158"/>
      <c r="N559" s="158"/>
      <c r="P559" s="20"/>
    </row>
    <row r="560">
      <c r="B560" s="158"/>
      <c r="D560" s="158"/>
      <c r="F560" s="158"/>
      <c r="G560" s="162"/>
      <c r="H560" s="158"/>
      <c r="J560" s="158"/>
      <c r="L560" s="158"/>
      <c r="N560" s="158"/>
      <c r="P560" s="20"/>
    </row>
    <row r="561">
      <c r="B561" s="158"/>
      <c r="D561" s="158"/>
      <c r="F561" s="158"/>
      <c r="G561" s="162"/>
      <c r="H561" s="158"/>
      <c r="J561" s="158"/>
      <c r="L561" s="158"/>
      <c r="N561" s="158"/>
      <c r="P561" s="20"/>
    </row>
    <row r="562">
      <c r="B562" s="158"/>
      <c r="D562" s="158"/>
      <c r="F562" s="158"/>
      <c r="G562" s="162"/>
      <c r="H562" s="158"/>
      <c r="J562" s="158"/>
      <c r="L562" s="158"/>
      <c r="N562" s="158"/>
      <c r="P562" s="20"/>
    </row>
    <row r="563">
      <c r="B563" s="158"/>
      <c r="D563" s="158"/>
      <c r="F563" s="158"/>
      <c r="G563" s="162"/>
      <c r="H563" s="158"/>
      <c r="J563" s="158"/>
      <c r="L563" s="158"/>
      <c r="N563" s="158"/>
      <c r="P563" s="20"/>
    </row>
    <row r="564">
      <c r="B564" s="158"/>
      <c r="D564" s="158"/>
      <c r="F564" s="158"/>
      <c r="G564" s="162"/>
      <c r="H564" s="158"/>
      <c r="J564" s="158"/>
      <c r="L564" s="158"/>
      <c r="N564" s="158"/>
      <c r="P564" s="20"/>
    </row>
    <row r="565">
      <c r="B565" s="158"/>
      <c r="D565" s="158"/>
      <c r="F565" s="158"/>
      <c r="G565" s="162"/>
      <c r="H565" s="158"/>
      <c r="J565" s="158"/>
      <c r="L565" s="158"/>
      <c r="N565" s="158"/>
      <c r="P565" s="20"/>
    </row>
    <row r="566">
      <c r="B566" s="158"/>
      <c r="D566" s="158"/>
      <c r="F566" s="158"/>
      <c r="G566" s="162"/>
      <c r="H566" s="158"/>
      <c r="J566" s="158"/>
      <c r="L566" s="158"/>
      <c r="N566" s="158"/>
      <c r="P566" s="20"/>
    </row>
    <row r="567">
      <c r="B567" s="158"/>
      <c r="D567" s="158"/>
      <c r="F567" s="158"/>
      <c r="G567" s="162"/>
      <c r="H567" s="158"/>
      <c r="J567" s="158"/>
      <c r="L567" s="158"/>
      <c r="N567" s="158"/>
      <c r="P567" s="20"/>
    </row>
    <row r="568">
      <c r="B568" s="158"/>
      <c r="D568" s="158"/>
      <c r="F568" s="158"/>
      <c r="G568" s="162"/>
      <c r="H568" s="158"/>
      <c r="J568" s="158"/>
      <c r="L568" s="158"/>
      <c r="N568" s="158"/>
      <c r="P568" s="20"/>
    </row>
    <row r="569">
      <c r="B569" s="158"/>
      <c r="D569" s="158"/>
      <c r="F569" s="158"/>
      <c r="G569" s="162"/>
      <c r="H569" s="158"/>
      <c r="J569" s="158"/>
      <c r="L569" s="158"/>
      <c r="N569" s="158"/>
      <c r="P569" s="20"/>
    </row>
    <row r="570">
      <c r="B570" s="158"/>
      <c r="D570" s="158"/>
      <c r="F570" s="158"/>
      <c r="G570" s="162"/>
      <c r="H570" s="158"/>
      <c r="J570" s="158"/>
      <c r="L570" s="158"/>
      <c r="N570" s="158"/>
      <c r="P570" s="20"/>
    </row>
    <row r="571">
      <c r="B571" s="158"/>
      <c r="D571" s="158"/>
      <c r="F571" s="158"/>
      <c r="G571" s="162"/>
      <c r="H571" s="158"/>
      <c r="J571" s="158"/>
      <c r="L571" s="158"/>
      <c r="N571" s="158"/>
      <c r="P571" s="20"/>
    </row>
    <row r="572">
      <c r="B572" s="158"/>
      <c r="D572" s="158"/>
      <c r="F572" s="158"/>
      <c r="G572" s="162"/>
      <c r="H572" s="158"/>
      <c r="J572" s="158"/>
      <c r="L572" s="158"/>
      <c r="N572" s="158"/>
      <c r="P572" s="20"/>
    </row>
    <row r="573">
      <c r="B573" s="158"/>
      <c r="D573" s="158"/>
      <c r="F573" s="158"/>
      <c r="G573" s="162"/>
      <c r="H573" s="158"/>
      <c r="J573" s="158"/>
      <c r="L573" s="158"/>
      <c r="N573" s="158"/>
      <c r="P573" s="20"/>
    </row>
    <row r="574">
      <c r="B574" s="158"/>
      <c r="D574" s="158"/>
      <c r="F574" s="158"/>
      <c r="G574" s="162"/>
      <c r="H574" s="158"/>
      <c r="J574" s="158"/>
      <c r="L574" s="158"/>
      <c r="N574" s="158"/>
      <c r="P574" s="20"/>
    </row>
    <row r="575">
      <c r="B575" s="158"/>
      <c r="D575" s="158"/>
      <c r="F575" s="158"/>
      <c r="G575" s="162"/>
      <c r="H575" s="158"/>
      <c r="J575" s="158"/>
      <c r="L575" s="158"/>
      <c r="N575" s="158"/>
      <c r="P575" s="20"/>
    </row>
    <row r="576">
      <c r="B576" s="158"/>
      <c r="D576" s="158"/>
      <c r="F576" s="158"/>
      <c r="G576" s="162"/>
      <c r="H576" s="158"/>
      <c r="J576" s="158"/>
      <c r="L576" s="158"/>
      <c r="N576" s="158"/>
      <c r="P576" s="20"/>
    </row>
    <row r="577">
      <c r="B577" s="158"/>
      <c r="D577" s="158"/>
      <c r="F577" s="158"/>
      <c r="G577" s="162"/>
      <c r="H577" s="158"/>
      <c r="J577" s="158"/>
      <c r="L577" s="158"/>
      <c r="N577" s="158"/>
      <c r="P577" s="20"/>
    </row>
    <row r="578">
      <c r="B578" s="158"/>
      <c r="D578" s="158"/>
      <c r="F578" s="158"/>
      <c r="G578" s="162"/>
      <c r="H578" s="158"/>
      <c r="J578" s="158"/>
      <c r="L578" s="158"/>
      <c r="N578" s="158"/>
      <c r="P578" s="20"/>
    </row>
    <row r="579">
      <c r="B579" s="158"/>
      <c r="D579" s="158"/>
      <c r="F579" s="158"/>
      <c r="G579" s="162"/>
      <c r="H579" s="158"/>
      <c r="J579" s="158"/>
      <c r="L579" s="158"/>
      <c r="N579" s="158"/>
      <c r="P579" s="20"/>
    </row>
    <row r="580">
      <c r="B580" s="158"/>
      <c r="D580" s="158"/>
      <c r="F580" s="158"/>
      <c r="G580" s="162"/>
      <c r="H580" s="158"/>
      <c r="J580" s="158"/>
      <c r="L580" s="158"/>
      <c r="N580" s="158"/>
      <c r="P580" s="20"/>
    </row>
    <row r="581">
      <c r="B581" s="158"/>
      <c r="D581" s="158"/>
      <c r="F581" s="158"/>
      <c r="G581" s="162"/>
      <c r="H581" s="158"/>
      <c r="J581" s="158"/>
      <c r="L581" s="158"/>
      <c r="N581" s="158"/>
      <c r="P581" s="20"/>
    </row>
    <row r="582">
      <c r="B582" s="158"/>
      <c r="D582" s="158"/>
      <c r="F582" s="158"/>
      <c r="G582" s="162"/>
      <c r="H582" s="158"/>
      <c r="J582" s="158"/>
      <c r="L582" s="158"/>
      <c r="N582" s="158"/>
      <c r="P582" s="20"/>
    </row>
    <row r="583">
      <c r="B583" s="158"/>
      <c r="D583" s="158"/>
      <c r="F583" s="158"/>
      <c r="G583" s="162"/>
      <c r="H583" s="158"/>
      <c r="J583" s="158"/>
      <c r="L583" s="158"/>
      <c r="N583" s="158"/>
      <c r="P583" s="20"/>
    </row>
    <row r="584">
      <c r="B584" s="158"/>
      <c r="D584" s="158"/>
      <c r="F584" s="158"/>
      <c r="G584" s="162"/>
      <c r="H584" s="158"/>
      <c r="J584" s="158"/>
      <c r="L584" s="158"/>
      <c r="N584" s="158"/>
      <c r="P584" s="20"/>
    </row>
    <row r="585">
      <c r="B585" s="158"/>
      <c r="D585" s="158"/>
      <c r="F585" s="158"/>
      <c r="G585" s="162"/>
      <c r="H585" s="158"/>
      <c r="J585" s="158"/>
      <c r="L585" s="158"/>
      <c r="N585" s="158"/>
      <c r="P585" s="20"/>
    </row>
    <row r="586">
      <c r="B586" s="158"/>
      <c r="D586" s="158"/>
      <c r="F586" s="158"/>
      <c r="G586" s="162"/>
      <c r="H586" s="158"/>
      <c r="J586" s="158"/>
      <c r="L586" s="158"/>
      <c r="N586" s="158"/>
      <c r="P586" s="20"/>
    </row>
    <row r="587">
      <c r="B587" s="158"/>
      <c r="D587" s="158"/>
      <c r="F587" s="158"/>
      <c r="G587" s="162"/>
      <c r="H587" s="158"/>
      <c r="J587" s="158"/>
      <c r="L587" s="158"/>
      <c r="N587" s="158"/>
      <c r="P587" s="20"/>
    </row>
    <row r="588">
      <c r="B588" s="158"/>
      <c r="D588" s="158"/>
      <c r="F588" s="158"/>
      <c r="G588" s="162"/>
      <c r="H588" s="158"/>
      <c r="J588" s="158"/>
      <c r="L588" s="158"/>
      <c r="N588" s="158"/>
      <c r="P588" s="20"/>
    </row>
    <row r="589">
      <c r="B589" s="158"/>
      <c r="D589" s="158"/>
      <c r="F589" s="158"/>
      <c r="G589" s="162"/>
      <c r="H589" s="158"/>
      <c r="J589" s="158"/>
      <c r="L589" s="158"/>
      <c r="N589" s="158"/>
      <c r="P589" s="20"/>
    </row>
    <row r="590">
      <c r="B590" s="158"/>
      <c r="D590" s="158"/>
      <c r="F590" s="158"/>
      <c r="G590" s="162"/>
      <c r="H590" s="158"/>
      <c r="J590" s="158"/>
      <c r="L590" s="158"/>
      <c r="N590" s="158"/>
      <c r="P590" s="20"/>
    </row>
    <row r="591">
      <c r="B591" s="158"/>
      <c r="D591" s="158"/>
      <c r="F591" s="158"/>
      <c r="G591" s="162"/>
      <c r="H591" s="158"/>
      <c r="J591" s="158"/>
      <c r="L591" s="158"/>
      <c r="N591" s="158"/>
      <c r="P591" s="20"/>
    </row>
    <row r="592">
      <c r="B592" s="158"/>
      <c r="D592" s="158"/>
      <c r="F592" s="158"/>
      <c r="G592" s="162"/>
      <c r="H592" s="158"/>
      <c r="J592" s="158"/>
      <c r="L592" s="158"/>
      <c r="N592" s="158"/>
      <c r="P592" s="20"/>
    </row>
    <row r="593">
      <c r="B593" s="158"/>
      <c r="D593" s="158"/>
      <c r="F593" s="158"/>
      <c r="G593" s="162"/>
      <c r="H593" s="158"/>
      <c r="J593" s="158"/>
      <c r="L593" s="158"/>
      <c r="N593" s="158"/>
      <c r="P593" s="20"/>
    </row>
    <row r="594">
      <c r="B594" s="158"/>
      <c r="D594" s="158"/>
      <c r="F594" s="158"/>
      <c r="G594" s="162"/>
      <c r="H594" s="158"/>
      <c r="J594" s="158"/>
      <c r="L594" s="158"/>
      <c r="N594" s="158"/>
      <c r="P594" s="20"/>
    </row>
    <row r="595">
      <c r="B595" s="158"/>
      <c r="D595" s="158"/>
      <c r="F595" s="158"/>
      <c r="G595" s="162"/>
      <c r="H595" s="158"/>
      <c r="J595" s="158"/>
      <c r="L595" s="158"/>
      <c r="N595" s="158"/>
      <c r="P595" s="20"/>
    </row>
    <row r="596">
      <c r="B596" s="158"/>
      <c r="D596" s="158"/>
      <c r="F596" s="158"/>
      <c r="G596" s="162"/>
      <c r="H596" s="158"/>
      <c r="J596" s="158"/>
      <c r="L596" s="158"/>
      <c r="N596" s="158"/>
      <c r="P596" s="20"/>
    </row>
    <row r="597">
      <c r="B597" s="158"/>
      <c r="D597" s="158"/>
      <c r="F597" s="158"/>
      <c r="G597" s="162"/>
      <c r="H597" s="158"/>
      <c r="J597" s="158"/>
      <c r="L597" s="158"/>
      <c r="N597" s="158"/>
      <c r="P597" s="20"/>
    </row>
    <row r="598">
      <c r="B598" s="158"/>
      <c r="D598" s="158"/>
      <c r="F598" s="158"/>
      <c r="G598" s="162"/>
      <c r="H598" s="158"/>
      <c r="J598" s="158"/>
      <c r="L598" s="158"/>
      <c r="N598" s="158"/>
      <c r="P598" s="20"/>
    </row>
    <row r="599">
      <c r="B599" s="158"/>
      <c r="D599" s="158"/>
      <c r="F599" s="158"/>
      <c r="G599" s="162"/>
      <c r="H599" s="158"/>
      <c r="J599" s="158"/>
      <c r="L599" s="158"/>
      <c r="N599" s="158"/>
      <c r="P599" s="20"/>
    </row>
    <row r="600">
      <c r="B600" s="158"/>
      <c r="D600" s="158"/>
      <c r="F600" s="158"/>
      <c r="G600" s="162"/>
      <c r="H600" s="158"/>
      <c r="J600" s="158"/>
      <c r="L600" s="158"/>
      <c r="N600" s="158"/>
      <c r="P600" s="20"/>
    </row>
    <row r="601">
      <c r="B601" s="158"/>
      <c r="D601" s="158"/>
      <c r="F601" s="158"/>
      <c r="G601" s="162"/>
      <c r="H601" s="158"/>
      <c r="J601" s="158"/>
      <c r="L601" s="158"/>
      <c r="N601" s="158"/>
      <c r="P601" s="20"/>
    </row>
    <row r="602">
      <c r="B602" s="158"/>
      <c r="D602" s="158"/>
      <c r="F602" s="158"/>
      <c r="G602" s="162"/>
      <c r="H602" s="158"/>
      <c r="J602" s="158"/>
      <c r="L602" s="158"/>
      <c r="N602" s="158"/>
      <c r="P602" s="20"/>
    </row>
    <row r="603">
      <c r="B603" s="158"/>
      <c r="D603" s="158"/>
      <c r="F603" s="158"/>
      <c r="G603" s="162"/>
      <c r="H603" s="158"/>
      <c r="J603" s="158"/>
      <c r="L603" s="158"/>
      <c r="N603" s="158"/>
      <c r="P603" s="20"/>
    </row>
    <row r="604">
      <c r="B604" s="158"/>
      <c r="D604" s="158"/>
      <c r="F604" s="158"/>
      <c r="G604" s="162"/>
      <c r="H604" s="158"/>
      <c r="J604" s="158"/>
      <c r="L604" s="158"/>
      <c r="N604" s="158"/>
      <c r="P604" s="20"/>
    </row>
    <row r="605">
      <c r="B605" s="158"/>
      <c r="D605" s="158"/>
      <c r="F605" s="158"/>
      <c r="G605" s="162"/>
      <c r="H605" s="158"/>
      <c r="J605" s="158"/>
      <c r="L605" s="158"/>
      <c r="N605" s="158"/>
      <c r="P605" s="20"/>
    </row>
    <row r="606">
      <c r="B606" s="158"/>
      <c r="D606" s="158"/>
      <c r="F606" s="158"/>
      <c r="G606" s="162"/>
      <c r="H606" s="158"/>
      <c r="J606" s="158"/>
      <c r="L606" s="158"/>
      <c r="N606" s="158"/>
      <c r="P606" s="20"/>
    </row>
    <row r="607">
      <c r="B607" s="158"/>
      <c r="D607" s="158"/>
      <c r="F607" s="158"/>
      <c r="G607" s="162"/>
      <c r="H607" s="158"/>
      <c r="J607" s="158"/>
      <c r="L607" s="158"/>
      <c r="N607" s="158"/>
      <c r="P607" s="20"/>
    </row>
    <row r="608">
      <c r="B608" s="158"/>
      <c r="D608" s="158"/>
      <c r="F608" s="158"/>
      <c r="G608" s="162"/>
      <c r="H608" s="158"/>
      <c r="J608" s="158"/>
      <c r="L608" s="158"/>
      <c r="N608" s="158"/>
      <c r="P608" s="20"/>
    </row>
    <row r="609">
      <c r="B609" s="158"/>
      <c r="D609" s="158"/>
      <c r="F609" s="158"/>
      <c r="G609" s="162"/>
      <c r="H609" s="158"/>
      <c r="J609" s="158"/>
      <c r="L609" s="158"/>
      <c r="N609" s="158"/>
      <c r="P609" s="20"/>
    </row>
    <row r="610">
      <c r="B610" s="158"/>
      <c r="D610" s="158"/>
      <c r="F610" s="158"/>
      <c r="G610" s="162"/>
      <c r="H610" s="158"/>
      <c r="J610" s="158"/>
      <c r="L610" s="158"/>
      <c r="N610" s="158"/>
      <c r="P610" s="20"/>
    </row>
    <row r="611">
      <c r="B611" s="158"/>
      <c r="D611" s="158"/>
      <c r="F611" s="158"/>
      <c r="G611" s="162"/>
      <c r="H611" s="158"/>
      <c r="J611" s="158"/>
      <c r="L611" s="158"/>
      <c r="N611" s="158"/>
      <c r="P611" s="20"/>
    </row>
    <row r="612">
      <c r="B612" s="158"/>
      <c r="D612" s="158"/>
      <c r="F612" s="158"/>
      <c r="G612" s="162"/>
      <c r="H612" s="158"/>
      <c r="J612" s="158"/>
      <c r="L612" s="158"/>
      <c r="N612" s="158"/>
      <c r="P612" s="20"/>
    </row>
    <row r="613">
      <c r="B613" s="158"/>
      <c r="D613" s="158"/>
      <c r="F613" s="158"/>
      <c r="G613" s="162"/>
      <c r="H613" s="158"/>
      <c r="J613" s="158"/>
      <c r="L613" s="158"/>
      <c r="N613" s="158"/>
      <c r="P613" s="20"/>
    </row>
    <row r="614">
      <c r="B614" s="158"/>
      <c r="D614" s="158"/>
      <c r="F614" s="158"/>
      <c r="G614" s="162"/>
      <c r="H614" s="158"/>
      <c r="J614" s="158"/>
      <c r="L614" s="158"/>
      <c r="N614" s="158"/>
      <c r="P614" s="20"/>
    </row>
    <row r="615">
      <c r="B615" s="158"/>
      <c r="D615" s="158"/>
      <c r="F615" s="158"/>
      <c r="G615" s="162"/>
      <c r="H615" s="158"/>
      <c r="J615" s="158"/>
      <c r="L615" s="158"/>
      <c r="N615" s="158"/>
      <c r="P615" s="20"/>
    </row>
    <row r="616">
      <c r="B616" s="158"/>
      <c r="D616" s="158"/>
      <c r="F616" s="158"/>
      <c r="G616" s="162"/>
      <c r="H616" s="158"/>
      <c r="J616" s="158"/>
      <c r="L616" s="158"/>
      <c r="N616" s="158"/>
      <c r="P616" s="20"/>
    </row>
    <row r="617">
      <c r="B617" s="158"/>
      <c r="D617" s="158"/>
      <c r="F617" s="158"/>
      <c r="G617" s="162"/>
      <c r="H617" s="158"/>
      <c r="J617" s="158"/>
      <c r="L617" s="158"/>
      <c r="N617" s="158"/>
      <c r="P617" s="20"/>
    </row>
    <row r="618">
      <c r="B618" s="158"/>
      <c r="D618" s="158"/>
      <c r="F618" s="158"/>
      <c r="G618" s="162"/>
      <c r="H618" s="158"/>
      <c r="J618" s="158"/>
      <c r="L618" s="158"/>
      <c r="N618" s="158"/>
      <c r="P618" s="20"/>
    </row>
    <row r="619">
      <c r="B619" s="158"/>
      <c r="D619" s="158"/>
      <c r="F619" s="158"/>
      <c r="G619" s="162"/>
      <c r="H619" s="158"/>
      <c r="J619" s="158"/>
      <c r="L619" s="158"/>
      <c r="N619" s="158"/>
      <c r="P619" s="20"/>
    </row>
    <row r="620">
      <c r="B620" s="158"/>
      <c r="D620" s="158"/>
      <c r="F620" s="158"/>
      <c r="G620" s="162"/>
      <c r="H620" s="158"/>
      <c r="J620" s="158"/>
      <c r="L620" s="158"/>
      <c r="N620" s="158"/>
      <c r="P620" s="20"/>
    </row>
    <row r="621">
      <c r="B621" s="158"/>
      <c r="D621" s="158"/>
      <c r="F621" s="158"/>
      <c r="G621" s="162"/>
      <c r="H621" s="158"/>
      <c r="J621" s="158"/>
      <c r="L621" s="158"/>
      <c r="N621" s="158"/>
      <c r="P621" s="20"/>
    </row>
    <row r="622">
      <c r="B622" s="158"/>
      <c r="D622" s="158"/>
      <c r="F622" s="158"/>
      <c r="G622" s="162"/>
      <c r="H622" s="158"/>
      <c r="J622" s="158"/>
      <c r="L622" s="158"/>
      <c r="N622" s="158"/>
      <c r="P622" s="20"/>
    </row>
    <row r="623">
      <c r="B623" s="158"/>
      <c r="D623" s="158"/>
      <c r="F623" s="158"/>
      <c r="G623" s="162"/>
      <c r="H623" s="158"/>
      <c r="J623" s="158"/>
      <c r="L623" s="158"/>
      <c r="N623" s="158"/>
      <c r="P623" s="20"/>
    </row>
    <row r="624">
      <c r="B624" s="158"/>
      <c r="D624" s="158"/>
      <c r="F624" s="158"/>
      <c r="G624" s="162"/>
      <c r="H624" s="158"/>
      <c r="J624" s="158"/>
      <c r="L624" s="158"/>
      <c r="N624" s="158"/>
      <c r="P624" s="20"/>
    </row>
    <row r="625">
      <c r="B625" s="158"/>
      <c r="D625" s="158"/>
      <c r="F625" s="158"/>
      <c r="G625" s="162"/>
      <c r="H625" s="158"/>
      <c r="J625" s="158"/>
      <c r="L625" s="158"/>
      <c r="N625" s="158"/>
      <c r="P625" s="20"/>
    </row>
    <row r="626">
      <c r="B626" s="158"/>
      <c r="D626" s="158"/>
      <c r="F626" s="158"/>
      <c r="G626" s="162"/>
      <c r="H626" s="158"/>
      <c r="J626" s="158"/>
      <c r="L626" s="158"/>
      <c r="N626" s="158"/>
      <c r="P626" s="20"/>
    </row>
    <row r="627">
      <c r="B627" s="158"/>
      <c r="D627" s="158"/>
      <c r="F627" s="158"/>
      <c r="G627" s="162"/>
      <c r="H627" s="158"/>
      <c r="J627" s="158"/>
      <c r="L627" s="158"/>
      <c r="N627" s="158"/>
      <c r="P627" s="20"/>
    </row>
    <row r="628">
      <c r="B628" s="158"/>
      <c r="D628" s="158"/>
      <c r="F628" s="158"/>
      <c r="G628" s="162"/>
      <c r="H628" s="158"/>
      <c r="J628" s="158"/>
      <c r="L628" s="158"/>
      <c r="N628" s="158"/>
      <c r="P628" s="20"/>
    </row>
    <row r="629">
      <c r="B629" s="158"/>
      <c r="D629" s="158"/>
      <c r="F629" s="158"/>
      <c r="G629" s="162"/>
      <c r="H629" s="158"/>
      <c r="J629" s="158"/>
      <c r="L629" s="158"/>
      <c r="N629" s="158"/>
      <c r="P629" s="20"/>
    </row>
    <row r="630">
      <c r="B630" s="158"/>
      <c r="D630" s="158"/>
      <c r="F630" s="158"/>
      <c r="G630" s="162"/>
      <c r="H630" s="158"/>
      <c r="J630" s="158"/>
      <c r="L630" s="158"/>
      <c r="N630" s="158"/>
      <c r="P630" s="20"/>
    </row>
    <row r="631">
      <c r="B631" s="158"/>
      <c r="D631" s="158"/>
      <c r="F631" s="158"/>
      <c r="G631" s="162"/>
      <c r="H631" s="158"/>
      <c r="J631" s="158"/>
      <c r="L631" s="158"/>
      <c r="N631" s="158"/>
      <c r="P631" s="20"/>
    </row>
    <row r="632">
      <c r="B632" s="158"/>
      <c r="D632" s="158"/>
      <c r="F632" s="158"/>
      <c r="G632" s="162"/>
      <c r="H632" s="158"/>
      <c r="J632" s="158"/>
      <c r="L632" s="158"/>
      <c r="N632" s="158"/>
      <c r="P632" s="20"/>
    </row>
    <row r="633">
      <c r="B633" s="158"/>
      <c r="D633" s="158"/>
      <c r="F633" s="158"/>
      <c r="G633" s="162"/>
      <c r="H633" s="158"/>
      <c r="J633" s="158"/>
      <c r="L633" s="158"/>
      <c r="N633" s="158"/>
      <c r="P633" s="20"/>
    </row>
    <row r="634">
      <c r="B634" s="158"/>
      <c r="D634" s="158"/>
      <c r="F634" s="158"/>
      <c r="G634" s="162"/>
      <c r="H634" s="158"/>
      <c r="J634" s="158"/>
      <c r="L634" s="158"/>
      <c r="N634" s="158"/>
      <c r="P634" s="20"/>
    </row>
    <row r="635">
      <c r="B635" s="158"/>
      <c r="D635" s="158"/>
      <c r="F635" s="158"/>
      <c r="G635" s="162"/>
      <c r="H635" s="158"/>
      <c r="J635" s="158"/>
      <c r="L635" s="158"/>
      <c r="N635" s="158"/>
      <c r="P635" s="20"/>
    </row>
    <row r="636">
      <c r="B636" s="158"/>
      <c r="D636" s="158"/>
      <c r="F636" s="158"/>
      <c r="G636" s="162"/>
      <c r="H636" s="158"/>
      <c r="J636" s="158"/>
      <c r="L636" s="158"/>
      <c r="N636" s="158"/>
      <c r="P636" s="20"/>
    </row>
    <row r="637">
      <c r="B637" s="158"/>
      <c r="D637" s="158"/>
      <c r="F637" s="158"/>
      <c r="G637" s="162"/>
      <c r="H637" s="158"/>
      <c r="J637" s="158"/>
      <c r="L637" s="158"/>
      <c r="N637" s="158"/>
      <c r="P637" s="20"/>
    </row>
    <row r="638">
      <c r="B638" s="158"/>
      <c r="D638" s="158"/>
      <c r="F638" s="158"/>
      <c r="G638" s="162"/>
      <c r="H638" s="158"/>
      <c r="J638" s="158"/>
      <c r="L638" s="158"/>
      <c r="N638" s="158"/>
      <c r="P638" s="20"/>
    </row>
    <row r="639">
      <c r="B639" s="158"/>
      <c r="D639" s="158"/>
      <c r="F639" s="158"/>
      <c r="G639" s="162"/>
      <c r="H639" s="158"/>
      <c r="J639" s="158"/>
      <c r="L639" s="158"/>
      <c r="N639" s="158"/>
      <c r="P639" s="20"/>
    </row>
    <row r="640">
      <c r="B640" s="158"/>
      <c r="D640" s="158"/>
      <c r="F640" s="158"/>
      <c r="G640" s="162"/>
      <c r="H640" s="158"/>
      <c r="J640" s="158"/>
      <c r="L640" s="158"/>
      <c r="N640" s="158"/>
      <c r="P640" s="20"/>
    </row>
    <row r="641">
      <c r="B641" s="158"/>
      <c r="D641" s="158"/>
      <c r="F641" s="158"/>
      <c r="G641" s="162"/>
      <c r="H641" s="158"/>
      <c r="J641" s="158"/>
      <c r="L641" s="158"/>
      <c r="N641" s="158"/>
      <c r="P641" s="20"/>
    </row>
    <row r="642">
      <c r="B642" s="158"/>
      <c r="D642" s="158"/>
      <c r="F642" s="158"/>
      <c r="G642" s="162"/>
      <c r="H642" s="158"/>
      <c r="J642" s="158"/>
      <c r="L642" s="158"/>
      <c r="N642" s="158"/>
      <c r="P642" s="20"/>
    </row>
    <row r="643">
      <c r="B643" s="158"/>
      <c r="D643" s="158"/>
      <c r="F643" s="158"/>
      <c r="G643" s="162"/>
      <c r="H643" s="158"/>
      <c r="J643" s="158"/>
      <c r="L643" s="158"/>
      <c r="N643" s="158"/>
      <c r="P643" s="20"/>
    </row>
    <row r="644">
      <c r="B644" s="158"/>
      <c r="D644" s="158"/>
      <c r="F644" s="158"/>
      <c r="G644" s="162"/>
      <c r="H644" s="158"/>
      <c r="J644" s="158"/>
      <c r="L644" s="158"/>
      <c r="N644" s="158"/>
      <c r="P644" s="20"/>
    </row>
    <row r="645">
      <c r="B645" s="158"/>
      <c r="D645" s="158"/>
      <c r="F645" s="158"/>
      <c r="G645" s="162"/>
      <c r="H645" s="158"/>
      <c r="J645" s="158"/>
      <c r="L645" s="158"/>
      <c r="N645" s="158"/>
      <c r="P645" s="20"/>
    </row>
    <row r="646">
      <c r="B646" s="158"/>
      <c r="D646" s="158"/>
      <c r="F646" s="158"/>
      <c r="G646" s="162"/>
      <c r="H646" s="158"/>
      <c r="J646" s="158"/>
      <c r="L646" s="158"/>
      <c r="N646" s="158"/>
      <c r="P646" s="20"/>
    </row>
    <row r="647">
      <c r="B647" s="158"/>
      <c r="D647" s="158"/>
      <c r="F647" s="158"/>
      <c r="G647" s="162"/>
      <c r="H647" s="158"/>
      <c r="J647" s="158"/>
      <c r="L647" s="158"/>
      <c r="N647" s="158"/>
      <c r="P647" s="20"/>
    </row>
    <row r="648">
      <c r="B648" s="158"/>
      <c r="D648" s="158"/>
      <c r="F648" s="158"/>
      <c r="G648" s="162"/>
      <c r="H648" s="158"/>
      <c r="J648" s="158"/>
      <c r="L648" s="158"/>
      <c r="N648" s="158"/>
      <c r="P648" s="20"/>
    </row>
    <row r="649">
      <c r="B649" s="158"/>
      <c r="D649" s="158"/>
      <c r="F649" s="158"/>
      <c r="G649" s="162"/>
      <c r="H649" s="158"/>
      <c r="J649" s="158"/>
      <c r="L649" s="158"/>
      <c r="N649" s="158"/>
      <c r="P649" s="20"/>
    </row>
    <row r="650">
      <c r="B650" s="158"/>
      <c r="D650" s="158"/>
      <c r="F650" s="158"/>
      <c r="G650" s="162"/>
      <c r="H650" s="158"/>
      <c r="J650" s="158"/>
      <c r="L650" s="158"/>
      <c r="N650" s="158"/>
      <c r="P650" s="20"/>
    </row>
    <row r="651">
      <c r="B651" s="158"/>
      <c r="D651" s="158"/>
      <c r="F651" s="158"/>
      <c r="G651" s="162"/>
      <c r="H651" s="158"/>
      <c r="J651" s="158"/>
      <c r="L651" s="158"/>
      <c r="N651" s="158"/>
      <c r="P651" s="20"/>
    </row>
    <row r="652">
      <c r="B652" s="158"/>
      <c r="D652" s="158"/>
      <c r="F652" s="158"/>
      <c r="G652" s="162"/>
      <c r="H652" s="158"/>
      <c r="J652" s="158"/>
      <c r="L652" s="158"/>
      <c r="N652" s="158"/>
      <c r="P652" s="20"/>
    </row>
    <row r="653">
      <c r="B653" s="158"/>
      <c r="D653" s="158"/>
      <c r="F653" s="158"/>
      <c r="G653" s="162"/>
      <c r="H653" s="158"/>
      <c r="J653" s="158"/>
      <c r="L653" s="158"/>
      <c r="N653" s="158"/>
      <c r="P653" s="20"/>
    </row>
    <row r="654">
      <c r="B654" s="158"/>
      <c r="D654" s="158"/>
      <c r="F654" s="158"/>
      <c r="G654" s="162"/>
      <c r="H654" s="158"/>
      <c r="J654" s="158"/>
      <c r="L654" s="158"/>
      <c r="N654" s="158"/>
      <c r="P654" s="20"/>
    </row>
    <row r="655">
      <c r="B655" s="158"/>
      <c r="D655" s="158"/>
      <c r="F655" s="158"/>
      <c r="G655" s="162"/>
      <c r="H655" s="158"/>
      <c r="J655" s="158"/>
      <c r="L655" s="158"/>
      <c r="N655" s="158"/>
      <c r="P655" s="20"/>
    </row>
    <row r="656">
      <c r="B656" s="158"/>
      <c r="D656" s="158"/>
      <c r="F656" s="158"/>
      <c r="G656" s="162"/>
      <c r="H656" s="158"/>
      <c r="J656" s="158"/>
      <c r="L656" s="158"/>
      <c r="N656" s="158"/>
      <c r="P656" s="20"/>
    </row>
    <row r="657">
      <c r="B657" s="158"/>
      <c r="D657" s="158"/>
      <c r="F657" s="158"/>
      <c r="G657" s="162"/>
      <c r="H657" s="158"/>
      <c r="J657" s="158"/>
      <c r="L657" s="158"/>
      <c r="N657" s="158"/>
      <c r="P657" s="20"/>
    </row>
    <row r="658">
      <c r="B658" s="158"/>
      <c r="D658" s="158"/>
      <c r="F658" s="158"/>
      <c r="G658" s="162"/>
      <c r="H658" s="158"/>
      <c r="J658" s="158"/>
      <c r="L658" s="158"/>
      <c r="N658" s="158"/>
      <c r="P658" s="20"/>
    </row>
    <row r="659">
      <c r="B659" s="158"/>
      <c r="D659" s="158"/>
      <c r="F659" s="158"/>
      <c r="G659" s="162"/>
      <c r="H659" s="158"/>
      <c r="J659" s="158"/>
      <c r="L659" s="158"/>
      <c r="N659" s="158"/>
      <c r="P659" s="20"/>
    </row>
    <row r="660">
      <c r="B660" s="158"/>
      <c r="D660" s="158"/>
      <c r="F660" s="158"/>
      <c r="G660" s="162"/>
      <c r="H660" s="158"/>
      <c r="J660" s="158"/>
      <c r="L660" s="158"/>
      <c r="N660" s="158"/>
      <c r="P660" s="20"/>
    </row>
    <row r="661">
      <c r="B661" s="158"/>
      <c r="D661" s="158"/>
      <c r="F661" s="158"/>
      <c r="G661" s="162"/>
      <c r="H661" s="158"/>
      <c r="J661" s="158"/>
      <c r="L661" s="158"/>
      <c r="N661" s="158"/>
      <c r="P661" s="20"/>
    </row>
    <row r="662">
      <c r="B662" s="158"/>
      <c r="D662" s="158"/>
      <c r="F662" s="158"/>
      <c r="G662" s="162"/>
      <c r="H662" s="158"/>
      <c r="J662" s="158"/>
      <c r="L662" s="158"/>
      <c r="N662" s="158"/>
      <c r="P662" s="20"/>
    </row>
    <row r="663">
      <c r="B663" s="158"/>
      <c r="D663" s="158"/>
      <c r="F663" s="158"/>
      <c r="G663" s="162"/>
      <c r="H663" s="158"/>
      <c r="J663" s="158"/>
      <c r="L663" s="158"/>
      <c r="N663" s="158"/>
      <c r="P663" s="20"/>
    </row>
    <row r="664">
      <c r="B664" s="158"/>
      <c r="D664" s="158"/>
      <c r="F664" s="158"/>
      <c r="G664" s="162"/>
      <c r="H664" s="158"/>
      <c r="J664" s="158"/>
      <c r="L664" s="158"/>
      <c r="N664" s="158"/>
      <c r="P664" s="20"/>
    </row>
    <row r="665">
      <c r="B665" s="158"/>
      <c r="D665" s="158"/>
      <c r="F665" s="158"/>
      <c r="G665" s="162"/>
      <c r="H665" s="158"/>
      <c r="J665" s="158"/>
      <c r="L665" s="158"/>
      <c r="N665" s="158"/>
      <c r="P665" s="20"/>
    </row>
    <row r="666">
      <c r="B666" s="158"/>
      <c r="D666" s="158"/>
      <c r="F666" s="158"/>
      <c r="G666" s="162"/>
      <c r="H666" s="158"/>
      <c r="J666" s="158"/>
      <c r="L666" s="158"/>
      <c r="N666" s="158"/>
      <c r="P666" s="20"/>
    </row>
    <row r="667">
      <c r="B667" s="158"/>
      <c r="D667" s="158"/>
      <c r="F667" s="158"/>
      <c r="G667" s="162"/>
      <c r="H667" s="158"/>
      <c r="J667" s="158"/>
      <c r="L667" s="158"/>
      <c r="N667" s="158"/>
      <c r="P667" s="20"/>
    </row>
    <row r="668">
      <c r="B668" s="158"/>
      <c r="D668" s="158"/>
      <c r="F668" s="158"/>
      <c r="G668" s="162"/>
      <c r="H668" s="158"/>
      <c r="J668" s="158"/>
      <c r="L668" s="158"/>
      <c r="N668" s="158"/>
      <c r="P668" s="20"/>
    </row>
    <row r="669">
      <c r="B669" s="158"/>
      <c r="D669" s="158"/>
      <c r="F669" s="158"/>
      <c r="G669" s="162"/>
      <c r="H669" s="158"/>
      <c r="J669" s="158"/>
      <c r="L669" s="158"/>
      <c r="N669" s="158"/>
      <c r="P669" s="20"/>
    </row>
    <row r="670">
      <c r="B670" s="158"/>
      <c r="D670" s="158"/>
      <c r="F670" s="158"/>
      <c r="G670" s="162"/>
      <c r="H670" s="158"/>
      <c r="J670" s="158"/>
      <c r="L670" s="158"/>
      <c r="N670" s="158"/>
      <c r="P670" s="20"/>
    </row>
    <row r="671">
      <c r="B671" s="158"/>
      <c r="D671" s="158"/>
      <c r="F671" s="158"/>
      <c r="G671" s="162"/>
      <c r="H671" s="158"/>
      <c r="J671" s="158"/>
      <c r="L671" s="158"/>
      <c r="N671" s="158"/>
      <c r="P671" s="20"/>
    </row>
    <row r="672">
      <c r="B672" s="158"/>
      <c r="D672" s="158"/>
      <c r="F672" s="158"/>
      <c r="G672" s="162"/>
      <c r="H672" s="158"/>
      <c r="J672" s="158"/>
      <c r="L672" s="158"/>
      <c r="N672" s="158"/>
      <c r="P672" s="20"/>
    </row>
    <row r="673">
      <c r="B673" s="158"/>
      <c r="D673" s="158"/>
      <c r="F673" s="158"/>
      <c r="G673" s="162"/>
      <c r="H673" s="158"/>
      <c r="J673" s="158"/>
      <c r="L673" s="158"/>
      <c r="N673" s="158"/>
      <c r="P673" s="20"/>
    </row>
    <row r="674">
      <c r="B674" s="158"/>
      <c r="D674" s="158"/>
      <c r="F674" s="158"/>
      <c r="G674" s="162"/>
      <c r="H674" s="158"/>
      <c r="J674" s="158"/>
      <c r="L674" s="158"/>
      <c r="N674" s="158"/>
      <c r="P674" s="20"/>
    </row>
    <row r="675">
      <c r="B675" s="158"/>
      <c r="D675" s="158"/>
      <c r="F675" s="158"/>
      <c r="G675" s="162"/>
      <c r="H675" s="158"/>
      <c r="J675" s="158"/>
      <c r="L675" s="158"/>
      <c r="N675" s="158"/>
      <c r="P675" s="20"/>
    </row>
    <row r="676">
      <c r="B676" s="158"/>
      <c r="D676" s="158"/>
      <c r="F676" s="158"/>
      <c r="G676" s="162"/>
      <c r="H676" s="158"/>
      <c r="J676" s="158"/>
      <c r="L676" s="158"/>
      <c r="N676" s="158"/>
      <c r="P676" s="20"/>
    </row>
    <row r="677">
      <c r="B677" s="158"/>
      <c r="D677" s="158"/>
      <c r="F677" s="158"/>
      <c r="G677" s="162"/>
      <c r="H677" s="158"/>
      <c r="J677" s="158"/>
      <c r="L677" s="158"/>
      <c r="N677" s="158"/>
      <c r="P677" s="20"/>
    </row>
    <row r="678">
      <c r="B678" s="158"/>
      <c r="D678" s="158"/>
      <c r="F678" s="158"/>
      <c r="G678" s="162"/>
      <c r="H678" s="158"/>
      <c r="J678" s="158"/>
      <c r="L678" s="158"/>
      <c r="N678" s="158"/>
      <c r="P678" s="20"/>
    </row>
    <row r="679">
      <c r="B679" s="158"/>
      <c r="D679" s="158"/>
      <c r="F679" s="158"/>
      <c r="G679" s="162"/>
      <c r="H679" s="158"/>
      <c r="J679" s="158"/>
      <c r="L679" s="158"/>
      <c r="N679" s="158"/>
      <c r="P679" s="20"/>
    </row>
    <row r="680">
      <c r="B680" s="158"/>
      <c r="D680" s="158"/>
      <c r="F680" s="158"/>
      <c r="G680" s="162"/>
      <c r="H680" s="158"/>
      <c r="J680" s="158"/>
      <c r="L680" s="158"/>
      <c r="N680" s="158"/>
      <c r="P680" s="20"/>
    </row>
    <row r="681">
      <c r="B681" s="158"/>
      <c r="D681" s="158"/>
      <c r="F681" s="158"/>
      <c r="G681" s="162"/>
      <c r="H681" s="158"/>
      <c r="J681" s="158"/>
      <c r="L681" s="158"/>
      <c r="N681" s="158"/>
      <c r="P681" s="20"/>
    </row>
    <row r="682">
      <c r="B682" s="158"/>
      <c r="D682" s="158"/>
      <c r="F682" s="158"/>
      <c r="G682" s="162"/>
      <c r="H682" s="158"/>
      <c r="J682" s="158"/>
      <c r="L682" s="158"/>
      <c r="N682" s="158"/>
      <c r="P682" s="20"/>
    </row>
    <row r="683">
      <c r="B683" s="158"/>
      <c r="D683" s="158"/>
      <c r="F683" s="158"/>
      <c r="G683" s="162"/>
      <c r="H683" s="158"/>
      <c r="J683" s="158"/>
      <c r="L683" s="158"/>
      <c r="N683" s="158"/>
      <c r="P683" s="20"/>
    </row>
    <row r="684">
      <c r="B684" s="158"/>
      <c r="D684" s="158"/>
      <c r="F684" s="158"/>
      <c r="G684" s="162"/>
      <c r="H684" s="158"/>
      <c r="J684" s="158"/>
      <c r="L684" s="158"/>
      <c r="N684" s="158"/>
      <c r="P684" s="20"/>
    </row>
    <row r="685">
      <c r="B685" s="158"/>
      <c r="D685" s="158"/>
      <c r="F685" s="158"/>
      <c r="G685" s="162"/>
      <c r="H685" s="158"/>
      <c r="J685" s="158"/>
      <c r="L685" s="158"/>
      <c r="N685" s="158"/>
      <c r="P685" s="20"/>
    </row>
    <row r="686">
      <c r="B686" s="158"/>
      <c r="D686" s="158"/>
      <c r="F686" s="158"/>
      <c r="G686" s="162"/>
      <c r="H686" s="158"/>
      <c r="J686" s="158"/>
      <c r="L686" s="158"/>
      <c r="N686" s="158"/>
      <c r="P686" s="20"/>
    </row>
    <row r="687">
      <c r="B687" s="158"/>
      <c r="D687" s="158"/>
      <c r="F687" s="158"/>
      <c r="G687" s="162"/>
      <c r="H687" s="158"/>
      <c r="J687" s="158"/>
      <c r="L687" s="158"/>
      <c r="N687" s="158"/>
      <c r="P687" s="20"/>
    </row>
    <row r="688">
      <c r="B688" s="158"/>
      <c r="D688" s="158"/>
      <c r="F688" s="158"/>
      <c r="G688" s="162"/>
      <c r="H688" s="158"/>
      <c r="J688" s="158"/>
      <c r="L688" s="158"/>
      <c r="N688" s="158"/>
      <c r="P688" s="20"/>
    </row>
    <row r="689">
      <c r="B689" s="158"/>
      <c r="D689" s="158"/>
      <c r="F689" s="158"/>
      <c r="G689" s="162"/>
      <c r="H689" s="158"/>
      <c r="J689" s="158"/>
      <c r="L689" s="158"/>
      <c r="N689" s="158"/>
      <c r="P689" s="20"/>
    </row>
    <row r="690">
      <c r="B690" s="158"/>
      <c r="D690" s="158"/>
      <c r="F690" s="158"/>
      <c r="G690" s="162"/>
      <c r="H690" s="158"/>
      <c r="J690" s="158"/>
      <c r="L690" s="158"/>
      <c r="N690" s="158"/>
      <c r="P690" s="20"/>
    </row>
    <row r="691">
      <c r="B691" s="158"/>
      <c r="D691" s="158"/>
      <c r="F691" s="158"/>
      <c r="G691" s="162"/>
      <c r="H691" s="158"/>
      <c r="J691" s="158"/>
      <c r="L691" s="158"/>
      <c r="N691" s="158"/>
      <c r="P691" s="20"/>
    </row>
    <row r="692">
      <c r="B692" s="158"/>
      <c r="D692" s="158"/>
      <c r="F692" s="158"/>
      <c r="G692" s="162"/>
      <c r="H692" s="158"/>
      <c r="J692" s="158"/>
      <c r="L692" s="158"/>
      <c r="N692" s="158"/>
      <c r="P692" s="20"/>
    </row>
    <row r="693">
      <c r="B693" s="158"/>
      <c r="D693" s="158"/>
      <c r="F693" s="158"/>
      <c r="G693" s="162"/>
      <c r="H693" s="158"/>
      <c r="J693" s="158"/>
      <c r="L693" s="158"/>
      <c r="N693" s="158"/>
      <c r="P693" s="20"/>
    </row>
    <row r="694">
      <c r="B694" s="158"/>
      <c r="D694" s="158"/>
      <c r="F694" s="158"/>
      <c r="G694" s="162"/>
      <c r="H694" s="158"/>
      <c r="J694" s="158"/>
      <c r="L694" s="158"/>
      <c r="N694" s="158"/>
      <c r="P694" s="20"/>
    </row>
    <row r="695">
      <c r="B695" s="158"/>
      <c r="D695" s="158"/>
      <c r="F695" s="158"/>
      <c r="G695" s="162"/>
      <c r="H695" s="158"/>
      <c r="J695" s="158"/>
      <c r="L695" s="158"/>
      <c r="N695" s="158"/>
      <c r="P695" s="20"/>
    </row>
    <row r="696">
      <c r="B696" s="158"/>
      <c r="D696" s="158"/>
      <c r="F696" s="158"/>
      <c r="G696" s="162"/>
      <c r="H696" s="158"/>
      <c r="J696" s="158"/>
      <c r="L696" s="158"/>
      <c r="N696" s="158"/>
      <c r="P696" s="20"/>
    </row>
    <row r="697">
      <c r="B697" s="158"/>
      <c r="D697" s="158"/>
      <c r="F697" s="158"/>
      <c r="G697" s="162"/>
      <c r="H697" s="158"/>
      <c r="J697" s="158"/>
      <c r="L697" s="158"/>
      <c r="N697" s="158"/>
      <c r="P697" s="20"/>
    </row>
    <row r="698">
      <c r="B698" s="158"/>
      <c r="D698" s="158"/>
      <c r="F698" s="158"/>
      <c r="G698" s="162"/>
      <c r="H698" s="158"/>
      <c r="J698" s="158"/>
      <c r="L698" s="158"/>
      <c r="N698" s="158"/>
      <c r="P698" s="20"/>
    </row>
    <row r="699">
      <c r="B699" s="158"/>
      <c r="D699" s="158"/>
      <c r="F699" s="158"/>
      <c r="G699" s="162"/>
      <c r="H699" s="158"/>
      <c r="J699" s="158"/>
      <c r="L699" s="158"/>
      <c r="N699" s="158"/>
      <c r="P699" s="20"/>
    </row>
    <row r="700">
      <c r="B700" s="158"/>
      <c r="D700" s="158"/>
      <c r="F700" s="158"/>
      <c r="G700" s="162"/>
      <c r="H700" s="158"/>
      <c r="J700" s="158"/>
      <c r="L700" s="158"/>
      <c r="N700" s="158"/>
      <c r="P700" s="20"/>
    </row>
    <row r="701">
      <c r="B701" s="158"/>
      <c r="D701" s="158"/>
      <c r="F701" s="158"/>
      <c r="G701" s="162"/>
      <c r="H701" s="158"/>
      <c r="J701" s="158"/>
      <c r="L701" s="158"/>
      <c r="N701" s="158"/>
      <c r="P701" s="20"/>
    </row>
    <row r="702">
      <c r="B702" s="158"/>
      <c r="D702" s="158"/>
      <c r="F702" s="158"/>
      <c r="G702" s="162"/>
      <c r="H702" s="158"/>
      <c r="J702" s="158"/>
      <c r="L702" s="158"/>
      <c r="N702" s="158"/>
      <c r="P702" s="20"/>
    </row>
    <row r="703">
      <c r="B703" s="158"/>
      <c r="D703" s="158"/>
      <c r="F703" s="158"/>
      <c r="G703" s="162"/>
      <c r="H703" s="158"/>
      <c r="J703" s="158"/>
      <c r="L703" s="158"/>
      <c r="N703" s="158"/>
      <c r="P703" s="20"/>
    </row>
    <row r="704">
      <c r="B704" s="158"/>
      <c r="D704" s="158"/>
      <c r="F704" s="158"/>
      <c r="G704" s="162"/>
      <c r="H704" s="158"/>
      <c r="J704" s="158"/>
      <c r="L704" s="158"/>
      <c r="N704" s="158"/>
      <c r="P704" s="20"/>
    </row>
    <row r="705">
      <c r="B705" s="158"/>
      <c r="D705" s="158"/>
      <c r="F705" s="158"/>
      <c r="G705" s="162"/>
      <c r="H705" s="158"/>
      <c r="J705" s="158"/>
      <c r="L705" s="158"/>
      <c r="N705" s="158"/>
      <c r="P705" s="20"/>
    </row>
    <row r="706">
      <c r="B706" s="158"/>
      <c r="D706" s="158"/>
      <c r="F706" s="158"/>
      <c r="G706" s="162"/>
      <c r="H706" s="158"/>
      <c r="J706" s="158"/>
      <c r="L706" s="158"/>
      <c r="N706" s="158"/>
      <c r="P706" s="20"/>
    </row>
    <row r="707">
      <c r="B707" s="158"/>
      <c r="D707" s="158"/>
      <c r="F707" s="158"/>
      <c r="G707" s="162"/>
      <c r="H707" s="158"/>
      <c r="J707" s="158"/>
      <c r="L707" s="158"/>
      <c r="N707" s="158"/>
      <c r="P707" s="20"/>
    </row>
    <row r="708">
      <c r="B708" s="158"/>
      <c r="D708" s="158"/>
      <c r="F708" s="158"/>
      <c r="G708" s="162"/>
      <c r="H708" s="158"/>
      <c r="J708" s="158"/>
      <c r="L708" s="158"/>
      <c r="N708" s="158"/>
      <c r="P708" s="20"/>
    </row>
    <row r="709">
      <c r="B709" s="158"/>
      <c r="D709" s="158"/>
      <c r="F709" s="158"/>
      <c r="G709" s="162"/>
      <c r="H709" s="158"/>
      <c r="J709" s="158"/>
      <c r="L709" s="158"/>
      <c r="N709" s="158"/>
      <c r="P709" s="20"/>
    </row>
    <row r="710">
      <c r="B710" s="158"/>
      <c r="D710" s="158"/>
      <c r="F710" s="158"/>
      <c r="G710" s="162"/>
      <c r="H710" s="158"/>
      <c r="J710" s="158"/>
      <c r="L710" s="158"/>
      <c r="N710" s="158"/>
      <c r="P710" s="20"/>
    </row>
    <row r="711">
      <c r="B711" s="158"/>
      <c r="D711" s="158"/>
      <c r="F711" s="158"/>
      <c r="G711" s="162"/>
      <c r="H711" s="158"/>
      <c r="J711" s="158"/>
      <c r="L711" s="158"/>
      <c r="N711" s="158"/>
      <c r="P711" s="20"/>
    </row>
    <row r="712">
      <c r="B712" s="158"/>
      <c r="D712" s="158"/>
      <c r="F712" s="158"/>
      <c r="G712" s="162"/>
      <c r="H712" s="158"/>
      <c r="J712" s="158"/>
      <c r="L712" s="158"/>
      <c r="N712" s="158"/>
      <c r="P712" s="20"/>
    </row>
    <row r="713">
      <c r="B713" s="158"/>
      <c r="D713" s="158"/>
      <c r="F713" s="158"/>
      <c r="G713" s="162"/>
      <c r="H713" s="158"/>
      <c r="J713" s="158"/>
      <c r="L713" s="158"/>
      <c r="N713" s="158"/>
      <c r="P713" s="20"/>
    </row>
    <row r="714">
      <c r="B714" s="158"/>
      <c r="D714" s="158"/>
      <c r="F714" s="158"/>
      <c r="G714" s="162"/>
      <c r="H714" s="158"/>
      <c r="J714" s="158"/>
      <c r="L714" s="158"/>
      <c r="N714" s="158"/>
      <c r="P714" s="20"/>
    </row>
    <row r="715">
      <c r="B715" s="158"/>
      <c r="D715" s="158"/>
      <c r="F715" s="158"/>
      <c r="G715" s="162"/>
      <c r="H715" s="158"/>
      <c r="J715" s="158"/>
      <c r="L715" s="158"/>
      <c r="N715" s="158"/>
      <c r="P715" s="20"/>
    </row>
    <row r="716">
      <c r="B716" s="158"/>
      <c r="D716" s="158"/>
      <c r="F716" s="158"/>
      <c r="G716" s="162"/>
      <c r="H716" s="158"/>
      <c r="J716" s="158"/>
      <c r="L716" s="158"/>
      <c r="N716" s="158"/>
      <c r="P716" s="20"/>
    </row>
    <row r="717">
      <c r="B717" s="158"/>
      <c r="D717" s="158"/>
      <c r="F717" s="158"/>
      <c r="G717" s="162"/>
      <c r="H717" s="158"/>
      <c r="J717" s="158"/>
      <c r="L717" s="158"/>
      <c r="N717" s="158"/>
      <c r="P717" s="20"/>
    </row>
    <row r="718">
      <c r="B718" s="158"/>
      <c r="D718" s="158"/>
      <c r="F718" s="158"/>
      <c r="G718" s="162"/>
      <c r="H718" s="158"/>
      <c r="J718" s="158"/>
      <c r="L718" s="158"/>
      <c r="N718" s="158"/>
      <c r="P718" s="20"/>
    </row>
    <row r="719">
      <c r="B719" s="158"/>
      <c r="D719" s="158"/>
      <c r="F719" s="158"/>
      <c r="G719" s="162"/>
      <c r="H719" s="158"/>
      <c r="J719" s="158"/>
      <c r="L719" s="158"/>
      <c r="N719" s="158"/>
      <c r="P719" s="20"/>
    </row>
    <row r="720">
      <c r="B720" s="158"/>
      <c r="D720" s="158"/>
      <c r="F720" s="158"/>
      <c r="G720" s="162"/>
      <c r="H720" s="158"/>
      <c r="J720" s="158"/>
      <c r="L720" s="158"/>
      <c r="N720" s="158"/>
      <c r="P720" s="20"/>
    </row>
    <row r="721">
      <c r="B721" s="158"/>
      <c r="D721" s="158"/>
      <c r="F721" s="158"/>
      <c r="G721" s="162"/>
      <c r="H721" s="158"/>
      <c r="J721" s="158"/>
      <c r="L721" s="158"/>
      <c r="N721" s="158"/>
      <c r="P721" s="20"/>
    </row>
    <row r="722">
      <c r="B722" s="158"/>
      <c r="D722" s="158"/>
      <c r="F722" s="158"/>
      <c r="G722" s="162"/>
      <c r="H722" s="158"/>
      <c r="J722" s="158"/>
      <c r="L722" s="158"/>
      <c r="N722" s="158"/>
      <c r="P722" s="20"/>
    </row>
    <row r="723">
      <c r="B723" s="158"/>
      <c r="D723" s="158"/>
      <c r="F723" s="158"/>
      <c r="G723" s="162"/>
      <c r="H723" s="158"/>
      <c r="J723" s="158"/>
      <c r="L723" s="158"/>
      <c r="N723" s="158"/>
      <c r="P723" s="20"/>
    </row>
    <row r="724">
      <c r="B724" s="158"/>
      <c r="D724" s="158"/>
      <c r="F724" s="158"/>
      <c r="G724" s="162"/>
      <c r="H724" s="158"/>
      <c r="J724" s="158"/>
      <c r="L724" s="158"/>
      <c r="N724" s="158"/>
      <c r="P724" s="20"/>
    </row>
    <row r="725">
      <c r="B725" s="158"/>
      <c r="D725" s="158"/>
      <c r="F725" s="158"/>
      <c r="G725" s="162"/>
      <c r="H725" s="158"/>
      <c r="J725" s="158"/>
      <c r="L725" s="158"/>
      <c r="N725" s="158"/>
      <c r="P725" s="20"/>
    </row>
    <row r="726">
      <c r="B726" s="158"/>
      <c r="D726" s="158"/>
      <c r="F726" s="158"/>
      <c r="G726" s="162"/>
      <c r="H726" s="158"/>
      <c r="J726" s="158"/>
      <c r="L726" s="158"/>
      <c r="N726" s="158"/>
      <c r="P726" s="20"/>
    </row>
    <row r="727">
      <c r="B727" s="158"/>
      <c r="D727" s="158"/>
      <c r="F727" s="158"/>
      <c r="G727" s="162"/>
      <c r="H727" s="158"/>
      <c r="J727" s="158"/>
      <c r="L727" s="158"/>
      <c r="N727" s="158"/>
      <c r="P727" s="20"/>
    </row>
    <row r="728">
      <c r="B728" s="158"/>
      <c r="D728" s="158"/>
      <c r="F728" s="158"/>
      <c r="G728" s="162"/>
      <c r="H728" s="158"/>
      <c r="J728" s="158"/>
      <c r="L728" s="158"/>
      <c r="N728" s="158"/>
      <c r="P728" s="20"/>
    </row>
    <row r="729">
      <c r="B729" s="158"/>
      <c r="D729" s="158"/>
      <c r="F729" s="158"/>
      <c r="G729" s="162"/>
      <c r="H729" s="158"/>
      <c r="J729" s="158"/>
      <c r="L729" s="158"/>
      <c r="N729" s="158"/>
      <c r="P729" s="20"/>
    </row>
    <row r="730">
      <c r="B730" s="158"/>
      <c r="D730" s="158"/>
      <c r="F730" s="158"/>
      <c r="G730" s="162"/>
      <c r="H730" s="158"/>
      <c r="J730" s="158"/>
      <c r="L730" s="158"/>
      <c r="N730" s="158"/>
      <c r="P730" s="20"/>
    </row>
    <row r="731">
      <c r="B731" s="158"/>
      <c r="D731" s="158"/>
      <c r="F731" s="158"/>
      <c r="G731" s="162"/>
      <c r="H731" s="158"/>
      <c r="J731" s="158"/>
      <c r="L731" s="158"/>
      <c r="N731" s="158"/>
      <c r="P731" s="20"/>
    </row>
    <row r="732">
      <c r="B732" s="158"/>
      <c r="D732" s="158"/>
      <c r="F732" s="158"/>
      <c r="G732" s="162"/>
      <c r="H732" s="158"/>
      <c r="J732" s="158"/>
      <c r="L732" s="158"/>
      <c r="N732" s="158"/>
      <c r="P732" s="20"/>
    </row>
    <row r="733">
      <c r="B733" s="158"/>
      <c r="D733" s="158"/>
      <c r="F733" s="158"/>
      <c r="G733" s="162"/>
      <c r="H733" s="158"/>
      <c r="J733" s="158"/>
      <c r="L733" s="158"/>
      <c r="N733" s="158"/>
      <c r="P733" s="20"/>
    </row>
    <row r="734">
      <c r="B734" s="158"/>
      <c r="D734" s="158"/>
      <c r="F734" s="158"/>
      <c r="G734" s="162"/>
      <c r="H734" s="158"/>
      <c r="J734" s="158"/>
      <c r="L734" s="158"/>
      <c r="N734" s="158"/>
      <c r="P734" s="20"/>
    </row>
    <row r="735">
      <c r="B735" s="158"/>
      <c r="D735" s="158"/>
      <c r="F735" s="158"/>
      <c r="G735" s="162"/>
      <c r="H735" s="158"/>
      <c r="J735" s="158"/>
      <c r="L735" s="158"/>
      <c r="N735" s="158"/>
      <c r="P735" s="20"/>
    </row>
    <row r="736">
      <c r="B736" s="158"/>
      <c r="D736" s="158"/>
      <c r="F736" s="158"/>
      <c r="G736" s="162"/>
      <c r="H736" s="158"/>
      <c r="J736" s="158"/>
      <c r="L736" s="158"/>
      <c r="N736" s="158"/>
      <c r="P736" s="20"/>
    </row>
    <row r="737">
      <c r="B737" s="158"/>
      <c r="D737" s="158"/>
      <c r="F737" s="158"/>
      <c r="G737" s="162"/>
      <c r="H737" s="158"/>
      <c r="J737" s="158"/>
      <c r="L737" s="158"/>
      <c r="N737" s="158"/>
      <c r="P737" s="20"/>
    </row>
    <row r="738">
      <c r="B738" s="158"/>
      <c r="D738" s="158"/>
      <c r="F738" s="158"/>
      <c r="G738" s="162"/>
      <c r="H738" s="158"/>
      <c r="J738" s="158"/>
      <c r="L738" s="158"/>
      <c r="N738" s="158"/>
      <c r="P738" s="20"/>
    </row>
    <row r="739">
      <c r="B739" s="158"/>
      <c r="D739" s="158"/>
      <c r="F739" s="158"/>
      <c r="G739" s="162"/>
      <c r="H739" s="158"/>
      <c r="J739" s="158"/>
      <c r="L739" s="158"/>
      <c r="N739" s="158"/>
      <c r="P739" s="20"/>
    </row>
    <row r="740">
      <c r="B740" s="158"/>
      <c r="D740" s="158"/>
      <c r="F740" s="158"/>
      <c r="G740" s="162"/>
      <c r="H740" s="158"/>
      <c r="J740" s="158"/>
      <c r="L740" s="158"/>
      <c r="N740" s="158"/>
      <c r="P740" s="20"/>
    </row>
    <row r="741">
      <c r="B741" s="158"/>
      <c r="D741" s="158"/>
      <c r="F741" s="158"/>
      <c r="G741" s="162"/>
      <c r="H741" s="158"/>
      <c r="J741" s="158"/>
      <c r="L741" s="158"/>
      <c r="N741" s="158"/>
      <c r="P741" s="20"/>
    </row>
    <row r="742">
      <c r="B742" s="158"/>
      <c r="D742" s="158"/>
      <c r="F742" s="158"/>
      <c r="G742" s="162"/>
      <c r="H742" s="158"/>
      <c r="J742" s="158"/>
      <c r="L742" s="158"/>
      <c r="N742" s="158"/>
      <c r="P742" s="20"/>
    </row>
    <row r="743">
      <c r="B743" s="158"/>
      <c r="D743" s="158"/>
      <c r="F743" s="158"/>
      <c r="G743" s="162"/>
      <c r="H743" s="158"/>
      <c r="J743" s="158"/>
      <c r="L743" s="158"/>
      <c r="N743" s="158"/>
      <c r="P743" s="20"/>
    </row>
    <row r="744">
      <c r="B744" s="158"/>
      <c r="D744" s="158"/>
      <c r="F744" s="158"/>
      <c r="G744" s="162"/>
      <c r="H744" s="158"/>
      <c r="J744" s="158"/>
      <c r="L744" s="158"/>
      <c r="N744" s="158"/>
      <c r="P744" s="20"/>
    </row>
    <row r="745">
      <c r="B745" s="158"/>
      <c r="D745" s="158"/>
      <c r="F745" s="158"/>
      <c r="G745" s="162"/>
      <c r="H745" s="158"/>
      <c r="J745" s="158"/>
      <c r="L745" s="158"/>
      <c r="N745" s="158"/>
      <c r="P745" s="20"/>
    </row>
    <row r="746">
      <c r="B746" s="158"/>
      <c r="D746" s="158"/>
      <c r="F746" s="158"/>
      <c r="G746" s="162"/>
      <c r="H746" s="158"/>
      <c r="J746" s="158"/>
      <c r="L746" s="158"/>
      <c r="N746" s="158"/>
      <c r="P746" s="20"/>
    </row>
    <row r="747">
      <c r="B747" s="158"/>
      <c r="D747" s="158"/>
      <c r="F747" s="158"/>
      <c r="G747" s="162"/>
      <c r="H747" s="158"/>
      <c r="J747" s="158"/>
      <c r="L747" s="158"/>
      <c r="N747" s="158"/>
      <c r="P747" s="20"/>
    </row>
    <row r="748">
      <c r="B748" s="158"/>
      <c r="D748" s="158"/>
      <c r="F748" s="158"/>
      <c r="G748" s="162"/>
      <c r="H748" s="158"/>
      <c r="J748" s="158"/>
      <c r="L748" s="158"/>
      <c r="N748" s="158"/>
      <c r="P748" s="20"/>
    </row>
    <row r="749">
      <c r="B749" s="158"/>
      <c r="D749" s="158"/>
      <c r="F749" s="158"/>
      <c r="G749" s="162"/>
      <c r="H749" s="158"/>
      <c r="J749" s="158"/>
      <c r="L749" s="158"/>
      <c r="N749" s="158"/>
      <c r="P749" s="20"/>
    </row>
    <row r="750">
      <c r="B750" s="158"/>
      <c r="D750" s="158"/>
      <c r="F750" s="158"/>
      <c r="G750" s="162"/>
      <c r="H750" s="158"/>
      <c r="J750" s="158"/>
      <c r="L750" s="158"/>
      <c r="N750" s="158"/>
      <c r="P750" s="20"/>
    </row>
    <row r="751">
      <c r="B751" s="158"/>
      <c r="D751" s="158"/>
      <c r="F751" s="158"/>
      <c r="G751" s="162"/>
      <c r="H751" s="158"/>
      <c r="J751" s="158"/>
      <c r="L751" s="158"/>
      <c r="N751" s="158"/>
      <c r="P751" s="20"/>
    </row>
    <row r="752">
      <c r="B752" s="158"/>
      <c r="D752" s="158"/>
      <c r="F752" s="158"/>
      <c r="G752" s="162"/>
      <c r="H752" s="158"/>
      <c r="J752" s="158"/>
      <c r="L752" s="158"/>
      <c r="N752" s="158"/>
      <c r="P752" s="20"/>
    </row>
    <row r="753">
      <c r="B753" s="158"/>
      <c r="D753" s="158"/>
      <c r="F753" s="158"/>
      <c r="G753" s="162"/>
      <c r="H753" s="158"/>
      <c r="J753" s="158"/>
      <c r="L753" s="158"/>
      <c r="N753" s="158"/>
      <c r="P753" s="20"/>
    </row>
    <row r="754">
      <c r="B754" s="158"/>
      <c r="D754" s="158"/>
      <c r="F754" s="158"/>
      <c r="G754" s="162"/>
      <c r="H754" s="158"/>
      <c r="J754" s="158"/>
      <c r="L754" s="158"/>
      <c r="N754" s="158"/>
      <c r="P754" s="20"/>
    </row>
    <row r="755">
      <c r="B755" s="158"/>
      <c r="D755" s="158"/>
      <c r="F755" s="158"/>
      <c r="G755" s="162"/>
      <c r="H755" s="158"/>
      <c r="J755" s="158"/>
      <c r="L755" s="158"/>
      <c r="N755" s="158"/>
      <c r="P755" s="20"/>
    </row>
    <row r="756">
      <c r="B756" s="158"/>
      <c r="D756" s="158"/>
      <c r="F756" s="158"/>
      <c r="G756" s="162"/>
      <c r="H756" s="158"/>
      <c r="J756" s="158"/>
      <c r="L756" s="158"/>
      <c r="N756" s="158"/>
      <c r="P756" s="20"/>
    </row>
    <row r="757">
      <c r="B757" s="158"/>
      <c r="D757" s="158"/>
      <c r="F757" s="158"/>
      <c r="G757" s="162"/>
      <c r="H757" s="158"/>
      <c r="J757" s="158"/>
      <c r="L757" s="158"/>
      <c r="N757" s="158"/>
      <c r="P757" s="20"/>
    </row>
    <row r="758">
      <c r="B758" s="158"/>
      <c r="D758" s="158"/>
      <c r="F758" s="158"/>
      <c r="G758" s="162"/>
      <c r="H758" s="158"/>
      <c r="J758" s="158"/>
      <c r="L758" s="158"/>
      <c r="N758" s="158"/>
      <c r="P758" s="20"/>
    </row>
    <row r="759">
      <c r="B759" s="158"/>
      <c r="D759" s="158"/>
      <c r="F759" s="158"/>
      <c r="G759" s="162"/>
      <c r="H759" s="158"/>
      <c r="J759" s="158"/>
      <c r="L759" s="158"/>
      <c r="N759" s="158"/>
      <c r="P759" s="20"/>
    </row>
    <row r="760">
      <c r="B760" s="158"/>
      <c r="D760" s="158"/>
      <c r="F760" s="158"/>
      <c r="G760" s="162"/>
      <c r="H760" s="158"/>
      <c r="J760" s="158"/>
      <c r="L760" s="158"/>
      <c r="N760" s="158"/>
      <c r="P760" s="20"/>
    </row>
    <row r="761">
      <c r="B761" s="158"/>
      <c r="D761" s="158"/>
      <c r="F761" s="158"/>
      <c r="G761" s="162"/>
      <c r="H761" s="158"/>
      <c r="J761" s="158"/>
      <c r="L761" s="158"/>
      <c r="N761" s="158"/>
      <c r="P761" s="20"/>
    </row>
    <row r="762">
      <c r="B762" s="158"/>
      <c r="D762" s="158"/>
      <c r="F762" s="158"/>
      <c r="G762" s="162"/>
      <c r="H762" s="158"/>
      <c r="J762" s="158"/>
      <c r="L762" s="158"/>
      <c r="N762" s="158"/>
      <c r="P762" s="20"/>
    </row>
    <row r="763">
      <c r="B763" s="158"/>
      <c r="D763" s="158"/>
      <c r="F763" s="158"/>
      <c r="G763" s="162"/>
      <c r="H763" s="158"/>
      <c r="J763" s="158"/>
      <c r="L763" s="158"/>
      <c r="N763" s="158"/>
      <c r="P763" s="20"/>
    </row>
    <row r="764">
      <c r="B764" s="158"/>
      <c r="D764" s="158"/>
      <c r="F764" s="158"/>
      <c r="G764" s="162"/>
      <c r="H764" s="158"/>
      <c r="J764" s="158"/>
      <c r="L764" s="158"/>
      <c r="N764" s="158"/>
      <c r="P764" s="20"/>
    </row>
    <row r="765">
      <c r="B765" s="158"/>
      <c r="D765" s="158"/>
      <c r="F765" s="158"/>
      <c r="G765" s="162"/>
      <c r="H765" s="158"/>
      <c r="J765" s="158"/>
      <c r="L765" s="158"/>
      <c r="N765" s="158"/>
      <c r="P765" s="20"/>
    </row>
    <row r="766">
      <c r="B766" s="158"/>
      <c r="D766" s="158"/>
      <c r="F766" s="158"/>
      <c r="G766" s="162"/>
      <c r="H766" s="158"/>
      <c r="J766" s="158"/>
      <c r="L766" s="158"/>
      <c r="N766" s="158"/>
      <c r="P766" s="20"/>
    </row>
    <row r="767">
      <c r="B767" s="158"/>
      <c r="D767" s="158"/>
      <c r="F767" s="158"/>
      <c r="G767" s="162"/>
      <c r="H767" s="158"/>
      <c r="J767" s="158"/>
      <c r="L767" s="158"/>
      <c r="N767" s="158"/>
      <c r="P767" s="20"/>
    </row>
    <row r="768">
      <c r="B768" s="158"/>
      <c r="D768" s="158"/>
      <c r="F768" s="158"/>
      <c r="G768" s="162"/>
      <c r="H768" s="158"/>
      <c r="J768" s="158"/>
      <c r="L768" s="158"/>
      <c r="N768" s="158"/>
      <c r="P768" s="20"/>
    </row>
    <row r="769">
      <c r="B769" s="158"/>
      <c r="D769" s="158"/>
      <c r="F769" s="158"/>
      <c r="G769" s="162"/>
      <c r="H769" s="158"/>
      <c r="J769" s="158"/>
      <c r="L769" s="158"/>
      <c r="N769" s="158"/>
      <c r="P769" s="20"/>
    </row>
    <row r="770">
      <c r="B770" s="158"/>
      <c r="D770" s="158"/>
      <c r="F770" s="158"/>
      <c r="G770" s="162"/>
      <c r="H770" s="158"/>
      <c r="J770" s="158"/>
      <c r="L770" s="158"/>
      <c r="N770" s="158"/>
      <c r="P770" s="20"/>
    </row>
    <row r="771">
      <c r="B771" s="158"/>
      <c r="D771" s="158"/>
      <c r="F771" s="158"/>
      <c r="G771" s="162"/>
      <c r="H771" s="158"/>
      <c r="J771" s="158"/>
      <c r="L771" s="158"/>
      <c r="N771" s="158"/>
      <c r="P771" s="20"/>
    </row>
    <row r="772">
      <c r="B772" s="158"/>
      <c r="D772" s="158"/>
      <c r="F772" s="158"/>
      <c r="G772" s="162"/>
      <c r="H772" s="158"/>
      <c r="J772" s="158"/>
      <c r="L772" s="158"/>
      <c r="N772" s="158"/>
      <c r="P772" s="20"/>
    </row>
    <row r="773">
      <c r="B773" s="158"/>
      <c r="D773" s="158"/>
      <c r="F773" s="158"/>
      <c r="G773" s="162"/>
      <c r="H773" s="158"/>
      <c r="J773" s="158"/>
      <c r="L773" s="158"/>
      <c r="N773" s="158"/>
      <c r="P773" s="20"/>
    </row>
    <row r="774">
      <c r="B774" s="158"/>
      <c r="D774" s="158"/>
      <c r="F774" s="158"/>
      <c r="G774" s="162"/>
      <c r="H774" s="158"/>
      <c r="J774" s="158"/>
      <c r="L774" s="158"/>
      <c r="N774" s="158"/>
      <c r="P774" s="20"/>
    </row>
    <row r="775">
      <c r="B775" s="158"/>
      <c r="D775" s="158"/>
      <c r="F775" s="158"/>
      <c r="G775" s="162"/>
      <c r="H775" s="158"/>
      <c r="J775" s="158"/>
      <c r="L775" s="158"/>
      <c r="N775" s="158"/>
      <c r="P775" s="20"/>
    </row>
    <row r="776">
      <c r="B776" s="158"/>
      <c r="D776" s="158"/>
      <c r="F776" s="158"/>
      <c r="G776" s="162"/>
      <c r="H776" s="158"/>
      <c r="J776" s="158"/>
      <c r="L776" s="158"/>
      <c r="N776" s="158"/>
      <c r="P776" s="20"/>
    </row>
    <row r="777">
      <c r="B777" s="158"/>
      <c r="D777" s="158"/>
      <c r="F777" s="158"/>
      <c r="G777" s="162"/>
      <c r="H777" s="158"/>
      <c r="J777" s="158"/>
      <c r="L777" s="158"/>
      <c r="N777" s="158"/>
      <c r="P777" s="20"/>
    </row>
    <row r="778">
      <c r="B778" s="158"/>
      <c r="D778" s="158"/>
      <c r="F778" s="158"/>
      <c r="G778" s="162"/>
      <c r="H778" s="158"/>
      <c r="J778" s="158"/>
      <c r="L778" s="158"/>
      <c r="N778" s="158"/>
      <c r="P778" s="20"/>
    </row>
    <row r="779">
      <c r="B779" s="158"/>
      <c r="D779" s="158"/>
      <c r="F779" s="158"/>
      <c r="G779" s="162"/>
      <c r="H779" s="158"/>
      <c r="J779" s="158"/>
      <c r="L779" s="158"/>
      <c r="N779" s="158"/>
      <c r="P779" s="20"/>
    </row>
    <row r="780">
      <c r="B780" s="158"/>
      <c r="D780" s="158"/>
      <c r="F780" s="158"/>
      <c r="G780" s="162"/>
      <c r="H780" s="158"/>
      <c r="J780" s="158"/>
      <c r="L780" s="158"/>
      <c r="N780" s="158"/>
      <c r="P780" s="20"/>
    </row>
    <row r="781">
      <c r="B781" s="158"/>
      <c r="D781" s="158"/>
      <c r="F781" s="158"/>
      <c r="G781" s="162"/>
      <c r="H781" s="158"/>
      <c r="J781" s="158"/>
      <c r="L781" s="158"/>
      <c r="N781" s="158"/>
      <c r="P781" s="20"/>
    </row>
    <row r="782">
      <c r="B782" s="158"/>
      <c r="D782" s="158"/>
      <c r="F782" s="158"/>
      <c r="G782" s="162"/>
      <c r="H782" s="158"/>
      <c r="J782" s="158"/>
      <c r="L782" s="158"/>
      <c r="N782" s="158"/>
      <c r="P782" s="20"/>
    </row>
    <row r="783">
      <c r="B783" s="158"/>
      <c r="D783" s="158"/>
      <c r="F783" s="158"/>
      <c r="G783" s="162"/>
      <c r="H783" s="158"/>
      <c r="J783" s="158"/>
      <c r="L783" s="158"/>
      <c r="N783" s="158"/>
      <c r="P783" s="20"/>
    </row>
    <row r="784">
      <c r="B784" s="158"/>
      <c r="D784" s="158"/>
      <c r="F784" s="158"/>
      <c r="G784" s="162"/>
      <c r="H784" s="158"/>
      <c r="J784" s="158"/>
      <c r="L784" s="158"/>
      <c r="N784" s="158"/>
      <c r="P784" s="20"/>
    </row>
    <row r="785">
      <c r="B785" s="158"/>
      <c r="D785" s="158"/>
      <c r="F785" s="158"/>
      <c r="G785" s="162"/>
      <c r="H785" s="158"/>
      <c r="J785" s="158"/>
      <c r="L785" s="158"/>
      <c r="N785" s="158"/>
      <c r="P785" s="20"/>
    </row>
    <row r="786">
      <c r="B786" s="158"/>
      <c r="D786" s="158"/>
      <c r="F786" s="158"/>
      <c r="G786" s="162"/>
      <c r="H786" s="158"/>
      <c r="J786" s="158"/>
      <c r="L786" s="158"/>
      <c r="N786" s="158"/>
      <c r="P786" s="20"/>
    </row>
    <row r="787">
      <c r="B787" s="158"/>
      <c r="D787" s="158"/>
      <c r="F787" s="158"/>
      <c r="G787" s="162"/>
      <c r="H787" s="158"/>
      <c r="J787" s="158"/>
      <c r="L787" s="158"/>
      <c r="N787" s="158"/>
      <c r="P787" s="20"/>
    </row>
    <row r="788">
      <c r="B788" s="158"/>
      <c r="D788" s="158"/>
      <c r="F788" s="158"/>
      <c r="G788" s="162"/>
      <c r="H788" s="158"/>
      <c r="J788" s="158"/>
      <c r="L788" s="158"/>
      <c r="N788" s="158"/>
      <c r="P788" s="20"/>
    </row>
    <row r="789">
      <c r="B789" s="158"/>
      <c r="D789" s="158"/>
      <c r="F789" s="158"/>
      <c r="G789" s="162"/>
      <c r="H789" s="158"/>
      <c r="J789" s="158"/>
      <c r="L789" s="158"/>
      <c r="N789" s="158"/>
      <c r="P789" s="20"/>
    </row>
    <row r="790">
      <c r="B790" s="158"/>
      <c r="D790" s="158"/>
      <c r="F790" s="158"/>
      <c r="G790" s="162"/>
      <c r="H790" s="158"/>
      <c r="J790" s="158"/>
      <c r="L790" s="158"/>
      <c r="N790" s="158"/>
      <c r="P790" s="20"/>
    </row>
    <row r="791">
      <c r="B791" s="158"/>
      <c r="D791" s="158"/>
      <c r="F791" s="158"/>
      <c r="G791" s="162"/>
      <c r="H791" s="158"/>
      <c r="J791" s="158"/>
      <c r="L791" s="158"/>
      <c r="N791" s="158"/>
      <c r="P791" s="20"/>
    </row>
    <row r="792">
      <c r="B792" s="158"/>
      <c r="D792" s="158"/>
      <c r="F792" s="158"/>
      <c r="G792" s="162"/>
      <c r="H792" s="158"/>
      <c r="J792" s="158"/>
      <c r="L792" s="158"/>
      <c r="N792" s="158"/>
      <c r="P792" s="20"/>
    </row>
    <row r="793">
      <c r="B793" s="158"/>
      <c r="D793" s="158"/>
      <c r="F793" s="158"/>
      <c r="G793" s="162"/>
      <c r="H793" s="158"/>
      <c r="J793" s="158"/>
      <c r="L793" s="158"/>
      <c r="N793" s="158"/>
      <c r="P793" s="20"/>
    </row>
    <row r="794">
      <c r="B794" s="158"/>
      <c r="D794" s="158"/>
      <c r="F794" s="158"/>
      <c r="G794" s="162"/>
      <c r="H794" s="158"/>
      <c r="J794" s="158"/>
      <c r="L794" s="158"/>
      <c r="N794" s="158"/>
      <c r="P794" s="20"/>
    </row>
    <row r="795">
      <c r="B795" s="158"/>
      <c r="D795" s="158"/>
      <c r="F795" s="158"/>
      <c r="G795" s="162"/>
      <c r="H795" s="158"/>
      <c r="J795" s="158"/>
      <c r="L795" s="158"/>
      <c r="N795" s="158"/>
      <c r="P795" s="20"/>
    </row>
    <row r="796">
      <c r="B796" s="158"/>
      <c r="D796" s="158"/>
      <c r="F796" s="158"/>
      <c r="G796" s="162"/>
      <c r="H796" s="158"/>
      <c r="J796" s="158"/>
      <c r="L796" s="158"/>
      <c r="N796" s="158"/>
      <c r="P796" s="20"/>
    </row>
    <row r="797">
      <c r="B797" s="158"/>
      <c r="D797" s="158"/>
      <c r="F797" s="158"/>
      <c r="G797" s="162"/>
      <c r="H797" s="158"/>
      <c r="J797" s="158"/>
      <c r="L797" s="158"/>
      <c r="N797" s="158"/>
      <c r="P797" s="20"/>
    </row>
    <row r="798">
      <c r="B798" s="158"/>
      <c r="D798" s="158"/>
      <c r="F798" s="158"/>
      <c r="G798" s="162"/>
      <c r="H798" s="158"/>
      <c r="J798" s="158"/>
      <c r="L798" s="158"/>
      <c r="N798" s="158"/>
      <c r="P798" s="20"/>
    </row>
    <row r="799">
      <c r="B799" s="158"/>
      <c r="D799" s="158"/>
      <c r="F799" s="158"/>
      <c r="G799" s="162"/>
      <c r="H799" s="158"/>
      <c r="J799" s="158"/>
      <c r="L799" s="158"/>
      <c r="N799" s="158"/>
      <c r="P799" s="20"/>
    </row>
    <row r="800">
      <c r="B800" s="158"/>
      <c r="D800" s="158"/>
      <c r="F800" s="158"/>
      <c r="G800" s="162"/>
      <c r="H800" s="158"/>
      <c r="J800" s="158"/>
      <c r="L800" s="158"/>
      <c r="N800" s="158"/>
      <c r="P800" s="20"/>
    </row>
    <row r="801">
      <c r="B801" s="158"/>
      <c r="D801" s="158"/>
      <c r="F801" s="158"/>
      <c r="G801" s="162"/>
      <c r="H801" s="158"/>
      <c r="J801" s="158"/>
      <c r="L801" s="158"/>
      <c r="N801" s="158"/>
      <c r="P801" s="20"/>
    </row>
    <row r="802">
      <c r="B802" s="158"/>
      <c r="D802" s="158"/>
      <c r="F802" s="158"/>
      <c r="G802" s="162"/>
      <c r="H802" s="158"/>
      <c r="J802" s="158"/>
      <c r="L802" s="158"/>
      <c r="N802" s="158"/>
      <c r="P802" s="20"/>
    </row>
    <row r="803">
      <c r="B803" s="158"/>
      <c r="D803" s="158"/>
      <c r="F803" s="158"/>
      <c r="G803" s="162"/>
      <c r="H803" s="158"/>
      <c r="J803" s="158"/>
      <c r="L803" s="158"/>
      <c r="N803" s="158"/>
      <c r="P803" s="20"/>
    </row>
    <row r="804">
      <c r="B804" s="158"/>
      <c r="D804" s="158"/>
      <c r="F804" s="158"/>
      <c r="G804" s="162"/>
      <c r="H804" s="158"/>
      <c r="J804" s="158"/>
      <c r="L804" s="158"/>
      <c r="N804" s="158"/>
      <c r="P804" s="20"/>
    </row>
    <row r="805">
      <c r="B805" s="158"/>
      <c r="D805" s="158"/>
      <c r="F805" s="158"/>
      <c r="G805" s="162"/>
      <c r="H805" s="158"/>
      <c r="J805" s="158"/>
      <c r="L805" s="158"/>
      <c r="N805" s="158"/>
      <c r="P805" s="20"/>
    </row>
    <row r="806">
      <c r="B806" s="158"/>
      <c r="D806" s="158"/>
      <c r="F806" s="158"/>
      <c r="G806" s="162"/>
      <c r="H806" s="158"/>
      <c r="J806" s="158"/>
      <c r="L806" s="158"/>
      <c r="N806" s="158"/>
      <c r="P806" s="20"/>
    </row>
    <row r="807">
      <c r="B807" s="158"/>
      <c r="D807" s="158"/>
      <c r="F807" s="158"/>
      <c r="G807" s="162"/>
      <c r="H807" s="158"/>
      <c r="J807" s="158"/>
      <c r="L807" s="158"/>
      <c r="N807" s="158"/>
      <c r="P807" s="20"/>
    </row>
    <row r="808">
      <c r="B808" s="158"/>
      <c r="D808" s="158"/>
      <c r="F808" s="158"/>
      <c r="G808" s="162"/>
      <c r="H808" s="158"/>
      <c r="J808" s="158"/>
      <c r="L808" s="158"/>
      <c r="N808" s="158"/>
      <c r="P808" s="20"/>
    </row>
    <row r="809">
      <c r="B809" s="158"/>
      <c r="D809" s="158"/>
      <c r="F809" s="158"/>
      <c r="G809" s="162"/>
      <c r="H809" s="158"/>
      <c r="J809" s="158"/>
      <c r="L809" s="158"/>
      <c r="N809" s="158"/>
      <c r="P809" s="20"/>
    </row>
    <row r="810">
      <c r="B810" s="158"/>
      <c r="D810" s="158"/>
      <c r="F810" s="158"/>
      <c r="G810" s="162"/>
      <c r="H810" s="158"/>
      <c r="J810" s="158"/>
      <c r="L810" s="158"/>
      <c r="N810" s="158"/>
      <c r="P810" s="20"/>
    </row>
    <row r="811">
      <c r="B811" s="158"/>
      <c r="D811" s="158"/>
      <c r="F811" s="158"/>
      <c r="G811" s="162"/>
      <c r="H811" s="158"/>
      <c r="J811" s="158"/>
      <c r="L811" s="158"/>
      <c r="N811" s="158"/>
      <c r="P811" s="20"/>
    </row>
    <row r="812">
      <c r="B812" s="158"/>
      <c r="D812" s="158"/>
      <c r="F812" s="158"/>
      <c r="G812" s="162"/>
      <c r="H812" s="158"/>
      <c r="J812" s="158"/>
      <c r="L812" s="158"/>
      <c r="N812" s="158"/>
      <c r="P812" s="20"/>
    </row>
    <row r="813">
      <c r="B813" s="158"/>
      <c r="D813" s="158"/>
      <c r="F813" s="158"/>
      <c r="G813" s="162"/>
      <c r="H813" s="158"/>
      <c r="J813" s="158"/>
      <c r="L813" s="158"/>
      <c r="N813" s="158"/>
      <c r="P813" s="20"/>
    </row>
    <row r="814">
      <c r="B814" s="158"/>
      <c r="D814" s="158"/>
      <c r="F814" s="158"/>
      <c r="G814" s="162"/>
      <c r="H814" s="158"/>
      <c r="J814" s="158"/>
      <c r="L814" s="158"/>
      <c r="N814" s="158"/>
      <c r="P814" s="20"/>
    </row>
    <row r="815">
      <c r="B815" s="158"/>
      <c r="D815" s="158"/>
      <c r="F815" s="158"/>
      <c r="G815" s="162"/>
      <c r="H815" s="158"/>
      <c r="J815" s="158"/>
      <c r="L815" s="158"/>
      <c r="N815" s="158"/>
      <c r="P815" s="20"/>
    </row>
    <row r="816">
      <c r="B816" s="158"/>
      <c r="D816" s="158"/>
      <c r="F816" s="158"/>
      <c r="G816" s="162"/>
      <c r="H816" s="158"/>
      <c r="J816" s="158"/>
      <c r="L816" s="158"/>
      <c r="N816" s="158"/>
      <c r="P816" s="20"/>
    </row>
    <row r="817">
      <c r="B817" s="158"/>
      <c r="D817" s="158"/>
      <c r="F817" s="158"/>
      <c r="G817" s="162"/>
      <c r="H817" s="158"/>
      <c r="J817" s="158"/>
      <c r="L817" s="158"/>
      <c r="N817" s="158"/>
      <c r="P817" s="20"/>
    </row>
    <row r="818">
      <c r="B818" s="158"/>
      <c r="D818" s="158"/>
      <c r="F818" s="158"/>
      <c r="G818" s="162"/>
      <c r="H818" s="158"/>
      <c r="J818" s="158"/>
      <c r="L818" s="158"/>
      <c r="N818" s="158"/>
      <c r="P818" s="20"/>
    </row>
    <row r="819">
      <c r="B819" s="158"/>
      <c r="D819" s="158"/>
      <c r="F819" s="158"/>
      <c r="G819" s="162"/>
      <c r="H819" s="158"/>
      <c r="J819" s="158"/>
      <c r="L819" s="158"/>
      <c r="N819" s="158"/>
      <c r="P819" s="20"/>
    </row>
    <row r="820">
      <c r="B820" s="158"/>
      <c r="D820" s="158"/>
      <c r="F820" s="158"/>
      <c r="G820" s="162"/>
      <c r="H820" s="158"/>
      <c r="J820" s="158"/>
      <c r="L820" s="158"/>
      <c r="N820" s="158"/>
      <c r="P820" s="20"/>
    </row>
    <row r="821">
      <c r="B821" s="158"/>
      <c r="D821" s="158"/>
      <c r="F821" s="158"/>
      <c r="G821" s="162"/>
      <c r="H821" s="158"/>
      <c r="J821" s="158"/>
      <c r="L821" s="158"/>
      <c r="N821" s="158"/>
      <c r="P821" s="20"/>
    </row>
    <row r="822">
      <c r="B822" s="158"/>
      <c r="D822" s="158"/>
      <c r="F822" s="158"/>
      <c r="G822" s="162"/>
      <c r="H822" s="158"/>
      <c r="J822" s="158"/>
      <c r="L822" s="158"/>
      <c r="N822" s="158"/>
      <c r="P822" s="20"/>
    </row>
    <row r="823">
      <c r="B823" s="158"/>
      <c r="D823" s="158"/>
      <c r="F823" s="158"/>
      <c r="G823" s="162"/>
      <c r="H823" s="158"/>
      <c r="J823" s="158"/>
      <c r="L823" s="158"/>
      <c r="N823" s="158"/>
      <c r="P823" s="20"/>
    </row>
    <row r="824">
      <c r="B824" s="158"/>
      <c r="D824" s="158"/>
      <c r="F824" s="158"/>
      <c r="G824" s="162"/>
      <c r="H824" s="158"/>
      <c r="J824" s="158"/>
      <c r="L824" s="158"/>
      <c r="N824" s="158"/>
      <c r="P824" s="20"/>
    </row>
    <row r="825">
      <c r="B825" s="158"/>
      <c r="D825" s="158"/>
      <c r="F825" s="158"/>
      <c r="G825" s="162"/>
      <c r="H825" s="158"/>
      <c r="J825" s="158"/>
      <c r="L825" s="158"/>
      <c r="N825" s="158"/>
      <c r="P825" s="20"/>
    </row>
    <row r="826">
      <c r="B826" s="158"/>
      <c r="D826" s="158"/>
      <c r="F826" s="158"/>
      <c r="G826" s="162"/>
      <c r="H826" s="158"/>
      <c r="J826" s="158"/>
      <c r="L826" s="158"/>
      <c r="N826" s="158"/>
      <c r="P826" s="20"/>
    </row>
    <row r="827">
      <c r="B827" s="158"/>
      <c r="D827" s="158"/>
      <c r="F827" s="158"/>
      <c r="G827" s="162"/>
      <c r="H827" s="158"/>
      <c r="J827" s="158"/>
      <c r="L827" s="158"/>
      <c r="N827" s="158"/>
      <c r="P827" s="20"/>
    </row>
    <row r="828">
      <c r="B828" s="158"/>
      <c r="D828" s="158"/>
      <c r="F828" s="158"/>
      <c r="G828" s="162"/>
      <c r="H828" s="158"/>
      <c r="J828" s="158"/>
      <c r="L828" s="158"/>
      <c r="N828" s="158"/>
      <c r="P828" s="20"/>
    </row>
    <row r="829">
      <c r="B829" s="158"/>
      <c r="D829" s="158"/>
      <c r="F829" s="158"/>
      <c r="G829" s="162"/>
      <c r="H829" s="158"/>
      <c r="J829" s="158"/>
      <c r="L829" s="158"/>
      <c r="N829" s="158"/>
      <c r="P829" s="20"/>
    </row>
    <row r="830">
      <c r="B830" s="158"/>
      <c r="D830" s="158"/>
      <c r="F830" s="158"/>
      <c r="G830" s="162"/>
      <c r="H830" s="158"/>
      <c r="J830" s="158"/>
      <c r="L830" s="158"/>
      <c r="N830" s="158"/>
      <c r="P830" s="20"/>
    </row>
    <row r="831">
      <c r="B831" s="158"/>
      <c r="D831" s="158"/>
      <c r="F831" s="158"/>
      <c r="G831" s="162"/>
      <c r="H831" s="158"/>
      <c r="J831" s="158"/>
      <c r="L831" s="158"/>
      <c r="N831" s="158"/>
      <c r="P831" s="20"/>
    </row>
    <row r="832">
      <c r="B832" s="158"/>
      <c r="D832" s="158"/>
      <c r="F832" s="158"/>
      <c r="G832" s="162"/>
      <c r="H832" s="158"/>
      <c r="J832" s="158"/>
      <c r="L832" s="158"/>
      <c r="N832" s="158"/>
      <c r="P832" s="20"/>
    </row>
    <row r="833">
      <c r="B833" s="158"/>
      <c r="D833" s="158"/>
      <c r="F833" s="158"/>
      <c r="G833" s="162"/>
      <c r="H833" s="158"/>
      <c r="J833" s="158"/>
      <c r="L833" s="158"/>
      <c r="N833" s="158"/>
      <c r="P833" s="20"/>
    </row>
    <row r="834">
      <c r="B834" s="158"/>
      <c r="D834" s="158"/>
      <c r="F834" s="158"/>
      <c r="G834" s="162"/>
      <c r="H834" s="158"/>
      <c r="J834" s="158"/>
      <c r="L834" s="158"/>
      <c r="N834" s="158"/>
      <c r="P834" s="20"/>
    </row>
    <row r="835">
      <c r="B835" s="158"/>
      <c r="D835" s="158"/>
      <c r="F835" s="158"/>
      <c r="G835" s="162"/>
      <c r="H835" s="158"/>
      <c r="J835" s="158"/>
      <c r="L835" s="158"/>
      <c r="N835" s="158"/>
      <c r="P835" s="20"/>
    </row>
    <row r="836">
      <c r="B836" s="158"/>
      <c r="D836" s="158"/>
      <c r="F836" s="158"/>
      <c r="G836" s="162"/>
      <c r="H836" s="158"/>
      <c r="J836" s="158"/>
      <c r="L836" s="158"/>
      <c r="N836" s="158"/>
      <c r="P836" s="20"/>
    </row>
    <row r="837">
      <c r="B837" s="158"/>
      <c r="D837" s="158"/>
      <c r="F837" s="158"/>
      <c r="G837" s="162"/>
      <c r="H837" s="158"/>
      <c r="J837" s="158"/>
      <c r="L837" s="158"/>
      <c r="N837" s="158"/>
      <c r="P837" s="20"/>
    </row>
    <row r="838">
      <c r="B838" s="158"/>
      <c r="D838" s="158"/>
      <c r="F838" s="158"/>
      <c r="G838" s="162"/>
      <c r="H838" s="158"/>
      <c r="J838" s="158"/>
      <c r="L838" s="158"/>
      <c r="N838" s="158"/>
      <c r="P838" s="20"/>
    </row>
    <row r="839">
      <c r="B839" s="158"/>
      <c r="D839" s="158"/>
      <c r="F839" s="158"/>
      <c r="G839" s="162"/>
      <c r="H839" s="158"/>
      <c r="J839" s="158"/>
      <c r="L839" s="158"/>
      <c r="N839" s="158"/>
      <c r="P839" s="20"/>
    </row>
    <row r="840">
      <c r="B840" s="158"/>
      <c r="D840" s="158"/>
      <c r="F840" s="158"/>
      <c r="G840" s="162"/>
      <c r="H840" s="158"/>
      <c r="J840" s="158"/>
      <c r="L840" s="158"/>
      <c r="N840" s="158"/>
      <c r="P840" s="20"/>
    </row>
    <row r="841">
      <c r="B841" s="158"/>
      <c r="D841" s="158"/>
      <c r="F841" s="158"/>
      <c r="G841" s="162"/>
      <c r="H841" s="158"/>
      <c r="J841" s="158"/>
      <c r="L841" s="158"/>
      <c r="N841" s="158"/>
      <c r="P841" s="20"/>
    </row>
    <row r="842">
      <c r="B842" s="158"/>
      <c r="D842" s="158"/>
      <c r="F842" s="158"/>
      <c r="G842" s="162"/>
      <c r="H842" s="158"/>
      <c r="J842" s="158"/>
      <c r="L842" s="158"/>
      <c r="N842" s="158"/>
      <c r="P842" s="20"/>
    </row>
    <row r="843">
      <c r="B843" s="158"/>
      <c r="D843" s="158"/>
      <c r="F843" s="158"/>
      <c r="G843" s="162"/>
      <c r="H843" s="158"/>
      <c r="J843" s="158"/>
      <c r="L843" s="158"/>
      <c r="N843" s="158"/>
      <c r="P843" s="20"/>
    </row>
    <row r="844">
      <c r="B844" s="158"/>
      <c r="D844" s="158"/>
      <c r="F844" s="158"/>
      <c r="G844" s="162"/>
      <c r="H844" s="158"/>
      <c r="J844" s="158"/>
      <c r="L844" s="158"/>
      <c r="N844" s="158"/>
      <c r="P844" s="20"/>
    </row>
    <row r="845">
      <c r="B845" s="158"/>
      <c r="D845" s="158"/>
      <c r="F845" s="158"/>
      <c r="G845" s="162"/>
      <c r="H845" s="158"/>
      <c r="J845" s="158"/>
      <c r="L845" s="158"/>
      <c r="N845" s="158"/>
      <c r="P845" s="20"/>
    </row>
    <row r="846">
      <c r="B846" s="158"/>
      <c r="D846" s="158"/>
      <c r="F846" s="158"/>
      <c r="G846" s="162"/>
      <c r="H846" s="158"/>
      <c r="J846" s="158"/>
      <c r="L846" s="158"/>
      <c r="N846" s="158"/>
      <c r="P846" s="20"/>
    </row>
    <row r="847">
      <c r="B847" s="158"/>
      <c r="D847" s="158"/>
      <c r="F847" s="158"/>
      <c r="G847" s="162"/>
      <c r="H847" s="158"/>
      <c r="J847" s="158"/>
      <c r="L847" s="158"/>
      <c r="N847" s="158"/>
      <c r="P847" s="20"/>
    </row>
    <row r="848">
      <c r="B848" s="158"/>
      <c r="D848" s="158"/>
      <c r="F848" s="158"/>
      <c r="G848" s="162"/>
      <c r="H848" s="158"/>
      <c r="J848" s="158"/>
      <c r="L848" s="158"/>
      <c r="N848" s="158"/>
      <c r="P848" s="20"/>
    </row>
    <row r="849">
      <c r="B849" s="158"/>
      <c r="D849" s="158"/>
      <c r="F849" s="158"/>
      <c r="G849" s="162"/>
      <c r="H849" s="158"/>
      <c r="J849" s="158"/>
      <c r="L849" s="158"/>
      <c r="N849" s="158"/>
      <c r="P849" s="20"/>
    </row>
    <row r="850">
      <c r="B850" s="158"/>
      <c r="D850" s="158"/>
      <c r="F850" s="158"/>
      <c r="G850" s="162"/>
      <c r="H850" s="158"/>
      <c r="J850" s="158"/>
      <c r="L850" s="158"/>
      <c r="N850" s="158"/>
      <c r="P850" s="20"/>
    </row>
    <row r="851">
      <c r="B851" s="158"/>
      <c r="D851" s="158"/>
      <c r="F851" s="158"/>
      <c r="G851" s="162"/>
      <c r="H851" s="158"/>
      <c r="J851" s="158"/>
      <c r="L851" s="158"/>
      <c r="N851" s="158"/>
      <c r="P851" s="20"/>
    </row>
    <row r="852">
      <c r="B852" s="158"/>
      <c r="D852" s="158"/>
      <c r="F852" s="158"/>
      <c r="G852" s="162"/>
      <c r="H852" s="158"/>
      <c r="J852" s="158"/>
      <c r="L852" s="158"/>
      <c r="N852" s="158"/>
      <c r="P852" s="20"/>
    </row>
    <row r="853">
      <c r="B853" s="158"/>
      <c r="D853" s="158"/>
      <c r="F853" s="158"/>
      <c r="G853" s="162"/>
      <c r="H853" s="158"/>
      <c r="J853" s="158"/>
      <c r="L853" s="158"/>
      <c r="N853" s="158"/>
      <c r="P853" s="20"/>
    </row>
    <row r="854">
      <c r="B854" s="158"/>
      <c r="D854" s="158"/>
      <c r="F854" s="158"/>
      <c r="G854" s="162"/>
      <c r="H854" s="158"/>
      <c r="J854" s="158"/>
      <c r="L854" s="158"/>
      <c r="N854" s="158"/>
      <c r="P854" s="20"/>
    </row>
    <row r="855">
      <c r="B855" s="158"/>
      <c r="D855" s="158"/>
      <c r="F855" s="158"/>
      <c r="G855" s="162"/>
      <c r="H855" s="158"/>
      <c r="J855" s="158"/>
      <c r="L855" s="158"/>
      <c r="N855" s="158"/>
      <c r="P855" s="20"/>
    </row>
    <row r="856">
      <c r="B856" s="158"/>
      <c r="D856" s="158"/>
      <c r="F856" s="158"/>
      <c r="G856" s="162"/>
      <c r="H856" s="158"/>
      <c r="J856" s="158"/>
      <c r="L856" s="158"/>
      <c r="N856" s="158"/>
      <c r="P856" s="20"/>
    </row>
    <row r="857">
      <c r="B857" s="158"/>
      <c r="D857" s="158"/>
      <c r="F857" s="158"/>
      <c r="G857" s="162"/>
      <c r="H857" s="158"/>
      <c r="J857" s="158"/>
      <c r="L857" s="158"/>
      <c r="N857" s="158"/>
      <c r="P857" s="20"/>
    </row>
    <row r="858">
      <c r="B858" s="158"/>
      <c r="D858" s="158"/>
      <c r="F858" s="158"/>
      <c r="G858" s="162"/>
      <c r="H858" s="158"/>
      <c r="J858" s="158"/>
      <c r="L858" s="158"/>
      <c r="N858" s="158"/>
      <c r="P858" s="20"/>
    </row>
    <row r="859">
      <c r="B859" s="158"/>
      <c r="D859" s="158"/>
      <c r="F859" s="158"/>
      <c r="G859" s="162"/>
      <c r="H859" s="158"/>
      <c r="J859" s="158"/>
      <c r="L859" s="158"/>
      <c r="N859" s="158"/>
      <c r="P859" s="20"/>
    </row>
    <row r="860">
      <c r="B860" s="158"/>
      <c r="D860" s="158"/>
      <c r="F860" s="158"/>
      <c r="G860" s="162"/>
      <c r="H860" s="158"/>
      <c r="J860" s="158"/>
      <c r="L860" s="158"/>
      <c r="N860" s="158"/>
      <c r="P860" s="20"/>
    </row>
    <row r="861">
      <c r="B861" s="158"/>
      <c r="D861" s="158"/>
      <c r="F861" s="158"/>
      <c r="G861" s="162"/>
      <c r="H861" s="158"/>
      <c r="J861" s="158"/>
      <c r="L861" s="158"/>
      <c r="N861" s="158"/>
      <c r="P861" s="20"/>
    </row>
    <row r="862">
      <c r="B862" s="158"/>
      <c r="D862" s="158"/>
      <c r="F862" s="158"/>
      <c r="G862" s="162"/>
      <c r="H862" s="158"/>
      <c r="J862" s="158"/>
      <c r="L862" s="158"/>
      <c r="N862" s="158"/>
      <c r="P862" s="20"/>
    </row>
    <row r="863">
      <c r="B863" s="158"/>
      <c r="D863" s="158"/>
      <c r="F863" s="158"/>
      <c r="G863" s="162"/>
      <c r="H863" s="158"/>
      <c r="J863" s="158"/>
      <c r="L863" s="158"/>
      <c r="N863" s="158"/>
      <c r="P863" s="20"/>
    </row>
    <row r="864">
      <c r="B864" s="158"/>
      <c r="D864" s="158"/>
      <c r="F864" s="158"/>
      <c r="G864" s="162"/>
      <c r="H864" s="158"/>
      <c r="J864" s="158"/>
      <c r="L864" s="158"/>
      <c r="N864" s="158"/>
      <c r="P864" s="20"/>
    </row>
    <row r="865">
      <c r="B865" s="158"/>
      <c r="D865" s="158"/>
      <c r="F865" s="158"/>
      <c r="G865" s="162"/>
      <c r="H865" s="158"/>
      <c r="J865" s="158"/>
      <c r="L865" s="158"/>
      <c r="N865" s="158"/>
      <c r="P865" s="20"/>
    </row>
    <row r="866">
      <c r="B866" s="158"/>
      <c r="D866" s="158"/>
      <c r="F866" s="158"/>
      <c r="G866" s="162"/>
      <c r="H866" s="158"/>
      <c r="J866" s="158"/>
      <c r="L866" s="158"/>
      <c r="N866" s="158"/>
      <c r="P866" s="20"/>
    </row>
    <row r="867">
      <c r="B867" s="158"/>
      <c r="D867" s="158"/>
      <c r="F867" s="158"/>
      <c r="G867" s="162"/>
      <c r="H867" s="158"/>
      <c r="J867" s="158"/>
      <c r="L867" s="158"/>
      <c r="N867" s="158"/>
      <c r="P867" s="20"/>
    </row>
    <row r="868">
      <c r="B868" s="158"/>
      <c r="D868" s="158"/>
      <c r="F868" s="158"/>
      <c r="G868" s="162"/>
      <c r="H868" s="158"/>
      <c r="J868" s="158"/>
      <c r="L868" s="158"/>
      <c r="N868" s="158"/>
      <c r="P868" s="20"/>
    </row>
    <row r="869">
      <c r="B869" s="158"/>
      <c r="D869" s="158"/>
      <c r="F869" s="158"/>
      <c r="G869" s="162"/>
      <c r="H869" s="158"/>
      <c r="J869" s="158"/>
      <c r="L869" s="158"/>
      <c r="N869" s="158"/>
      <c r="P869" s="20"/>
    </row>
    <row r="870">
      <c r="B870" s="158"/>
      <c r="D870" s="158"/>
      <c r="F870" s="158"/>
      <c r="G870" s="162"/>
      <c r="H870" s="158"/>
      <c r="J870" s="158"/>
      <c r="L870" s="158"/>
      <c r="N870" s="158"/>
      <c r="P870" s="20"/>
    </row>
    <row r="871">
      <c r="B871" s="158"/>
      <c r="D871" s="158"/>
      <c r="F871" s="158"/>
      <c r="G871" s="162"/>
      <c r="H871" s="158"/>
      <c r="J871" s="158"/>
      <c r="L871" s="158"/>
      <c r="N871" s="158"/>
      <c r="P871" s="20"/>
    </row>
    <row r="872">
      <c r="B872" s="158"/>
      <c r="D872" s="158"/>
      <c r="F872" s="158"/>
      <c r="G872" s="162"/>
      <c r="H872" s="158"/>
      <c r="J872" s="158"/>
      <c r="L872" s="158"/>
      <c r="N872" s="158"/>
      <c r="P872" s="20"/>
    </row>
    <row r="873">
      <c r="B873" s="158"/>
      <c r="D873" s="158"/>
      <c r="F873" s="158"/>
      <c r="G873" s="162"/>
      <c r="H873" s="158"/>
      <c r="J873" s="158"/>
      <c r="L873" s="158"/>
      <c r="N873" s="158"/>
      <c r="P873" s="20"/>
    </row>
    <row r="874">
      <c r="B874" s="158"/>
      <c r="D874" s="158"/>
      <c r="F874" s="158"/>
      <c r="G874" s="162"/>
      <c r="H874" s="158"/>
      <c r="J874" s="158"/>
      <c r="L874" s="158"/>
      <c r="N874" s="158"/>
      <c r="P874" s="20"/>
    </row>
    <row r="875">
      <c r="B875" s="158"/>
      <c r="D875" s="158"/>
      <c r="F875" s="158"/>
      <c r="G875" s="162"/>
      <c r="H875" s="158"/>
      <c r="J875" s="158"/>
      <c r="L875" s="158"/>
      <c r="N875" s="158"/>
      <c r="P875" s="20"/>
    </row>
    <row r="876">
      <c r="B876" s="158"/>
      <c r="D876" s="158"/>
      <c r="F876" s="158"/>
      <c r="G876" s="162"/>
      <c r="H876" s="158"/>
      <c r="J876" s="158"/>
      <c r="L876" s="158"/>
      <c r="N876" s="158"/>
      <c r="P876" s="20"/>
    </row>
    <row r="877">
      <c r="B877" s="158"/>
      <c r="D877" s="158"/>
      <c r="F877" s="158"/>
      <c r="G877" s="162"/>
      <c r="H877" s="158"/>
      <c r="J877" s="158"/>
      <c r="L877" s="158"/>
      <c r="N877" s="158"/>
      <c r="P877" s="20"/>
    </row>
    <row r="878">
      <c r="B878" s="158"/>
      <c r="D878" s="158"/>
      <c r="F878" s="158"/>
      <c r="G878" s="162"/>
      <c r="H878" s="158"/>
      <c r="J878" s="158"/>
      <c r="L878" s="158"/>
      <c r="N878" s="158"/>
      <c r="P878" s="20"/>
    </row>
    <row r="879">
      <c r="B879" s="158"/>
      <c r="D879" s="158"/>
      <c r="F879" s="158"/>
      <c r="G879" s="162"/>
      <c r="H879" s="158"/>
      <c r="J879" s="158"/>
      <c r="L879" s="158"/>
      <c r="N879" s="158"/>
      <c r="P879" s="20"/>
    </row>
    <row r="880">
      <c r="B880" s="158"/>
      <c r="D880" s="158"/>
      <c r="F880" s="158"/>
      <c r="G880" s="162"/>
      <c r="H880" s="158"/>
      <c r="J880" s="158"/>
      <c r="L880" s="158"/>
      <c r="N880" s="158"/>
      <c r="P880" s="20"/>
    </row>
    <row r="881">
      <c r="B881" s="158"/>
      <c r="D881" s="158"/>
      <c r="F881" s="158"/>
      <c r="G881" s="162"/>
      <c r="H881" s="158"/>
      <c r="J881" s="158"/>
      <c r="L881" s="158"/>
      <c r="N881" s="158"/>
      <c r="P881" s="20"/>
    </row>
    <row r="882">
      <c r="B882" s="158"/>
      <c r="D882" s="158"/>
      <c r="F882" s="158"/>
      <c r="G882" s="162"/>
      <c r="H882" s="158"/>
      <c r="J882" s="158"/>
      <c r="L882" s="158"/>
      <c r="N882" s="158"/>
      <c r="P882" s="20"/>
    </row>
    <row r="883">
      <c r="B883" s="158"/>
      <c r="D883" s="158"/>
      <c r="F883" s="158"/>
      <c r="G883" s="162"/>
      <c r="H883" s="158"/>
      <c r="J883" s="158"/>
      <c r="L883" s="158"/>
      <c r="N883" s="158"/>
      <c r="P883" s="20"/>
    </row>
    <row r="884">
      <c r="B884" s="158"/>
      <c r="D884" s="158"/>
      <c r="F884" s="158"/>
      <c r="G884" s="162"/>
      <c r="H884" s="158"/>
      <c r="J884" s="158"/>
      <c r="L884" s="158"/>
      <c r="N884" s="158"/>
      <c r="P884" s="20"/>
    </row>
    <row r="885">
      <c r="B885" s="158"/>
      <c r="D885" s="158"/>
      <c r="F885" s="158"/>
      <c r="G885" s="162"/>
      <c r="H885" s="158"/>
      <c r="J885" s="158"/>
      <c r="L885" s="158"/>
      <c r="N885" s="158"/>
      <c r="P885" s="20"/>
    </row>
    <row r="886">
      <c r="B886" s="158"/>
      <c r="D886" s="158"/>
      <c r="F886" s="158"/>
      <c r="G886" s="162"/>
      <c r="H886" s="158"/>
      <c r="J886" s="158"/>
      <c r="L886" s="158"/>
      <c r="N886" s="158"/>
      <c r="P886" s="20"/>
    </row>
    <row r="887">
      <c r="B887" s="158"/>
      <c r="D887" s="158"/>
      <c r="F887" s="158"/>
      <c r="G887" s="162"/>
      <c r="H887" s="158"/>
      <c r="J887" s="158"/>
      <c r="L887" s="158"/>
      <c r="N887" s="158"/>
      <c r="P887" s="20"/>
    </row>
    <row r="888">
      <c r="B888" s="158"/>
      <c r="D888" s="158"/>
      <c r="F888" s="158"/>
      <c r="G888" s="162"/>
      <c r="H888" s="158"/>
      <c r="J888" s="158"/>
      <c r="L888" s="158"/>
      <c r="N888" s="158"/>
      <c r="P888" s="20"/>
    </row>
    <row r="889">
      <c r="B889" s="158"/>
      <c r="D889" s="158"/>
      <c r="F889" s="158"/>
      <c r="G889" s="162"/>
      <c r="H889" s="158"/>
      <c r="J889" s="158"/>
      <c r="L889" s="158"/>
      <c r="N889" s="158"/>
      <c r="P889" s="20"/>
    </row>
    <row r="890">
      <c r="B890" s="158"/>
      <c r="D890" s="158"/>
      <c r="F890" s="158"/>
      <c r="G890" s="162"/>
      <c r="H890" s="158"/>
      <c r="J890" s="158"/>
      <c r="L890" s="158"/>
      <c r="N890" s="158"/>
      <c r="P890" s="20"/>
    </row>
    <row r="891">
      <c r="B891" s="158"/>
      <c r="D891" s="158"/>
      <c r="F891" s="158"/>
      <c r="G891" s="162"/>
      <c r="H891" s="158"/>
      <c r="J891" s="158"/>
      <c r="L891" s="158"/>
      <c r="N891" s="158"/>
      <c r="P891" s="20"/>
    </row>
    <row r="892">
      <c r="B892" s="158"/>
      <c r="D892" s="158"/>
      <c r="F892" s="158"/>
      <c r="G892" s="162"/>
      <c r="H892" s="158"/>
      <c r="J892" s="158"/>
      <c r="L892" s="158"/>
      <c r="N892" s="158"/>
      <c r="P892" s="20"/>
    </row>
    <row r="893">
      <c r="B893" s="158"/>
      <c r="D893" s="158"/>
      <c r="F893" s="158"/>
      <c r="G893" s="162"/>
      <c r="H893" s="158"/>
      <c r="J893" s="158"/>
      <c r="L893" s="158"/>
      <c r="N893" s="158"/>
      <c r="P893" s="20"/>
    </row>
    <row r="894">
      <c r="B894" s="158"/>
      <c r="D894" s="158"/>
      <c r="F894" s="158"/>
      <c r="G894" s="162"/>
      <c r="H894" s="158"/>
      <c r="J894" s="158"/>
      <c r="L894" s="158"/>
      <c r="N894" s="158"/>
      <c r="P894" s="20"/>
    </row>
    <row r="895">
      <c r="B895" s="158"/>
      <c r="D895" s="158"/>
      <c r="F895" s="158"/>
      <c r="G895" s="162"/>
      <c r="H895" s="158"/>
      <c r="J895" s="158"/>
      <c r="L895" s="158"/>
      <c r="N895" s="158"/>
      <c r="P895" s="20"/>
    </row>
    <row r="896">
      <c r="B896" s="158"/>
      <c r="D896" s="158"/>
      <c r="F896" s="158"/>
      <c r="G896" s="162"/>
      <c r="H896" s="158"/>
      <c r="J896" s="158"/>
      <c r="L896" s="158"/>
      <c r="N896" s="158"/>
      <c r="P896" s="20"/>
    </row>
    <row r="897">
      <c r="B897" s="158"/>
      <c r="D897" s="158"/>
      <c r="F897" s="158"/>
      <c r="G897" s="162"/>
      <c r="H897" s="158"/>
      <c r="J897" s="158"/>
      <c r="L897" s="158"/>
      <c r="N897" s="158"/>
      <c r="P897" s="20"/>
    </row>
    <row r="898">
      <c r="B898" s="158"/>
      <c r="D898" s="158"/>
      <c r="F898" s="158"/>
      <c r="G898" s="162"/>
      <c r="H898" s="158"/>
      <c r="J898" s="158"/>
      <c r="L898" s="158"/>
      <c r="N898" s="158"/>
      <c r="P898" s="20"/>
    </row>
    <row r="899">
      <c r="B899" s="158"/>
      <c r="D899" s="158"/>
      <c r="F899" s="158"/>
      <c r="G899" s="162"/>
      <c r="H899" s="158"/>
      <c r="J899" s="158"/>
      <c r="L899" s="158"/>
      <c r="N899" s="158"/>
      <c r="P899" s="20"/>
    </row>
    <row r="900">
      <c r="B900" s="158"/>
      <c r="D900" s="158"/>
      <c r="F900" s="158"/>
      <c r="G900" s="162"/>
      <c r="H900" s="158"/>
      <c r="J900" s="158"/>
      <c r="L900" s="158"/>
      <c r="N900" s="158"/>
      <c r="P900" s="20"/>
    </row>
    <row r="901">
      <c r="B901" s="158"/>
      <c r="D901" s="158"/>
      <c r="F901" s="158"/>
      <c r="G901" s="162"/>
      <c r="H901" s="158"/>
      <c r="J901" s="158"/>
      <c r="L901" s="158"/>
      <c r="N901" s="158"/>
      <c r="P901" s="20"/>
    </row>
    <row r="902">
      <c r="B902" s="158"/>
      <c r="D902" s="158"/>
      <c r="F902" s="158"/>
      <c r="G902" s="162"/>
      <c r="H902" s="158"/>
      <c r="J902" s="158"/>
      <c r="L902" s="158"/>
      <c r="N902" s="158"/>
      <c r="P902" s="20"/>
    </row>
    <row r="903">
      <c r="B903" s="158"/>
      <c r="D903" s="158"/>
      <c r="F903" s="158"/>
      <c r="G903" s="162"/>
      <c r="H903" s="158"/>
      <c r="J903" s="158"/>
      <c r="L903" s="158"/>
      <c r="N903" s="158"/>
      <c r="P903" s="20"/>
    </row>
    <row r="904">
      <c r="B904" s="158"/>
      <c r="D904" s="158"/>
      <c r="F904" s="158"/>
      <c r="G904" s="162"/>
      <c r="H904" s="158"/>
      <c r="J904" s="158"/>
      <c r="L904" s="158"/>
      <c r="N904" s="158"/>
      <c r="P904" s="20"/>
    </row>
    <row r="905">
      <c r="B905" s="158"/>
      <c r="D905" s="158"/>
      <c r="F905" s="158"/>
      <c r="G905" s="162"/>
      <c r="H905" s="158"/>
      <c r="J905" s="158"/>
      <c r="L905" s="158"/>
      <c r="N905" s="158"/>
      <c r="P905" s="20"/>
    </row>
    <row r="906">
      <c r="B906" s="158"/>
      <c r="D906" s="158"/>
      <c r="F906" s="158"/>
      <c r="G906" s="162"/>
      <c r="H906" s="158"/>
      <c r="J906" s="158"/>
      <c r="L906" s="158"/>
      <c r="N906" s="158"/>
      <c r="P906" s="20"/>
    </row>
    <row r="907">
      <c r="B907" s="158"/>
      <c r="D907" s="158"/>
      <c r="F907" s="158"/>
      <c r="G907" s="162"/>
      <c r="H907" s="158"/>
      <c r="J907" s="158"/>
      <c r="L907" s="158"/>
      <c r="N907" s="158"/>
      <c r="P907" s="20"/>
    </row>
    <row r="908">
      <c r="B908" s="158"/>
      <c r="D908" s="158"/>
      <c r="F908" s="158"/>
      <c r="G908" s="162"/>
      <c r="H908" s="158"/>
      <c r="J908" s="158"/>
      <c r="L908" s="158"/>
      <c r="N908" s="158"/>
      <c r="P908" s="20"/>
    </row>
    <row r="909">
      <c r="B909" s="158"/>
      <c r="D909" s="158"/>
      <c r="F909" s="158"/>
      <c r="G909" s="162"/>
      <c r="H909" s="158"/>
      <c r="J909" s="158"/>
      <c r="L909" s="158"/>
      <c r="N909" s="158"/>
      <c r="P909" s="20"/>
    </row>
    <row r="910">
      <c r="B910" s="158"/>
      <c r="D910" s="158"/>
      <c r="F910" s="158"/>
      <c r="G910" s="162"/>
      <c r="H910" s="158"/>
      <c r="J910" s="158"/>
      <c r="L910" s="158"/>
      <c r="N910" s="158"/>
      <c r="P910" s="20"/>
    </row>
    <row r="911">
      <c r="B911" s="158"/>
      <c r="D911" s="158"/>
      <c r="F911" s="158"/>
      <c r="G911" s="162"/>
      <c r="H911" s="158"/>
      <c r="J911" s="158"/>
      <c r="L911" s="158"/>
      <c r="N911" s="158"/>
      <c r="P911" s="20"/>
    </row>
    <row r="912">
      <c r="B912" s="158"/>
      <c r="D912" s="158"/>
      <c r="F912" s="158"/>
      <c r="G912" s="162"/>
      <c r="H912" s="158"/>
      <c r="J912" s="158"/>
      <c r="L912" s="158"/>
      <c r="N912" s="158"/>
      <c r="P912" s="20"/>
    </row>
    <row r="913">
      <c r="B913" s="158"/>
      <c r="D913" s="158"/>
      <c r="F913" s="158"/>
      <c r="G913" s="162"/>
      <c r="H913" s="158"/>
      <c r="J913" s="158"/>
      <c r="L913" s="158"/>
      <c r="N913" s="158"/>
      <c r="P913" s="20"/>
    </row>
    <row r="914">
      <c r="B914" s="158"/>
      <c r="D914" s="158"/>
      <c r="F914" s="158"/>
      <c r="G914" s="162"/>
      <c r="H914" s="158"/>
      <c r="J914" s="158"/>
      <c r="L914" s="158"/>
      <c r="N914" s="158"/>
      <c r="P914" s="20"/>
    </row>
    <row r="915">
      <c r="B915" s="158"/>
      <c r="D915" s="158"/>
      <c r="F915" s="158"/>
      <c r="G915" s="162"/>
      <c r="H915" s="158"/>
      <c r="J915" s="158"/>
      <c r="L915" s="158"/>
      <c r="N915" s="158"/>
      <c r="P915" s="20"/>
    </row>
    <row r="916">
      <c r="B916" s="158"/>
      <c r="D916" s="158"/>
      <c r="F916" s="158"/>
      <c r="G916" s="162"/>
      <c r="H916" s="158"/>
      <c r="J916" s="158"/>
      <c r="L916" s="158"/>
      <c r="N916" s="158"/>
      <c r="P916" s="20"/>
    </row>
    <row r="917">
      <c r="B917" s="158"/>
      <c r="D917" s="158"/>
      <c r="F917" s="158"/>
      <c r="G917" s="162"/>
      <c r="H917" s="158"/>
      <c r="J917" s="158"/>
      <c r="L917" s="158"/>
      <c r="N917" s="158"/>
      <c r="P917" s="20"/>
    </row>
    <row r="918">
      <c r="B918" s="158"/>
      <c r="D918" s="158"/>
      <c r="F918" s="158"/>
      <c r="G918" s="162"/>
      <c r="H918" s="158"/>
      <c r="J918" s="158"/>
      <c r="L918" s="158"/>
      <c r="N918" s="158"/>
      <c r="P918" s="20"/>
    </row>
    <row r="919">
      <c r="B919" s="158"/>
      <c r="D919" s="158"/>
      <c r="F919" s="158"/>
      <c r="G919" s="162"/>
      <c r="H919" s="158"/>
      <c r="J919" s="158"/>
      <c r="L919" s="158"/>
      <c r="N919" s="158"/>
      <c r="P919" s="20"/>
    </row>
    <row r="920">
      <c r="B920" s="158"/>
      <c r="D920" s="158"/>
      <c r="F920" s="158"/>
      <c r="G920" s="162"/>
      <c r="H920" s="158"/>
      <c r="J920" s="158"/>
      <c r="L920" s="158"/>
      <c r="N920" s="158"/>
      <c r="P920" s="20"/>
    </row>
    <row r="921">
      <c r="B921" s="158"/>
      <c r="D921" s="158"/>
      <c r="F921" s="158"/>
      <c r="G921" s="162"/>
      <c r="H921" s="158"/>
      <c r="J921" s="158"/>
      <c r="L921" s="158"/>
      <c r="N921" s="158"/>
      <c r="P921" s="20"/>
    </row>
    <row r="922">
      <c r="B922" s="158"/>
      <c r="D922" s="158"/>
      <c r="F922" s="158"/>
      <c r="G922" s="162"/>
      <c r="H922" s="158"/>
      <c r="J922" s="158"/>
      <c r="L922" s="158"/>
      <c r="N922" s="158"/>
      <c r="P922" s="20"/>
    </row>
    <row r="923">
      <c r="B923" s="158"/>
      <c r="D923" s="158"/>
      <c r="F923" s="158"/>
      <c r="G923" s="162"/>
      <c r="H923" s="158"/>
      <c r="J923" s="158"/>
      <c r="L923" s="158"/>
      <c r="N923" s="158"/>
      <c r="P923" s="20"/>
    </row>
    <row r="924">
      <c r="B924" s="158"/>
      <c r="D924" s="158"/>
      <c r="F924" s="158"/>
      <c r="G924" s="162"/>
      <c r="H924" s="158"/>
      <c r="J924" s="158"/>
      <c r="L924" s="158"/>
      <c r="N924" s="158"/>
      <c r="P924" s="20"/>
    </row>
    <row r="925">
      <c r="B925" s="158"/>
      <c r="D925" s="158"/>
      <c r="F925" s="158"/>
      <c r="G925" s="162"/>
      <c r="H925" s="158"/>
      <c r="J925" s="158"/>
      <c r="L925" s="158"/>
      <c r="N925" s="158"/>
      <c r="P925" s="20"/>
    </row>
    <row r="926">
      <c r="B926" s="158"/>
      <c r="D926" s="158"/>
      <c r="F926" s="158"/>
      <c r="G926" s="162"/>
      <c r="H926" s="158"/>
      <c r="J926" s="158"/>
      <c r="L926" s="158"/>
      <c r="N926" s="158"/>
      <c r="P926" s="20"/>
    </row>
    <row r="927">
      <c r="B927" s="158"/>
      <c r="D927" s="158"/>
      <c r="F927" s="158"/>
      <c r="G927" s="162"/>
      <c r="H927" s="158"/>
      <c r="J927" s="158"/>
      <c r="L927" s="158"/>
      <c r="N927" s="158"/>
      <c r="P927" s="20"/>
    </row>
    <row r="928">
      <c r="B928" s="158"/>
      <c r="D928" s="158"/>
      <c r="F928" s="158"/>
      <c r="G928" s="162"/>
      <c r="H928" s="158"/>
      <c r="J928" s="158"/>
      <c r="L928" s="158"/>
      <c r="N928" s="158"/>
      <c r="P928" s="20"/>
    </row>
    <row r="929">
      <c r="B929" s="158"/>
      <c r="D929" s="158"/>
      <c r="F929" s="158"/>
      <c r="G929" s="162"/>
      <c r="H929" s="158"/>
      <c r="J929" s="158"/>
      <c r="L929" s="158"/>
      <c r="N929" s="158"/>
      <c r="P929" s="20"/>
    </row>
    <row r="930">
      <c r="B930" s="158"/>
      <c r="D930" s="158"/>
      <c r="F930" s="158"/>
      <c r="G930" s="162"/>
      <c r="H930" s="158"/>
      <c r="J930" s="158"/>
      <c r="L930" s="158"/>
      <c r="N930" s="158"/>
      <c r="P930" s="20"/>
    </row>
    <row r="931">
      <c r="B931" s="158"/>
      <c r="D931" s="158"/>
      <c r="F931" s="158"/>
      <c r="G931" s="162"/>
      <c r="H931" s="158"/>
      <c r="J931" s="158"/>
      <c r="L931" s="158"/>
      <c r="N931" s="158"/>
      <c r="P931" s="20"/>
    </row>
    <row r="932">
      <c r="B932" s="158"/>
      <c r="D932" s="158"/>
      <c r="F932" s="158"/>
      <c r="G932" s="162"/>
      <c r="H932" s="158"/>
      <c r="J932" s="158"/>
      <c r="L932" s="158"/>
      <c r="N932" s="158"/>
      <c r="P932" s="20"/>
    </row>
    <row r="933">
      <c r="B933" s="158"/>
      <c r="D933" s="158"/>
      <c r="F933" s="158"/>
      <c r="G933" s="162"/>
      <c r="H933" s="158"/>
      <c r="J933" s="158"/>
      <c r="L933" s="158"/>
      <c r="N933" s="158"/>
      <c r="P933" s="20"/>
    </row>
    <row r="934">
      <c r="B934" s="158"/>
      <c r="D934" s="158"/>
      <c r="F934" s="158"/>
      <c r="G934" s="162"/>
      <c r="H934" s="158"/>
      <c r="J934" s="158"/>
      <c r="L934" s="158"/>
      <c r="N934" s="158"/>
      <c r="P934" s="20"/>
    </row>
    <row r="935">
      <c r="B935" s="158"/>
      <c r="D935" s="158"/>
      <c r="F935" s="158"/>
      <c r="G935" s="162"/>
      <c r="H935" s="158"/>
      <c r="J935" s="158"/>
      <c r="L935" s="158"/>
      <c r="N935" s="158"/>
      <c r="P935" s="20"/>
    </row>
    <row r="936">
      <c r="B936" s="158"/>
      <c r="D936" s="158"/>
      <c r="F936" s="158"/>
      <c r="G936" s="162"/>
      <c r="H936" s="158"/>
      <c r="J936" s="158"/>
      <c r="L936" s="158"/>
      <c r="N936" s="158"/>
      <c r="P936" s="20"/>
    </row>
    <row r="937">
      <c r="B937" s="158"/>
      <c r="D937" s="158"/>
      <c r="F937" s="158"/>
      <c r="G937" s="162"/>
      <c r="H937" s="158"/>
      <c r="J937" s="158"/>
      <c r="L937" s="158"/>
      <c r="N937" s="158"/>
      <c r="P937" s="20"/>
    </row>
    <row r="938">
      <c r="B938" s="158"/>
      <c r="D938" s="158"/>
      <c r="F938" s="158"/>
      <c r="G938" s="162"/>
      <c r="H938" s="158"/>
      <c r="J938" s="158"/>
      <c r="L938" s="158"/>
      <c r="N938" s="158"/>
      <c r="P938" s="20"/>
    </row>
    <row r="939">
      <c r="B939" s="158"/>
      <c r="D939" s="158"/>
      <c r="F939" s="158"/>
      <c r="G939" s="162"/>
      <c r="H939" s="158"/>
      <c r="J939" s="158"/>
      <c r="L939" s="158"/>
      <c r="N939" s="158"/>
      <c r="P939" s="20"/>
    </row>
    <row r="940">
      <c r="B940" s="158"/>
      <c r="D940" s="158"/>
      <c r="F940" s="158"/>
      <c r="G940" s="162"/>
      <c r="H940" s="158"/>
      <c r="J940" s="158"/>
      <c r="L940" s="158"/>
      <c r="N940" s="158"/>
      <c r="P940" s="20"/>
    </row>
    <row r="941">
      <c r="B941" s="158"/>
      <c r="D941" s="158"/>
      <c r="F941" s="158"/>
      <c r="G941" s="162"/>
      <c r="H941" s="158"/>
      <c r="J941" s="158"/>
      <c r="L941" s="158"/>
      <c r="N941" s="158"/>
      <c r="P941" s="20"/>
    </row>
    <row r="942">
      <c r="B942" s="158"/>
      <c r="D942" s="158"/>
      <c r="F942" s="158"/>
      <c r="G942" s="162"/>
      <c r="H942" s="158"/>
      <c r="J942" s="158"/>
      <c r="L942" s="158"/>
      <c r="N942" s="158"/>
      <c r="P942" s="20"/>
    </row>
    <row r="943">
      <c r="B943" s="158"/>
      <c r="D943" s="158"/>
      <c r="F943" s="158"/>
      <c r="G943" s="162"/>
      <c r="H943" s="158"/>
      <c r="J943" s="158"/>
      <c r="L943" s="158"/>
      <c r="N943" s="158"/>
      <c r="P943" s="20"/>
    </row>
    <row r="944">
      <c r="B944" s="158"/>
      <c r="D944" s="158"/>
      <c r="F944" s="158"/>
      <c r="G944" s="162"/>
      <c r="H944" s="158"/>
      <c r="J944" s="158"/>
      <c r="L944" s="158"/>
      <c r="N944" s="158"/>
      <c r="P944" s="20"/>
    </row>
    <row r="945">
      <c r="B945" s="158"/>
      <c r="D945" s="158"/>
      <c r="F945" s="158"/>
      <c r="G945" s="162"/>
      <c r="H945" s="158"/>
      <c r="J945" s="158"/>
      <c r="L945" s="158"/>
      <c r="N945" s="158"/>
      <c r="P945" s="20"/>
    </row>
    <row r="946">
      <c r="B946" s="158"/>
      <c r="D946" s="158"/>
      <c r="F946" s="158"/>
      <c r="G946" s="162"/>
      <c r="H946" s="158"/>
      <c r="J946" s="158"/>
      <c r="L946" s="158"/>
      <c r="N946" s="158"/>
      <c r="P946" s="20"/>
    </row>
    <row r="947">
      <c r="B947" s="158"/>
      <c r="D947" s="158"/>
      <c r="F947" s="158"/>
      <c r="G947" s="162"/>
      <c r="H947" s="158"/>
      <c r="J947" s="158"/>
      <c r="L947" s="158"/>
      <c r="N947" s="158"/>
      <c r="P947" s="20"/>
    </row>
    <row r="948">
      <c r="B948" s="158"/>
      <c r="D948" s="158"/>
      <c r="F948" s="158"/>
      <c r="G948" s="162"/>
      <c r="H948" s="158"/>
      <c r="J948" s="158"/>
      <c r="L948" s="158"/>
      <c r="N948" s="158"/>
      <c r="P948" s="20"/>
    </row>
    <row r="949">
      <c r="B949" s="158"/>
      <c r="D949" s="158"/>
      <c r="F949" s="158"/>
      <c r="G949" s="162"/>
      <c r="H949" s="158"/>
      <c r="J949" s="158"/>
      <c r="L949" s="158"/>
      <c r="N949" s="158"/>
      <c r="P949" s="20"/>
    </row>
    <row r="950">
      <c r="B950" s="158"/>
      <c r="D950" s="158"/>
      <c r="F950" s="158"/>
      <c r="G950" s="162"/>
      <c r="H950" s="158"/>
      <c r="J950" s="158"/>
      <c r="L950" s="158"/>
      <c r="N950" s="158"/>
      <c r="P950" s="20"/>
    </row>
    <row r="951">
      <c r="B951" s="158"/>
      <c r="D951" s="158"/>
      <c r="F951" s="158"/>
      <c r="G951" s="162"/>
      <c r="H951" s="158"/>
      <c r="J951" s="158"/>
      <c r="L951" s="158"/>
      <c r="N951" s="158"/>
      <c r="P951" s="20"/>
    </row>
    <row r="952">
      <c r="B952" s="158"/>
      <c r="D952" s="158"/>
      <c r="F952" s="158"/>
      <c r="G952" s="162"/>
      <c r="H952" s="158"/>
      <c r="J952" s="158"/>
      <c r="L952" s="158"/>
      <c r="N952" s="158"/>
      <c r="P952" s="20"/>
    </row>
    <row r="953">
      <c r="B953" s="158"/>
      <c r="D953" s="158"/>
      <c r="F953" s="158"/>
      <c r="G953" s="162"/>
      <c r="H953" s="158"/>
      <c r="J953" s="158"/>
      <c r="L953" s="158"/>
      <c r="N953" s="158"/>
      <c r="P953" s="20"/>
    </row>
    <row r="954">
      <c r="B954" s="158"/>
      <c r="D954" s="158"/>
      <c r="F954" s="158"/>
      <c r="G954" s="162"/>
      <c r="H954" s="158"/>
      <c r="J954" s="158"/>
      <c r="L954" s="158"/>
      <c r="N954" s="158"/>
      <c r="P954" s="20"/>
    </row>
    <row r="955">
      <c r="B955" s="158"/>
      <c r="D955" s="158"/>
      <c r="F955" s="158"/>
      <c r="G955" s="162"/>
      <c r="H955" s="158"/>
      <c r="J955" s="158"/>
      <c r="L955" s="158"/>
      <c r="N955" s="158"/>
      <c r="P955" s="20"/>
    </row>
    <row r="956">
      <c r="B956" s="158"/>
      <c r="D956" s="158"/>
      <c r="F956" s="158"/>
      <c r="G956" s="162"/>
      <c r="H956" s="158"/>
      <c r="J956" s="158"/>
      <c r="L956" s="158"/>
      <c r="N956" s="158"/>
      <c r="P956" s="20"/>
    </row>
    <row r="957">
      <c r="B957" s="158"/>
      <c r="D957" s="158"/>
      <c r="F957" s="158"/>
      <c r="G957" s="162"/>
      <c r="H957" s="158"/>
      <c r="J957" s="158"/>
      <c r="L957" s="158"/>
      <c r="N957" s="158"/>
      <c r="P957" s="20"/>
    </row>
    <row r="958">
      <c r="B958" s="158"/>
      <c r="D958" s="158"/>
      <c r="F958" s="158"/>
      <c r="G958" s="162"/>
      <c r="H958" s="158"/>
      <c r="J958" s="158"/>
      <c r="L958" s="158"/>
      <c r="N958" s="158"/>
      <c r="P958" s="20"/>
    </row>
    <row r="959">
      <c r="B959" s="158"/>
      <c r="D959" s="158"/>
      <c r="F959" s="158"/>
      <c r="G959" s="162"/>
      <c r="H959" s="158"/>
      <c r="J959" s="158"/>
      <c r="L959" s="158"/>
      <c r="N959" s="158"/>
      <c r="P959" s="20"/>
    </row>
    <row r="960">
      <c r="B960" s="158"/>
      <c r="D960" s="158"/>
      <c r="F960" s="158"/>
      <c r="G960" s="162"/>
      <c r="H960" s="158"/>
      <c r="J960" s="158"/>
      <c r="L960" s="158"/>
      <c r="N960" s="158"/>
      <c r="P960" s="20"/>
    </row>
    <row r="961">
      <c r="B961" s="158"/>
      <c r="D961" s="158"/>
      <c r="F961" s="158"/>
      <c r="G961" s="162"/>
      <c r="H961" s="158"/>
      <c r="J961" s="158"/>
      <c r="L961" s="158"/>
      <c r="N961" s="158"/>
      <c r="P961" s="20"/>
    </row>
    <row r="962">
      <c r="B962" s="158"/>
      <c r="D962" s="158"/>
      <c r="F962" s="158"/>
      <c r="G962" s="162"/>
      <c r="H962" s="158"/>
      <c r="J962" s="158"/>
      <c r="L962" s="158"/>
      <c r="N962" s="158"/>
      <c r="P962" s="20"/>
    </row>
    <row r="963">
      <c r="B963" s="158"/>
      <c r="D963" s="158"/>
      <c r="F963" s="158"/>
      <c r="G963" s="162"/>
      <c r="H963" s="158"/>
      <c r="J963" s="158"/>
      <c r="L963" s="158"/>
      <c r="N963" s="158"/>
      <c r="P963" s="20"/>
    </row>
    <row r="964">
      <c r="B964" s="158"/>
      <c r="D964" s="158"/>
      <c r="F964" s="158"/>
      <c r="G964" s="162"/>
      <c r="H964" s="158"/>
      <c r="J964" s="158"/>
      <c r="L964" s="158"/>
      <c r="N964" s="158"/>
      <c r="P964" s="20"/>
    </row>
    <row r="965">
      <c r="B965" s="158"/>
      <c r="D965" s="158"/>
      <c r="F965" s="158"/>
      <c r="G965" s="162"/>
      <c r="H965" s="158"/>
      <c r="J965" s="158"/>
      <c r="L965" s="158"/>
      <c r="N965" s="158"/>
      <c r="P965" s="20"/>
    </row>
    <row r="966">
      <c r="B966" s="158"/>
      <c r="D966" s="158"/>
      <c r="F966" s="158"/>
      <c r="G966" s="162"/>
      <c r="H966" s="158"/>
      <c r="J966" s="158"/>
      <c r="L966" s="158"/>
      <c r="N966" s="158"/>
      <c r="P966" s="20"/>
    </row>
    <row r="967">
      <c r="B967" s="158"/>
      <c r="D967" s="158"/>
      <c r="F967" s="158"/>
      <c r="G967" s="162"/>
      <c r="H967" s="158"/>
      <c r="J967" s="158"/>
      <c r="L967" s="158"/>
      <c r="N967" s="158"/>
      <c r="P967" s="20"/>
    </row>
    <row r="968">
      <c r="B968" s="158"/>
      <c r="D968" s="158"/>
      <c r="F968" s="158"/>
      <c r="G968" s="162"/>
      <c r="H968" s="158"/>
      <c r="J968" s="158"/>
      <c r="L968" s="158"/>
      <c r="N968" s="158"/>
      <c r="P968" s="20"/>
    </row>
    <row r="969">
      <c r="B969" s="158"/>
      <c r="D969" s="158"/>
      <c r="F969" s="158"/>
      <c r="G969" s="162"/>
      <c r="H969" s="158"/>
      <c r="J969" s="158"/>
      <c r="L969" s="158"/>
      <c r="N969" s="158"/>
      <c r="P969" s="20"/>
    </row>
    <row r="970">
      <c r="B970" s="158"/>
      <c r="D970" s="158"/>
      <c r="F970" s="158"/>
      <c r="G970" s="162"/>
      <c r="H970" s="158"/>
      <c r="J970" s="158"/>
      <c r="L970" s="158"/>
      <c r="N970" s="158"/>
      <c r="P970" s="20"/>
    </row>
    <row r="971">
      <c r="B971" s="158"/>
      <c r="D971" s="158"/>
      <c r="F971" s="158"/>
      <c r="G971" s="162"/>
      <c r="H971" s="158"/>
      <c r="J971" s="158"/>
      <c r="L971" s="158"/>
      <c r="N971" s="158"/>
      <c r="P971" s="20"/>
    </row>
    <row r="972">
      <c r="B972" s="158"/>
      <c r="D972" s="158"/>
      <c r="F972" s="158"/>
      <c r="G972" s="162"/>
      <c r="H972" s="158"/>
      <c r="J972" s="158"/>
      <c r="L972" s="158"/>
      <c r="N972" s="158"/>
      <c r="P972" s="20"/>
    </row>
    <row r="973">
      <c r="B973" s="158"/>
      <c r="D973" s="158"/>
      <c r="F973" s="158"/>
      <c r="G973" s="162"/>
      <c r="H973" s="158"/>
      <c r="J973" s="158"/>
      <c r="L973" s="158"/>
      <c r="N973" s="158"/>
      <c r="P973" s="20"/>
    </row>
    <row r="974">
      <c r="B974" s="158"/>
      <c r="D974" s="158"/>
      <c r="F974" s="158"/>
      <c r="G974" s="162"/>
      <c r="H974" s="158"/>
      <c r="J974" s="158"/>
      <c r="L974" s="158"/>
      <c r="N974" s="158"/>
      <c r="P974" s="20"/>
    </row>
    <row r="975">
      <c r="B975" s="158"/>
      <c r="D975" s="158"/>
      <c r="F975" s="158"/>
      <c r="G975" s="162"/>
      <c r="H975" s="158"/>
      <c r="J975" s="158"/>
      <c r="L975" s="158"/>
      <c r="N975" s="158"/>
      <c r="P975" s="20"/>
    </row>
    <row r="976">
      <c r="B976" s="158"/>
      <c r="D976" s="158"/>
      <c r="F976" s="158"/>
      <c r="G976" s="162"/>
      <c r="H976" s="158"/>
      <c r="J976" s="158"/>
      <c r="L976" s="158"/>
      <c r="N976" s="158"/>
      <c r="P976" s="20"/>
    </row>
    <row r="977">
      <c r="B977" s="158"/>
      <c r="D977" s="158"/>
      <c r="F977" s="158"/>
      <c r="G977" s="162"/>
      <c r="H977" s="158"/>
      <c r="J977" s="158"/>
      <c r="L977" s="158"/>
      <c r="N977" s="158"/>
      <c r="P977" s="20"/>
    </row>
    <row r="978">
      <c r="B978" s="158"/>
      <c r="D978" s="158"/>
      <c r="F978" s="158"/>
      <c r="G978" s="162"/>
      <c r="H978" s="158"/>
      <c r="J978" s="158"/>
      <c r="L978" s="158"/>
      <c r="N978" s="158"/>
      <c r="P978" s="20"/>
    </row>
    <row r="979">
      <c r="B979" s="158"/>
      <c r="D979" s="158"/>
      <c r="F979" s="158"/>
      <c r="G979" s="162"/>
      <c r="H979" s="158"/>
      <c r="J979" s="158"/>
      <c r="L979" s="158"/>
      <c r="N979" s="158"/>
      <c r="P979" s="20"/>
    </row>
    <row r="980">
      <c r="B980" s="158"/>
      <c r="D980" s="158"/>
      <c r="F980" s="158"/>
      <c r="G980" s="162"/>
      <c r="H980" s="158"/>
      <c r="J980" s="158"/>
      <c r="L980" s="158"/>
      <c r="N980" s="158"/>
      <c r="P980" s="20"/>
    </row>
    <row r="981">
      <c r="B981" s="158"/>
      <c r="D981" s="158"/>
      <c r="F981" s="158"/>
      <c r="G981" s="162"/>
      <c r="H981" s="158"/>
      <c r="J981" s="158"/>
      <c r="L981" s="158"/>
      <c r="N981" s="158"/>
      <c r="P981" s="20"/>
    </row>
    <row r="982">
      <c r="B982" s="158"/>
      <c r="D982" s="158"/>
      <c r="F982" s="158"/>
      <c r="G982" s="162"/>
      <c r="H982" s="158"/>
      <c r="J982" s="158"/>
      <c r="L982" s="158"/>
      <c r="N982" s="158"/>
      <c r="P982" s="20"/>
    </row>
    <row r="983">
      <c r="B983" s="158"/>
      <c r="D983" s="158"/>
      <c r="F983" s="158"/>
      <c r="G983" s="162"/>
      <c r="H983" s="158"/>
      <c r="J983" s="158"/>
      <c r="L983" s="158"/>
      <c r="N983" s="158"/>
      <c r="P983" s="20"/>
    </row>
    <row r="984">
      <c r="B984" s="158"/>
      <c r="D984" s="158"/>
      <c r="F984" s="158"/>
      <c r="G984" s="162"/>
      <c r="H984" s="158"/>
      <c r="J984" s="158"/>
      <c r="L984" s="158"/>
      <c r="N984" s="158"/>
      <c r="P984" s="20"/>
    </row>
    <row r="985">
      <c r="B985" s="158"/>
      <c r="D985" s="158"/>
      <c r="F985" s="158"/>
      <c r="G985" s="162"/>
      <c r="H985" s="158"/>
      <c r="J985" s="158"/>
      <c r="L985" s="158"/>
      <c r="N985" s="158"/>
      <c r="P985" s="20"/>
    </row>
    <row r="986">
      <c r="B986" s="158"/>
      <c r="D986" s="158"/>
      <c r="F986" s="158"/>
      <c r="G986" s="162"/>
      <c r="H986" s="158"/>
      <c r="J986" s="158"/>
      <c r="L986" s="158"/>
      <c r="N986" s="158"/>
      <c r="P986" s="20"/>
    </row>
    <row r="987">
      <c r="B987" s="158"/>
      <c r="D987" s="158"/>
      <c r="F987" s="158"/>
      <c r="G987" s="162"/>
      <c r="H987" s="158"/>
      <c r="J987" s="158"/>
      <c r="L987" s="158"/>
      <c r="N987" s="158"/>
      <c r="P987" s="20"/>
    </row>
    <row r="988">
      <c r="B988" s="158"/>
      <c r="D988" s="158"/>
      <c r="F988" s="158"/>
      <c r="G988" s="162"/>
      <c r="H988" s="158"/>
      <c r="J988" s="158"/>
      <c r="L988" s="158"/>
      <c r="N988" s="158"/>
      <c r="P988" s="20"/>
    </row>
    <row r="989">
      <c r="B989" s="158"/>
      <c r="D989" s="158"/>
      <c r="F989" s="158"/>
      <c r="G989" s="162"/>
      <c r="H989" s="158"/>
      <c r="J989" s="158"/>
      <c r="L989" s="158"/>
      <c r="N989" s="158"/>
      <c r="P989" s="20"/>
    </row>
    <row r="990">
      <c r="B990" s="158"/>
      <c r="D990" s="158"/>
      <c r="F990" s="158"/>
      <c r="G990" s="162"/>
      <c r="H990" s="158"/>
      <c r="J990" s="158"/>
      <c r="L990" s="158"/>
      <c r="N990" s="158"/>
      <c r="P990" s="20"/>
    </row>
    <row r="991">
      <c r="B991" s="158"/>
      <c r="D991" s="158"/>
      <c r="F991" s="158"/>
      <c r="G991" s="162"/>
      <c r="H991" s="158"/>
      <c r="J991" s="158"/>
      <c r="L991" s="158"/>
      <c r="N991" s="158"/>
      <c r="P991" s="20"/>
    </row>
    <row r="992">
      <c r="B992" s="158"/>
      <c r="D992" s="158"/>
      <c r="F992" s="158"/>
      <c r="G992" s="162"/>
      <c r="H992" s="158"/>
      <c r="J992" s="158"/>
      <c r="L992" s="158"/>
      <c r="N992" s="158"/>
      <c r="P992" s="20"/>
    </row>
    <row r="993">
      <c r="B993" s="158"/>
      <c r="D993" s="158"/>
      <c r="F993" s="158"/>
      <c r="G993" s="162"/>
      <c r="H993" s="158"/>
      <c r="J993" s="158"/>
      <c r="L993" s="158"/>
      <c r="N993" s="158"/>
      <c r="P993" s="20"/>
    </row>
    <row r="994">
      <c r="B994" s="158"/>
      <c r="D994" s="158"/>
      <c r="F994" s="158"/>
      <c r="G994" s="162"/>
      <c r="H994" s="158"/>
      <c r="J994" s="158"/>
      <c r="L994" s="158"/>
      <c r="N994" s="158"/>
      <c r="P994" s="20"/>
    </row>
    <row r="995">
      <c r="B995" s="158"/>
      <c r="D995" s="158"/>
      <c r="F995" s="158"/>
      <c r="G995" s="162"/>
      <c r="H995" s="158"/>
      <c r="J995" s="158"/>
      <c r="L995" s="158"/>
      <c r="N995" s="158"/>
      <c r="P995" s="20"/>
    </row>
    <row r="996">
      <c r="B996" s="158"/>
      <c r="D996" s="158"/>
      <c r="F996" s="158"/>
      <c r="G996" s="162"/>
      <c r="H996" s="158"/>
      <c r="J996" s="158"/>
      <c r="L996" s="158"/>
      <c r="N996" s="158"/>
      <c r="P996" s="20"/>
    </row>
    <row r="997">
      <c r="B997" s="158"/>
      <c r="D997" s="158"/>
      <c r="F997" s="158"/>
      <c r="G997" s="162"/>
      <c r="H997" s="158"/>
      <c r="J997" s="158"/>
      <c r="L997" s="158"/>
      <c r="N997" s="158"/>
      <c r="P997" s="20"/>
    </row>
    <row r="998">
      <c r="B998" s="158"/>
      <c r="D998" s="158"/>
      <c r="F998" s="158"/>
      <c r="G998" s="162"/>
      <c r="H998" s="158"/>
      <c r="J998" s="158"/>
      <c r="L998" s="158"/>
      <c r="N998" s="158"/>
      <c r="P998" s="20"/>
    </row>
    <row r="999">
      <c r="B999" s="158"/>
      <c r="D999" s="158"/>
      <c r="F999" s="158"/>
      <c r="G999" s="162"/>
      <c r="H999" s="158"/>
      <c r="J999" s="158"/>
      <c r="L999" s="158"/>
      <c r="N999" s="158"/>
      <c r="P999" s="20"/>
    </row>
    <row r="1000">
      <c r="B1000" s="158"/>
      <c r="D1000" s="158"/>
      <c r="F1000" s="158"/>
      <c r="G1000" s="162"/>
      <c r="H1000" s="158"/>
      <c r="J1000" s="158"/>
      <c r="L1000" s="158"/>
      <c r="N1000" s="158"/>
      <c r="P1000" s="20"/>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0"/>
    <col customWidth="1" min="2" max="2" width="20.75"/>
    <col customWidth="1" min="5" max="5" width="25.38"/>
    <col customWidth="1" min="6" max="6" width="25.25"/>
    <col customWidth="1" min="8" max="8" width="21.5"/>
    <col customWidth="1" min="13" max="13" width="35.5"/>
    <col customWidth="1" min="14" max="14" width="23.63"/>
    <col customWidth="1" min="15" max="15" width="142.13"/>
    <col customWidth="1" min="16" max="16" width="22.13"/>
  </cols>
  <sheetData>
    <row r="1">
      <c r="A1" s="38" t="s">
        <v>21</v>
      </c>
      <c r="B1" s="39" t="s">
        <v>22</v>
      </c>
      <c r="C1" s="40" t="s">
        <v>23</v>
      </c>
      <c r="D1" s="227" t="s">
        <v>24</v>
      </c>
      <c r="E1" s="228" t="s">
        <v>25</v>
      </c>
      <c r="F1" s="227" t="s">
        <v>26</v>
      </c>
      <c r="G1" s="228" t="s">
        <v>27</v>
      </c>
      <c r="H1" s="41" t="s">
        <v>28</v>
      </c>
      <c r="I1" s="42" t="s">
        <v>29</v>
      </c>
      <c r="J1" s="43" t="s">
        <v>30</v>
      </c>
      <c r="K1" s="42" t="s">
        <v>31</v>
      </c>
      <c r="L1" s="39" t="s">
        <v>30</v>
      </c>
      <c r="M1" s="40" t="s">
        <v>32</v>
      </c>
      <c r="N1" s="39" t="s">
        <v>33</v>
      </c>
      <c r="O1" s="40" t="s">
        <v>34</v>
      </c>
      <c r="P1" s="20"/>
    </row>
    <row r="2">
      <c r="A2" s="146" t="s">
        <v>433</v>
      </c>
      <c r="B2" s="314" t="s">
        <v>434</v>
      </c>
      <c r="C2" s="315" t="s">
        <v>435</v>
      </c>
      <c r="D2" s="300">
        <v>1.0</v>
      </c>
      <c r="E2" s="316" t="s">
        <v>436</v>
      </c>
      <c r="F2" s="268" t="s">
        <v>437</v>
      </c>
      <c r="G2" s="267">
        <v>57.0</v>
      </c>
      <c r="H2" s="51">
        <f t="shared" ref="H2:H5" si="1">G2*D2</f>
        <v>57</v>
      </c>
      <c r="I2" s="52" t="s">
        <v>438</v>
      </c>
      <c r="J2" s="53" t="s">
        <v>39</v>
      </c>
      <c r="K2" s="52" t="s">
        <v>438</v>
      </c>
      <c r="L2" s="53" t="s">
        <v>39</v>
      </c>
      <c r="M2" s="61" t="s">
        <v>3</v>
      </c>
      <c r="N2" s="62"/>
      <c r="O2" s="70"/>
      <c r="P2" s="317"/>
    </row>
    <row r="3">
      <c r="A3" s="254" t="s">
        <v>439</v>
      </c>
      <c r="B3" s="186"/>
      <c r="D3" s="239">
        <v>1.0</v>
      </c>
      <c r="E3" s="62" t="s">
        <v>142</v>
      </c>
      <c r="F3" s="53" t="s">
        <v>440</v>
      </c>
      <c r="G3" s="52">
        <v>175.44</v>
      </c>
      <c r="H3" s="51">
        <f t="shared" si="1"/>
        <v>175.44</v>
      </c>
      <c r="I3" s="52" t="s">
        <v>438</v>
      </c>
      <c r="J3" s="53" t="s">
        <v>39</v>
      </c>
      <c r="K3" s="52" t="s">
        <v>438</v>
      </c>
      <c r="L3" s="53" t="s">
        <v>39</v>
      </c>
      <c r="M3" s="61" t="s">
        <v>3</v>
      </c>
      <c r="N3" s="156"/>
      <c r="O3" s="70"/>
      <c r="P3" s="317"/>
    </row>
    <row r="4">
      <c r="A4" s="18" t="s">
        <v>441</v>
      </c>
      <c r="B4" s="71">
        <v>2222980.0</v>
      </c>
      <c r="C4" s="239" t="s">
        <v>442</v>
      </c>
      <c r="D4" s="239">
        <v>1.0</v>
      </c>
      <c r="E4" s="23" t="s">
        <v>443</v>
      </c>
      <c r="F4" s="71" t="s">
        <v>443</v>
      </c>
      <c r="G4" s="52">
        <v>114.89</v>
      </c>
      <c r="H4" s="128">
        <f t="shared" si="1"/>
        <v>114.89</v>
      </c>
      <c r="I4" s="52" t="s">
        <v>438</v>
      </c>
      <c r="J4" s="53" t="s">
        <v>39</v>
      </c>
      <c r="K4" s="52" t="s">
        <v>444</v>
      </c>
      <c r="L4" s="53" t="s">
        <v>39</v>
      </c>
      <c r="M4" s="311" t="s">
        <v>148</v>
      </c>
      <c r="N4" s="55"/>
      <c r="O4" s="318" t="s">
        <v>445</v>
      </c>
      <c r="P4" s="319" t="s">
        <v>446</v>
      </c>
      <c r="Q4" s="16" t="s">
        <v>447</v>
      </c>
      <c r="R4" s="1"/>
      <c r="S4" s="1"/>
      <c r="T4" s="1"/>
      <c r="U4" s="1"/>
      <c r="V4" s="1"/>
      <c r="W4" s="1"/>
      <c r="X4" s="1"/>
      <c r="Y4" s="1"/>
      <c r="Z4" s="1"/>
    </row>
    <row r="5">
      <c r="A5" s="316" t="s">
        <v>448</v>
      </c>
      <c r="B5" s="71">
        <v>1.7214904E7</v>
      </c>
      <c r="C5" s="243">
        <v>1000.0</v>
      </c>
      <c r="D5" s="190">
        <v>1.0</v>
      </c>
      <c r="E5" s="254" t="s">
        <v>449</v>
      </c>
      <c r="F5" s="125" t="s">
        <v>125</v>
      </c>
      <c r="G5" s="52">
        <v>19.7</v>
      </c>
      <c r="H5" s="128">
        <f t="shared" si="1"/>
        <v>19.7</v>
      </c>
      <c r="I5" s="48" t="s">
        <v>450</v>
      </c>
      <c r="J5" s="53" t="s">
        <v>39</v>
      </c>
      <c r="K5" s="320"/>
      <c r="L5" s="321"/>
      <c r="M5" s="311" t="s">
        <v>148</v>
      </c>
      <c r="N5" s="169"/>
      <c r="O5" s="322" t="s">
        <v>451</v>
      </c>
      <c r="P5" s="19"/>
      <c r="Q5" s="1"/>
      <c r="R5" s="1"/>
      <c r="S5" s="1"/>
      <c r="T5" s="1"/>
      <c r="U5" s="1"/>
      <c r="V5" s="1"/>
      <c r="W5" s="1"/>
      <c r="X5" s="1"/>
      <c r="Y5" s="1"/>
      <c r="Z5" s="1"/>
    </row>
    <row r="6">
      <c r="A6" s="62" t="s">
        <v>452</v>
      </c>
      <c r="B6" s="125" t="s">
        <v>453</v>
      </c>
      <c r="C6" s="243" t="s">
        <v>454</v>
      </c>
      <c r="D6" s="190">
        <v>1.0</v>
      </c>
      <c r="E6" s="100" t="s">
        <v>220</v>
      </c>
      <c r="F6" s="125" t="s">
        <v>45</v>
      </c>
      <c r="G6" s="243">
        <v>51.5</v>
      </c>
      <c r="H6" s="127">
        <v>61.08</v>
      </c>
      <c r="I6" s="48" t="s">
        <v>450</v>
      </c>
      <c r="J6" s="53" t="s">
        <v>39</v>
      </c>
      <c r="K6" s="52" t="s">
        <v>455</v>
      </c>
      <c r="L6" s="53" t="s">
        <v>39</v>
      </c>
      <c r="M6" s="311" t="s">
        <v>148</v>
      </c>
      <c r="N6" s="96" t="s">
        <v>456</v>
      </c>
      <c r="O6" s="181"/>
      <c r="P6" s="19"/>
      <c r="Q6" s="1"/>
      <c r="R6" s="1"/>
      <c r="S6" s="1"/>
      <c r="T6" s="1"/>
      <c r="U6" s="1"/>
      <c r="V6" s="1"/>
      <c r="W6" s="1"/>
      <c r="X6" s="1"/>
      <c r="Y6" s="1"/>
      <c r="Z6" s="1"/>
    </row>
    <row r="7">
      <c r="A7" s="62" t="s">
        <v>457</v>
      </c>
      <c r="B7" s="323">
        <v>1.7274904E7</v>
      </c>
      <c r="C7" s="53">
        <v>1000.0</v>
      </c>
      <c r="D7" s="120">
        <v>1.0</v>
      </c>
      <c r="E7" s="100" t="s">
        <v>220</v>
      </c>
      <c r="F7" s="125" t="s">
        <v>125</v>
      </c>
      <c r="G7" s="52">
        <v>44.2</v>
      </c>
      <c r="H7" s="117">
        <f>G7*D7</f>
        <v>44.2</v>
      </c>
      <c r="I7" s="48" t="s">
        <v>450</v>
      </c>
      <c r="J7" s="53" t="s">
        <v>39</v>
      </c>
      <c r="K7" s="52" t="s">
        <v>458</v>
      </c>
      <c r="L7" s="53" t="s">
        <v>39</v>
      </c>
      <c r="M7" s="311" t="s">
        <v>148</v>
      </c>
      <c r="N7" s="169"/>
      <c r="O7" s="322" t="s">
        <v>459</v>
      </c>
      <c r="P7" s="19"/>
      <c r="Q7" s="1"/>
      <c r="R7" s="1"/>
      <c r="S7" s="1"/>
      <c r="T7" s="1"/>
      <c r="U7" s="1"/>
      <c r="V7" s="1"/>
      <c r="W7" s="1"/>
      <c r="X7" s="1"/>
      <c r="Y7" s="1"/>
      <c r="Z7" s="1"/>
    </row>
    <row r="8">
      <c r="A8" s="155" t="s">
        <v>460</v>
      </c>
      <c r="B8" s="125">
        <v>1.0313573E7</v>
      </c>
      <c r="C8" s="243" t="s">
        <v>461</v>
      </c>
      <c r="D8" s="208">
        <v>1.0</v>
      </c>
      <c r="E8" s="100" t="s">
        <v>244</v>
      </c>
      <c r="F8" s="125" t="s">
        <v>125</v>
      </c>
      <c r="G8" s="52">
        <v>37.1</v>
      </c>
      <c r="H8" s="127">
        <v>37.1</v>
      </c>
      <c r="I8" s="48" t="s">
        <v>450</v>
      </c>
      <c r="J8" s="53" t="s">
        <v>39</v>
      </c>
      <c r="K8" s="52" t="s">
        <v>458</v>
      </c>
      <c r="L8" s="53" t="s">
        <v>39</v>
      </c>
      <c r="M8" s="311" t="s">
        <v>148</v>
      </c>
      <c r="N8" s="169"/>
      <c r="O8" s="181"/>
      <c r="P8" s="19"/>
      <c r="Q8" s="1"/>
      <c r="R8" s="1"/>
      <c r="S8" s="1"/>
      <c r="T8" s="1"/>
      <c r="U8" s="1"/>
      <c r="V8" s="1"/>
      <c r="W8" s="1"/>
      <c r="X8" s="1"/>
      <c r="Y8" s="1"/>
      <c r="Z8" s="1"/>
    </row>
    <row r="9">
      <c r="A9" s="129" t="s">
        <v>462</v>
      </c>
      <c r="B9" s="172" t="s">
        <v>463</v>
      </c>
      <c r="C9" s="148" t="s">
        <v>464</v>
      </c>
      <c r="D9" s="91">
        <v>1.0</v>
      </c>
      <c r="E9" s="188" t="s">
        <v>465</v>
      </c>
      <c r="F9" s="241" t="s">
        <v>45</v>
      </c>
      <c r="G9" s="91">
        <v>50.14</v>
      </c>
      <c r="H9" s="117">
        <f t="shared" ref="H9:H36" si="2">G9*D9</f>
        <v>50.14</v>
      </c>
      <c r="I9" s="48" t="s">
        <v>466</v>
      </c>
      <c r="J9" s="53" t="s">
        <v>39</v>
      </c>
      <c r="K9" s="52" t="s">
        <v>467</v>
      </c>
      <c r="L9" s="53" t="s">
        <v>39</v>
      </c>
      <c r="M9" s="311" t="s">
        <v>148</v>
      </c>
      <c r="N9" s="169"/>
      <c r="O9" s="137" t="s">
        <v>468</v>
      </c>
      <c r="P9" s="19"/>
      <c r="Q9" s="1"/>
      <c r="R9" s="1"/>
      <c r="S9" s="1"/>
      <c r="T9" s="1"/>
      <c r="U9" s="1"/>
      <c r="V9" s="1"/>
      <c r="W9" s="1"/>
      <c r="X9" s="1"/>
      <c r="Y9" s="1"/>
      <c r="Z9" s="1"/>
    </row>
    <row r="10">
      <c r="A10" s="324" t="s">
        <v>469</v>
      </c>
      <c r="B10" s="71">
        <v>32004.0</v>
      </c>
      <c r="C10" s="52" t="s">
        <v>470</v>
      </c>
      <c r="D10" s="91">
        <v>1.0</v>
      </c>
      <c r="E10" s="46" t="s">
        <v>471</v>
      </c>
      <c r="F10" s="53" t="s">
        <v>472</v>
      </c>
      <c r="G10" s="52">
        <v>362.0</v>
      </c>
      <c r="H10" s="58">
        <f t="shared" si="2"/>
        <v>362</v>
      </c>
      <c r="I10" s="48" t="s">
        <v>473</v>
      </c>
      <c r="J10" s="49" t="s">
        <v>39</v>
      </c>
      <c r="K10" s="52" t="s">
        <v>474</v>
      </c>
      <c r="L10" s="53" t="s">
        <v>39</v>
      </c>
      <c r="M10" s="311" t="s">
        <v>148</v>
      </c>
      <c r="N10" s="169"/>
      <c r="O10" s="181"/>
      <c r="P10" s="19"/>
      <c r="Q10" s="1"/>
      <c r="R10" s="1"/>
      <c r="S10" s="1"/>
      <c r="T10" s="1"/>
      <c r="U10" s="1"/>
      <c r="V10" s="1"/>
      <c r="W10" s="1"/>
      <c r="X10" s="1"/>
      <c r="Y10" s="1"/>
      <c r="Z10" s="1"/>
    </row>
    <row r="11">
      <c r="A11" s="325" t="s">
        <v>475</v>
      </c>
      <c r="B11" s="71">
        <v>633604.0</v>
      </c>
      <c r="C11" s="48" t="s">
        <v>403</v>
      </c>
      <c r="D11" s="91">
        <v>1.0</v>
      </c>
      <c r="E11" s="137" t="s">
        <v>476</v>
      </c>
      <c r="F11" s="182" t="s">
        <v>477</v>
      </c>
      <c r="G11" s="52">
        <v>279.0</v>
      </c>
      <c r="H11" s="58">
        <f t="shared" si="2"/>
        <v>279</v>
      </c>
      <c r="I11" s="48" t="s">
        <v>473</v>
      </c>
      <c r="J11" s="49" t="s">
        <v>39</v>
      </c>
      <c r="K11" s="52" t="s">
        <v>478</v>
      </c>
      <c r="L11" s="53" t="s">
        <v>39</v>
      </c>
      <c r="M11" s="311" t="s">
        <v>148</v>
      </c>
      <c r="N11" s="96" t="s">
        <v>479</v>
      </c>
      <c r="O11" s="37" t="s">
        <v>480</v>
      </c>
      <c r="P11" s="19"/>
      <c r="Q11" s="1"/>
      <c r="R11" s="1"/>
      <c r="S11" s="1"/>
      <c r="T11" s="1"/>
      <c r="U11" s="1"/>
      <c r="V11" s="1"/>
      <c r="W11" s="1"/>
      <c r="X11" s="1"/>
      <c r="Y11" s="1"/>
      <c r="Z11" s="1"/>
    </row>
    <row r="12">
      <c r="A12" s="326" t="s">
        <v>481</v>
      </c>
      <c r="B12" s="71" t="s">
        <v>482</v>
      </c>
      <c r="C12" s="48" t="s">
        <v>483</v>
      </c>
      <c r="D12" s="91">
        <v>1.0</v>
      </c>
      <c r="E12" s="137" t="s">
        <v>153</v>
      </c>
      <c r="F12" s="49" t="s">
        <v>153</v>
      </c>
      <c r="G12" s="52">
        <v>529.0</v>
      </c>
      <c r="H12" s="51">
        <f t="shared" si="2"/>
        <v>529</v>
      </c>
      <c r="I12" s="48" t="s">
        <v>473</v>
      </c>
      <c r="J12" s="49" t="s">
        <v>39</v>
      </c>
      <c r="K12" s="52" t="s">
        <v>484</v>
      </c>
      <c r="L12" s="53" t="s">
        <v>39</v>
      </c>
      <c r="M12" s="311" t="s">
        <v>148</v>
      </c>
      <c r="N12" s="204" t="s">
        <v>485</v>
      </c>
      <c r="O12" s="37" t="s">
        <v>486</v>
      </c>
      <c r="P12" s="19"/>
      <c r="Q12" s="1"/>
      <c r="R12" s="1"/>
      <c r="S12" s="1"/>
      <c r="T12" s="1"/>
      <c r="U12" s="1"/>
      <c r="V12" s="1"/>
      <c r="W12" s="1"/>
      <c r="X12" s="1"/>
      <c r="Y12" s="1"/>
      <c r="Z12" s="1"/>
    </row>
    <row r="13">
      <c r="A13" s="327" t="s">
        <v>487</v>
      </c>
      <c r="B13" s="71" t="s">
        <v>488</v>
      </c>
      <c r="C13" s="48" t="s">
        <v>489</v>
      </c>
      <c r="D13" s="91">
        <v>1.0</v>
      </c>
      <c r="E13" s="16" t="s">
        <v>490</v>
      </c>
      <c r="F13" s="71" t="s">
        <v>491</v>
      </c>
      <c r="G13" s="52">
        <v>124.0</v>
      </c>
      <c r="H13" s="51">
        <f t="shared" si="2"/>
        <v>124</v>
      </c>
      <c r="I13" s="48" t="s">
        <v>473</v>
      </c>
      <c r="J13" s="49" t="s">
        <v>39</v>
      </c>
      <c r="K13" s="52" t="s">
        <v>455</v>
      </c>
      <c r="L13" s="53" t="s">
        <v>39</v>
      </c>
      <c r="M13" s="311" t="s">
        <v>148</v>
      </c>
      <c r="N13" s="169"/>
      <c r="O13" s="181"/>
      <c r="P13" s="19"/>
      <c r="Q13" s="1"/>
      <c r="R13" s="1"/>
      <c r="S13" s="1"/>
      <c r="T13" s="1"/>
      <c r="U13" s="1"/>
      <c r="V13" s="1"/>
      <c r="W13" s="1"/>
      <c r="X13" s="1"/>
      <c r="Y13" s="1"/>
      <c r="Z13" s="1"/>
    </row>
    <row r="14">
      <c r="A14" s="327" t="s">
        <v>492</v>
      </c>
      <c r="B14" s="71" t="s">
        <v>493</v>
      </c>
      <c r="C14" s="48" t="s">
        <v>483</v>
      </c>
      <c r="D14" s="49">
        <v>1.0</v>
      </c>
      <c r="E14" s="137" t="s">
        <v>494</v>
      </c>
      <c r="F14" s="53" t="s">
        <v>472</v>
      </c>
      <c r="G14" s="328">
        <v>484.53</v>
      </c>
      <c r="H14" s="51">
        <f t="shared" si="2"/>
        <v>484.53</v>
      </c>
      <c r="I14" s="48" t="s">
        <v>473</v>
      </c>
      <c r="J14" s="49" t="s">
        <v>39</v>
      </c>
      <c r="K14" s="52" t="s">
        <v>478</v>
      </c>
      <c r="L14" s="53" t="s">
        <v>39</v>
      </c>
      <c r="M14" s="329" t="s">
        <v>495</v>
      </c>
      <c r="N14" s="169"/>
      <c r="O14" s="181"/>
      <c r="P14" s="19"/>
      <c r="Q14" s="1"/>
      <c r="R14" s="1"/>
      <c r="S14" s="1"/>
      <c r="T14" s="1"/>
      <c r="U14" s="1"/>
      <c r="V14" s="1"/>
      <c r="W14" s="1"/>
      <c r="X14" s="1"/>
      <c r="Y14" s="1"/>
      <c r="Z14" s="1"/>
    </row>
    <row r="15">
      <c r="A15" s="327" t="s">
        <v>496</v>
      </c>
      <c r="B15" s="71" t="s">
        <v>497</v>
      </c>
      <c r="C15" s="48" t="s">
        <v>489</v>
      </c>
      <c r="D15" s="91">
        <v>1.0</v>
      </c>
      <c r="E15" s="16" t="s">
        <v>490</v>
      </c>
      <c r="F15" s="71" t="s">
        <v>491</v>
      </c>
      <c r="G15" s="52">
        <v>168.0</v>
      </c>
      <c r="H15" s="51">
        <f t="shared" si="2"/>
        <v>168</v>
      </c>
      <c r="I15" s="48" t="s">
        <v>473</v>
      </c>
      <c r="J15" s="49" t="s">
        <v>39</v>
      </c>
      <c r="K15" s="52" t="s">
        <v>455</v>
      </c>
      <c r="L15" s="53" t="s">
        <v>39</v>
      </c>
      <c r="M15" s="311" t="s">
        <v>148</v>
      </c>
      <c r="N15" s="169"/>
      <c r="O15" s="181"/>
      <c r="P15" s="19"/>
      <c r="Q15" s="1"/>
      <c r="R15" s="1"/>
      <c r="S15" s="1"/>
      <c r="T15" s="1"/>
      <c r="U15" s="1"/>
      <c r="V15" s="1"/>
      <c r="W15" s="1"/>
      <c r="X15" s="1"/>
      <c r="Y15" s="1"/>
      <c r="Z15" s="1"/>
    </row>
    <row r="16">
      <c r="A16" s="330" t="s">
        <v>498</v>
      </c>
      <c r="B16" s="71" t="s">
        <v>499</v>
      </c>
      <c r="C16" s="48" t="s">
        <v>483</v>
      </c>
      <c r="D16" s="91">
        <v>1.0</v>
      </c>
      <c r="E16" s="137" t="s">
        <v>494</v>
      </c>
      <c r="F16" s="53" t="s">
        <v>472</v>
      </c>
      <c r="G16" s="52">
        <v>571.02</v>
      </c>
      <c r="H16" s="51">
        <f t="shared" si="2"/>
        <v>571.02</v>
      </c>
      <c r="I16" s="48" t="s">
        <v>473</v>
      </c>
      <c r="J16" s="49" t="s">
        <v>39</v>
      </c>
      <c r="K16" s="52" t="s">
        <v>478</v>
      </c>
      <c r="L16" s="53" t="s">
        <v>39</v>
      </c>
      <c r="M16" s="329" t="s">
        <v>495</v>
      </c>
      <c r="N16" s="169"/>
      <c r="O16" s="181"/>
      <c r="P16" s="19"/>
      <c r="Q16" s="1"/>
      <c r="R16" s="1"/>
      <c r="S16" s="1"/>
      <c r="T16" s="1"/>
      <c r="U16" s="1"/>
      <c r="V16" s="1"/>
      <c r="W16" s="1"/>
      <c r="X16" s="1"/>
      <c r="Y16" s="1"/>
      <c r="Z16" s="1"/>
    </row>
    <row r="17">
      <c r="A17" s="331" t="s">
        <v>500</v>
      </c>
      <c r="B17" s="332">
        <v>15806.0</v>
      </c>
      <c r="C17" s="48">
        <v>1.0</v>
      </c>
      <c r="D17" s="333">
        <v>2.0</v>
      </c>
      <c r="E17" s="331" t="s">
        <v>501</v>
      </c>
      <c r="F17" s="49" t="s">
        <v>502</v>
      </c>
      <c r="G17" s="48">
        <v>94.9</v>
      </c>
      <c r="H17" s="51">
        <f t="shared" si="2"/>
        <v>189.8</v>
      </c>
      <c r="I17" s="48" t="s">
        <v>484</v>
      </c>
      <c r="J17" s="49" t="s">
        <v>39</v>
      </c>
      <c r="K17" s="52" t="s">
        <v>503</v>
      </c>
      <c r="L17" s="53" t="s">
        <v>504</v>
      </c>
      <c r="M17" s="334" t="s">
        <v>3</v>
      </c>
      <c r="N17" s="169"/>
      <c r="O17" s="181"/>
      <c r="P17" s="19"/>
      <c r="Q17" s="1"/>
      <c r="R17" s="1"/>
      <c r="S17" s="1"/>
      <c r="T17" s="1"/>
      <c r="U17" s="1"/>
      <c r="V17" s="1"/>
      <c r="W17" s="1"/>
      <c r="X17" s="1"/>
      <c r="Y17" s="1"/>
      <c r="Z17" s="1"/>
    </row>
    <row r="18">
      <c r="A18" s="331" t="s">
        <v>505</v>
      </c>
      <c r="B18" s="332">
        <v>26861.0</v>
      </c>
      <c r="C18" s="48">
        <v>1.0</v>
      </c>
      <c r="D18" s="49">
        <v>3.0</v>
      </c>
      <c r="E18" s="181"/>
      <c r="F18" s="49" t="s">
        <v>502</v>
      </c>
      <c r="G18" s="48">
        <v>19.99</v>
      </c>
      <c r="H18" s="51">
        <f t="shared" si="2"/>
        <v>59.97</v>
      </c>
      <c r="I18" s="48" t="s">
        <v>484</v>
      </c>
      <c r="J18" s="49" t="s">
        <v>39</v>
      </c>
      <c r="K18" s="52" t="s">
        <v>503</v>
      </c>
      <c r="L18" s="53" t="s">
        <v>504</v>
      </c>
      <c r="M18" s="334" t="s">
        <v>3</v>
      </c>
      <c r="N18" s="169"/>
      <c r="O18" s="181"/>
      <c r="P18" s="19"/>
      <c r="Q18" s="1"/>
      <c r="R18" s="1"/>
      <c r="S18" s="1"/>
      <c r="T18" s="1"/>
      <c r="U18" s="1"/>
      <c r="V18" s="1"/>
      <c r="W18" s="1"/>
      <c r="X18" s="1"/>
      <c r="Y18" s="1"/>
      <c r="Z18" s="1"/>
    </row>
    <row r="19">
      <c r="A19" s="331" t="s">
        <v>506</v>
      </c>
      <c r="B19" s="332">
        <v>35514.0</v>
      </c>
      <c r="C19" s="48">
        <v>1.0</v>
      </c>
      <c r="D19" s="91">
        <v>1.0</v>
      </c>
      <c r="E19" s="137" t="s">
        <v>507</v>
      </c>
      <c r="F19" s="49" t="s">
        <v>502</v>
      </c>
      <c r="G19" s="48">
        <v>119.9</v>
      </c>
      <c r="H19" s="51">
        <f t="shared" si="2"/>
        <v>119.9</v>
      </c>
      <c r="I19" s="48" t="s">
        <v>484</v>
      </c>
      <c r="J19" s="49" t="s">
        <v>39</v>
      </c>
      <c r="K19" s="52" t="s">
        <v>503</v>
      </c>
      <c r="L19" s="53" t="s">
        <v>504</v>
      </c>
      <c r="M19" s="334" t="s">
        <v>3</v>
      </c>
      <c r="N19" s="169"/>
      <c r="O19" s="181"/>
      <c r="P19" s="19"/>
      <c r="Q19" s="1"/>
      <c r="R19" s="1"/>
      <c r="S19" s="1"/>
      <c r="T19" s="1"/>
      <c r="U19" s="1"/>
      <c r="V19" s="1"/>
      <c r="W19" s="1"/>
      <c r="X19" s="1"/>
      <c r="Y19" s="1"/>
      <c r="Z19" s="1"/>
    </row>
    <row r="20">
      <c r="A20" s="331" t="s">
        <v>508</v>
      </c>
      <c r="B20" s="332">
        <v>62137.0</v>
      </c>
      <c r="C20" s="48">
        <v>1.0</v>
      </c>
      <c r="D20" s="91">
        <v>1.0</v>
      </c>
      <c r="E20" s="137" t="s">
        <v>509</v>
      </c>
      <c r="F20" s="49" t="s">
        <v>502</v>
      </c>
      <c r="G20" s="48">
        <v>16.9</v>
      </c>
      <c r="H20" s="51">
        <f t="shared" si="2"/>
        <v>16.9</v>
      </c>
      <c r="I20" s="48" t="s">
        <v>484</v>
      </c>
      <c r="J20" s="49" t="s">
        <v>39</v>
      </c>
      <c r="K20" s="52" t="s">
        <v>503</v>
      </c>
      <c r="L20" s="53" t="s">
        <v>504</v>
      </c>
      <c r="M20" s="335" t="s">
        <v>3</v>
      </c>
      <c r="N20" s="169"/>
      <c r="O20" s="181"/>
      <c r="P20" s="19"/>
      <c r="Q20" s="1"/>
      <c r="R20" s="1"/>
      <c r="S20" s="1"/>
      <c r="T20" s="1"/>
      <c r="U20" s="1"/>
      <c r="V20" s="1"/>
      <c r="W20" s="1"/>
      <c r="X20" s="1"/>
      <c r="Y20" s="1"/>
      <c r="Z20" s="1"/>
    </row>
    <row r="21">
      <c r="A21" s="336" t="s">
        <v>510</v>
      </c>
      <c r="B21" s="91"/>
      <c r="C21" s="48">
        <v>1.0</v>
      </c>
      <c r="D21" s="91">
        <v>1.0</v>
      </c>
      <c r="E21" s="137" t="s">
        <v>511</v>
      </c>
      <c r="F21" s="49" t="s">
        <v>512</v>
      </c>
      <c r="G21" s="48">
        <v>168.0</v>
      </c>
      <c r="H21" s="51">
        <f t="shared" si="2"/>
        <v>168</v>
      </c>
      <c r="I21" s="48" t="s">
        <v>484</v>
      </c>
      <c r="J21" s="49" t="s">
        <v>39</v>
      </c>
      <c r="K21" s="52" t="s">
        <v>503</v>
      </c>
      <c r="L21" s="53" t="s">
        <v>504</v>
      </c>
      <c r="M21" s="334" t="s">
        <v>3</v>
      </c>
      <c r="N21" s="337"/>
      <c r="O21" s="181"/>
      <c r="P21" s="19"/>
      <c r="Q21" s="1"/>
      <c r="R21" s="1"/>
      <c r="S21" s="1"/>
      <c r="T21" s="1"/>
      <c r="U21" s="1"/>
      <c r="V21" s="1"/>
      <c r="W21" s="1"/>
      <c r="X21" s="1"/>
      <c r="Y21" s="1"/>
      <c r="Z21" s="1"/>
    </row>
    <row r="22">
      <c r="A22" s="17" t="s">
        <v>513</v>
      </c>
      <c r="B22" s="91"/>
      <c r="C22" s="48">
        <v>1.0</v>
      </c>
      <c r="D22" s="91">
        <v>1.0</v>
      </c>
      <c r="E22" s="181"/>
      <c r="F22" s="49" t="s">
        <v>512</v>
      </c>
      <c r="G22" s="208">
        <v>16.87</v>
      </c>
      <c r="H22" s="51">
        <f t="shared" si="2"/>
        <v>16.87</v>
      </c>
      <c r="I22" s="48" t="s">
        <v>484</v>
      </c>
      <c r="J22" s="49" t="s">
        <v>39</v>
      </c>
      <c r="K22" s="52" t="s">
        <v>503</v>
      </c>
      <c r="L22" s="53" t="s">
        <v>504</v>
      </c>
      <c r="M22" s="334" t="s">
        <v>3</v>
      </c>
      <c r="N22" s="338"/>
      <c r="O22" s="181"/>
      <c r="P22" s="19"/>
      <c r="Q22" s="1"/>
      <c r="R22" s="1"/>
      <c r="S22" s="1"/>
      <c r="T22" s="1"/>
      <c r="U22" s="1"/>
      <c r="V22" s="1"/>
      <c r="W22" s="1"/>
      <c r="X22" s="1"/>
      <c r="Y22" s="1"/>
      <c r="Z22" s="1"/>
    </row>
    <row r="23">
      <c r="A23" s="17" t="s">
        <v>514</v>
      </c>
      <c r="B23" s="169"/>
      <c r="C23" s="48">
        <v>1.0</v>
      </c>
      <c r="D23" s="49">
        <v>8.0</v>
      </c>
      <c r="E23" s="137" t="s">
        <v>515</v>
      </c>
      <c r="F23" s="49" t="s">
        <v>512</v>
      </c>
      <c r="G23" s="48">
        <v>8.12</v>
      </c>
      <c r="H23" s="51">
        <f t="shared" si="2"/>
        <v>64.96</v>
      </c>
      <c r="I23" s="48" t="s">
        <v>484</v>
      </c>
      <c r="J23" s="49" t="s">
        <v>39</v>
      </c>
      <c r="K23" s="52" t="s">
        <v>503</v>
      </c>
      <c r="L23" s="53" t="s">
        <v>504</v>
      </c>
      <c r="M23" s="334" t="s">
        <v>3</v>
      </c>
      <c r="N23" s="338"/>
      <c r="O23" s="181"/>
      <c r="P23" s="19"/>
      <c r="Q23" s="1"/>
      <c r="R23" s="1"/>
      <c r="S23" s="1"/>
      <c r="T23" s="1"/>
      <c r="U23" s="1"/>
      <c r="V23" s="1"/>
      <c r="W23" s="1"/>
      <c r="X23" s="1"/>
      <c r="Y23" s="1"/>
      <c r="Z23" s="1"/>
    </row>
    <row r="24">
      <c r="A24" s="17" t="s">
        <v>516</v>
      </c>
      <c r="B24" s="169"/>
      <c r="C24" s="48">
        <v>1.0</v>
      </c>
      <c r="D24" s="49">
        <v>1.0</v>
      </c>
      <c r="E24" s="137" t="s">
        <v>509</v>
      </c>
      <c r="F24" s="49" t="s">
        <v>512</v>
      </c>
      <c r="G24" s="48">
        <v>6.9</v>
      </c>
      <c r="H24" s="51">
        <f t="shared" si="2"/>
        <v>6.9</v>
      </c>
      <c r="I24" s="48" t="s">
        <v>484</v>
      </c>
      <c r="J24" s="49" t="s">
        <v>39</v>
      </c>
      <c r="K24" s="52" t="s">
        <v>503</v>
      </c>
      <c r="L24" s="53" t="s">
        <v>504</v>
      </c>
      <c r="M24" s="334" t="s">
        <v>3</v>
      </c>
      <c r="N24" s="338"/>
      <c r="O24" s="181"/>
      <c r="P24" s="19"/>
      <c r="Q24" s="1"/>
      <c r="R24" s="1"/>
      <c r="S24" s="1"/>
      <c r="T24" s="1"/>
      <c r="U24" s="1"/>
      <c r="V24" s="1"/>
      <c r="W24" s="1"/>
      <c r="X24" s="1"/>
      <c r="Y24" s="1"/>
      <c r="Z24" s="1"/>
    </row>
    <row r="25">
      <c r="A25" s="339" t="s">
        <v>517</v>
      </c>
      <c r="B25" s="169"/>
      <c r="C25" s="48">
        <v>1.0</v>
      </c>
      <c r="D25" s="49">
        <v>1.0</v>
      </c>
      <c r="E25" s="137" t="s">
        <v>511</v>
      </c>
      <c r="F25" s="49" t="s">
        <v>512</v>
      </c>
      <c r="G25" s="48">
        <v>1009.0</v>
      </c>
      <c r="H25" s="51">
        <f t="shared" si="2"/>
        <v>1009</v>
      </c>
      <c r="I25" s="48" t="s">
        <v>484</v>
      </c>
      <c r="J25" s="49" t="s">
        <v>39</v>
      </c>
      <c r="K25" s="52" t="s">
        <v>503</v>
      </c>
      <c r="L25" s="53" t="s">
        <v>504</v>
      </c>
      <c r="M25" s="62" t="s">
        <v>518</v>
      </c>
      <c r="N25" s="340" t="s">
        <v>519</v>
      </c>
      <c r="O25" s="181"/>
      <c r="P25" s="19"/>
      <c r="Q25" s="1"/>
      <c r="R25" s="1"/>
      <c r="S25" s="1"/>
      <c r="T25" s="1"/>
      <c r="U25" s="1"/>
      <c r="V25" s="1"/>
      <c r="W25" s="1"/>
      <c r="X25" s="1"/>
      <c r="Y25" s="1"/>
      <c r="Z25" s="1"/>
    </row>
    <row r="26">
      <c r="A26" s="163"/>
      <c r="B26" s="164"/>
      <c r="C26" s="163"/>
      <c r="D26" s="164"/>
      <c r="E26" s="163"/>
      <c r="F26" s="164"/>
      <c r="G26" s="163"/>
      <c r="H26" s="74">
        <f t="shared" si="2"/>
        <v>0</v>
      </c>
      <c r="I26" s="163"/>
      <c r="J26" s="164"/>
      <c r="K26" s="163"/>
      <c r="L26" s="164"/>
      <c r="M26" s="163"/>
      <c r="N26" s="164"/>
      <c r="O26" s="163"/>
      <c r="P26" s="20"/>
    </row>
    <row r="27">
      <c r="A27" s="163"/>
      <c r="B27" s="164"/>
      <c r="C27" s="163"/>
      <c r="D27" s="164"/>
      <c r="E27" s="163"/>
      <c r="F27" s="164"/>
      <c r="G27" s="163"/>
      <c r="H27" s="74">
        <f t="shared" si="2"/>
        <v>0</v>
      </c>
      <c r="I27" s="163"/>
      <c r="J27" s="164"/>
      <c r="K27" s="163"/>
      <c r="L27" s="164"/>
      <c r="M27" s="163"/>
      <c r="N27" s="164"/>
      <c r="O27" s="163"/>
      <c r="P27" s="20"/>
    </row>
    <row r="28">
      <c r="A28" s="163"/>
      <c r="B28" s="164"/>
      <c r="C28" s="163"/>
      <c r="D28" s="164"/>
      <c r="E28" s="163"/>
      <c r="F28" s="164"/>
      <c r="G28" s="163"/>
      <c r="H28" s="74">
        <f t="shared" si="2"/>
        <v>0</v>
      </c>
      <c r="I28" s="163"/>
      <c r="J28" s="164"/>
      <c r="K28" s="163"/>
      <c r="L28" s="164"/>
      <c r="M28" s="163"/>
      <c r="N28" s="164"/>
      <c r="O28" s="163"/>
      <c r="P28" s="20"/>
    </row>
    <row r="29">
      <c r="A29" s="163"/>
      <c r="B29" s="164"/>
      <c r="C29" s="163"/>
      <c r="D29" s="164"/>
      <c r="E29" s="163"/>
      <c r="F29" s="164"/>
      <c r="G29" s="163"/>
      <c r="H29" s="74">
        <f t="shared" si="2"/>
        <v>0</v>
      </c>
      <c r="I29" s="163"/>
      <c r="J29" s="164"/>
      <c r="K29" s="163"/>
      <c r="L29" s="164"/>
      <c r="M29" s="163"/>
      <c r="N29" s="164"/>
      <c r="O29" s="163"/>
      <c r="P29" s="20"/>
    </row>
    <row r="30">
      <c r="A30" s="163"/>
      <c r="B30" s="164"/>
      <c r="C30" s="163"/>
      <c r="D30" s="164"/>
      <c r="E30" s="163"/>
      <c r="F30" s="164"/>
      <c r="G30" s="163"/>
      <c r="H30" s="74">
        <f t="shared" si="2"/>
        <v>0</v>
      </c>
      <c r="I30" s="163"/>
      <c r="J30" s="164"/>
      <c r="K30" s="163"/>
      <c r="L30" s="164"/>
      <c r="M30" s="163"/>
      <c r="N30" s="164"/>
      <c r="O30" s="163"/>
      <c r="P30" s="20"/>
    </row>
    <row r="31">
      <c r="A31" s="163"/>
      <c r="B31" s="164"/>
      <c r="C31" s="163"/>
      <c r="D31" s="164"/>
      <c r="E31" s="163"/>
      <c r="F31" s="164"/>
      <c r="G31" s="163"/>
      <c r="H31" s="74">
        <f t="shared" si="2"/>
        <v>0</v>
      </c>
      <c r="I31" s="163"/>
      <c r="J31" s="164"/>
      <c r="K31" s="163"/>
      <c r="L31" s="164"/>
      <c r="M31" s="163"/>
      <c r="N31" s="164"/>
      <c r="O31" s="163"/>
      <c r="P31" s="20"/>
    </row>
    <row r="32">
      <c r="A32" s="163"/>
      <c r="B32" s="164"/>
      <c r="C32" s="163"/>
      <c r="D32" s="164"/>
      <c r="E32" s="163"/>
      <c r="F32" s="164"/>
      <c r="G32" s="163"/>
      <c r="H32" s="74">
        <f t="shared" si="2"/>
        <v>0</v>
      </c>
      <c r="I32" s="163"/>
      <c r="J32" s="164"/>
      <c r="K32" s="163"/>
      <c r="L32" s="164"/>
      <c r="M32" s="163"/>
      <c r="N32" s="164"/>
      <c r="O32" s="163"/>
      <c r="P32" s="20"/>
    </row>
    <row r="33">
      <c r="A33" s="163"/>
      <c r="B33" s="164"/>
      <c r="C33" s="163"/>
      <c r="D33" s="164"/>
      <c r="E33" s="163"/>
      <c r="F33" s="164"/>
      <c r="G33" s="163"/>
      <c r="H33" s="74">
        <f t="shared" si="2"/>
        <v>0</v>
      </c>
      <c r="I33" s="163"/>
      <c r="J33" s="164"/>
      <c r="K33" s="163"/>
      <c r="L33" s="164"/>
      <c r="M33" s="163"/>
      <c r="N33" s="164"/>
      <c r="O33" s="163"/>
      <c r="P33" s="20"/>
    </row>
    <row r="34">
      <c r="A34" s="163"/>
      <c r="B34" s="164"/>
      <c r="C34" s="163"/>
      <c r="D34" s="164"/>
      <c r="E34" s="163"/>
      <c r="F34" s="164"/>
      <c r="G34" s="163"/>
      <c r="H34" s="74">
        <f t="shared" si="2"/>
        <v>0</v>
      </c>
      <c r="I34" s="163"/>
      <c r="J34" s="164"/>
      <c r="K34" s="163"/>
      <c r="L34" s="164"/>
      <c r="M34" s="163"/>
      <c r="N34" s="164"/>
      <c r="O34" s="163"/>
      <c r="P34" s="20"/>
    </row>
    <row r="35">
      <c r="A35" s="163"/>
      <c r="B35" s="164"/>
      <c r="C35" s="163"/>
      <c r="D35" s="164"/>
      <c r="E35" s="163"/>
      <c r="F35" s="164"/>
      <c r="G35" s="163"/>
      <c r="H35" s="74">
        <f t="shared" si="2"/>
        <v>0</v>
      </c>
      <c r="I35" s="163"/>
      <c r="J35" s="164"/>
      <c r="K35" s="163"/>
      <c r="L35" s="164"/>
      <c r="M35" s="163"/>
      <c r="N35" s="164"/>
      <c r="O35" s="163"/>
      <c r="P35" s="20"/>
    </row>
    <row r="36">
      <c r="A36" s="163"/>
      <c r="B36" s="164"/>
      <c r="C36" s="163"/>
      <c r="D36" s="164"/>
      <c r="E36" s="163"/>
      <c r="F36" s="164"/>
      <c r="G36" s="163"/>
      <c r="H36" s="74">
        <f t="shared" si="2"/>
        <v>0</v>
      </c>
      <c r="I36" s="163"/>
      <c r="J36" s="164"/>
      <c r="K36" s="163"/>
      <c r="L36" s="164"/>
      <c r="M36" s="163"/>
      <c r="N36" s="164"/>
      <c r="O36" s="163"/>
      <c r="P36" s="20"/>
    </row>
    <row r="37">
      <c r="A37" s="163"/>
      <c r="B37" s="164"/>
      <c r="C37" s="163"/>
      <c r="D37" s="164"/>
      <c r="E37" s="163"/>
      <c r="F37" s="164"/>
      <c r="G37" s="163"/>
      <c r="H37" s="164"/>
      <c r="I37" s="163"/>
      <c r="J37" s="164"/>
      <c r="K37" s="163"/>
      <c r="L37" s="164"/>
      <c r="M37" s="163"/>
      <c r="N37" s="164"/>
      <c r="O37" s="163"/>
      <c r="P37" s="20"/>
    </row>
    <row r="38">
      <c r="B38" s="158"/>
      <c r="D38" s="158"/>
      <c r="F38" s="158"/>
      <c r="H38" s="158"/>
      <c r="J38" s="158"/>
      <c r="L38" s="158"/>
      <c r="N38" s="158"/>
      <c r="P38" s="20"/>
    </row>
    <row r="39">
      <c r="B39" s="158"/>
      <c r="D39" s="158"/>
      <c r="F39" s="158"/>
      <c r="H39" s="158"/>
      <c r="J39" s="158"/>
      <c r="L39" s="158"/>
      <c r="N39" s="158"/>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row r="997">
      <c r="B997" s="158"/>
      <c r="D997" s="158"/>
      <c r="F997" s="158"/>
      <c r="H997" s="158"/>
      <c r="J997" s="158"/>
      <c r="L997" s="158"/>
      <c r="N997" s="158"/>
      <c r="P997" s="20"/>
    </row>
    <row r="998">
      <c r="B998" s="158"/>
      <c r="D998" s="158"/>
      <c r="F998" s="158"/>
      <c r="H998" s="158"/>
      <c r="J998" s="158"/>
      <c r="L998" s="158"/>
      <c r="N998" s="158"/>
      <c r="P998" s="20"/>
    </row>
    <row r="999">
      <c r="B999" s="158"/>
      <c r="D999" s="158"/>
      <c r="F999" s="158"/>
      <c r="H999" s="158"/>
      <c r="J999" s="158"/>
      <c r="L999" s="158"/>
      <c r="N999" s="158"/>
      <c r="P999" s="20"/>
    </row>
  </sheetData>
  <hyperlinks>
    <hyperlink r:id="rId4" ref="O4"/>
    <hyperlink r:id="rId5" ref="P4"/>
    <hyperlink r:id="rId6" ref="O5"/>
    <hyperlink r:id="rId7" ref="O7"/>
    <hyperlink r:id="rId8" ref="B17"/>
    <hyperlink r:id="rId9" ref="B18"/>
    <hyperlink r:id="rId10" ref="B19"/>
    <hyperlink r:id="rId11" ref="B20"/>
  </hyperlinks>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75"/>
    <col customWidth="1" min="2" max="2" width="16.25"/>
    <col customWidth="1" min="3" max="3" width="16.13"/>
    <col customWidth="1" min="5" max="5" width="37.5"/>
    <col customWidth="1" min="6" max="6" width="25.25"/>
    <col customWidth="1" min="8" max="8" width="21.5"/>
    <col customWidth="1" min="11" max="11" width="23.13"/>
    <col customWidth="1" min="13" max="13" width="33.38"/>
    <col customWidth="1" min="14" max="14" width="25.38"/>
    <col customWidth="1" min="15" max="15" width="169.25"/>
    <col customWidth="1" min="16" max="16" width="27.0"/>
    <col customWidth="1" min="17" max="17" width="69.75"/>
    <col customWidth="1" min="18" max="18" width="26.63"/>
  </cols>
  <sheetData>
    <row r="1">
      <c r="A1" s="38" t="s">
        <v>21</v>
      </c>
      <c r="B1" s="39" t="s">
        <v>22</v>
      </c>
      <c r="C1" s="40" t="s">
        <v>23</v>
      </c>
      <c r="D1" s="39" t="s">
        <v>24</v>
      </c>
      <c r="E1" s="40" t="s">
        <v>25</v>
      </c>
      <c r="F1" s="39" t="s">
        <v>26</v>
      </c>
      <c r="G1" s="40" t="s">
        <v>27</v>
      </c>
      <c r="H1" s="41" t="s">
        <v>28</v>
      </c>
      <c r="I1" s="42" t="s">
        <v>29</v>
      </c>
      <c r="J1" s="43" t="s">
        <v>30</v>
      </c>
      <c r="K1" s="42" t="s">
        <v>31</v>
      </c>
      <c r="L1" s="39" t="s">
        <v>30</v>
      </c>
      <c r="M1" s="40" t="s">
        <v>32</v>
      </c>
      <c r="N1" s="39" t="s">
        <v>33</v>
      </c>
      <c r="O1" s="40" t="s">
        <v>34</v>
      </c>
      <c r="P1" s="20"/>
    </row>
    <row r="2">
      <c r="A2" s="316" t="s">
        <v>520</v>
      </c>
      <c r="B2" s="301">
        <v>6082701.0</v>
      </c>
      <c r="C2" s="268" t="s">
        <v>464</v>
      </c>
      <c r="D2" s="265">
        <v>1.0</v>
      </c>
      <c r="E2" s="316" t="s">
        <v>521</v>
      </c>
      <c r="F2" s="316" t="s">
        <v>66</v>
      </c>
      <c r="G2" s="341">
        <v>34.0</v>
      </c>
      <c r="H2" s="51">
        <f t="shared" ref="H2:H36" si="1">G2*D2</f>
        <v>34</v>
      </c>
      <c r="I2" s="48" t="s">
        <v>478</v>
      </c>
      <c r="J2" s="49" t="s">
        <v>39</v>
      </c>
      <c r="K2" s="48" t="s">
        <v>478</v>
      </c>
      <c r="L2" s="49" t="s">
        <v>39</v>
      </c>
      <c r="M2" s="311" t="s">
        <v>148</v>
      </c>
      <c r="N2" s="55"/>
      <c r="O2" s="56"/>
      <c r="P2" s="342"/>
      <c r="Q2" s="1"/>
      <c r="R2" s="1"/>
      <c r="S2" s="1"/>
      <c r="T2" s="1"/>
      <c r="U2" s="1"/>
      <c r="V2" s="1"/>
      <c r="W2" s="1"/>
      <c r="X2" s="1"/>
      <c r="Y2" s="1"/>
      <c r="Z2" s="1"/>
    </row>
    <row r="3">
      <c r="A3" s="254" t="s">
        <v>522</v>
      </c>
      <c r="B3" s="17">
        <v>6260035.0</v>
      </c>
      <c r="C3" s="239" t="s">
        <v>464</v>
      </c>
      <c r="D3" s="93">
        <v>1.0</v>
      </c>
      <c r="E3" s="254" t="s">
        <v>521</v>
      </c>
      <c r="F3" s="62" t="s">
        <v>66</v>
      </c>
      <c r="G3" s="50">
        <v>17.0</v>
      </c>
      <c r="H3" s="51">
        <f t="shared" si="1"/>
        <v>17</v>
      </c>
      <c r="I3" s="48" t="s">
        <v>478</v>
      </c>
      <c r="J3" s="49" t="s">
        <v>39</v>
      </c>
      <c r="K3" s="52" t="s">
        <v>523</v>
      </c>
      <c r="L3" s="49" t="s">
        <v>39</v>
      </c>
      <c r="M3" s="311" t="s">
        <v>148</v>
      </c>
      <c r="N3" s="55"/>
      <c r="O3" s="56"/>
      <c r="P3" s="342"/>
      <c r="Q3" s="1"/>
      <c r="R3" s="1"/>
      <c r="S3" s="1"/>
      <c r="T3" s="1"/>
      <c r="U3" s="1"/>
      <c r="V3" s="1"/>
      <c r="W3" s="1"/>
      <c r="X3" s="1"/>
      <c r="Y3" s="1"/>
      <c r="Z3" s="1"/>
    </row>
    <row r="4">
      <c r="A4" s="193" t="s">
        <v>524</v>
      </c>
      <c r="B4" s="67"/>
      <c r="C4" s="81" t="s">
        <v>525</v>
      </c>
      <c r="D4" s="93">
        <v>1.0</v>
      </c>
      <c r="E4" s="343" t="s">
        <v>526</v>
      </c>
      <c r="F4" s="344" t="s">
        <v>527</v>
      </c>
      <c r="G4" s="123">
        <v>312.48</v>
      </c>
      <c r="H4" s="51">
        <f t="shared" si="1"/>
        <v>312.48</v>
      </c>
      <c r="I4" s="48" t="s">
        <v>528</v>
      </c>
      <c r="J4" s="49" t="s">
        <v>39</v>
      </c>
      <c r="K4" s="48" t="s">
        <v>528</v>
      </c>
      <c r="L4" s="49" t="s">
        <v>39</v>
      </c>
      <c r="M4" s="334" t="s">
        <v>3</v>
      </c>
      <c r="N4" s="55"/>
      <c r="O4" s="345"/>
      <c r="P4" s="342"/>
      <c r="Q4" s="1"/>
      <c r="R4" s="1"/>
      <c r="S4" s="1"/>
      <c r="T4" s="1"/>
      <c r="U4" s="1"/>
      <c r="V4" s="1"/>
      <c r="W4" s="1"/>
      <c r="X4" s="1"/>
      <c r="Y4" s="1"/>
      <c r="Z4" s="1"/>
    </row>
    <row r="5">
      <c r="A5" s="193" t="s">
        <v>529</v>
      </c>
      <c r="B5" s="346"/>
      <c r="C5" s="81" t="s">
        <v>525</v>
      </c>
      <c r="D5" s="93">
        <v>1.0</v>
      </c>
      <c r="E5" s="343" t="s">
        <v>526</v>
      </c>
      <c r="F5" s="344" t="s">
        <v>527</v>
      </c>
      <c r="G5" s="123">
        <v>312.48</v>
      </c>
      <c r="H5" s="51">
        <f t="shared" si="1"/>
        <v>312.48</v>
      </c>
      <c r="I5" s="48" t="s">
        <v>528</v>
      </c>
      <c r="J5" s="49" t="s">
        <v>39</v>
      </c>
      <c r="K5" s="48" t="s">
        <v>528</v>
      </c>
      <c r="L5" s="49" t="s">
        <v>39</v>
      </c>
      <c r="M5" s="334" t="s">
        <v>3</v>
      </c>
      <c r="N5" s="55"/>
      <c r="O5" s="56"/>
      <c r="P5" s="342"/>
      <c r="Q5" s="1"/>
      <c r="R5" s="1"/>
      <c r="S5" s="1"/>
      <c r="T5" s="1"/>
      <c r="U5" s="1"/>
      <c r="V5" s="1"/>
      <c r="W5" s="1"/>
      <c r="X5" s="1"/>
      <c r="Y5" s="1"/>
      <c r="Z5" s="1"/>
    </row>
    <row r="6">
      <c r="A6" s="139" t="s">
        <v>530</v>
      </c>
      <c r="B6" s="51" t="s">
        <v>531</v>
      </c>
      <c r="C6" s="149" t="s">
        <v>464</v>
      </c>
      <c r="D6" s="208">
        <v>10.0</v>
      </c>
      <c r="E6" s="172" t="s">
        <v>220</v>
      </c>
      <c r="F6" s="177" t="s">
        <v>125</v>
      </c>
      <c r="G6" s="50">
        <v>7.5</v>
      </c>
      <c r="H6" s="128">
        <f t="shared" si="1"/>
        <v>75</v>
      </c>
      <c r="I6" s="48" t="s">
        <v>532</v>
      </c>
      <c r="J6" s="49" t="s">
        <v>39</v>
      </c>
      <c r="K6" s="52" t="s">
        <v>533</v>
      </c>
      <c r="L6" s="49" t="s">
        <v>39</v>
      </c>
      <c r="M6" s="311" t="s">
        <v>148</v>
      </c>
      <c r="N6" s="55"/>
      <c r="O6" s="56"/>
      <c r="P6" s="342"/>
      <c r="Q6" s="1"/>
      <c r="R6" s="1"/>
      <c r="S6" s="1"/>
      <c r="T6" s="1"/>
      <c r="U6" s="1"/>
      <c r="V6" s="1"/>
      <c r="W6" s="1"/>
      <c r="X6" s="1"/>
      <c r="Y6" s="1"/>
      <c r="Z6" s="1"/>
    </row>
    <row r="7">
      <c r="A7" s="130" t="s">
        <v>534</v>
      </c>
      <c r="B7" s="125"/>
      <c r="C7" s="125"/>
      <c r="D7" s="53">
        <v>1.0</v>
      </c>
      <c r="E7" s="37" t="s">
        <v>418</v>
      </c>
      <c r="F7" s="62" t="s">
        <v>535</v>
      </c>
      <c r="G7" s="347">
        <v>124.0</v>
      </c>
      <c r="H7" s="51">
        <f t="shared" si="1"/>
        <v>124</v>
      </c>
      <c r="I7" s="48" t="s">
        <v>523</v>
      </c>
      <c r="J7" s="49" t="s">
        <v>39</v>
      </c>
      <c r="K7" s="48" t="s">
        <v>523</v>
      </c>
      <c r="L7" s="49" t="s">
        <v>39</v>
      </c>
      <c r="M7" s="334" t="s">
        <v>3</v>
      </c>
      <c r="N7" s="62"/>
      <c r="O7" s="56"/>
      <c r="P7" s="342"/>
      <c r="Q7" s="1"/>
      <c r="R7" s="1"/>
      <c r="S7" s="1"/>
      <c r="T7" s="1"/>
      <c r="U7" s="1"/>
      <c r="V7" s="1"/>
      <c r="W7" s="1"/>
      <c r="X7" s="1"/>
      <c r="Y7" s="1"/>
      <c r="Z7" s="1"/>
    </row>
    <row r="8">
      <c r="A8" s="63" t="s">
        <v>536</v>
      </c>
      <c r="B8" s="91"/>
      <c r="C8" s="241"/>
      <c r="D8" s="49">
        <v>1.0</v>
      </c>
      <c r="E8" s="129" t="s">
        <v>336</v>
      </c>
      <c r="F8" s="62" t="s">
        <v>336</v>
      </c>
      <c r="G8" s="50">
        <v>9.0</v>
      </c>
      <c r="H8" s="51">
        <f t="shared" si="1"/>
        <v>9</v>
      </c>
      <c r="I8" s="48" t="s">
        <v>537</v>
      </c>
      <c r="J8" s="49" t="s">
        <v>39</v>
      </c>
      <c r="K8" s="48" t="s">
        <v>537</v>
      </c>
      <c r="L8" s="49" t="s">
        <v>39</v>
      </c>
      <c r="M8" s="94" t="s">
        <v>41</v>
      </c>
      <c r="N8" s="55"/>
      <c r="O8" s="56"/>
      <c r="P8" s="342"/>
      <c r="Q8" s="1"/>
      <c r="R8" s="1"/>
      <c r="S8" s="1"/>
      <c r="T8" s="1"/>
      <c r="U8" s="1"/>
      <c r="V8" s="1"/>
      <c r="W8" s="1"/>
      <c r="X8" s="1"/>
      <c r="Y8" s="1"/>
      <c r="Z8" s="1"/>
    </row>
    <row r="9">
      <c r="A9" s="129" t="s">
        <v>538</v>
      </c>
      <c r="B9" s="91"/>
      <c r="C9" s="72">
        <v>1.0</v>
      </c>
      <c r="D9" s="49">
        <v>1.0</v>
      </c>
      <c r="E9" s="96" t="s">
        <v>539</v>
      </c>
      <c r="F9" s="129" t="s">
        <v>539</v>
      </c>
      <c r="G9" s="47">
        <v>102.18</v>
      </c>
      <c r="H9" s="51">
        <f t="shared" si="1"/>
        <v>102.18</v>
      </c>
      <c r="I9" s="49" t="s">
        <v>540</v>
      </c>
      <c r="J9" s="72" t="s">
        <v>39</v>
      </c>
      <c r="K9" s="53" t="s">
        <v>540</v>
      </c>
      <c r="L9" s="53" t="s">
        <v>39</v>
      </c>
      <c r="M9" s="334" t="s">
        <v>3</v>
      </c>
      <c r="N9" s="156"/>
      <c r="O9" s="56"/>
      <c r="P9" s="317"/>
    </row>
    <row r="10">
      <c r="A10" s="16" t="s">
        <v>541</v>
      </c>
      <c r="B10" s="169"/>
      <c r="C10" s="181"/>
      <c r="D10" s="49">
        <v>1.0</v>
      </c>
      <c r="E10" s="137" t="s">
        <v>502</v>
      </c>
      <c r="F10" s="137"/>
      <c r="G10" s="137"/>
      <c r="H10" s="51">
        <f t="shared" si="1"/>
        <v>0</v>
      </c>
      <c r="I10" s="181"/>
      <c r="J10" s="169"/>
      <c r="K10" s="181"/>
      <c r="L10" s="169"/>
      <c r="M10" s="181"/>
      <c r="N10" s="169"/>
      <c r="O10" s="181"/>
      <c r="P10" s="19"/>
      <c r="Q10" s="1"/>
      <c r="R10" s="1"/>
      <c r="S10" s="1"/>
      <c r="T10" s="1"/>
      <c r="U10" s="1"/>
      <c r="V10" s="1"/>
      <c r="W10" s="1"/>
      <c r="X10" s="1"/>
      <c r="Y10" s="1"/>
      <c r="Z10" s="1"/>
    </row>
    <row r="11">
      <c r="A11" s="16" t="s">
        <v>542</v>
      </c>
      <c r="B11" s="169"/>
      <c r="C11" s="181"/>
      <c r="D11" s="49">
        <v>2.0</v>
      </c>
      <c r="E11" s="181"/>
      <c r="F11" s="169"/>
      <c r="G11" s="181"/>
      <c r="H11" s="51">
        <f t="shared" si="1"/>
        <v>0</v>
      </c>
      <c r="I11" s="181"/>
      <c r="J11" s="169"/>
      <c r="K11" s="181"/>
      <c r="L11" s="169"/>
      <c r="M11" s="181"/>
      <c r="N11" s="169"/>
      <c r="O11" s="181"/>
      <c r="P11" s="19"/>
      <c r="Q11" s="1"/>
      <c r="R11" s="1"/>
      <c r="S11" s="1"/>
      <c r="T11" s="1"/>
      <c r="U11" s="1"/>
      <c r="V11" s="1"/>
      <c r="W11" s="1"/>
      <c r="X11" s="1"/>
      <c r="Y11" s="1"/>
      <c r="Z11" s="1"/>
    </row>
    <row r="12">
      <c r="A12" s="163"/>
      <c r="B12" s="164"/>
      <c r="C12" s="163"/>
      <c r="D12" s="164"/>
      <c r="E12" s="163"/>
      <c r="F12" s="164"/>
      <c r="G12" s="163"/>
      <c r="H12" s="74">
        <f t="shared" si="1"/>
        <v>0</v>
      </c>
      <c r="I12" s="163"/>
      <c r="J12" s="164"/>
      <c r="K12" s="163"/>
      <c r="L12" s="164"/>
      <c r="M12" s="163"/>
      <c r="N12" s="164"/>
      <c r="O12" s="163"/>
      <c r="P12" s="20"/>
    </row>
    <row r="13">
      <c r="A13" s="163"/>
      <c r="B13" s="164"/>
      <c r="C13" s="163"/>
      <c r="D13" s="164"/>
      <c r="E13" s="163"/>
      <c r="F13" s="164"/>
      <c r="G13" s="163"/>
      <c r="H13" s="74">
        <f t="shared" si="1"/>
        <v>0</v>
      </c>
      <c r="I13" s="163"/>
      <c r="J13" s="164"/>
      <c r="K13" s="163"/>
      <c r="L13" s="164"/>
      <c r="M13" s="163"/>
      <c r="N13" s="164"/>
      <c r="O13" s="163"/>
      <c r="P13" s="20"/>
    </row>
    <row r="14">
      <c r="A14" s="163"/>
      <c r="B14" s="164"/>
      <c r="C14" s="163"/>
      <c r="D14" s="164"/>
      <c r="E14" s="163"/>
      <c r="F14" s="164"/>
      <c r="G14" s="163"/>
      <c r="H14" s="74">
        <f t="shared" si="1"/>
        <v>0</v>
      </c>
      <c r="I14" s="163"/>
      <c r="J14" s="164"/>
      <c r="K14" s="163"/>
      <c r="L14" s="164"/>
      <c r="M14" s="163"/>
      <c r="N14" s="164"/>
      <c r="O14" s="163"/>
      <c r="P14" s="20"/>
    </row>
    <row r="15">
      <c r="A15" s="163"/>
      <c r="B15" s="164"/>
      <c r="C15" s="163"/>
      <c r="D15" s="164"/>
      <c r="E15" s="163"/>
      <c r="F15" s="164"/>
      <c r="G15" s="163"/>
      <c r="H15" s="74">
        <f t="shared" si="1"/>
        <v>0</v>
      </c>
      <c r="I15" s="163"/>
      <c r="J15" s="164"/>
      <c r="K15" s="163"/>
      <c r="L15" s="164"/>
      <c r="M15" s="163"/>
      <c r="N15" s="164"/>
      <c r="O15" s="163"/>
      <c r="P15" s="20"/>
    </row>
    <row r="16">
      <c r="A16" s="163"/>
      <c r="B16" s="164"/>
      <c r="C16" s="163"/>
      <c r="D16" s="164"/>
      <c r="E16" s="163"/>
      <c r="F16" s="164"/>
      <c r="G16" s="163"/>
      <c r="H16" s="74">
        <f t="shared" si="1"/>
        <v>0</v>
      </c>
      <c r="I16" s="163"/>
      <c r="J16" s="164"/>
      <c r="K16" s="163"/>
      <c r="L16" s="164"/>
      <c r="M16" s="163"/>
      <c r="N16" s="164"/>
      <c r="O16" s="163"/>
      <c r="P16" s="20"/>
    </row>
    <row r="17">
      <c r="A17" s="163"/>
      <c r="B17" s="164"/>
      <c r="C17" s="163"/>
      <c r="D17" s="164"/>
      <c r="E17" s="163"/>
      <c r="F17" s="164"/>
      <c r="G17" s="163"/>
      <c r="H17" s="74">
        <f t="shared" si="1"/>
        <v>0</v>
      </c>
      <c r="I17" s="163"/>
      <c r="J17" s="164"/>
      <c r="K17" s="163"/>
      <c r="L17" s="164"/>
      <c r="M17" s="163"/>
      <c r="N17" s="164"/>
      <c r="O17" s="163"/>
      <c r="P17" s="20"/>
    </row>
    <row r="18">
      <c r="A18" s="163"/>
      <c r="B18" s="164"/>
      <c r="C18" s="163"/>
      <c r="D18" s="164"/>
      <c r="E18" s="163"/>
      <c r="F18" s="164"/>
      <c r="G18" s="163"/>
      <c r="H18" s="74">
        <f t="shared" si="1"/>
        <v>0</v>
      </c>
      <c r="I18" s="163"/>
      <c r="J18" s="164"/>
      <c r="K18" s="163"/>
      <c r="L18" s="164"/>
      <c r="M18" s="163"/>
      <c r="N18" s="164"/>
      <c r="O18" s="163"/>
      <c r="P18" s="20"/>
    </row>
    <row r="19">
      <c r="A19" s="163"/>
      <c r="B19" s="164"/>
      <c r="C19" s="163"/>
      <c r="D19" s="164"/>
      <c r="E19" s="163"/>
      <c r="F19" s="164"/>
      <c r="G19" s="163"/>
      <c r="H19" s="74">
        <f t="shared" si="1"/>
        <v>0</v>
      </c>
      <c r="I19" s="163"/>
      <c r="J19" s="164"/>
      <c r="K19" s="163"/>
      <c r="L19" s="164"/>
      <c r="M19" s="163"/>
      <c r="N19" s="164"/>
      <c r="O19" s="163"/>
      <c r="P19" s="20"/>
    </row>
    <row r="20">
      <c r="A20" s="163"/>
      <c r="B20" s="164"/>
      <c r="C20" s="163"/>
      <c r="D20" s="164"/>
      <c r="E20" s="163"/>
      <c r="F20" s="164"/>
      <c r="G20" s="163"/>
      <c r="H20" s="74">
        <f t="shared" si="1"/>
        <v>0</v>
      </c>
      <c r="I20" s="163"/>
      <c r="J20" s="164"/>
      <c r="K20" s="163"/>
      <c r="L20" s="164"/>
      <c r="M20" s="163"/>
      <c r="N20" s="164"/>
      <c r="O20" s="163"/>
      <c r="P20" s="20"/>
    </row>
    <row r="21">
      <c r="A21" s="163"/>
      <c r="B21" s="164"/>
      <c r="C21" s="163"/>
      <c r="D21" s="164"/>
      <c r="E21" s="163"/>
      <c r="F21" s="164"/>
      <c r="G21" s="163"/>
      <c r="H21" s="74">
        <f t="shared" si="1"/>
        <v>0</v>
      </c>
      <c r="I21" s="163"/>
      <c r="J21" s="164"/>
      <c r="K21" s="163"/>
      <c r="L21" s="164"/>
      <c r="M21" s="163"/>
      <c r="N21" s="164"/>
      <c r="O21" s="163"/>
      <c r="P21" s="20"/>
    </row>
    <row r="22">
      <c r="A22" s="163"/>
      <c r="B22" s="164"/>
      <c r="C22" s="163"/>
      <c r="D22" s="164"/>
      <c r="E22" s="163"/>
      <c r="F22" s="164"/>
      <c r="G22" s="163"/>
      <c r="H22" s="74">
        <f t="shared" si="1"/>
        <v>0</v>
      </c>
      <c r="I22" s="163"/>
      <c r="J22" s="164"/>
      <c r="K22" s="163"/>
      <c r="L22" s="164"/>
      <c r="M22" s="163"/>
      <c r="N22" s="164"/>
      <c r="O22" s="163"/>
      <c r="P22" s="20"/>
    </row>
    <row r="23">
      <c r="A23" s="163"/>
      <c r="B23" s="164"/>
      <c r="C23" s="163"/>
      <c r="D23" s="164"/>
      <c r="E23" s="163"/>
      <c r="F23" s="164"/>
      <c r="G23" s="163"/>
      <c r="H23" s="74">
        <f t="shared" si="1"/>
        <v>0</v>
      </c>
      <c r="I23" s="163"/>
      <c r="J23" s="164"/>
      <c r="K23" s="163"/>
      <c r="L23" s="164"/>
      <c r="M23" s="163"/>
      <c r="N23" s="164"/>
      <c r="O23" s="163"/>
      <c r="P23" s="20"/>
    </row>
    <row r="24">
      <c r="A24" s="163"/>
      <c r="B24" s="164"/>
      <c r="C24" s="163"/>
      <c r="D24" s="164"/>
      <c r="E24" s="163"/>
      <c r="F24" s="164"/>
      <c r="G24" s="163"/>
      <c r="H24" s="74">
        <f t="shared" si="1"/>
        <v>0</v>
      </c>
      <c r="I24" s="163"/>
      <c r="J24" s="164"/>
      <c r="K24" s="163"/>
      <c r="L24" s="164"/>
      <c r="M24" s="163"/>
      <c r="N24" s="164"/>
      <c r="O24" s="163"/>
      <c r="P24" s="20"/>
    </row>
    <row r="25">
      <c r="A25" s="163"/>
      <c r="B25" s="164"/>
      <c r="C25" s="163"/>
      <c r="D25" s="164"/>
      <c r="E25" s="163"/>
      <c r="F25" s="164"/>
      <c r="G25" s="163"/>
      <c r="H25" s="74">
        <f t="shared" si="1"/>
        <v>0</v>
      </c>
      <c r="I25" s="163"/>
      <c r="J25" s="164"/>
      <c r="K25" s="163"/>
      <c r="L25" s="164"/>
      <c r="M25" s="163"/>
      <c r="N25" s="164"/>
      <c r="O25" s="163"/>
      <c r="P25" s="20"/>
    </row>
    <row r="26">
      <c r="A26" s="163"/>
      <c r="B26" s="164"/>
      <c r="C26" s="163"/>
      <c r="D26" s="164"/>
      <c r="E26" s="163"/>
      <c r="F26" s="164"/>
      <c r="G26" s="163"/>
      <c r="H26" s="74">
        <f t="shared" si="1"/>
        <v>0</v>
      </c>
      <c r="I26" s="163"/>
      <c r="J26" s="164"/>
      <c r="K26" s="163"/>
      <c r="L26" s="164"/>
      <c r="M26" s="163"/>
      <c r="N26" s="164"/>
      <c r="O26" s="163"/>
      <c r="P26" s="20"/>
    </row>
    <row r="27">
      <c r="A27" s="163"/>
      <c r="B27" s="164"/>
      <c r="C27" s="163"/>
      <c r="D27" s="164"/>
      <c r="E27" s="163"/>
      <c r="F27" s="164"/>
      <c r="G27" s="163"/>
      <c r="H27" s="74">
        <f t="shared" si="1"/>
        <v>0</v>
      </c>
      <c r="I27" s="163"/>
      <c r="J27" s="164"/>
      <c r="K27" s="163"/>
      <c r="L27" s="164"/>
      <c r="M27" s="163"/>
      <c r="N27" s="164"/>
      <c r="O27" s="163"/>
      <c r="P27" s="20"/>
    </row>
    <row r="28">
      <c r="A28" s="163"/>
      <c r="B28" s="164"/>
      <c r="C28" s="163"/>
      <c r="D28" s="164"/>
      <c r="E28" s="163"/>
      <c r="F28" s="164"/>
      <c r="G28" s="163"/>
      <c r="H28" s="74">
        <f t="shared" si="1"/>
        <v>0</v>
      </c>
      <c r="I28" s="163"/>
      <c r="J28" s="164"/>
      <c r="K28" s="163"/>
      <c r="L28" s="164"/>
      <c r="M28" s="163"/>
      <c r="N28" s="164"/>
      <c r="O28" s="163"/>
      <c r="P28" s="20"/>
    </row>
    <row r="29">
      <c r="A29" s="163"/>
      <c r="B29" s="164"/>
      <c r="C29" s="163"/>
      <c r="D29" s="164"/>
      <c r="E29" s="163"/>
      <c r="F29" s="164"/>
      <c r="G29" s="163"/>
      <c r="H29" s="74">
        <f t="shared" si="1"/>
        <v>0</v>
      </c>
      <c r="I29" s="163"/>
      <c r="J29" s="164"/>
      <c r="K29" s="163"/>
      <c r="L29" s="164"/>
      <c r="M29" s="163"/>
      <c r="N29" s="164"/>
      <c r="O29" s="163"/>
      <c r="P29" s="20"/>
    </row>
    <row r="30">
      <c r="A30" s="163"/>
      <c r="B30" s="164"/>
      <c r="C30" s="163"/>
      <c r="D30" s="164"/>
      <c r="E30" s="163"/>
      <c r="F30" s="164"/>
      <c r="G30" s="163"/>
      <c r="H30" s="74">
        <f t="shared" si="1"/>
        <v>0</v>
      </c>
      <c r="I30" s="163"/>
      <c r="J30" s="164"/>
      <c r="K30" s="163"/>
      <c r="L30" s="164"/>
      <c r="M30" s="163"/>
      <c r="N30" s="164"/>
      <c r="O30" s="163"/>
      <c r="P30" s="20"/>
    </row>
    <row r="31">
      <c r="A31" s="163"/>
      <c r="B31" s="164"/>
      <c r="C31" s="163"/>
      <c r="D31" s="164"/>
      <c r="E31" s="163"/>
      <c r="F31" s="164"/>
      <c r="G31" s="163"/>
      <c r="H31" s="74">
        <f t="shared" si="1"/>
        <v>0</v>
      </c>
      <c r="I31" s="163"/>
      <c r="J31" s="164"/>
      <c r="K31" s="163"/>
      <c r="L31" s="164"/>
      <c r="M31" s="163"/>
      <c r="N31" s="164"/>
      <c r="O31" s="163"/>
      <c r="P31" s="20"/>
    </row>
    <row r="32">
      <c r="A32" s="163"/>
      <c r="B32" s="164"/>
      <c r="C32" s="163"/>
      <c r="D32" s="164"/>
      <c r="E32" s="163"/>
      <c r="F32" s="164"/>
      <c r="G32" s="163"/>
      <c r="H32" s="74">
        <f t="shared" si="1"/>
        <v>0</v>
      </c>
      <c r="I32" s="163"/>
      <c r="J32" s="164"/>
      <c r="K32" s="163"/>
      <c r="L32" s="164"/>
      <c r="M32" s="163"/>
      <c r="N32" s="164"/>
      <c r="O32" s="163"/>
      <c r="P32" s="20"/>
    </row>
    <row r="33">
      <c r="A33" s="163"/>
      <c r="B33" s="164"/>
      <c r="C33" s="163"/>
      <c r="D33" s="164"/>
      <c r="E33" s="163"/>
      <c r="F33" s="164"/>
      <c r="G33" s="163"/>
      <c r="H33" s="74">
        <f t="shared" si="1"/>
        <v>0</v>
      </c>
      <c r="I33" s="163"/>
      <c r="J33" s="164"/>
      <c r="K33" s="163"/>
      <c r="L33" s="164"/>
      <c r="M33" s="163"/>
      <c r="N33" s="164"/>
      <c r="O33" s="163"/>
      <c r="P33" s="20"/>
    </row>
    <row r="34">
      <c r="A34" s="163"/>
      <c r="B34" s="164"/>
      <c r="C34" s="163"/>
      <c r="D34" s="164"/>
      <c r="E34" s="163"/>
      <c r="F34" s="164"/>
      <c r="G34" s="163"/>
      <c r="H34" s="74">
        <f t="shared" si="1"/>
        <v>0</v>
      </c>
      <c r="I34" s="163"/>
      <c r="J34" s="164"/>
      <c r="K34" s="163"/>
      <c r="L34" s="164"/>
      <c r="M34" s="163"/>
      <c r="N34" s="164"/>
      <c r="O34" s="163"/>
      <c r="P34" s="20"/>
    </row>
    <row r="35">
      <c r="A35" s="163"/>
      <c r="B35" s="164"/>
      <c r="C35" s="163"/>
      <c r="D35" s="164"/>
      <c r="E35" s="163"/>
      <c r="F35" s="164"/>
      <c r="G35" s="163"/>
      <c r="H35" s="74">
        <f t="shared" si="1"/>
        <v>0</v>
      </c>
      <c r="I35" s="163"/>
      <c r="J35" s="164"/>
      <c r="K35" s="163"/>
      <c r="L35" s="164"/>
      <c r="M35" s="163"/>
      <c r="N35" s="164"/>
      <c r="O35" s="163"/>
      <c r="P35" s="20"/>
    </row>
    <row r="36">
      <c r="A36" s="163"/>
      <c r="B36" s="164"/>
      <c r="C36" s="163"/>
      <c r="D36" s="164"/>
      <c r="E36" s="163"/>
      <c r="F36" s="164"/>
      <c r="G36" s="163"/>
      <c r="H36" s="74">
        <f t="shared" si="1"/>
        <v>0</v>
      </c>
      <c r="I36" s="163"/>
      <c r="J36" s="164"/>
      <c r="K36" s="163"/>
      <c r="L36" s="164"/>
      <c r="M36" s="163"/>
      <c r="N36" s="164"/>
      <c r="O36" s="163"/>
      <c r="P36" s="20"/>
    </row>
    <row r="37">
      <c r="A37" s="163"/>
      <c r="B37" s="164"/>
      <c r="C37" s="163"/>
      <c r="D37" s="164"/>
      <c r="E37" s="163"/>
      <c r="F37" s="164"/>
      <c r="G37" s="163"/>
      <c r="H37" s="164"/>
      <c r="I37" s="163"/>
      <c r="J37" s="164"/>
      <c r="K37" s="163"/>
      <c r="L37" s="164"/>
      <c r="M37" s="163"/>
      <c r="N37" s="164"/>
      <c r="O37" s="163"/>
      <c r="P37" s="20"/>
    </row>
    <row r="38">
      <c r="B38" s="158"/>
      <c r="D38" s="158"/>
      <c r="F38" s="158"/>
      <c r="H38" s="158"/>
      <c r="J38" s="158"/>
      <c r="L38" s="158"/>
      <c r="N38" s="158"/>
      <c r="P38" s="20"/>
    </row>
    <row r="39">
      <c r="B39" s="158"/>
      <c r="D39" s="158"/>
      <c r="F39" s="158"/>
      <c r="H39" s="158"/>
      <c r="J39" s="158"/>
      <c r="L39" s="158"/>
      <c r="N39" s="158"/>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row r="997">
      <c r="B997" s="158"/>
      <c r="D997" s="158"/>
      <c r="F997" s="158"/>
      <c r="H997" s="158"/>
      <c r="J997" s="158"/>
      <c r="L997" s="158"/>
      <c r="N997" s="158"/>
      <c r="P997" s="20"/>
    </row>
    <row r="998">
      <c r="B998" s="158"/>
      <c r="D998" s="158"/>
      <c r="F998" s="158"/>
      <c r="H998" s="158"/>
      <c r="J998" s="158"/>
      <c r="L998" s="158"/>
      <c r="N998" s="158"/>
      <c r="P998" s="20"/>
    </row>
    <row r="999">
      <c r="B999" s="158"/>
      <c r="D999" s="158"/>
      <c r="F999" s="158"/>
      <c r="H999" s="158"/>
      <c r="J999" s="158"/>
      <c r="L999" s="158"/>
      <c r="N999" s="158"/>
      <c r="P999" s="20"/>
    </row>
  </sheetData>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13"/>
    <col customWidth="1" min="2" max="2" width="16.25"/>
    <col customWidth="1" min="3" max="3" width="17.88"/>
    <col customWidth="1" min="5" max="5" width="23.25"/>
    <col customWidth="1" min="6" max="6" width="25.25"/>
    <col customWidth="1" min="7" max="7" width="14.88"/>
    <col customWidth="1" min="8" max="8" width="21.5"/>
    <col customWidth="1" min="11" max="11" width="46.88"/>
    <col customWidth="1" min="13" max="13" width="37.38"/>
    <col customWidth="1" min="14" max="14" width="29.63"/>
    <col customWidth="1" min="15" max="15" width="169.0"/>
    <col customWidth="1" min="16" max="16" width="29.38"/>
  </cols>
  <sheetData>
    <row r="1">
      <c r="A1" s="297" t="s">
        <v>21</v>
      </c>
      <c r="B1" s="227" t="s">
        <v>22</v>
      </c>
      <c r="C1" s="228" t="s">
        <v>23</v>
      </c>
      <c r="D1" s="227" t="s">
        <v>24</v>
      </c>
      <c r="E1" s="228" t="s">
        <v>25</v>
      </c>
      <c r="F1" s="227" t="s">
        <v>26</v>
      </c>
      <c r="G1" s="228" t="s">
        <v>27</v>
      </c>
      <c r="H1" s="348" t="s">
        <v>28</v>
      </c>
      <c r="I1" s="298" t="s">
        <v>29</v>
      </c>
      <c r="J1" s="349" t="s">
        <v>30</v>
      </c>
      <c r="K1" s="298" t="s">
        <v>31</v>
      </c>
      <c r="L1" s="227" t="s">
        <v>30</v>
      </c>
      <c r="M1" s="228" t="s">
        <v>32</v>
      </c>
      <c r="N1" s="350" t="s">
        <v>543</v>
      </c>
      <c r="O1" s="40" t="s">
        <v>34</v>
      </c>
      <c r="P1" s="20"/>
    </row>
    <row r="2" ht="16.5" customHeight="1">
      <c r="A2" s="351" t="s">
        <v>544</v>
      </c>
      <c r="B2" s="352">
        <v>48443.0</v>
      </c>
      <c r="C2" s="265">
        <v>1.0</v>
      </c>
      <c r="D2" s="265">
        <v>1.0</v>
      </c>
      <c r="E2" s="353" t="s">
        <v>545</v>
      </c>
      <c r="F2" s="354" t="s">
        <v>546</v>
      </c>
      <c r="G2" s="355">
        <v>119.0</v>
      </c>
      <c r="H2" s="356">
        <f t="shared" ref="H2:H3" si="1">G2*D2</f>
        <v>119</v>
      </c>
      <c r="I2" s="267" t="s">
        <v>547</v>
      </c>
      <c r="J2" s="268" t="s">
        <v>39</v>
      </c>
      <c r="K2" s="267" t="s">
        <v>548</v>
      </c>
      <c r="L2" s="300" t="s">
        <v>39</v>
      </c>
      <c r="M2" s="357" t="s">
        <v>3</v>
      </c>
      <c r="N2" s="56"/>
      <c r="O2" s="358" t="s">
        <v>549</v>
      </c>
      <c r="P2" s="359" t="s">
        <v>550</v>
      </c>
      <c r="Q2" s="16"/>
      <c r="R2" s="16"/>
      <c r="S2" s="1"/>
      <c r="T2" s="1"/>
      <c r="U2" s="1"/>
      <c r="V2" s="1"/>
      <c r="W2" s="1"/>
      <c r="X2" s="1"/>
      <c r="Y2" s="1"/>
      <c r="Z2" s="1"/>
    </row>
    <row r="3">
      <c r="A3" s="16" t="s">
        <v>551</v>
      </c>
      <c r="B3" s="49">
        <v>15806.0</v>
      </c>
      <c r="C3" s="93">
        <v>1.0</v>
      </c>
      <c r="D3" s="49">
        <v>1.0</v>
      </c>
      <c r="E3" s="213" t="s">
        <v>501</v>
      </c>
      <c r="F3" s="360" t="s">
        <v>546</v>
      </c>
      <c r="G3" s="52">
        <v>119.9</v>
      </c>
      <c r="H3" s="258">
        <f t="shared" si="1"/>
        <v>119.9</v>
      </c>
      <c r="I3" s="239" t="s">
        <v>547</v>
      </c>
      <c r="J3" s="53" t="s">
        <v>39</v>
      </c>
      <c r="K3" s="190" t="s">
        <v>548</v>
      </c>
      <c r="L3" s="53" t="s">
        <v>39</v>
      </c>
      <c r="M3" s="334" t="s">
        <v>3</v>
      </c>
      <c r="N3" s="56"/>
      <c r="O3" s="318" t="s">
        <v>552</v>
      </c>
      <c r="P3" s="19"/>
      <c r="Q3" s="1"/>
      <c r="R3" s="1"/>
      <c r="S3" s="1"/>
      <c r="T3" s="1"/>
      <c r="U3" s="1"/>
      <c r="V3" s="1"/>
      <c r="W3" s="1"/>
      <c r="X3" s="1"/>
      <c r="Y3" s="1"/>
      <c r="Z3" s="1"/>
    </row>
    <row r="4">
      <c r="A4" s="16" t="s">
        <v>553</v>
      </c>
      <c r="B4" s="71" t="s">
        <v>554</v>
      </c>
      <c r="C4" s="93" t="s">
        <v>275</v>
      </c>
      <c r="D4" s="49">
        <v>1.0</v>
      </c>
      <c r="E4" s="137" t="s">
        <v>555</v>
      </c>
      <c r="F4" s="137" t="s">
        <v>66</v>
      </c>
      <c r="G4" s="52" t="s">
        <v>556</v>
      </c>
      <c r="H4" s="51"/>
      <c r="I4" s="239" t="s">
        <v>557</v>
      </c>
      <c r="J4" s="53" t="s">
        <v>39</v>
      </c>
      <c r="K4" s="190" t="s">
        <v>558</v>
      </c>
      <c r="L4" s="53" t="s">
        <v>39</v>
      </c>
      <c r="M4" s="62"/>
      <c r="N4" s="55"/>
      <c r="O4" s="318" t="s">
        <v>559</v>
      </c>
      <c r="P4" s="19"/>
      <c r="Q4" s="1"/>
      <c r="R4" s="16"/>
      <c r="S4" s="1"/>
      <c r="T4" s="1"/>
      <c r="U4" s="1"/>
      <c r="V4" s="1"/>
      <c r="W4" s="1"/>
      <c r="X4" s="1"/>
      <c r="Y4" s="1"/>
      <c r="Z4" s="1"/>
    </row>
    <row r="5">
      <c r="A5" s="16" t="s">
        <v>560</v>
      </c>
      <c r="B5" s="71" t="s">
        <v>561</v>
      </c>
      <c r="C5" s="93" t="s">
        <v>275</v>
      </c>
      <c r="D5" s="49">
        <v>1.0</v>
      </c>
      <c r="E5" s="137" t="s">
        <v>555</v>
      </c>
      <c r="F5" s="137" t="s">
        <v>66</v>
      </c>
      <c r="G5" s="52" t="s">
        <v>556</v>
      </c>
      <c r="H5" s="51"/>
      <c r="I5" s="239" t="s">
        <v>557</v>
      </c>
      <c r="J5" s="53" t="s">
        <v>39</v>
      </c>
      <c r="K5" s="190" t="s">
        <v>558</v>
      </c>
      <c r="L5" s="53" t="s">
        <v>39</v>
      </c>
      <c r="N5" s="55"/>
      <c r="O5" s="318" t="s">
        <v>562</v>
      </c>
      <c r="P5" s="19"/>
      <c r="Q5" s="1"/>
      <c r="R5" s="1"/>
      <c r="S5" s="1"/>
      <c r="T5" s="1"/>
      <c r="U5" s="1"/>
      <c r="V5" s="1"/>
      <c r="W5" s="1"/>
      <c r="X5" s="1"/>
      <c r="Y5" s="1"/>
      <c r="Z5" s="1"/>
    </row>
    <row r="6">
      <c r="A6" s="361" t="s">
        <v>563</v>
      </c>
      <c r="B6" s="362" t="s">
        <v>564</v>
      </c>
      <c r="C6" s="52" t="s">
        <v>565</v>
      </c>
      <c r="D6" s="49">
        <v>1.0</v>
      </c>
      <c r="E6" s="16" t="s">
        <v>307</v>
      </c>
      <c r="F6" s="295" t="s">
        <v>125</v>
      </c>
      <c r="G6" s="363">
        <v>84.75</v>
      </c>
      <c r="H6" s="74">
        <f t="shared" ref="H6:H37" si="2">G6*D6</f>
        <v>84.75</v>
      </c>
      <c r="I6" s="48" t="s">
        <v>566</v>
      </c>
      <c r="J6" s="53" t="s">
        <v>39</v>
      </c>
      <c r="K6" s="190" t="s">
        <v>567</v>
      </c>
      <c r="L6" s="53" t="s">
        <v>39</v>
      </c>
      <c r="M6" s="304" t="s">
        <v>568</v>
      </c>
      <c r="N6" s="55"/>
      <c r="O6" s="46" t="s">
        <v>468</v>
      </c>
      <c r="P6" s="19"/>
      <c r="Q6" s="1"/>
      <c r="R6" s="1"/>
      <c r="S6" s="1"/>
      <c r="T6" s="1"/>
      <c r="U6" s="1"/>
      <c r="V6" s="1"/>
      <c r="W6" s="1"/>
      <c r="X6" s="1"/>
      <c r="Y6" s="1"/>
      <c r="Z6" s="1"/>
    </row>
    <row r="7">
      <c r="A7" s="364" t="s">
        <v>569</v>
      </c>
      <c r="B7" s="362" t="s">
        <v>570</v>
      </c>
      <c r="C7" s="52" t="s">
        <v>565</v>
      </c>
      <c r="D7" s="49">
        <v>1.0</v>
      </c>
      <c r="E7" s="16" t="s">
        <v>307</v>
      </c>
      <c r="F7" s="295" t="s">
        <v>125</v>
      </c>
      <c r="G7" s="81">
        <v>83.25</v>
      </c>
      <c r="H7" s="365">
        <f t="shared" si="2"/>
        <v>83.25</v>
      </c>
      <c r="I7" s="48" t="s">
        <v>566</v>
      </c>
      <c r="J7" s="53" t="s">
        <v>39</v>
      </c>
      <c r="K7" s="190" t="s">
        <v>567</v>
      </c>
      <c r="L7" s="53" t="s">
        <v>39</v>
      </c>
      <c r="M7" s="304" t="s">
        <v>568</v>
      </c>
      <c r="N7" s="156"/>
      <c r="O7" s="46" t="s">
        <v>468</v>
      </c>
      <c r="P7" s="20"/>
    </row>
    <row r="8">
      <c r="A8" s="16" t="s">
        <v>571</v>
      </c>
      <c r="B8" s="71"/>
      <c r="C8" s="257"/>
      <c r="D8" s="49">
        <v>1.0</v>
      </c>
      <c r="E8" s="16" t="s">
        <v>311</v>
      </c>
      <c r="F8" s="295" t="s">
        <v>311</v>
      </c>
      <c r="G8" s="366">
        <v>40.71</v>
      </c>
      <c r="H8" s="74">
        <f t="shared" si="2"/>
        <v>40.71</v>
      </c>
      <c r="I8" s="48" t="s">
        <v>566</v>
      </c>
      <c r="J8" s="53" t="s">
        <v>39</v>
      </c>
      <c r="K8" s="190"/>
      <c r="L8" s="53"/>
      <c r="M8" s="304" t="s">
        <v>568</v>
      </c>
      <c r="N8" s="156"/>
      <c r="O8" s="46"/>
      <c r="P8" s="20"/>
    </row>
    <row r="9">
      <c r="A9" s="16" t="s">
        <v>572</v>
      </c>
      <c r="B9" s="367">
        <v>552843.0</v>
      </c>
      <c r="C9" s="48"/>
      <c r="D9" s="49">
        <v>1.0</v>
      </c>
      <c r="E9" s="16" t="s">
        <v>394</v>
      </c>
      <c r="F9" s="295" t="s">
        <v>125</v>
      </c>
      <c r="G9" s="81">
        <v>157.14</v>
      </c>
      <c r="H9" s="51">
        <f t="shared" si="2"/>
        <v>157.14</v>
      </c>
      <c r="I9" s="48" t="s">
        <v>573</v>
      </c>
      <c r="J9" s="53" t="s">
        <v>39</v>
      </c>
      <c r="K9" s="190" t="s">
        <v>567</v>
      </c>
      <c r="L9" s="53" t="s">
        <v>39</v>
      </c>
      <c r="M9" s="334" t="s">
        <v>3</v>
      </c>
      <c r="N9" s="62" t="s">
        <v>574</v>
      </c>
      <c r="O9" s="368" t="s">
        <v>575</v>
      </c>
      <c r="P9" s="19"/>
      <c r="Q9" s="1"/>
      <c r="R9" s="1"/>
      <c r="S9" s="1"/>
      <c r="T9" s="1"/>
      <c r="U9" s="1"/>
      <c r="V9" s="1"/>
      <c r="W9" s="1"/>
      <c r="X9" s="1"/>
      <c r="Y9" s="1"/>
      <c r="Z9" s="1"/>
    </row>
    <row r="10">
      <c r="A10" s="369" t="s">
        <v>576</v>
      </c>
      <c r="B10" s="370">
        <v>352058.0</v>
      </c>
      <c r="C10" s="247" t="s">
        <v>577</v>
      </c>
      <c r="D10" s="110">
        <v>1.0</v>
      </c>
      <c r="E10" s="369" t="s">
        <v>578</v>
      </c>
      <c r="F10" s="371" t="s">
        <v>66</v>
      </c>
      <c r="G10" s="372">
        <v>105.0</v>
      </c>
      <c r="H10" s="109">
        <f t="shared" si="2"/>
        <v>105</v>
      </c>
      <c r="I10" s="247" t="s">
        <v>573</v>
      </c>
      <c r="J10" s="107" t="s">
        <v>39</v>
      </c>
      <c r="K10" s="373" t="s">
        <v>579</v>
      </c>
      <c r="L10" s="107"/>
      <c r="M10" s="374" t="s">
        <v>3</v>
      </c>
      <c r="N10" s="113"/>
      <c r="O10" s="375"/>
      <c r="P10" s="253"/>
      <c r="Q10" s="114"/>
      <c r="R10" s="114"/>
      <c r="S10" s="114"/>
      <c r="T10" s="114"/>
      <c r="U10" s="114"/>
      <c r="V10" s="114"/>
      <c r="W10" s="114"/>
      <c r="X10" s="114"/>
      <c r="Y10" s="114"/>
      <c r="Z10" s="114"/>
    </row>
    <row r="11">
      <c r="A11" s="139" t="s">
        <v>580</v>
      </c>
      <c r="B11" s="83" t="s">
        <v>581</v>
      </c>
      <c r="C11" s="141" t="s">
        <v>582</v>
      </c>
      <c r="D11" s="72">
        <v>1.0</v>
      </c>
      <c r="E11" s="177" t="s">
        <v>583</v>
      </c>
      <c r="F11" s="139" t="s">
        <v>472</v>
      </c>
      <c r="G11" s="49">
        <v>81.0</v>
      </c>
      <c r="H11" s="51">
        <f t="shared" si="2"/>
        <v>81</v>
      </c>
      <c r="I11" s="48" t="s">
        <v>458</v>
      </c>
      <c r="J11" s="53" t="s">
        <v>39</v>
      </c>
      <c r="K11" s="190" t="s">
        <v>567</v>
      </c>
      <c r="L11" s="53" t="s">
        <v>39</v>
      </c>
      <c r="M11" s="334" t="s">
        <v>3</v>
      </c>
      <c r="N11" s="376" t="s">
        <v>584</v>
      </c>
      <c r="O11" s="377" t="s">
        <v>585</v>
      </c>
      <c r="P11" s="378" t="s">
        <v>586</v>
      </c>
      <c r="Q11" s="72"/>
    </row>
    <row r="12">
      <c r="A12" s="141" t="s">
        <v>587</v>
      </c>
      <c r="B12" s="116" t="s">
        <v>588</v>
      </c>
      <c r="C12" s="83" t="s">
        <v>589</v>
      </c>
      <c r="D12" s="72">
        <v>1.0</v>
      </c>
      <c r="E12" s="306" t="s">
        <v>590</v>
      </c>
      <c r="F12" s="306" t="s">
        <v>590</v>
      </c>
      <c r="G12" s="379">
        <v>694.0</v>
      </c>
      <c r="H12" s="51">
        <f t="shared" si="2"/>
        <v>694</v>
      </c>
      <c r="I12" s="208" t="s">
        <v>567</v>
      </c>
      <c r="J12" s="53" t="s">
        <v>39</v>
      </c>
      <c r="K12" s="190" t="s">
        <v>591</v>
      </c>
      <c r="L12" s="53" t="s">
        <v>39</v>
      </c>
      <c r="M12" s="334" t="s">
        <v>3</v>
      </c>
      <c r="N12" s="62" t="s">
        <v>592</v>
      </c>
      <c r="O12" s="46"/>
      <c r="P12" s="19"/>
      <c r="Q12" s="1"/>
      <c r="R12" s="1"/>
      <c r="S12" s="1"/>
      <c r="T12" s="1"/>
      <c r="U12" s="1"/>
      <c r="V12" s="1"/>
      <c r="W12" s="1"/>
      <c r="X12" s="1"/>
      <c r="Y12" s="1"/>
      <c r="Z12" s="1"/>
    </row>
    <row r="13">
      <c r="A13" s="139" t="s">
        <v>214</v>
      </c>
      <c r="B13" s="83">
        <v>23008.0</v>
      </c>
      <c r="C13" s="84" t="s">
        <v>215</v>
      </c>
      <c r="D13" s="208">
        <v>3.0</v>
      </c>
      <c r="E13" s="82" t="s">
        <v>216</v>
      </c>
      <c r="F13" s="177" t="s">
        <v>216</v>
      </c>
      <c r="G13" s="380">
        <v>54.0</v>
      </c>
      <c r="H13" s="51">
        <f t="shared" si="2"/>
        <v>162</v>
      </c>
      <c r="I13" s="48" t="s">
        <v>548</v>
      </c>
      <c r="J13" s="53" t="s">
        <v>39</v>
      </c>
      <c r="K13" s="190" t="s">
        <v>593</v>
      </c>
      <c r="L13" s="53" t="s">
        <v>39</v>
      </c>
      <c r="M13" s="334" t="s">
        <v>3</v>
      </c>
      <c r="N13" s="55"/>
      <c r="O13" s="16" t="s">
        <v>218</v>
      </c>
      <c r="P13" s="19"/>
      <c r="Q13" s="1"/>
      <c r="R13" s="1"/>
      <c r="S13" s="1"/>
      <c r="T13" s="1"/>
      <c r="U13" s="1"/>
      <c r="V13" s="1"/>
      <c r="W13" s="1"/>
      <c r="X13" s="1"/>
      <c r="Y13" s="1"/>
      <c r="Z13" s="1"/>
    </row>
    <row r="14">
      <c r="A14" s="381" t="s">
        <v>594</v>
      </c>
      <c r="B14" s="98"/>
      <c r="C14" s="52"/>
      <c r="D14" s="49">
        <v>1.0</v>
      </c>
      <c r="E14" s="16" t="s">
        <v>595</v>
      </c>
      <c r="F14" s="17" t="s">
        <v>595</v>
      </c>
      <c r="G14" s="52">
        <v>24.0</v>
      </c>
      <c r="H14" s="51">
        <f t="shared" si="2"/>
        <v>24</v>
      </c>
      <c r="I14" s="48" t="s">
        <v>548</v>
      </c>
      <c r="J14" s="53" t="s">
        <v>39</v>
      </c>
      <c r="K14" s="81" t="s">
        <v>596</v>
      </c>
      <c r="L14" s="53" t="s">
        <v>39</v>
      </c>
      <c r="M14" s="334" t="s">
        <v>3</v>
      </c>
      <c r="N14" s="55"/>
      <c r="O14" s="46"/>
      <c r="P14" s="19"/>
      <c r="Q14" s="1"/>
      <c r="R14" s="1"/>
      <c r="S14" s="1"/>
      <c r="T14" s="1"/>
      <c r="U14" s="1"/>
      <c r="V14" s="1"/>
      <c r="W14" s="1"/>
      <c r="X14" s="1"/>
      <c r="Y14" s="1"/>
      <c r="Z14" s="1"/>
    </row>
    <row r="15">
      <c r="A15" s="294" t="s">
        <v>597</v>
      </c>
      <c r="B15" s="382" t="s">
        <v>598</v>
      </c>
      <c r="C15" s="49" t="s">
        <v>599</v>
      </c>
      <c r="D15" s="49">
        <v>1.0</v>
      </c>
      <c r="E15" s="137" t="s">
        <v>600</v>
      </c>
      <c r="F15" s="295" t="s">
        <v>125</v>
      </c>
      <c r="G15" s="52">
        <v>312.55</v>
      </c>
      <c r="H15" s="51">
        <f t="shared" si="2"/>
        <v>312.55</v>
      </c>
      <c r="I15" s="48" t="s">
        <v>558</v>
      </c>
      <c r="J15" s="53" t="s">
        <v>39</v>
      </c>
      <c r="K15" s="52" t="s">
        <v>601</v>
      </c>
      <c r="L15" s="53" t="s">
        <v>39</v>
      </c>
      <c r="M15" s="334" t="s">
        <v>3</v>
      </c>
      <c r="N15" s="62" t="s">
        <v>422</v>
      </c>
      <c r="O15" s="56"/>
      <c r="P15" s="19"/>
      <c r="Q15" s="1"/>
      <c r="R15" s="1"/>
      <c r="S15" s="1"/>
      <c r="T15" s="1"/>
      <c r="U15" s="1"/>
      <c r="V15" s="1"/>
      <c r="W15" s="1"/>
      <c r="X15" s="1"/>
      <c r="Y15" s="1"/>
      <c r="Z15" s="1"/>
    </row>
    <row r="16">
      <c r="A16" s="294" t="s">
        <v>602</v>
      </c>
      <c r="B16" s="53" t="s">
        <v>603</v>
      </c>
      <c r="C16" s="52" t="s">
        <v>604</v>
      </c>
      <c r="D16" s="53">
        <v>1.0</v>
      </c>
      <c r="E16" s="46" t="s">
        <v>605</v>
      </c>
      <c r="F16" s="295" t="s">
        <v>125</v>
      </c>
      <c r="G16" s="52">
        <v>277.0</v>
      </c>
      <c r="H16" s="58">
        <f t="shared" si="2"/>
        <v>277</v>
      </c>
      <c r="I16" s="52" t="s">
        <v>606</v>
      </c>
      <c r="J16" s="53" t="s">
        <v>39</v>
      </c>
      <c r="K16" s="52" t="s">
        <v>591</v>
      </c>
      <c r="L16" s="53" t="s">
        <v>39</v>
      </c>
      <c r="M16" s="334" t="s">
        <v>3</v>
      </c>
      <c r="N16" s="62" t="s">
        <v>607</v>
      </c>
      <c r="O16" s="46"/>
      <c r="P16" s="342"/>
      <c r="Q16" s="383"/>
      <c r="R16" s="383"/>
      <c r="S16" s="383"/>
      <c r="T16" s="383"/>
      <c r="U16" s="383"/>
      <c r="V16" s="383"/>
      <c r="W16" s="383"/>
      <c r="X16" s="383"/>
      <c r="Y16" s="383"/>
      <c r="Z16" s="383"/>
    </row>
    <row r="17">
      <c r="A17" s="294" t="s">
        <v>608</v>
      </c>
      <c r="B17" s="384">
        <v>2262254.0</v>
      </c>
      <c r="C17" s="218" t="s">
        <v>609</v>
      </c>
      <c r="D17" s="49">
        <v>1.0</v>
      </c>
      <c r="E17" s="16" t="s">
        <v>600</v>
      </c>
      <c r="F17" s="295" t="s">
        <v>125</v>
      </c>
      <c r="G17" s="52">
        <v>89.08</v>
      </c>
      <c r="H17" s="51">
        <f t="shared" si="2"/>
        <v>89.08</v>
      </c>
      <c r="I17" s="48" t="s">
        <v>558</v>
      </c>
      <c r="J17" s="53" t="s">
        <v>39</v>
      </c>
      <c r="K17" s="52" t="s">
        <v>591</v>
      </c>
      <c r="L17" s="53" t="s">
        <v>39</v>
      </c>
      <c r="M17" s="334" t="s">
        <v>3</v>
      </c>
      <c r="N17" s="62" t="s">
        <v>610</v>
      </c>
      <c r="O17" s="46"/>
      <c r="P17" s="19"/>
      <c r="Q17" s="1"/>
      <c r="R17" s="1"/>
      <c r="S17" s="1"/>
      <c r="T17" s="1"/>
      <c r="U17" s="1"/>
      <c r="V17" s="1"/>
      <c r="W17" s="1"/>
      <c r="X17" s="1"/>
      <c r="Y17" s="1"/>
      <c r="Z17" s="1"/>
    </row>
    <row r="18">
      <c r="A18" s="294" t="s">
        <v>611</v>
      </c>
      <c r="B18" s="49" t="s">
        <v>612</v>
      </c>
      <c r="C18" s="208" t="s">
        <v>435</v>
      </c>
      <c r="D18" s="49">
        <v>1.0</v>
      </c>
      <c r="E18" s="129" t="s">
        <v>436</v>
      </c>
      <c r="F18" s="385" t="s">
        <v>613</v>
      </c>
      <c r="G18" s="52">
        <v>168.0</v>
      </c>
      <c r="H18" s="51">
        <f t="shared" si="2"/>
        <v>168</v>
      </c>
      <c r="I18" s="52" t="s">
        <v>606</v>
      </c>
      <c r="J18" s="53" t="s">
        <v>39</v>
      </c>
      <c r="K18" s="52" t="s">
        <v>591</v>
      </c>
      <c r="L18" s="53" t="s">
        <v>39</v>
      </c>
      <c r="M18" s="334" t="s">
        <v>3</v>
      </c>
      <c r="N18" s="62" t="s">
        <v>607</v>
      </c>
      <c r="O18" s="56"/>
      <c r="P18" s="19"/>
      <c r="Q18" s="1"/>
      <c r="R18" s="1"/>
      <c r="S18" s="1"/>
      <c r="T18" s="1"/>
      <c r="U18" s="1"/>
      <c r="V18" s="1"/>
      <c r="W18" s="1"/>
      <c r="X18" s="1"/>
      <c r="Y18" s="1"/>
      <c r="Z18" s="1"/>
    </row>
    <row r="19">
      <c r="A19" s="141" t="s">
        <v>614</v>
      </c>
      <c r="B19" s="241">
        <v>1708891.0</v>
      </c>
      <c r="C19" s="79" t="s">
        <v>615</v>
      </c>
      <c r="D19" s="72">
        <v>1.0</v>
      </c>
      <c r="E19" s="386" t="s">
        <v>605</v>
      </c>
      <c r="F19" s="206" t="s">
        <v>125</v>
      </c>
      <c r="G19" s="48">
        <v>316.8</v>
      </c>
      <c r="H19" s="51">
        <f t="shared" si="2"/>
        <v>316.8</v>
      </c>
      <c r="I19" s="52" t="s">
        <v>606</v>
      </c>
      <c r="J19" s="53" t="s">
        <v>39</v>
      </c>
      <c r="K19" s="52" t="s">
        <v>591</v>
      </c>
      <c r="L19" s="53" t="s">
        <v>39</v>
      </c>
      <c r="M19" s="334" t="s">
        <v>3</v>
      </c>
      <c r="N19" s="62" t="s">
        <v>616</v>
      </c>
      <c r="O19" s="46" t="s">
        <v>617</v>
      </c>
      <c r="P19" s="19"/>
      <c r="Q19" s="1"/>
      <c r="R19" s="1"/>
      <c r="S19" s="1"/>
      <c r="T19" s="1"/>
      <c r="U19" s="1"/>
      <c r="V19" s="1"/>
      <c r="W19" s="1"/>
      <c r="X19" s="1"/>
      <c r="Y19" s="1"/>
      <c r="Z19" s="1"/>
    </row>
    <row r="20">
      <c r="A20" s="387" t="s">
        <v>618</v>
      </c>
      <c r="B20" s="60" t="s">
        <v>619</v>
      </c>
      <c r="C20" s="380" t="s">
        <v>620</v>
      </c>
      <c r="D20" s="72">
        <v>1.0</v>
      </c>
      <c r="E20" s="82" t="s">
        <v>621</v>
      </c>
      <c r="F20" s="177" t="s">
        <v>613</v>
      </c>
      <c r="G20" s="380">
        <v>52.0</v>
      </c>
      <c r="H20" s="51">
        <f t="shared" si="2"/>
        <v>52</v>
      </c>
      <c r="I20" s="52" t="s">
        <v>606</v>
      </c>
      <c r="J20" s="53" t="s">
        <v>39</v>
      </c>
      <c r="K20" s="52" t="s">
        <v>591</v>
      </c>
      <c r="L20" s="53" t="s">
        <v>39</v>
      </c>
      <c r="M20" s="334" t="s">
        <v>3</v>
      </c>
      <c r="N20" s="62" t="s">
        <v>607</v>
      </c>
      <c r="O20" s="46"/>
      <c r="P20" s="19"/>
      <c r="Q20" s="1"/>
      <c r="R20" s="1"/>
      <c r="S20" s="1"/>
      <c r="T20" s="1"/>
      <c r="U20" s="1"/>
      <c r="V20" s="1"/>
      <c r="W20" s="1"/>
      <c r="X20" s="1"/>
      <c r="Y20" s="1"/>
      <c r="Z20" s="1"/>
    </row>
    <row r="21">
      <c r="A21" s="129" t="s">
        <v>622</v>
      </c>
      <c r="B21" s="49">
        <v>735361.0</v>
      </c>
      <c r="C21" s="72">
        <v>1.0</v>
      </c>
      <c r="D21" s="49">
        <v>1.0</v>
      </c>
      <c r="E21" s="129" t="s">
        <v>101</v>
      </c>
      <c r="F21" s="96" t="s">
        <v>125</v>
      </c>
      <c r="G21" s="48">
        <v>900.0</v>
      </c>
      <c r="H21" s="74">
        <f t="shared" si="2"/>
        <v>900</v>
      </c>
      <c r="I21" s="48" t="s">
        <v>558</v>
      </c>
      <c r="J21" s="53" t="s">
        <v>39</v>
      </c>
      <c r="K21" s="52" t="s">
        <v>623</v>
      </c>
      <c r="L21" s="53" t="s">
        <v>39</v>
      </c>
      <c r="M21" s="131" t="s">
        <v>41</v>
      </c>
      <c r="N21" s="55"/>
      <c r="O21" s="46" t="s">
        <v>624</v>
      </c>
      <c r="P21" s="19"/>
      <c r="Q21" s="1"/>
      <c r="R21" s="1"/>
      <c r="S21" s="1"/>
      <c r="T21" s="1"/>
      <c r="U21" s="1"/>
      <c r="V21" s="1"/>
      <c r="W21" s="1"/>
      <c r="X21" s="1"/>
      <c r="Y21" s="1"/>
      <c r="Z21" s="1"/>
    </row>
    <row r="22">
      <c r="A22" s="213" t="s">
        <v>625</v>
      </c>
      <c r="B22" s="66">
        <v>730981.0</v>
      </c>
      <c r="C22" s="200">
        <v>1.0</v>
      </c>
      <c r="D22" s="216">
        <v>1.0</v>
      </c>
      <c r="E22" s="129" t="s">
        <v>101</v>
      </c>
      <c r="F22" s="96" t="s">
        <v>125</v>
      </c>
      <c r="G22" s="53">
        <v>150.0</v>
      </c>
      <c r="H22" s="74">
        <f t="shared" si="2"/>
        <v>150</v>
      </c>
      <c r="I22" s="48" t="s">
        <v>558</v>
      </c>
      <c r="J22" s="53" t="s">
        <v>39</v>
      </c>
      <c r="K22" s="52" t="s">
        <v>623</v>
      </c>
      <c r="L22" s="53" t="s">
        <v>39</v>
      </c>
      <c r="M22" s="131" t="s">
        <v>41</v>
      </c>
      <c r="N22" s="62"/>
      <c r="O22" s="388" t="s">
        <v>626</v>
      </c>
      <c r="P22" s="20"/>
    </row>
    <row r="23">
      <c r="A23" s="16" t="s">
        <v>541</v>
      </c>
      <c r="B23" s="49">
        <v>4893.0</v>
      </c>
      <c r="C23" s="48">
        <v>1.0</v>
      </c>
      <c r="D23" s="49">
        <v>1.0</v>
      </c>
      <c r="E23" s="183" t="s">
        <v>546</v>
      </c>
      <c r="F23" s="183" t="s">
        <v>546</v>
      </c>
      <c r="G23" s="53">
        <v>14.99</v>
      </c>
      <c r="H23" s="74">
        <f t="shared" si="2"/>
        <v>14.99</v>
      </c>
      <c r="I23" s="49" t="s">
        <v>627</v>
      </c>
      <c r="J23" s="53" t="s">
        <v>39</v>
      </c>
      <c r="K23" s="52" t="s">
        <v>591</v>
      </c>
      <c r="L23" s="53" t="s">
        <v>39</v>
      </c>
      <c r="M23" s="46" t="s">
        <v>628</v>
      </c>
      <c r="N23" s="55"/>
      <c r="O23" s="88" t="s">
        <v>629</v>
      </c>
      <c r="P23" s="19"/>
      <c r="Q23" s="1"/>
      <c r="R23" s="1"/>
      <c r="S23" s="1"/>
      <c r="T23" s="1"/>
      <c r="U23" s="1"/>
      <c r="V23" s="1"/>
      <c r="W23" s="1"/>
      <c r="X23" s="1"/>
      <c r="Y23" s="1"/>
      <c r="Z23" s="1"/>
    </row>
    <row r="24">
      <c r="A24" s="16" t="s">
        <v>542</v>
      </c>
      <c r="B24" s="49">
        <v>32022.0</v>
      </c>
      <c r="C24" s="48">
        <v>1.0</v>
      </c>
      <c r="D24" s="49">
        <v>2.0</v>
      </c>
      <c r="E24" s="183" t="s">
        <v>546</v>
      </c>
      <c r="F24" s="183" t="s">
        <v>546</v>
      </c>
      <c r="G24" s="48">
        <v>14.99</v>
      </c>
      <c r="H24" s="74">
        <f t="shared" si="2"/>
        <v>29.98</v>
      </c>
      <c r="I24" s="49" t="s">
        <v>627</v>
      </c>
      <c r="J24" s="53" t="s">
        <v>39</v>
      </c>
      <c r="K24" s="52" t="s">
        <v>591</v>
      </c>
      <c r="L24" s="53" t="s">
        <v>39</v>
      </c>
      <c r="M24" s="46" t="s">
        <v>628</v>
      </c>
      <c r="N24" s="100"/>
      <c r="O24" s="62"/>
      <c r="P24" s="1"/>
      <c r="Q24" s="1"/>
      <c r="R24" s="1"/>
      <c r="S24" s="1"/>
      <c r="T24" s="1"/>
      <c r="U24" s="1"/>
      <c r="V24" s="1"/>
      <c r="W24" s="1"/>
      <c r="X24" s="1"/>
      <c r="Y24" s="1"/>
      <c r="Z24" s="1"/>
    </row>
    <row r="25">
      <c r="A25" s="294" t="s">
        <v>630</v>
      </c>
      <c r="B25" s="276" t="s">
        <v>631</v>
      </c>
      <c r="C25" s="52" t="s">
        <v>118</v>
      </c>
      <c r="D25" s="53">
        <v>1.0</v>
      </c>
      <c r="E25" s="389" t="s">
        <v>101</v>
      </c>
      <c r="F25" s="96" t="s">
        <v>125</v>
      </c>
      <c r="G25" s="390">
        <v>80.85</v>
      </c>
      <c r="H25" s="391">
        <f t="shared" si="2"/>
        <v>80.85</v>
      </c>
      <c r="I25" s="53" t="s">
        <v>632</v>
      </c>
      <c r="J25" s="53" t="s">
        <v>39</v>
      </c>
      <c r="K25" s="390" t="s">
        <v>633</v>
      </c>
      <c r="L25" s="53" t="s">
        <v>39</v>
      </c>
      <c r="M25" s="131" t="s">
        <v>41</v>
      </c>
      <c r="N25" s="254"/>
      <c r="O25" s="55"/>
      <c r="P25" s="392"/>
      <c r="Q25" s="392"/>
      <c r="R25" s="392"/>
      <c r="S25" s="392"/>
      <c r="T25" s="392"/>
      <c r="U25" s="392"/>
      <c r="V25" s="392"/>
      <c r="W25" s="392"/>
      <c r="X25" s="392"/>
      <c r="Y25" s="392"/>
      <c r="Z25" s="392"/>
    </row>
    <row r="26">
      <c r="A26" s="137" t="s">
        <v>634</v>
      </c>
      <c r="B26" s="393">
        <v>4333.0</v>
      </c>
      <c r="C26" s="49">
        <v>1.0</v>
      </c>
      <c r="D26" s="53">
        <v>1.0</v>
      </c>
      <c r="E26" s="183" t="s">
        <v>546</v>
      </c>
      <c r="F26" s="183" t="s">
        <v>546</v>
      </c>
      <c r="G26" s="48">
        <v>798.9</v>
      </c>
      <c r="H26" s="51">
        <f t="shared" si="2"/>
        <v>798.9</v>
      </c>
      <c r="I26" s="48" t="s">
        <v>635</v>
      </c>
      <c r="J26" s="49" t="s">
        <v>636</v>
      </c>
      <c r="K26" s="48" t="s">
        <v>635</v>
      </c>
      <c r="L26" s="49" t="s">
        <v>636</v>
      </c>
      <c r="M26" s="137" t="s">
        <v>637</v>
      </c>
      <c r="N26" s="169"/>
      <c r="O26" s="181"/>
      <c r="P26" s="19"/>
      <c r="Q26" s="1"/>
      <c r="R26" s="1"/>
      <c r="S26" s="1"/>
      <c r="T26" s="1"/>
      <c r="U26" s="1"/>
      <c r="V26" s="1"/>
      <c r="W26" s="1"/>
      <c r="X26" s="1"/>
      <c r="Y26" s="1"/>
      <c r="Z26" s="1"/>
    </row>
    <row r="27">
      <c r="A27" s="137" t="s">
        <v>638</v>
      </c>
      <c r="B27" s="169"/>
      <c r="C27" s="49"/>
      <c r="D27" s="53">
        <v>1.0</v>
      </c>
      <c r="E27" s="183" t="s">
        <v>546</v>
      </c>
      <c r="F27" s="183" t="s">
        <v>546</v>
      </c>
      <c r="G27" s="48">
        <v>55.3</v>
      </c>
      <c r="H27" s="51">
        <f t="shared" si="2"/>
        <v>55.3</v>
      </c>
      <c r="I27" s="48" t="s">
        <v>635</v>
      </c>
      <c r="J27" s="49" t="s">
        <v>636</v>
      </c>
      <c r="K27" s="48" t="s">
        <v>635</v>
      </c>
      <c r="L27" s="49" t="s">
        <v>636</v>
      </c>
      <c r="M27" s="334" t="s">
        <v>3</v>
      </c>
      <c r="N27" s="169"/>
      <c r="O27" s="181"/>
      <c r="P27" s="19"/>
      <c r="Q27" s="1"/>
      <c r="R27" s="1"/>
      <c r="S27" s="1"/>
      <c r="T27" s="1"/>
      <c r="U27" s="1"/>
      <c r="V27" s="1"/>
      <c r="W27" s="1"/>
      <c r="X27" s="1"/>
      <c r="Y27" s="1"/>
      <c r="Z27" s="1"/>
    </row>
    <row r="28">
      <c r="A28" s="163"/>
      <c r="B28" s="164"/>
      <c r="C28" s="163"/>
      <c r="D28" s="164"/>
      <c r="E28" s="163"/>
      <c r="F28" s="164"/>
      <c r="G28" s="163"/>
      <c r="H28" s="74">
        <f t="shared" si="2"/>
        <v>0</v>
      </c>
      <c r="I28" s="163"/>
      <c r="J28" s="164"/>
      <c r="K28" s="163"/>
      <c r="L28" s="164"/>
      <c r="M28" s="163"/>
      <c r="N28" s="164"/>
      <c r="O28" s="163"/>
      <c r="P28" s="20"/>
    </row>
    <row r="29">
      <c r="A29" s="163"/>
      <c r="B29" s="164"/>
      <c r="C29" s="163"/>
      <c r="D29" s="164"/>
      <c r="E29" s="163"/>
      <c r="F29" s="164"/>
      <c r="G29" s="163"/>
      <c r="H29" s="74">
        <f t="shared" si="2"/>
        <v>0</v>
      </c>
      <c r="I29" s="163"/>
      <c r="J29" s="164"/>
      <c r="K29" s="163"/>
      <c r="L29" s="164"/>
      <c r="M29" s="163"/>
      <c r="N29" s="164"/>
      <c r="O29" s="163"/>
      <c r="P29" s="20"/>
    </row>
    <row r="30">
      <c r="A30" s="163"/>
      <c r="B30" s="164"/>
      <c r="C30" s="163"/>
      <c r="D30" s="164"/>
      <c r="E30" s="163"/>
      <c r="F30" s="164"/>
      <c r="G30" s="163"/>
      <c r="H30" s="74">
        <f t="shared" si="2"/>
        <v>0</v>
      </c>
      <c r="I30" s="163"/>
      <c r="J30" s="164"/>
      <c r="K30" s="163"/>
      <c r="L30" s="164"/>
      <c r="M30" s="163"/>
      <c r="N30" s="164"/>
      <c r="O30" s="163"/>
      <c r="P30" s="20"/>
    </row>
    <row r="31">
      <c r="A31" s="163"/>
      <c r="B31" s="164"/>
      <c r="C31" s="163"/>
      <c r="D31" s="164"/>
      <c r="E31" s="163"/>
      <c r="F31" s="164"/>
      <c r="G31" s="163"/>
      <c r="H31" s="74">
        <f t="shared" si="2"/>
        <v>0</v>
      </c>
      <c r="I31" s="163"/>
      <c r="J31" s="164"/>
      <c r="K31" s="163"/>
      <c r="L31" s="164"/>
      <c r="M31" s="163"/>
      <c r="N31" s="164"/>
      <c r="O31" s="163"/>
      <c r="P31" s="20"/>
    </row>
    <row r="32">
      <c r="A32" s="163"/>
      <c r="B32" s="164"/>
      <c r="C32" s="163"/>
      <c r="D32" s="164"/>
      <c r="E32" s="163"/>
      <c r="F32" s="164"/>
      <c r="G32" s="163"/>
      <c r="H32" s="74">
        <f t="shared" si="2"/>
        <v>0</v>
      </c>
      <c r="I32" s="163"/>
      <c r="J32" s="164"/>
      <c r="K32" s="163"/>
      <c r="L32" s="164"/>
      <c r="M32" s="163"/>
      <c r="N32" s="164"/>
      <c r="O32" s="163"/>
      <c r="P32" s="20"/>
    </row>
    <row r="33">
      <c r="A33" s="163"/>
      <c r="B33" s="164"/>
      <c r="C33" s="163"/>
      <c r="D33" s="164"/>
      <c r="E33" s="163"/>
      <c r="F33" s="164"/>
      <c r="G33" s="163"/>
      <c r="H33" s="74">
        <f t="shared" si="2"/>
        <v>0</v>
      </c>
      <c r="I33" s="163"/>
      <c r="J33" s="164"/>
      <c r="K33" s="163"/>
      <c r="L33" s="164"/>
      <c r="M33" s="163"/>
      <c r="N33" s="164"/>
      <c r="O33" s="163"/>
      <c r="P33" s="20"/>
    </row>
    <row r="34">
      <c r="A34" s="163"/>
      <c r="B34" s="164"/>
      <c r="C34" s="163"/>
      <c r="D34" s="164"/>
      <c r="E34" s="163"/>
      <c r="F34" s="164"/>
      <c r="G34" s="163"/>
      <c r="H34" s="74">
        <f t="shared" si="2"/>
        <v>0</v>
      </c>
      <c r="I34" s="163"/>
      <c r="J34" s="164"/>
      <c r="K34" s="163"/>
      <c r="L34" s="164"/>
      <c r="M34" s="163"/>
      <c r="N34" s="164"/>
      <c r="O34" s="163"/>
      <c r="P34" s="20"/>
    </row>
    <row r="35">
      <c r="A35" s="163"/>
      <c r="B35" s="164"/>
      <c r="C35" s="163"/>
      <c r="D35" s="164"/>
      <c r="E35" s="163"/>
      <c r="F35" s="164"/>
      <c r="G35" s="163"/>
      <c r="H35" s="74">
        <f t="shared" si="2"/>
        <v>0</v>
      </c>
      <c r="I35" s="163"/>
      <c r="J35" s="164"/>
      <c r="K35" s="163"/>
      <c r="L35" s="164"/>
      <c r="M35" s="163"/>
      <c r="N35" s="164"/>
      <c r="O35" s="163"/>
      <c r="P35" s="20"/>
    </row>
    <row r="36">
      <c r="A36" s="163"/>
      <c r="B36" s="164"/>
      <c r="C36" s="163"/>
      <c r="D36" s="164"/>
      <c r="E36" s="163"/>
      <c r="F36" s="164"/>
      <c r="G36" s="163"/>
      <c r="H36" s="74">
        <f t="shared" si="2"/>
        <v>0</v>
      </c>
      <c r="I36" s="163"/>
      <c r="J36" s="164"/>
      <c r="K36" s="163"/>
      <c r="L36" s="164"/>
      <c r="M36" s="163"/>
      <c r="N36" s="164"/>
      <c r="O36" s="163"/>
      <c r="P36" s="20"/>
    </row>
    <row r="37">
      <c r="A37" s="163"/>
      <c r="B37" s="164"/>
      <c r="C37" s="163"/>
      <c r="D37" s="164"/>
      <c r="E37" s="163"/>
      <c r="F37" s="164"/>
      <c r="G37" s="163"/>
      <c r="H37" s="74">
        <f t="shared" si="2"/>
        <v>0</v>
      </c>
      <c r="J37" s="164"/>
      <c r="K37" s="163"/>
      <c r="L37" s="164"/>
      <c r="M37" s="163"/>
      <c r="N37" s="164"/>
      <c r="O37" s="163"/>
      <c r="P37" s="20"/>
    </row>
    <row r="38">
      <c r="A38" s="163"/>
      <c r="B38" s="164"/>
      <c r="C38" s="163"/>
      <c r="D38" s="164"/>
      <c r="E38" s="163"/>
      <c r="F38" s="164"/>
      <c r="G38" s="163"/>
      <c r="H38" s="164"/>
      <c r="I38" s="163"/>
      <c r="J38" s="164"/>
      <c r="K38" s="163"/>
      <c r="L38" s="164"/>
      <c r="M38" s="163"/>
      <c r="N38" s="164"/>
      <c r="O38" s="163"/>
      <c r="P38" s="20"/>
    </row>
    <row r="39">
      <c r="B39" s="158"/>
      <c r="D39" s="158"/>
      <c r="F39" s="158"/>
      <c r="H39" s="158"/>
      <c r="J39" s="158"/>
      <c r="L39" s="158"/>
      <c r="N39" s="158"/>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row r="997">
      <c r="B997" s="158"/>
      <c r="D997" s="158"/>
      <c r="F997" s="158"/>
      <c r="H997" s="158"/>
      <c r="J997" s="158"/>
      <c r="L997" s="158"/>
      <c r="N997" s="158"/>
      <c r="P997" s="20"/>
    </row>
    <row r="998">
      <c r="B998" s="158"/>
      <c r="D998" s="158"/>
      <c r="F998" s="158"/>
      <c r="H998" s="158"/>
      <c r="J998" s="158"/>
      <c r="L998" s="158"/>
      <c r="N998" s="158"/>
      <c r="P998" s="20"/>
    </row>
    <row r="999">
      <c r="B999" s="158"/>
      <c r="D999" s="158"/>
      <c r="F999" s="158"/>
      <c r="H999" s="158"/>
      <c r="J999" s="158"/>
      <c r="L999" s="158"/>
      <c r="N999" s="158"/>
      <c r="P999" s="20"/>
    </row>
    <row r="1000">
      <c r="B1000" s="158"/>
      <c r="D1000" s="158"/>
      <c r="F1000" s="158"/>
      <c r="H1000" s="158"/>
      <c r="J1000" s="158"/>
      <c r="L1000" s="158"/>
      <c r="N1000" s="158"/>
      <c r="P1000" s="20"/>
    </row>
  </sheetData>
  <hyperlinks>
    <hyperlink r:id="rId1" ref="F2"/>
    <hyperlink r:id="rId2" ref="O2"/>
    <hyperlink r:id="rId3" ref="F3"/>
    <hyperlink r:id="rId4" ref="O3"/>
    <hyperlink r:id="rId5" ref="O4"/>
    <hyperlink r:id="rId6" ref="O5"/>
    <hyperlink r:id="rId7" ref="B6"/>
    <hyperlink r:id="rId8" ref="B7"/>
    <hyperlink r:id="rId9" ref="O9"/>
    <hyperlink r:id="rId10" ref="O11"/>
    <hyperlink r:id="rId11" ref="G12"/>
    <hyperlink r:id="rId12" ref="E23"/>
    <hyperlink r:id="rId13" ref="F23"/>
    <hyperlink r:id="rId14" ref="E24"/>
    <hyperlink r:id="rId15" ref="F24"/>
    <hyperlink r:id="rId16" ref="B26"/>
    <hyperlink r:id="rId17" ref="E26"/>
    <hyperlink r:id="rId18" ref="F26"/>
    <hyperlink r:id="rId19" ref="E27"/>
    <hyperlink r:id="rId20" ref="F27"/>
  </hyperlinks>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63"/>
    <col customWidth="1" min="2" max="2" width="20.88"/>
    <col customWidth="1" min="5" max="5" width="36.13"/>
    <col customWidth="1" min="6" max="6" width="25.25"/>
    <col customWidth="1" min="7" max="7" width="21.38"/>
    <col customWidth="1" min="8" max="8" width="29.0"/>
    <col customWidth="1" min="9" max="9" width="16.63"/>
    <col customWidth="1" min="13" max="13" width="71.13"/>
    <col customWidth="1" min="14" max="14" width="26.0"/>
    <col customWidth="1" min="15" max="15" width="25.75"/>
    <col customWidth="1" min="16" max="16" width="25.5"/>
  </cols>
  <sheetData>
    <row r="1">
      <c r="A1" s="297" t="s">
        <v>21</v>
      </c>
      <c r="B1" s="227" t="s">
        <v>22</v>
      </c>
      <c r="C1" s="228" t="s">
        <v>23</v>
      </c>
      <c r="D1" s="227" t="s">
        <v>24</v>
      </c>
      <c r="E1" s="228" t="s">
        <v>25</v>
      </c>
      <c r="F1" s="227" t="s">
        <v>26</v>
      </c>
      <c r="G1" s="228" t="s">
        <v>27</v>
      </c>
      <c r="H1" s="394" t="s">
        <v>28</v>
      </c>
      <c r="I1" s="42" t="s">
        <v>29</v>
      </c>
      <c r="J1" s="43" t="s">
        <v>30</v>
      </c>
      <c r="K1" s="42" t="s">
        <v>31</v>
      </c>
      <c r="L1" s="39" t="s">
        <v>30</v>
      </c>
      <c r="M1" s="40" t="s">
        <v>32</v>
      </c>
      <c r="N1" s="39" t="s">
        <v>33</v>
      </c>
      <c r="O1" s="40" t="s">
        <v>34</v>
      </c>
      <c r="P1" s="20"/>
    </row>
    <row r="2">
      <c r="A2" s="395" t="s">
        <v>639</v>
      </c>
      <c r="B2" s="396"/>
      <c r="C2" s="397"/>
      <c r="D2" s="398">
        <v>1.0</v>
      </c>
      <c r="E2" s="399"/>
      <c r="F2" s="400"/>
      <c r="G2" s="355">
        <v>148.0</v>
      </c>
      <c r="H2" s="74">
        <f t="shared" ref="H2:H37" si="1">G2*D2</f>
        <v>148</v>
      </c>
      <c r="I2" s="48" t="s">
        <v>640</v>
      </c>
      <c r="J2" s="49" t="s">
        <v>504</v>
      </c>
      <c r="K2" s="52" t="s">
        <v>641</v>
      </c>
      <c r="L2" s="53" t="s">
        <v>39</v>
      </c>
      <c r="M2" s="334" t="s">
        <v>3</v>
      </c>
      <c r="N2" s="164"/>
      <c r="O2" s="400"/>
      <c r="P2" s="20"/>
    </row>
    <row r="3">
      <c r="A3" s="129" t="s">
        <v>297</v>
      </c>
      <c r="B3" s="51"/>
      <c r="C3" s="241"/>
      <c r="D3" s="83">
        <v>1.0</v>
      </c>
      <c r="E3" s="170"/>
      <c r="F3" s="169"/>
      <c r="G3" s="48">
        <v>100.0</v>
      </c>
      <c r="H3" s="74">
        <f t="shared" si="1"/>
        <v>100</v>
      </c>
      <c r="I3" s="48" t="s">
        <v>642</v>
      </c>
      <c r="J3" s="49" t="s">
        <v>39</v>
      </c>
      <c r="K3" s="48" t="s">
        <v>642</v>
      </c>
      <c r="L3" s="49" t="s">
        <v>39</v>
      </c>
      <c r="M3" s="131" t="s">
        <v>41</v>
      </c>
      <c r="N3" s="164"/>
      <c r="O3" s="163"/>
      <c r="P3" s="20"/>
    </row>
    <row r="4">
      <c r="A4" s="129" t="s">
        <v>643</v>
      </c>
      <c r="B4" s="51"/>
      <c r="C4" s="241"/>
      <c r="D4" s="49">
        <v>1.0</v>
      </c>
      <c r="E4" s="170"/>
      <c r="F4" s="169"/>
      <c r="G4" s="48">
        <v>104.2</v>
      </c>
      <c r="H4" s="128">
        <f t="shared" si="1"/>
        <v>104.2</v>
      </c>
      <c r="I4" s="48" t="s">
        <v>642</v>
      </c>
      <c r="J4" s="49" t="s">
        <v>39</v>
      </c>
      <c r="K4" s="48" t="s">
        <v>642</v>
      </c>
      <c r="L4" s="49" t="s">
        <v>39</v>
      </c>
      <c r="M4" s="131" t="s">
        <v>41</v>
      </c>
      <c r="N4" s="164"/>
      <c r="O4" s="163"/>
      <c r="P4" s="20"/>
    </row>
    <row r="5">
      <c r="A5" s="401" t="s">
        <v>644</v>
      </c>
      <c r="B5" s="85">
        <v>51404.0</v>
      </c>
      <c r="C5" s="60">
        <v>50.0</v>
      </c>
      <c r="D5" s="49">
        <v>1.0</v>
      </c>
      <c r="E5" s="244" t="s">
        <v>128</v>
      </c>
      <c r="F5" s="60" t="s">
        <v>128</v>
      </c>
      <c r="G5" s="190">
        <v>214.97</v>
      </c>
      <c r="H5" s="51">
        <f t="shared" si="1"/>
        <v>214.97</v>
      </c>
      <c r="I5" s="48" t="s">
        <v>642</v>
      </c>
      <c r="J5" s="49" t="s">
        <v>39</v>
      </c>
      <c r="K5" s="81" t="s">
        <v>645</v>
      </c>
      <c r="L5" s="49" t="s">
        <v>39</v>
      </c>
      <c r="M5" s="121" t="s">
        <v>646</v>
      </c>
      <c r="N5" s="385" t="s">
        <v>647</v>
      </c>
      <c r="O5" s="141" t="s">
        <v>648</v>
      </c>
      <c r="P5" s="402"/>
      <c r="Q5" s="135"/>
      <c r="R5" s="135"/>
      <c r="S5" s="135"/>
      <c r="T5" s="135"/>
      <c r="U5" s="135"/>
      <c r="V5" s="135"/>
      <c r="W5" s="135"/>
      <c r="X5" s="135"/>
      <c r="Y5" s="135"/>
      <c r="Z5" s="135"/>
    </row>
    <row r="6">
      <c r="A6" s="170" t="s">
        <v>649</v>
      </c>
      <c r="B6" s="91" t="s">
        <v>650</v>
      </c>
      <c r="C6" s="84" t="s">
        <v>330</v>
      </c>
      <c r="D6" s="72">
        <v>1.0</v>
      </c>
      <c r="E6" s="83" t="s">
        <v>436</v>
      </c>
      <c r="F6" s="77" t="s">
        <v>437</v>
      </c>
      <c r="G6" s="122">
        <v>69.0</v>
      </c>
      <c r="H6" s="51">
        <f t="shared" si="1"/>
        <v>69</v>
      </c>
      <c r="I6" s="216" t="s">
        <v>651</v>
      </c>
      <c r="J6" s="49" t="s">
        <v>39</v>
      </c>
      <c r="K6" s="403" t="s">
        <v>652</v>
      </c>
      <c r="L6" s="49" t="s">
        <v>39</v>
      </c>
      <c r="M6" s="121" t="s">
        <v>646</v>
      </c>
      <c r="N6" s="404"/>
      <c r="O6" s="405"/>
      <c r="P6" s="406"/>
      <c r="Q6" s="407"/>
      <c r="R6" s="407"/>
      <c r="S6" s="407"/>
      <c r="T6" s="407"/>
      <c r="U6" s="407"/>
      <c r="V6" s="407"/>
      <c r="W6" s="407"/>
      <c r="X6" s="407"/>
      <c r="Y6" s="407"/>
      <c r="Z6" s="407"/>
    </row>
    <row r="7">
      <c r="A7" s="16" t="s">
        <v>576</v>
      </c>
      <c r="B7" s="71" t="s">
        <v>653</v>
      </c>
      <c r="C7" s="48" t="s">
        <v>577</v>
      </c>
      <c r="D7" s="49">
        <v>1.0</v>
      </c>
      <c r="E7" s="208" t="s">
        <v>578</v>
      </c>
      <c r="F7" s="276" t="s">
        <v>45</v>
      </c>
      <c r="G7" s="81">
        <v>90.1</v>
      </c>
      <c r="H7" s="51">
        <f t="shared" si="1"/>
        <v>90.1</v>
      </c>
      <c r="I7" s="48" t="s">
        <v>654</v>
      </c>
      <c r="J7" s="53" t="s">
        <v>39</v>
      </c>
      <c r="K7" s="403" t="s">
        <v>652</v>
      </c>
      <c r="L7" s="49" t="s">
        <v>39</v>
      </c>
      <c r="M7" s="334" t="s">
        <v>3</v>
      </c>
      <c r="N7" s="181"/>
      <c r="O7" s="181"/>
      <c r="P7" s="19"/>
      <c r="Q7" s="1"/>
      <c r="R7" s="1"/>
      <c r="S7" s="1"/>
      <c r="T7" s="1"/>
      <c r="U7" s="1"/>
      <c r="V7" s="1"/>
      <c r="W7" s="1"/>
      <c r="X7" s="1"/>
      <c r="Y7" s="1"/>
      <c r="Z7" s="1"/>
    </row>
    <row r="8">
      <c r="A8" s="129" t="s">
        <v>655</v>
      </c>
      <c r="B8" s="51"/>
      <c r="C8" s="49">
        <v>1.0</v>
      </c>
      <c r="D8" s="49">
        <v>1.0</v>
      </c>
      <c r="E8" s="98" t="s">
        <v>656</v>
      </c>
      <c r="F8" s="169"/>
      <c r="G8" s="48">
        <v>773.0</v>
      </c>
      <c r="H8" s="128">
        <f t="shared" si="1"/>
        <v>773</v>
      </c>
      <c r="I8" s="216" t="s">
        <v>657</v>
      </c>
      <c r="J8" s="53" t="s">
        <v>39</v>
      </c>
      <c r="K8" s="216" t="s">
        <v>657</v>
      </c>
      <c r="L8" s="53" t="s">
        <v>39</v>
      </c>
      <c r="M8" s="131" t="s">
        <v>41</v>
      </c>
      <c r="N8" s="169"/>
      <c r="O8" s="181"/>
      <c r="P8" s="19"/>
      <c r="Q8" s="1"/>
      <c r="R8" s="1"/>
      <c r="S8" s="1"/>
      <c r="T8" s="1"/>
      <c r="U8" s="1"/>
      <c r="V8" s="1"/>
      <c r="W8" s="1"/>
      <c r="X8" s="1"/>
      <c r="Y8" s="1"/>
      <c r="Z8" s="1"/>
    </row>
    <row r="9">
      <c r="A9" s="238" t="s">
        <v>658</v>
      </c>
      <c r="B9" s="51"/>
      <c r="C9" s="49">
        <v>1.0</v>
      </c>
      <c r="D9" s="49">
        <v>1.0</v>
      </c>
      <c r="E9" s="48" t="s">
        <v>535</v>
      </c>
      <c r="F9" s="48" t="s">
        <v>535</v>
      </c>
      <c r="G9" s="48">
        <v>52.0</v>
      </c>
      <c r="H9" s="128">
        <f t="shared" si="1"/>
        <v>52</v>
      </c>
      <c r="I9" s="216" t="s">
        <v>659</v>
      </c>
      <c r="J9" s="53" t="s">
        <v>39</v>
      </c>
      <c r="K9" s="216" t="s">
        <v>659</v>
      </c>
      <c r="L9" s="53" t="s">
        <v>39</v>
      </c>
      <c r="M9" s="334" t="s">
        <v>3</v>
      </c>
      <c r="N9" s="169"/>
      <c r="O9" s="181"/>
      <c r="P9" s="19"/>
      <c r="Q9" s="1"/>
      <c r="R9" s="1"/>
      <c r="S9" s="1"/>
      <c r="T9" s="1"/>
      <c r="U9" s="1"/>
      <c r="V9" s="1"/>
      <c r="W9" s="1"/>
      <c r="X9" s="1"/>
      <c r="Y9" s="1"/>
      <c r="Z9" s="1"/>
    </row>
    <row r="10">
      <c r="A10" s="96" t="s">
        <v>660</v>
      </c>
      <c r="B10" s="169"/>
      <c r="C10" s="49">
        <v>1.0</v>
      </c>
      <c r="D10" s="49">
        <v>1.0</v>
      </c>
      <c r="E10" s="48" t="s">
        <v>535</v>
      </c>
      <c r="F10" s="48" t="s">
        <v>535</v>
      </c>
      <c r="G10" s="48">
        <v>78.0</v>
      </c>
      <c r="H10" s="128">
        <f t="shared" si="1"/>
        <v>78</v>
      </c>
      <c r="I10" s="216" t="s">
        <v>659</v>
      </c>
      <c r="J10" s="53" t="s">
        <v>39</v>
      </c>
      <c r="K10" s="216" t="s">
        <v>659</v>
      </c>
      <c r="L10" s="53" t="s">
        <v>39</v>
      </c>
      <c r="M10" s="334" t="s">
        <v>3</v>
      </c>
      <c r="N10" s="169"/>
      <c r="O10" s="181"/>
      <c r="P10" s="19"/>
      <c r="Q10" s="1"/>
      <c r="R10" s="1"/>
      <c r="S10" s="1"/>
      <c r="T10" s="1"/>
      <c r="U10" s="1"/>
      <c r="V10" s="1"/>
      <c r="W10" s="1"/>
      <c r="X10" s="1"/>
      <c r="Y10" s="1"/>
      <c r="Z10" s="1"/>
    </row>
    <row r="11">
      <c r="A11" s="408" t="s">
        <v>661</v>
      </c>
      <c r="B11" s="169"/>
      <c r="C11" s="49">
        <v>1.0</v>
      </c>
      <c r="D11" s="49">
        <v>1.0</v>
      </c>
      <c r="E11" s="48" t="s">
        <v>535</v>
      </c>
      <c r="F11" s="91"/>
      <c r="G11" s="48">
        <v>54.0</v>
      </c>
      <c r="H11" s="128">
        <f t="shared" si="1"/>
        <v>54</v>
      </c>
      <c r="I11" s="216" t="s">
        <v>659</v>
      </c>
      <c r="J11" s="53" t="s">
        <v>39</v>
      </c>
      <c r="K11" s="216" t="s">
        <v>659</v>
      </c>
      <c r="L11" s="53" t="s">
        <v>39</v>
      </c>
      <c r="M11" s="334" t="s">
        <v>3</v>
      </c>
      <c r="N11" s="169"/>
      <c r="O11" s="181"/>
      <c r="P11" s="19"/>
      <c r="Q11" s="1"/>
      <c r="R11" s="1"/>
      <c r="S11" s="1"/>
      <c r="T11" s="1"/>
      <c r="U11" s="1"/>
      <c r="V11" s="1"/>
      <c r="W11" s="1"/>
      <c r="X11" s="1"/>
      <c r="Y11" s="1"/>
      <c r="Z11" s="1"/>
    </row>
    <row r="12">
      <c r="A12" s="130" t="s">
        <v>662</v>
      </c>
      <c r="B12" s="290"/>
      <c r="C12" s="49">
        <v>1.0</v>
      </c>
      <c r="D12" s="49">
        <v>1.0</v>
      </c>
      <c r="E12" s="52" t="s">
        <v>336</v>
      </c>
      <c r="F12" s="53" t="s">
        <v>336</v>
      </c>
      <c r="G12" s="52">
        <v>15.0</v>
      </c>
      <c r="H12" s="128">
        <f t="shared" si="1"/>
        <v>15</v>
      </c>
      <c r="I12" s="48" t="s">
        <v>663</v>
      </c>
      <c r="J12" s="53" t="s">
        <v>39</v>
      </c>
      <c r="K12" s="48" t="s">
        <v>663</v>
      </c>
      <c r="L12" s="53" t="s">
        <v>39</v>
      </c>
      <c r="M12" s="131" t="s">
        <v>41</v>
      </c>
      <c r="N12" s="169"/>
      <c r="O12" s="181"/>
      <c r="P12" s="19"/>
      <c r="Q12" s="1"/>
      <c r="R12" s="1"/>
      <c r="S12" s="1"/>
      <c r="T12" s="1"/>
      <c r="U12" s="1"/>
      <c r="V12" s="1"/>
      <c r="W12" s="1"/>
      <c r="X12" s="1"/>
      <c r="Y12" s="1"/>
      <c r="Z12" s="1"/>
    </row>
    <row r="13">
      <c r="A13" s="130" t="s">
        <v>664</v>
      </c>
      <c r="B13" s="290"/>
      <c r="C13" s="49">
        <v>1.0</v>
      </c>
      <c r="D13" s="49">
        <v>1.0</v>
      </c>
      <c r="E13" s="190" t="s">
        <v>665</v>
      </c>
      <c r="F13" s="53" t="s">
        <v>665</v>
      </c>
      <c r="G13" s="52">
        <v>101.0</v>
      </c>
      <c r="H13" s="128">
        <f t="shared" si="1"/>
        <v>101</v>
      </c>
      <c r="I13" s="48" t="s">
        <v>666</v>
      </c>
      <c r="J13" s="53" t="s">
        <v>39</v>
      </c>
      <c r="K13" s="48" t="s">
        <v>666</v>
      </c>
      <c r="L13" s="53" t="s">
        <v>39</v>
      </c>
      <c r="M13" s="46" t="s">
        <v>667</v>
      </c>
      <c r="N13" s="169"/>
      <c r="O13" s="181"/>
      <c r="P13" s="19"/>
      <c r="Q13" s="1"/>
      <c r="R13" s="1"/>
      <c r="S13" s="1"/>
      <c r="T13" s="1"/>
      <c r="U13" s="1"/>
      <c r="V13" s="1"/>
      <c r="W13" s="1"/>
      <c r="X13" s="1"/>
      <c r="Y13" s="1"/>
      <c r="Z13" s="1"/>
    </row>
    <row r="14">
      <c r="A14" s="137"/>
      <c r="B14" s="169"/>
      <c r="C14" s="181"/>
      <c r="D14" s="49"/>
      <c r="E14" s="181"/>
      <c r="F14" s="169"/>
      <c r="G14" s="18"/>
      <c r="H14" s="128">
        <f t="shared" si="1"/>
        <v>0</v>
      </c>
      <c r="I14" s="48"/>
      <c r="J14" s="200"/>
      <c r="K14" s="56"/>
      <c r="L14" s="55"/>
      <c r="M14" s="46"/>
      <c r="N14" s="169"/>
      <c r="O14" s="181"/>
      <c r="P14" s="19"/>
      <c r="Q14" s="1"/>
      <c r="R14" s="1"/>
      <c r="S14" s="1"/>
      <c r="T14" s="1"/>
      <c r="U14" s="1"/>
      <c r="V14" s="1"/>
      <c r="W14" s="1"/>
      <c r="X14" s="1"/>
      <c r="Y14" s="1"/>
      <c r="Z14" s="1"/>
    </row>
    <row r="15">
      <c r="A15" s="255"/>
      <c r="B15" s="164"/>
      <c r="C15" s="163"/>
      <c r="D15" s="49"/>
      <c r="E15" s="255"/>
      <c r="F15" s="409"/>
      <c r="G15" s="255"/>
      <c r="H15" s="128">
        <f t="shared" si="1"/>
        <v>0</v>
      </c>
      <c r="I15" s="255"/>
      <c r="J15" s="200"/>
      <c r="K15" s="70"/>
      <c r="L15" s="156"/>
      <c r="M15" s="410"/>
      <c r="N15" s="164"/>
      <c r="O15" s="163"/>
      <c r="P15" s="20"/>
    </row>
    <row r="16">
      <c r="A16" s="18"/>
      <c r="B16" s="18"/>
      <c r="C16" s="48"/>
      <c r="D16" s="49"/>
      <c r="E16" s="137"/>
      <c r="F16" s="96"/>
      <c r="G16" s="137"/>
      <c r="H16" s="128">
        <f t="shared" si="1"/>
        <v>0</v>
      </c>
      <c r="I16" s="48"/>
      <c r="J16" s="200"/>
      <c r="K16" s="411"/>
      <c r="L16" s="100"/>
      <c r="M16" s="62"/>
      <c r="N16" s="181"/>
      <c r="O16" s="137"/>
      <c r="P16" s="19"/>
      <c r="Q16" s="1"/>
      <c r="R16" s="1"/>
      <c r="S16" s="1"/>
      <c r="T16" s="1"/>
      <c r="U16" s="1"/>
      <c r="V16" s="1"/>
      <c r="W16" s="1"/>
      <c r="X16" s="1"/>
      <c r="Y16" s="1"/>
      <c r="Z16" s="1"/>
    </row>
    <row r="17">
      <c r="A17" s="18"/>
      <c r="B17" s="16"/>
      <c r="C17" s="49"/>
      <c r="D17" s="49"/>
      <c r="E17" s="137"/>
      <c r="F17" s="96"/>
      <c r="G17" s="137"/>
      <c r="H17" s="128">
        <f t="shared" si="1"/>
        <v>0</v>
      </c>
      <c r="I17" s="48"/>
      <c r="J17" s="200"/>
      <c r="K17" s="56"/>
      <c r="L17" s="55"/>
      <c r="M17" s="62"/>
      <c r="N17" s="169"/>
      <c r="O17" s="181"/>
      <c r="P17" s="19"/>
      <c r="Q17" s="1"/>
      <c r="R17" s="1"/>
      <c r="S17" s="1"/>
      <c r="T17" s="1"/>
      <c r="U17" s="1"/>
      <c r="V17" s="1"/>
      <c r="W17" s="1"/>
      <c r="X17" s="1"/>
      <c r="Y17" s="1"/>
      <c r="Z17" s="1"/>
    </row>
    <row r="18">
      <c r="A18" s="18"/>
      <c r="B18" s="16"/>
      <c r="C18" s="49"/>
      <c r="D18" s="49"/>
      <c r="E18" s="137"/>
      <c r="F18" s="96"/>
      <c r="G18" s="137"/>
      <c r="H18" s="128">
        <f t="shared" si="1"/>
        <v>0</v>
      </c>
      <c r="I18" s="48"/>
      <c r="J18" s="200"/>
      <c r="K18" s="56"/>
      <c r="L18" s="55"/>
      <c r="M18" s="62"/>
      <c r="N18" s="169"/>
      <c r="O18" s="181"/>
      <c r="P18" s="19"/>
      <c r="Q18" s="1"/>
      <c r="R18" s="1"/>
      <c r="S18" s="1"/>
      <c r="T18" s="1"/>
      <c r="U18" s="1"/>
      <c r="V18" s="1"/>
      <c r="W18" s="1"/>
      <c r="X18" s="1"/>
      <c r="Y18" s="1"/>
      <c r="Z18" s="1"/>
    </row>
    <row r="19">
      <c r="A19" s="172"/>
      <c r="B19" s="51"/>
      <c r="C19" s="241"/>
      <c r="D19" s="49"/>
      <c r="E19" s="412"/>
      <c r="F19" s="172"/>
      <c r="G19" s="51"/>
      <c r="H19" s="128">
        <f t="shared" si="1"/>
        <v>0</v>
      </c>
      <c r="I19" s="49"/>
      <c r="J19" s="200"/>
      <c r="K19" s="56"/>
      <c r="L19" s="55"/>
      <c r="M19" s="46"/>
      <c r="N19" s="170"/>
      <c r="O19" s="185"/>
      <c r="P19" s="1"/>
      <c r="Q19" s="1"/>
      <c r="R19" s="1"/>
      <c r="S19" s="1"/>
      <c r="T19" s="1"/>
      <c r="U19" s="1"/>
      <c r="V19" s="1"/>
      <c r="W19" s="1"/>
      <c r="X19" s="1"/>
      <c r="Y19" s="1"/>
      <c r="Z19" s="25"/>
    </row>
    <row r="20">
      <c r="A20" s="137"/>
      <c r="B20" s="169"/>
      <c r="C20" s="181"/>
      <c r="D20" s="49"/>
      <c r="E20" s="137"/>
      <c r="F20" s="137"/>
      <c r="G20" s="137"/>
      <c r="H20" s="128">
        <f t="shared" si="1"/>
        <v>0</v>
      </c>
      <c r="I20" s="48"/>
      <c r="J20" s="200"/>
      <c r="K20" s="52"/>
      <c r="L20" s="122"/>
      <c r="M20" s="46"/>
      <c r="N20" s="169"/>
      <c r="O20" s="181"/>
      <c r="P20" s="19"/>
      <c r="Q20" s="1"/>
      <c r="R20" s="1"/>
      <c r="S20" s="1"/>
      <c r="T20" s="1"/>
      <c r="U20" s="1"/>
      <c r="V20" s="1"/>
      <c r="W20" s="1"/>
      <c r="X20" s="1"/>
      <c r="Y20" s="1"/>
      <c r="Z20" s="1"/>
    </row>
    <row r="21">
      <c r="A21" s="137"/>
      <c r="B21" s="169"/>
      <c r="C21" s="48"/>
      <c r="D21" s="49"/>
      <c r="E21" s="96"/>
      <c r="F21" s="96"/>
      <c r="G21" s="137"/>
      <c r="H21" s="128">
        <f t="shared" si="1"/>
        <v>0</v>
      </c>
      <c r="I21" s="48"/>
      <c r="J21" s="200"/>
      <c r="K21" s="52"/>
      <c r="L21" s="122"/>
      <c r="M21" s="46"/>
      <c r="N21" s="169"/>
      <c r="O21" s="181"/>
      <c r="P21" s="19"/>
      <c r="Q21" s="1"/>
      <c r="R21" s="1"/>
      <c r="S21" s="1"/>
      <c r="T21" s="1"/>
      <c r="U21" s="1"/>
      <c r="V21" s="1"/>
      <c r="W21" s="1"/>
      <c r="X21" s="1"/>
      <c r="Y21" s="1"/>
      <c r="Z21" s="1"/>
    </row>
    <row r="22">
      <c r="A22" s="255"/>
      <c r="B22" s="164"/>
      <c r="C22" s="48"/>
      <c r="D22" s="49"/>
      <c r="E22" s="255"/>
      <c r="F22" s="409"/>
      <c r="G22" s="255"/>
      <c r="H22" s="128">
        <f t="shared" si="1"/>
        <v>0</v>
      </c>
      <c r="I22" s="48"/>
      <c r="J22" s="200"/>
      <c r="K22" s="52"/>
      <c r="L22" s="122"/>
      <c r="M22" s="46"/>
      <c r="N22" s="164"/>
      <c r="O22" s="163"/>
      <c r="P22" s="20"/>
    </row>
    <row r="23">
      <c r="A23" s="255"/>
      <c r="B23" s="164"/>
      <c r="C23" s="48"/>
      <c r="D23" s="49"/>
      <c r="E23" s="255"/>
      <c r="F23" s="409"/>
      <c r="G23" s="255"/>
      <c r="H23" s="128">
        <f t="shared" si="1"/>
        <v>0</v>
      </c>
      <c r="I23" s="48"/>
      <c r="J23" s="200"/>
      <c r="K23" s="52"/>
      <c r="L23" s="122"/>
      <c r="M23" s="46"/>
      <c r="N23" s="164"/>
      <c r="O23" s="163"/>
      <c r="P23" s="20"/>
    </row>
    <row r="24">
      <c r="A24" s="163"/>
      <c r="B24" s="164"/>
      <c r="C24" s="163"/>
      <c r="D24" s="164"/>
      <c r="E24" s="163"/>
      <c r="F24" s="164"/>
      <c r="G24" s="163"/>
      <c r="H24" s="128">
        <f t="shared" si="1"/>
        <v>0</v>
      </c>
      <c r="I24" s="163"/>
      <c r="J24" s="164"/>
      <c r="K24" s="70"/>
      <c r="L24" s="156"/>
      <c r="M24" s="70"/>
      <c r="N24" s="164"/>
      <c r="O24" s="163"/>
      <c r="P24" s="20"/>
    </row>
    <row r="25">
      <c r="A25" s="163"/>
      <c r="B25" s="164"/>
      <c r="C25" s="163"/>
      <c r="D25" s="164"/>
      <c r="E25" s="163"/>
      <c r="F25" s="164"/>
      <c r="G25" s="163"/>
      <c r="H25" s="74">
        <f t="shared" si="1"/>
        <v>0</v>
      </c>
      <c r="I25" s="163"/>
      <c r="J25" s="164"/>
      <c r="K25" s="163"/>
      <c r="L25" s="164"/>
      <c r="M25" s="163"/>
      <c r="N25" s="164"/>
      <c r="O25" s="163"/>
      <c r="P25" s="20"/>
    </row>
    <row r="26">
      <c r="A26" s="163"/>
      <c r="B26" s="164"/>
      <c r="C26" s="163"/>
      <c r="D26" s="164"/>
      <c r="E26" s="163"/>
      <c r="F26" s="164"/>
      <c r="G26" s="163"/>
      <c r="H26" s="74">
        <f t="shared" si="1"/>
        <v>0</v>
      </c>
      <c r="I26" s="163"/>
      <c r="J26" s="164"/>
      <c r="K26" s="163"/>
      <c r="L26" s="164"/>
      <c r="M26" s="163"/>
      <c r="N26" s="164"/>
      <c r="O26" s="163"/>
      <c r="P26" s="20"/>
    </row>
    <row r="27">
      <c r="A27" s="163"/>
      <c r="B27" s="164"/>
      <c r="C27" s="163"/>
      <c r="D27" s="164"/>
      <c r="E27" s="163"/>
      <c r="F27" s="164"/>
      <c r="G27" s="163"/>
      <c r="H27" s="74">
        <f t="shared" si="1"/>
        <v>0</v>
      </c>
      <c r="I27" s="163"/>
      <c r="J27" s="164"/>
      <c r="K27" s="163"/>
      <c r="L27" s="164"/>
      <c r="M27" s="163"/>
      <c r="N27" s="164"/>
      <c r="O27" s="163"/>
      <c r="P27" s="20"/>
    </row>
    <row r="28">
      <c r="A28" s="163"/>
      <c r="B28" s="164"/>
      <c r="C28" s="163"/>
      <c r="D28" s="164"/>
      <c r="E28" s="163"/>
      <c r="F28" s="164"/>
      <c r="G28" s="163"/>
      <c r="H28" s="74">
        <f t="shared" si="1"/>
        <v>0</v>
      </c>
      <c r="I28" s="163"/>
      <c r="J28" s="164"/>
      <c r="K28" s="163"/>
      <c r="L28" s="164"/>
      <c r="M28" s="163"/>
      <c r="N28" s="164"/>
      <c r="O28" s="163"/>
      <c r="P28" s="20"/>
    </row>
    <row r="29">
      <c r="A29" s="163"/>
      <c r="B29" s="164"/>
      <c r="C29" s="163"/>
      <c r="D29" s="164"/>
      <c r="E29" s="163"/>
      <c r="F29" s="164"/>
      <c r="G29" s="163"/>
      <c r="H29" s="74">
        <f t="shared" si="1"/>
        <v>0</v>
      </c>
      <c r="I29" s="163"/>
      <c r="J29" s="164"/>
      <c r="K29" s="163"/>
      <c r="L29" s="164"/>
      <c r="M29" s="163"/>
      <c r="N29" s="164"/>
      <c r="O29" s="163"/>
      <c r="P29" s="20"/>
    </row>
    <row r="30">
      <c r="A30" s="163"/>
      <c r="B30" s="164"/>
      <c r="C30" s="163"/>
      <c r="D30" s="164"/>
      <c r="E30" s="163"/>
      <c r="F30" s="164"/>
      <c r="G30" s="163"/>
      <c r="H30" s="74">
        <f t="shared" si="1"/>
        <v>0</v>
      </c>
      <c r="I30" s="163"/>
      <c r="J30" s="164"/>
      <c r="K30" s="163"/>
      <c r="L30" s="164"/>
      <c r="M30" s="163"/>
      <c r="N30" s="164"/>
      <c r="O30" s="163"/>
      <c r="P30" s="20"/>
    </row>
    <row r="31">
      <c r="A31" s="163"/>
      <c r="B31" s="164"/>
      <c r="C31" s="163"/>
      <c r="D31" s="164"/>
      <c r="E31" s="163"/>
      <c r="F31" s="164"/>
      <c r="G31" s="163"/>
      <c r="H31" s="74">
        <f t="shared" si="1"/>
        <v>0</v>
      </c>
      <c r="I31" s="163"/>
      <c r="J31" s="164"/>
      <c r="K31" s="163"/>
      <c r="L31" s="164"/>
      <c r="M31" s="163"/>
      <c r="N31" s="164"/>
      <c r="O31" s="163"/>
      <c r="P31" s="20"/>
    </row>
    <row r="32">
      <c r="A32" s="163"/>
      <c r="B32" s="164"/>
      <c r="C32" s="163"/>
      <c r="D32" s="164"/>
      <c r="E32" s="163"/>
      <c r="F32" s="164"/>
      <c r="G32" s="163"/>
      <c r="H32" s="74">
        <f t="shared" si="1"/>
        <v>0</v>
      </c>
      <c r="I32" s="163"/>
      <c r="J32" s="164"/>
      <c r="K32" s="163"/>
      <c r="L32" s="164"/>
      <c r="M32" s="163"/>
      <c r="N32" s="164"/>
      <c r="O32" s="163"/>
      <c r="P32" s="20"/>
    </row>
    <row r="33">
      <c r="A33" s="163"/>
      <c r="B33" s="164"/>
      <c r="C33" s="163"/>
      <c r="D33" s="164"/>
      <c r="E33" s="163"/>
      <c r="F33" s="164"/>
      <c r="G33" s="163"/>
      <c r="H33" s="74">
        <f t="shared" si="1"/>
        <v>0</v>
      </c>
      <c r="I33" s="163"/>
      <c r="J33" s="164"/>
      <c r="K33" s="163"/>
      <c r="L33" s="164"/>
      <c r="M33" s="163"/>
      <c r="N33" s="164"/>
      <c r="O33" s="163"/>
      <c r="P33" s="20"/>
    </row>
    <row r="34">
      <c r="A34" s="163"/>
      <c r="B34" s="164"/>
      <c r="C34" s="163"/>
      <c r="D34" s="164"/>
      <c r="E34" s="163"/>
      <c r="F34" s="164"/>
      <c r="G34" s="163"/>
      <c r="H34" s="74">
        <f t="shared" si="1"/>
        <v>0</v>
      </c>
      <c r="I34" s="163"/>
      <c r="J34" s="164"/>
      <c r="K34" s="163"/>
      <c r="L34" s="164"/>
      <c r="M34" s="163"/>
      <c r="N34" s="164"/>
      <c r="O34" s="163"/>
      <c r="P34" s="20"/>
    </row>
    <row r="35">
      <c r="A35" s="163"/>
      <c r="B35" s="164"/>
      <c r="C35" s="163"/>
      <c r="D35" s="164"/>
      <c r="E35" s="163"/>
      <c r="F35" s="164"/>
      <c r="G35" s="163"/>
      <c r="H35" s="74">
        <f t="shared" si="1"/>
        <v>0</v>
      </c>
      <c r="I35" s="163"/>
      <c r="J35" s="164"/>
      <c r="K35" s="163"/>
      <c r="L35" s="164"/>
      <c r="M35" s="163"/>
      <c r="N35" s="164"/>
      <c r="O35" s="163"/>
      <c r="P35" s="20"/>
    </row>
    <row r="36">
      <c r="A36" s="163"/>
      <c r="B36" s="164"/>
      <c r="C36" s="163"/>
      <c r="D36" s="164"/>
      <c r="E36" s="163"/>
      <c r="F36" s="164"/>
      <c r="G36" s="163"/>
      <c r="H36" s="74">
        <f t="shared" si="1"/>
        <v>0</v>
      </c>
      <c r="I36" s="163"/>
      <c r="J36" s="164"/>
      <c r="K36" s="163"/>
      <c r="L36" s="164"/>
      <c r="M36" s="163"/>
      <c r="N36" s="164"/>
      <c r="O36" s="163"/>
      <c r="P36" s="20"/>
    </row>
    <row r="37">
      <c r="A37" s="163"/>
      <c r="B37" s="164"/>
      <c r="C37" s="163"/>
      <c r="D37" s="164"/>
      <c r="E37" s="163"/>
      <c r="F37" s="164"/>
      <c r="G37" s="163"/>
      <c r="H37" s="74">
        <f t="shared" si="1"/>
        <v>0</v>
      </c>
      <c r="I37" s="163"/>
      <c r="J37" s="164"/>
      <c r="K37" s="163"/>
      <c r="L37" s="164"/>
      <c r="M37" s="163"/>
      <c r="N37" s="164"/>
      <c r="O37" s="163"/>
      <c r="P37" s="20"/>
    </row>
    <row r="38">
      <c r="A38" s="163"/>
      <c r="B38" s="164"/>
      <c r="C38" s="163"/>
      <c r="D38" s="164"/>
      <c r="E38" s="163"/>
      <c r="F38" s="164"/>
      <c r="G38" s="163"/>
      <c r="H38" s="164"/>
      <c r="I38" s="163"/>
      <c r="J38" s="164"/>
      <c r="K38" s="163"/>
      <c r="L38" s="164"/>
      <c r="M38" s="163"/>
      <c r="N38" s="164"/>
      <c r="O38" s="163"/>
      <c r="P38" s="20"/>
    </row>
    <row r="39">
      <c r="B39" s="158"/>
      <c r="D39" s="158"/>
      <c r="F39" s="158"/>
      <c r="H39" s="158"/>
      <c r="J39" s="158"/>
      <c r="L39" s="158"/>
      <c r="N39" s="158"/>
      <c r="P39" s="20"/>
    </row>
    <row r="40">
      <c r="B40" s="158"/>
      <c r="D40" s="158"/>
      <c r="F40" s="158"/>
      <c r="H40" s="158"/>
      <c r="J40" s="158"/>
      <c r="L40" s="158"/>
      <c r="N40" s="158"/>
      <c r="P40" s="20"/>
    </row>
    <row r="41">
      <c r="B41" s="158"/>
      <c r="D41" s="158"/>
      <c r="F41" s="158"/>
      <c r="H41" s="158"/>
      <c r="J41" s="158"/>
      <c r="L41" s="158"/>
      <c r="N41" s="158"/>
      <c r="P41" s="20"/>
    </row>
    <row r="42">
      <c r="B42" s="158"/>
      <c r="D42" s="158"/>
      <c r="F42" s="158"/>
      <c r="H42" s="158"/>
      <c r="J42" s="158"/>
      <c r="L42" s="158"/>
      <c r="N42" s="158"/>
      <c r="P42" s="20"/>
    </row>
    <row r="43">
      <c r="B43" s="158"/>
      <c r="D43" s="158"/>
      <c r="F43" s="158"/>
      <c r="H43" s="158"/>
      <c r="J43" s="158"/>
      <c r="L43" s="158"/>
      <c r="N43" s="158"/>
      <c r="P43" s="20"/>
    </row>
    <row r="44">
      <c r="B44" s="158"/>
      <c r="D44" s="158"/>
      <c r="F44" s="158"/>
      <c r="H44" s="158"/>
      <c r="J44" s="158"/>
      <c r="L44" s="158"/>
      <c r="N44" s="158"/>
      <c r="P44" s="20"/>
    </row>
    <row r="45">
      <c r="B45" s="158"/>
      <c r="D45" s="158"/>
      <c r="F45" s="158"/>
      <c r="H45" s="158"/>
      <c r="J45" s="158"/>
      <c r="L45" s="158"/>
      <c r="N45" s="158"/>
      <c r="P45" s="20"/>
    </row>
    <row r="46">
      <c r="B46" s="158"/>
      <c r="D46" s="158"/>
      <c r="F46" s="158"/>
      <c r="H46" s="158"/>
      <c r="J46" s="158"/>
      <c r="L46" s="158"/>
      <c r="N46" s="158"/>
      <c r="P46" s="20"/>
    </row>
    <row r="47">
      <c r="B47" s="158"/>
      <c r="D47" s="158"/>
      <c r="F47" s="158"/>
      <c r="H47" s="158"/>
      <c r="J47" s="158"/>
      <c r="L47" s="158"/>
      <c r="N47" s="158"/>
      <c r="P47" s="20"/>
    </row>
    <row r="48">
      <c r="B48" s="158"/>
      <c r="D48" s="158"/>
      <c r="F48" s="158"/>
      <c r="H48" s="158"/>
      <c r="J48" s="158"/>
      <c r="L48" s="158"/>
      <c r="N48" s="158"/>
      <c r="P48" s="20"/>
    </row>
    <row r="49">
      <c r="B49" s="158"/>
      <c r="D49" s="158"/>
      <c r="F49" s="158"/>
      <c r="H49" s="158"/>
      <c r="J49" s="158"/>
      <c r="L49" s="158"/>
      <c r="N49" s="158"/>
      <c r="P49" s="20"/>
    </row>
    <row r="50">
      <c r="B50" s="158"/>
      <c r="D50" s="158"/>
      <c r="F50" s="158"/>
      <c r="H50" s="158"/>
      <c r="J50" s="158"/>
      <c r="L50" s="158"/>
      <c r="N50" s="158"/>
      <c r="P50" s="20"/>
    </row>
    <row r="51">
      <c r="B51" s="158"/>
      <c r="D51" s="158"/>
      <c r="F51" s="158"/>
      <c r="H51" s="158"/>
      <c r="J51" s="158"/>
      <c r="L51" s="158"/>
      <c r="N51" s="158"/>
      <c r="P51" s="20"/>
    </row>
    <row r="52">
      <c r="B52" s="158"/>
      <c r="D52" s="158"/>
      <c r="F52" s="158"/>
      <c r="H52" s="158"/>
      <c r="J52" s="158"/>
      <c r="L52" s="158"/>
      <c r="N52" s="158"/>
      <c r="P52" s="20"/>
    </row>
    <row r="53">
      <c r="B53" s="158"/>
      <c r="D53" s="158"/>
      <c r="F53" s="158"/>
      <c r="H53" s="158"/>
      <c r="J53" s="158"/>
      <c r="L53" s="158"/>
      <c r="N53" s="158"/>
      <c r="P53" s="20"/>
    </row>
    <row r="54">
      <c r="B54" s="158"/>
      <c r="D54" s="158"/>
      <c r="F54" s="158"/>
      <c r="H54" s="158"/>
      <c r="J54" s="158"/>
      <c r="L54" s="158"/>
      <c r="N54" s="158"/>
      <c r="P54" s="20"/>
    </row>
    <row r="55">
      <c r="B55" s="158"/>
      <c r="D55" s="158"/>
      <c r="F55" s="158"/>
      <c r="H55" s="158"/>
      <c r="J55" s="158"/>
      <c r="L55" s="158"/>
      <c r="N55" s="158"/>
      <c r="P55" s="20"/>
    </row>
    <row r="56">
      <c r="B56" s="158"/>
      <c r="D56" s="158"/>
      <c r="F56" s="158"/>
      <c r="H56" s="158"/>
      <c r="J56" s="158"/>
      <c r="L56" s="158"/>
      <c r="N56" s="158"/>
      <c r="P56" s="20"/>
    </row>
    <row r="57">
      <c r="B57" s="158"/>
      <c r="D57" s="158"/>
      <c r="F57" s="158"/>
      <c r="H57" s="158"/>
      <c r="J57" s="158"/>
      <c r="L57" s="158"/>
      <c r="N57" s="158"/>
      <c r="P57" s="20"/>
    </row>
    <row r="58">
      <c r="B58" s="158"/>
      <c r="D58" s="158"/>
      <c r="F58" s="158"/>
      <c r="H58" s="158"/>
      <c r="J58" s="158"/>
      <c r="L58" s="158"/>
      <c r="N58" s="158"/>
      <c r="P58" s="20"/>
    </row>
    <row r="59">
      <c r="B59" s="158"/>
      <c r="D59" s="158"/>
      <c r="F59" s="158"/>
      <c r="H59" s="158"/>
      <c r="J59" s="158"/>
      <c r="L59" s="158"/>
      <c r="N59" s="158"/>
      <c r="P59" s="20"/>
    </row>
    <row r="60">
      <c r="B60" s="158"/>
      <c r="D60" s="158"/>
      <c r="F60" s="158"/>
      <c r="H60" s="158"/>
      <c r="J60" s="158"/>
      <c r="L60" s="158"/>
      <c r="N60" s="158"/>
      <c r="P60" s="20"/>
    </row>
    <row r="61">
      <c r="B61" s="158"/>
      <c r="D61" s="158"/>
      <c r="F61" s="158"/>
      <c r="H61" s="158"/>
      <c r="J61" s="158"/>
      <c r="L61" s="158"/>
      <c r="N61" s="158"/>
      <c r="P61" s="20"/>
    </row>
    <row r="62">
      <c r="B62" s="158"/>
      <c r="D62" s="158"/>
      <c r="F62" s="158"/>
      <c r="H62" s="158"/>
      <c r="J62" s="158"/>
      <c r="L62" s="158"/>
      <c r="N62" s="158"/>
      <c r="P62" s="20"/>
    </row>
    <row r="63">
      <c r="B63" s="158"/>
      <c r="D63" s="158"/>
      <c r="F63" s="158"/>
      <c r="H63" s="158"/>
      <c r="J63" s="158"/>
      <c r="L63" s="158"/>
      <c r="N63" s="158"/>
      <c r="P63" s="20"/>
    </row>
    <row r="64">
      <c r="B64" s="158"/>
      <c r="D64" s="158"/>
      <c r="F64" s="158"/>
      <c r="H64" s="158"/>
      <c r="J64" s="158"/>
      <c r="L64" s="158"/>
      <c r="N64" s="158"/>
      <c r="P64" s="20"/>
    </row>
    <row r="65">
      <c r="B65" s="158"/>
      <c r="D65" s="158"/>
      <c r="F65" s="158"/>
      <c r="H65" s="158"/>
      <c r="J65" s="158"/>
      <c r="L65" s="158"/>
      <c r="N65" s="158"/>
      <c r="P65" s="20"/>
    </row>
    <row r="66">
      <c r="B66" s="158"/>
      <c r="D66" s="158"/>
      <c r="F66" s="158"/>
      <c r="H66" s="158"/>
      <c r="J66" s="158"/>
      <c r="L66" s="158"/>
      <c r="N66" s="158"/>
      <c r="P66" s="20"/>
    </row>
    <row r="67">
      <c r="B67" s="158"/>
      <c r="D67" s="158"/>
      <c r="F67" s="158"/>
      <c r="H67" s="158"/>
      <c r="J67" s="158"/>
      <c r="L67" s="158"/>
      <c r="N67" s="158"/>
      <c r="P67" s="20"/>
    </row>
    <row r="68">
      <c r="B68" s="158"/>
      <c r="D68" s="158"/>
      <c r="F68" s="158"/>
      <c r="H68" s="158"/>
      <c r="J68" s="158"/>
      <c r="L68" s="158"/>
      <c r="N68" s="158"/>
      <c r="P68" s="20"/>
    </row>
    <row r="69">
      <c r="B69" s="158"/>
      <c r="D69" s="158"/>
      <c r="F69" s="158"/>
      <c r="H69" s="158"/>
      <c r="J69" s="158"/>
      <c r="L69" s="158"/>
      <c r="N69" s="158"/>
      <c r="P69" s="20"/>
    </row>
    <row r="70">
      <c r="B70" s="158"/>
      <c r="D70" s="158"/>
      <c r="F70" s="158"/>
      <c r="H70" s="158"/>
      <c r="J70" s="158"/>
      <c r="L70" s="158"/>
      <c r="N70" s="158"/>
      <c r="P70" s="20"/>
    </row>
    <row r="71">
      <c r="B71" s="158"/>
      <c r="D71" s="158"/>
      <c r="F71" s="158"/>
      <c r="H71" s="158"/>
      <c r="J71" s="158"/>
      <c r="L71" s="158"/>
      <c r="N71" s="158"/>
      <c r="P71" s="20"/>
    </row>
    <row r="72">
      <c r="B72" s="158"/>
      <c r="D72" s="158"/>
      <c r="F72" s="158"/>
      <c r="H72" s="158"/>
      <c r="J72" s="158"/>
      <c r="L72" s="158"/>
      <c r="N72" s="158"/>
      <c r="P72" s="20"/>
    </row>
    <row r="73">
      <c r="B73" s="158"/>
      <c r="D73" s="158"/>
      <c r="F73" s="158"/>
      <c r="H73" s="158"/>
      <c r="J73" s="158"/>
      <c r="L73" s="158"/>
      <c r="N73" s="158"/>
      <c r="P73" s="20"/>
    </row>
    <row r="74">
      <c r="B74" s="158"/>
      <c r="D74" s="158"/>
      <c r="F74" s="158"/>
      <c r="H74" s="158"/>
      <c r="J74" s="158"/>
      <c r="L74" s="158"/>
      <c r="N74" s="158"/>
      <c r="P74" s="20"/>
    </row>
    <row r="75">
      <c r="B75" s="158"/>
      <c r="D75" s="158"/>
      <c r="F75" s="158"/>
      <c r="H75" s="158"/>
      <c r="J75" s="158"/>
      <c r="L75" s="158"/>
      <c r="N75" s="158"/>
      <c r="P75" s="20"/>
    </row>
    <row r="76">
      <c r="B76" s="158"/>
      <c r="D76" s="158"/>
      <c r="F76" s="158"/>
      <c r="H76" s="158"/>
      <c r="J76" s="158"/>
      <c r="L76" s="158"/>
      <c r="N76" s="158"/>
      <c r="P76" s="20"/>
    </row>
    <row r="77">
      <c r="B77" s="158"/>
      <c r="D77" s="158"/>
      <c r="F77" s="158"/>
      <c r="H77" s="158"/>
      <c r="J77" s="158"/>
      <c r="L77" s="158"/>
      <c r="N77" s="158"/>
      <c r="P77" s="20"/>
    </row>
    <row r="78">
      <c r="B78" s="158"/>
      <c r="D78" s="158"/>
      <c r="F78" s="158"/>
      <c r="H78" s="158"/>
      <c r="J78" s="158"/>
      <c r="L78" s="158"/>
      <c r="N78" s="158"/>
      <c r="P78" s="20"/>
    </row>
    <row r="79">
      <c r="B79" s="158"/>
      <c r="D79" s="158"/>
      <c r="F79" s="158"/>
      <c r="H79" s="158"/>
      <c r="J79" s="158"/>
      <c r="L79" s="158"/>
      <c r="N79" s="158"/>
      <c r="P79" s="20"/>
    </row>
    <row r="80">
      <c r="B80" s="158"/>
      <c r="D80" s="158"/>
      <c r="F80" s="158"/>
      <c r="H80" s="158"/>
      <c r="J80" s="158"/>
      <c r="L80" s="158"/>
      <c r="N80" s="158"/>
      <c r="P80" s="20"/>
    </row>
    <row r="81">
      <c r="B81" s="158"/>
      <c r="D81" s="158"/>
      <c r="F81" s="158"/>
      <c r="H81" s="158"/>
      <c r="J81" s="158"/>
      <c r="L81" s="158"/>
      <c r="N81" s="158"/>
      <c r="P81" s="20"/>
    </row>
    <row r="82">
      <c r="B82" s="158"/>
      <c r="D82" s="158"/>
      <c r="F82" s="158"/>
      <c r="H82" s="158"/>
      <c r="J82" s="158"/>
      <c r="L82" s="158"/>
      <c r="N82" s="158"/>
      <c r="P82" s="20"/>
    </row>
    <row r="83">
      <c r="B83" s="158"/>
      <c r="D83" s="158"/>
      <c r="F83" s="158"/>
      <c r="H83" s="158"/>
      <c r="J83" s="158"/>
      <c r="L83" s="158"/>
      <c r="N83" s="158"/>
      <c r="P83" s="20"/>
    </row>
    <row r="84">
      <c r="B84" s="158"/>
      <c r="D84" s="158"/>
      <c r="F84" s="158"/>
      <c r="H84" s="158"/>
      <c r="J84" s="158"/>
      <c r="L84" s="158"/>
      <c r="N84" s="158"/>
      <c r="P84" s="20"/>
    </row>
    <row r="85">
      <c r="B85" s="158"/>
      <c r="D85" s="158"/>
      <c r="F85" s="158"/>
      <c r="H85" s="158"/>
      <c r="J85" s="158"/>
      <c r="L85" s="158"/>
      <c r="N85" s="158"/>
      <c r="P85" s="20"/>
    </row>
    <row r="86">
      <c r="B86" s="158"/>
      <c r="D86" s="158"/>
      <c r="F86" s="158"/>
      <c r="H86" s="158"/>
      <c r="J86" s="158"/>
      <c r="L86" s="158"/>
      <c r="N86" s="158"/>
      <c r="P86" s="20"/>
    </row>
    <row r="87">
      <c r="B87" s="158"/>
      <c r="D87" s="158"/>
      <c r="F87" s="158"/>
      <c r="H87" s="158"/>
      <c r="J87" s="158"/>
      <c r="L87" s="158"/>
      <c r="N87" s="158"/>
      <c r="P87" s="20"/>
    </row>
    <row r="88">
      <c r="B88" s="158"/>
      <c r="D88" s="158"/>
      <c r="F88" s="158"/>
      <c r="H88" s="158"/>
      <c r="J88" s="158"/>
      <c r="L88" s="158"/>
      <c r="N88" s="158"/>
      <c r="P88" s="20"/>
    </row>
    <row r="89">
      <c r="B89" s="158"/>
      <c r="D89" s="158"/>
      <c r="F89" s="158"/>
      <c r="H89" s="158"/>
      <c r="J89" s="158"/>
      <c r="L89" s="158"/>
      <c r="N89" s="158"/>
      <c r="P89" s="20"/>
    </row>
    <row r="90">
      <c r="B90" s="158"/>
      <c r="D90" s="158"/>
      <c r="F90" s="158"/>
      <c r="H90" s="158"/>
      <c r="J90" s="158"/>
      <c r="L90" s="158"/>
      <c r="N90" s="158"/>
      <c r="P90" s="20"/>
    </row>
    <row r="91">
      <c r="B91" s="158"/>
      <c r="D91" s="158"/>
      <c r="F91" s="158"/>
      <c r="H91" s="158"/>
      <c r="J91" s="158"/>
      <c r="L91" s="158"/>
      <c r="N91" s="158"/>
      <c r="P91" s="20"/>
    </row>
    <row r="92">
      <c r="B92" s="158"/>
      <c r="D92" s="158"/>
      <c r="F92" s="158"/>
      <c r="H92" s="158"/>
      <c r="J92" s="158"/>
      <c r="L92" s="158"/>
      <c r="N92" s="158"/>
      <c r="P92" s="20"/>
    </row>
    <row r="93">
      <c r="B93" s="158"/>
      <c r="D93" s="158"/>
      <c r="F93" s="158"/>
      <c r="H93" s="158"/>
      <c r="J93" s="158"/>
      <c r="L93" s="158"/>
      <c r="N93" s="158"/>
      <c r="P93" s="20"/>
    </row>
    <row r="94">
      <c r="B94" s="158"/>
      <c r="D94" s="158"/>
      <c r="F94" s="158"/>
      <c r="H94" s="158"/>
      <c r="J94" s="158"/>
      <c r="L94" s="158"/>
      <c r="N94" s="158"/>
      <c r="P94" s="20"/>
    </row>
    <row r="95">
      <c r="B95" s="158"/>
      <c r="D95" s="158"/>
      <c r="F95" s="158"/>
      <c r="H95" s="158"/>
      <c r="J95" s="158"/>
      <c r="L95" s="158"/>
      <c r="N95" s="158"/>
      <c r="P95" s="20"/>
    </row>
    <row r="96">
      <c r="B96" s="158"/>
      <c r="D96" s="158"/>
      <c r="F96" s="158"/>
      <c r="H96" s="158"/>
      <c r="J96" s="158"/>
      <c r="L96" s="158"/>
      <c r="N96" s="158"/>
      <c r="P96" s="20"/>
    </row>
    <row r="97">
      <c r="B97" s="158"/>
      <c r="D97" s="158"/>
      <c r="F97" s="158"/>
      <c r="H97" s="158"/>
      <c r="J97" s="158"/>
      <c r="L97" s="158"/>
      <c r="N97" s="158"/>
      <c r="P97" s="20"/>
    </row>
    <row r="98">
      <c r="B98" s="158"/>
      <c r="D98" s="158"/>
      <c r="F98" s="158"/>
      <c r="H98" s="158"/>
      <c r="J98" s="158"/>
      <c r="L98" s="158"/>
      <c r="N98" s="158"/>
      <c r="P98" s="20"/>
    </row>
    <row r="99">
      <c r="B99" s="158"/>
      <c r="D99" s="158"/>
      <c r="F99" s="158"/>
      <c r="H99" s="158"/>
      <c r="J99" s="158"/>
      <c r="L99" s="158"/>
      <c r="N99" s="158"/>
      <c r="P99" s="20"/>
    </row>
    <row r="100">
      <c r="B100" s="158"/>
      <c r="D100" s="158"/>
      <c r="F100" s="158"/>
      <c r="H100" s="158"/>
      <c r="J100" s="158"/>
      <c r="L100" s="158"/>
      <c r="N100" s="158"/>
      <c r="P100" s="20"/>
    </row>
    <row r="101">
      <c r="B101" s="158"/>
      <c r="D101" s="158"/>
      <c r="F101" s="158"/>
      <c r="H101" s="158"/>
      <c r="J101" s="158"/>
      <c r="L101" s="158"/>
      <c r="N101" s="158"/>
      <c r="P101" s="20"/>
    </row>
    <row r="102">
      <c r="B102" s="158"/>
      <c r="D102" s="158"/>
      <c r="F102" s="158"/>
      <c r="H102" s="158"/>
      <c r="J102" s="158"/>
      <c r="L102" s="158"/>
      <c r="N102" s="158"/>
      <c r="P102" s="20"/>
    </row>
    <row r="103">
      <c r="B103" s="158"/>
      <c r="D103" s="158"/>
      <c r="F103" s="158"/>
      <c r="H103" s="158"/>
      <c r="J103" s="158"/>
      <c r="L103" s="158"/>
      <c r="N103" s="158"/>
      <c r="P103" s="20"/>
    </row>
    <row r="104">
      <c r="B104" s="158"/>
      <c r="D104" s="158"/>
      <c r="F104" s="158"/>
      <c r="H104" s="158"/>
      <c r="J104" s="158"/>
      <c r="L104" s="158"/>
      <c r="N104" s="158"/>
      <c r="P104" s="20"/>
    </row>
    <row r="105">
      <c r="B105" s="158"/>
      <c r="D105" s="158"/>
      <c r="F105" s="158"/>
      <c r="H105" s="158"/>
      <c r="J105" s="158"/>
      <c r="L105" s="158"/>
      <c r="N105" s="158"/>
      <c r="P105" s="20"/>
    </row>
    <row r="106">
      <c r="B106" s="158"/>
      <c r="D106" s="158"/>
      <c r="F106" s="158"/>
      <c r="H106" s="158"/>
      <c r="J106" s="158"/>
      <c r="L106" s="158"/>
      <c r="N106" s="158"/>
      <c r="P106" s="20"/>
    </row>
    <row r="107">
      <c r="B107" s="158"/>
      <c r="D107" s="158"/>
      <c r="F107" s="158"/>
      <c r="H107" s="158"/>
      <c r="J107" s="158"/>
      <c r="L107" s="158"/>
      <c r="N107" s="158"/>
      <c r="P107" s="20"/>
    </row>
    <row r="108">
      <c r="B108" s="158"/>
      <c r="D108" s="158"/>
      <c r="F108" s="158"/>
      <c r="H108" s="158"/>
      <c r="J108" s="158"/>
      <c r="L108" s="158"/>
      <c r="N108" s="158"/>
      <c r="P108" s="20"/>
    </row>
    <row r="109">
      <c r="B109" s="158"/>
      <c r="D109" s="158"/>
      <c r="F109" s="158"/>
      <c r="H109" s="158"/>
      <c r="J109" s="158"/>
      <c r="L109" s="158"/>
      <c r="N109" s="158"/>
      <c r="P109" s="20"/>
    </row>
    <row r="110">
      <c r="B110" s="158"/>
      <c r="D110" s="158"/>
      <c r="F110" s="158"/>
      <c r="H110" s="158"/>
      <c r="J110" s="158"/>
      <c r="L110" s="158"/>
      <c r="N110" s="158"/>
      <c r="P110" s="20"/>
    </row>
    <row r="111">
      <c r="B111" s="158"/>
      <c r="D111" s="158"/>
      <c r="F111" s="158"/>
      <c r="H111" s="158"/>
      <c r="J111" s="158"/>
      <c r="L111" s="158"/>
      <c r="N111" s="158"/>
      <c r="P111" s="20"/>
    </row>
    <row r="112">
      <c r="B112" s="158"/>
      <c r="D112" s="158"/>
      <c r="F112" s="158"/>
      <c r="H112" s="158"/>
      <c r="J112" s="158"/>
      <c r="L112" s="158"/>
      <c r="N112" s="158"/>
      <c r="P112" s="20"/>
    </row>
    <row r="113">
      <c r="B113" s="158"/>
      <c r="D113" s="158"/>
      <c r="F113" s="158"/>
      <c r="H113" s="158"/>
      <c r="J113" s="158"/>
      <c r="L113" s="158"/>
      <c r="N113" s="158"/>
      <c r="P113" s="20"/>
    </row>
    <row r="114">
      <c r="B114" s="158"/>
      <c r="D114" s="158"/>
      <c r="F114" s="158"/>
      <c r="H114" s="158"/>
      <c r="J114" s="158"/>
      <c r="L114" s="158"/>
      <c r="N114" s="158"/>
      <c r="P114" s="20"/>
    </row>
    <row r="115">
      <c r="B115" s="158"/>
      <c r="D115" s="158"/>
      <c r="F115" s="158"/>
      <c r="H115" s="158"/>
      <c r="J115" s="158"/>
      <c r="L115" s="158"/>
      <c r="N115" s="158"/>
      <c r="P115" s="20"/>
    </row>
    <row r="116">
      <c r="B116" s="158"/>
      <c r="D116" s="158"/>
      <c r="F116" s="158"/>
      <c r="H116" s="158"/>
      <c r="J116" s="158"/>
      <c r="L116" s="158"/>
      <c r="N116" s="158"/>
      <c r="P116" s="20"/>
    </row>
    <row r="117">
      <c r="B117" s="158"/>
      <c r="D117" s="158"/>
      <c r="F117" s="158"/>
      <c r="H117" s="158"/>
      <c r="J117" s="158"/>
      <c r="L117" s="158"/>
      <c r="N117" s="158"/>
      <c r="P117" s="20"/>
    </row>
    <row r="118">
      <c r="B118" s="158"/>
      <c r="D118" s="158"/>
      <c r="F118" s="158"/>
      <c r="H118" s="158"/>
      <c r="J118" s="158"/>
      <c r="L118" s="158"/>
      <c r="N118" s="158"/>
      <c r="P118" s="20"/>
    </row>
    <row r="119">
      <c r="B119" s="158"/>
      <c r="D119" s="158"/>
      <c r="F119" s="158"/>
      <c r="H119" s="158"/>
      <c r="J119" s="158"/>
      <c r="L119" s="158"/>
      <c r="N119" s="158"/>
      <c r="P119" s="20"/>
    </row>
    <row r="120">
      <c r="B120" s="158"/>
      <c r="D120" s="158"/>
      <c r="F120" s="158"/>
      <c r="H120" s="158"/>
      <c r="J120" s="158"/>
      <c r="L120" s="158"/>
      <c r="N120" s="158"/>
      <c r="P120" s="20"/>
    </row>
    <row r="121">
      <c r="B121" s="158"/>
      <c r="D121" s="158"/>
      <c r="F121" s="158"/>
      <c r="H121" s="158"/>
      <c r="J121" s="158"/>
      <c r="L121" s="158"/>
      <c r="N121" s="158"/>
      <c r="P121" s="20"/>
    </row>
    <row r="122">
      <c r="B122" s="158"/>
      <c r="D122" s="158"/>
      <c r="F122" s="158"/>
      <c r="H122" s="158"/>
      <c r="J122" s="158"/>
      <c r="L122" s="158"/>
      <c r="N122" s="158"/>
      <c r="P122" s="20"/>
    </row>
    <row r="123">
      <c r="B123" s="158"/>
      <c r="D123" s="158"/>
      <c r="F123" s="158"/>
      <c r="H123" s="158"/>
      <c r="J123" s="158"/>
      <c r="L123" s="158"/>
      <c r="N123" s="158"/>
      <c r="P123" s="20"/>
    </row>
    <row r="124">
      <c r="B124" s="158"/>
      <c r="D124" s="158"/>
      <c r="F124" s="158"/>
      <c r="H124" s="158"/>
      <c r="J124" s="158"/>
      <c r="L124" s="158"/>
      <c r="N124" s="158"/>
      <c r="P124" s="20"/>
    </row>
    <row r="125">
      <c r="B125" s="158"/>
      <c r="D125" s="158"/>
      <c r="F125" s="158"/>
      <c r="H125" s="158"/>
      <c r="J125" s="158"/>
      <c r="L125" s="158"/>
      <c r="N125" s="158"/>
      <c r="P125" s="20"/>
    </row>
    <row r="126">
      <c r="B126" s="158"/>
      <c r="D126" s="158"/>
      <c r="F126" s="158"/>
      <c r="H126" s="158"/>
      <c r="J126" s="158"/>
      <c r="L126" s="158"/>
      <c r="N126" s="158"/>
      <c r="P126" s="20"/>
    </row>
    <row r="127">
      <c r="B127" s="158"/>
      <c r="D127" s="158"/>
      <c r="F127" s="158"/>
      <c r="H127" s="158"/>
      <c r="J127" s="158"/>
      <c r="L127" s="158"/>
      <c r="N127" s="158"/>
      <c r="P127" s="20"/>
    </row>
    <row r="128">
      <c r="B128" s="158"/>
      <c r="D128" s="158"/>
      <c r="F128" s="158"/>
      <c r="H128" s="158"/>
      <c r="J128" s="158"/>
      <c r="L128" s="158"/>
      <c r="N128" s="158"/>
      <c r="P128" s="20"/>
    </row>
    <row r="129">
      <c r="B129" s="158"/>
      <c r="D129" s="158"/>
      <c r="F129" s="158"/>
      <c r="H129" s="158"/>
      <c r="J129" s="158"/>
      <c r="L129" s="158"/>
      <c r="N129" s="158"/>
      <c r="P129" s="20"/>
    </row>
    <row r="130">
      <c r="B130" s="158"/>
      <c r="D130" s="158"/>
      <c r="F130" s="158"/>
      <c r="H130" s="158"/>
      <c r="J130" s="158"/>
      <c r="L130" s="158"/>
      <c r="N130" s="158"/>
      <c r="P130" s="20"/>
    </row>
    <row r="131">
      <c r="B131" s="158"/>
      <c r="D131" s="158"/>
      <c r="F131" s="158"/>
      <c r="H131" s="158"/>
      <c r="J131" s="158"/>
      <c r="L131" s="158"/>
      <c r="N131" s="158"/>
      <c r="P131" s="20"/>
    </row>
    <row r="132">
      <c r="B132" s="158"/>
      <c r="D132" s="158"/>
      <c r="F132" s="158"/>
      <c r="H132" s="158"/>
      <c r="J132" s="158"/>
      <c r="L132" s="158"/>
      <c r="N132" s="158"/>
      <c r="P132" s="20"/>
    </row>
    <row r="133">
      <c r="B133" s="158"/>
      <c r="D133" s="158"/>
      <c r="F133" s="158"/>
      <c r="H133" s="158"/>
      <c r="J133" s="158"/>
      <c r="L133" s="158"/>
      <c r="N133" s="158"/>
      <c r="P133" s="20"/>
    </row>
    <row r="134">
      <c r="B134" s="158"/>
      <c r="D134" s="158"/>
      <c r="F134" s="158"/>
      <c r="H134" s="158"/>
      <c r="J134" s="158"/>
      <c r="L134" s="158"/>
      <c r="N134" s="158"/>
      <c r="P134" s="20"/>
    </row>
    <row r="135">
      <c r="B135" s="158"/>
      <c r="D135" s="158"/>
      <c r="F135" s="158"/>
      <c r="H135" s="158"/>
      <c r="J135" s="158"/>
      <c r="L135" s="158"/>
      <c r="N135" s="158"/>
      <c r="P135" s="20"/>
    </row>
    <row r="136">
      <c r="B136" s="158"/>
      <c r="D136" s="158"/>
      <c r="F136" s="158"/>
      <c r="H136" s="158"/>
      <c r="J136" s="158"/>
      <c r="L136" s="158"/>
      <c r="N136" s="158"/>
      <c r="P136" s="20"/>
    </row>
    <row r="137">
      <c r="B137" s="158"/>
      <c r="D137" s="158"/>
      <c r="F137" s="158"/>
      <c r="H137" s="158"/>
      <c r="J137" s="158"/>
      <c r="L137" s="158"/>
      <c r="N137" s="158"/>
      <c r="P137" s="20"/>
    </row>
    <row r="138">
      <c r="B138" s="158"/>
      <c r="D138" s="158"/>
      <c r="F138" s="158"/>
      <c r="H138" s="158"/>
      <c r="J138" s="158"/>
      <c r="L138" s="158"/>
      <c r="N138" s="158"/>
      <c r="P138" s="20"/>
    </row>
    <row r="139">
      <c r="B139" s="158"/>
      <c r="D139" s="158"/>
      <c r="F139" s="158"/>
      <c r="H139" s="158"/>
      <c r="J139" s="158"/>
      <c r="L139" s="158"/>
      <c r="N139" s="158"/>
      <c r="P139" s="20"/>
    </row>
    <row r="140">
      <c r="B140" s="158"/>
      <c r="D140" s="158"/>
      <c r="F140" s="158"/>
      <c r="H140" s="158"/>
      <c r="J140" s="158"/>
      <c r="L140" s="158"/>
      <c r="N140" s="158"/>
      <c r="P140" s="20"/>
    </row>
    <row r="141">
      <c r="B141" s="158"/>
      <c r="D141" s="158"/>
      <c r="F141" s="158"/>
      <c r="H141" s="158"/>
      <c r="J141" s="158"/>
      <c r="L141" s="158"/>
      <c r="N141" s="158"/>
      <c r="P141" s="20"/>
    </row>
    <row r="142">
      <c r="B142" s="158"/>
      <c r="D142" s="158"/>
      <c r="F142" s="158"/>
      <c r="H142" s="158"/>
      <c r="J142" s="158"/>
      <c r="L142" s="158"/>
      <c r="N142" s="158"/>
      <c r="P142" s="20"/>
    </row>
    <row r="143">
      <c r="B143" s="158"/>
      <c r="D143" s="158"/>
      <c r="F143" s="158"/>
      <c r="H143" s="158"/>
      <c r="J143" s="158"/>
      <c r="L143" s="158"/>
      <c r="N143" s="158"/>
      <c r="P143" s="20"/>
    </row>
    <row r="144">
      <c r="B144" s="158"/>
      <c r="D144" s="158"/>
      <c r="F144" s="158"/>
      <c r="H144" s="158"/>
      <c r="J144" s="158"/>
      <c r="L144" s="158"/>
      <c r="N144" s="158"/>
      <c r="P144" s="20"/>
    </row>
    <row r="145">
      <c r="B145" s="158"/>
      <c r="D145" s="158"/>
      <c r="F145" s="158"/>
      <c r="H145" s="158"/>
      <c r="J145" s="158"/>
      <c r="L145" s="158"/>
      <c r="N145" s="158"/>
      <c r="P145" s="20"/>
    </row>
    <row r="146">
      <c r="B146" s="158"/>
      <c r="D146" s="158"/>
      <c r="F146" s="158"/>
      <c r="H146" s="158"/>
      <c r="J146" s="158"/>
      <c r="L146" s="158"/>
      <c r="N146" s="158"/>
      <c r="P146" s="20"/>
    </row>
    <row r="147">
      <c r="B147" s="158"/>
      <c r="D147" s="158"/>
      <c r="F147" s="158"/>
      <c r="H147" s="158"/>
      <c r="J147" s="158"/>
      <c r="L147" s="158"/>
      <c r="N147" s="158"/>
      <c r="P147" s="20"/>
    </row>
    <row r="148">
      <c r="B148" s="158"/>
      <c r="D148" s="158"/>
      <c r="F148" s="158"/>
      <c r="H148" s="158"/>
      <c r="J148" s="158"/>
      <c r="L148" s="158"/>
      <c r="N148" s="158"/>
      <c r="P148" s="20"/>
    </row>
    <row r="149">
      <c r="B149" s="158"/>
      <c r="D149" s="158"/>
      <c r="F149" s="158"/>
      <c r="H149" s="158"/>
      <c r="J149" s="158"/>
      <c r="L149" s="158"/>
      <c r="N149" s="158"/>
      <c r="P149" s="20"/>
    </row>
    <row r="150">
      <c r="B150" s="158"/>
      <c r="D150" s="158"/>
      <c r="F150" s="158"/>
      <c r="H150" s="158"/>
      <c r="J150" s="158"/>
      <c r="L150" s="158"/>
      <c r="N150" s="158"/>
      <c r="P150" s="20"/>
    </row>
    <row r="151">
      <c r="B151" s="158"/>
      <c r="D151" s="158"/>
      <c r="F151" s="158"/>
      <c r="H151" s="158"/>
      <c r="J151" s="158"/>
      <c r="L151" s="158"/>
      <c r="N151" s="158"/>
      <c r="P151" s="20"/>
    </row>
    <row r="152">
      <c r="B152" s="158"/>
      <c r="D152" s="158"/>
      <c r="F152" s="158"/>
      <c r="H152" s="158"/>
      <c r="J152" s="158"/>
      <c r="L152" s="158"/>
      <c r="N152" s="158"/>
      <c r="P152" s="20"/>
    </row>
    <row r="153">
      <c r="B153" s="158"/>
      <c r="D153" s="158"/>
      <c r="F153" s="158"/>
      <c r="H153" s="158"/>
      <c r="J153" s="158"/>
      <c r="L153" s="158"/>
      <c r="N153" s="158"/>
      <c r="P153" s="20"/>
    </row>
    <row r="154">
      <c r="B154" s="158"/>
      <c r="D154" s="158"/>
      <c r="F154" s="158"/>
      <c r="H154" s="158"/>
      <c r="J154" s="158"/>
      <c r="L154" s="158"/>
      <c r="N154" s="158"/>
      <c r="P154" s="20"/>
    </row>
    <row r="155">
      <c r="B155" s="158"/>
      <c r="D155" s="158"/>
      <c r="F155" s="158"/>
      <c r="H155" s="158"/>
      <c r="J155" s="158"/>
      <c r="L155" s="158"/>
      <c r="N155" s="158"/>
      <c r="P155" s="20"/>
    </row>
    <row r="156">
      <c r="B156" s="158"/>
      <c r="D156" s="158"/>
      <c r="F156" s="158"/>
      <c r="H156" s="158"/>
      <c r="J156" s="158"/>
      <c r="L156" s="158"/>
      <c r="N156" s="158"/>
      <c r="P156" s="20"/>
    </row>
    <row r="157">
      <c r="B157" s="158"/>
      <c r="D157" s="158"/>
      <c r="F157" s="158"/>
      <c r="H157" s="158"/>
      <c r="J157" s="158"/>
      <c r="L157" s="158"/>
      <c r="N157" s="158"/>
      <c r="P157" s="20"/>
    </row>
    <row r="158">
      <c r="B158" s="158"/>
      <c r="D158" s="158"/>
      <c r="F158" s="158"/>
      <c r="H158" s="158"/>
      <c r="J158" s="158"/>
      <c r="L158" s="158"/>
      <c r="N158" s="158"/>
      <c r="P158" s="20"/>
    </row>
    <row r="159">
      <c r="B159" s="158"/>
      <c r="D159" s="158"/>
      <c r="F159" s="158"/>
      <c r="H159" s="158"/>
      <c r="J159" s="158"/>
      <c r="L159" s="158"/>
      <c r="N159" s="158"/>
      <c r="P159" s="20"/>
    </row>
    <row r="160">
      <c r="B160" s="158"/>
      <c r="D160" s="158"/>
      <c r="F160" s="158"/>
      <c r="H160" s="158"/>
      <c r="J160" s="158"/>
      <c r="L160" s="158"/>
      <c r="N160" s="158"/>
      <c r="P160" s="20"/>
    </row>
    <row r="161">
      <c r="B161" s="158"/>
      <c r="D161" s="158"/>
      <c r="F161" s="158"/>
      <c r="H161" s="158"/>
      <c r="J161" s="158"/>
      <c r="L161" s="158"/>
      <c r="N161" s="158"/>
      <c r="P161" s="20"/>
    </row>
    <row r="162">
      <c r="B162" s="158"/>
      <c r="D162" s="158"/>
      <c r="F162" s="158"/>
      <c r="H162" s="158"/>
      <c r="J162" s="158"/>
      <c r="L162" s="158"/>
      <c r="N162" s="158"/>
      <c r="P162" s="20"/>
    </row>
    <row r="163">
      <c r="B163" s="158"/>
      <c r="D163" s="158"/>
      <c r="F163" s="158"/>
      <c r="H163" s="158"/>
      <c r="J163" s="158"/>
      <c r="L163" s="158"/>
      <c r="N163" s="158"/>
      <c r="P163" s="20"/>
    </row>
    <row r="164">
      <c r="B164" s="158"/>
      <c r="D164" s="158"/>
      <c r="F164" s="158"/>
      <c r="H164" s="158"/>
      <c r="J164" s="158"/>
      <c r="L164" s="158"/>
      <c r="N164" s="158"/>
      <c r="P164" s="20"/>
    </row>
    <row r="165">
      <c r="B165" s="158"/>
      <c r="D165" s="158"/>
      <c r="F165" s="158"/>
      <c r="H165" s="158"/>
      <c r="J165" s="158"/>
      <c r="L165" s="158"/>
      <c r="N165" s="158"/>
      <c r="P165" s="20"/>
    </row>
    <row r="166">
      <c r="B166" s="158"/>
      <c r="D166" s="158"/>
      <c r="F166" s="158"/>
      <c r="H166" s="158"/>
      <c r="J166" s="158"/>
      <c r="L166" s="158"/>
      <c r="N166" s="158"/>
      <c r="P166" s="20"/>
    </row>
    <row r="167">
      <c r="B167" s="158"/>
      <c r="D167" s="158"/>
      <c r="F167" s="158"/>
      <c r="H167" s="158"/>
      <c r="J167" s="158"/>
      <c r="L167" s="158"/>
      <c r="N167" s="158"/>
      <c r="P167" s="20"/>
    </row>
    <row r="168">
      <c r="B168" s="158"/>
      <c r="D168" s="158"/>
      <c r="F168" s="158"/>
      <c r="H168" s="158"/>
      <c r="J168" s="158"/>
      <c r="L168" s="158"/>
      <c r="N168" s="158"/>
      <c r="P168" s="20"/>
    </row>
    <row r="169">
      <c r="B169" s="158"/>
      <c r="D169" s="158"/>
      <c r="F169" s="158"/>
      <c r="H169" s="158"/>
      <c r="J169" s="158"/>
      <c r="L169" s="158"/>
      <c r="N169" s="158"/>
      <c r="P169" s="20"/>
    </row>
    <row r="170">
      <c r="B170" s="158"/>
      <c r="D170" s="158"/>
      <c r="F170" s="158"/>
      <c r="H170" s="158"/>
      <c r="J170" s="158"/>
      <c r="L170" s="158"/>
      <c r="N170" s="158"/>
      <c r="P170" s="20"/>
    </row>
    <row r="171">
      <c r="B171" s="158"/>
      <c r="D171" s="158"/>
      <c r="F171" s="158"/>
      <c r="H171" s="158"/>
      <c r="J171" s="158"/>
      <c r="L171" s="158"/>
      <c r="N171" s="158"/>
      <c r="P171" s="20"/>
    </row>
    <row r="172">
      <c r="B172" s="158"/>
      <c r="D172" s="158"/>
      <c r="F172" s="158"/>
      <c r="H172" s="158"/>
      <c r="J172" s="158"/>
      <c r="L172" s="158"/>
      <c r="N172" s="158"/>
      <c r="P172" s="20"/>
    </row>
    <row r="173">
      <c r="B173" s="158"/>
      <c r="D173" s="158"/>
      <c r="F173" s="158"/>
      <c r="H173" s="158"/>
      <c r="J173" s="158"/>
      <c r="L173" s="158"/>
      <c r="N173" s="158"/>
      <c r="P173" s="20"/>
    </row>
    <row r="174">
      <c r="B174" s="158"/>
      <c r="D174" s="158"/>
      <c r="F174" s="158"/>
      <c r="H174" s="158"/>
      <c r="J174" s="158"/>
      <c r="L174" s="158"/>
      <c r="N174" s="158"/>
      <c r="P174" s="20"/>
    </row>
    <row r="175">
      <c r="B175" s="158"/>
      <c r="D175" s="158"/>
      <c r="F175" s="158"/>
      <c r="H175" s="158"/>
      <c r="J175" s="158"/>
      <c r="L175" s="158"/>
      <c r="N175" s="158"/>
      <c r="P175" s="20"/>
    </row>
    <row r="176">
      <c r="B176" s="158"/>
      <c r="D176" s="158"/>
      <c r="F176" s="158"/>
      <c r="H176" s="158"/>
      <c r="J176" s="158"/>
      <c r="L176" s="158"/>
      <c r="N176" s="158"/>
      <c r="P176" s="20"/>
    </row>
    <row r="177">
      <c r="B177" s="158"/>
      <c r="D177" s="158"/>
      <c r="F177" s="158"/>
      <c r="H177" s="158"/>
      <c r="J177" s="158"/>
      <c r="L177" s="158"/>
      <c r="N177" s="158"/>
      <c r="P177" s="20"/>
    </row>
    <row r="178">
      <c r="B178" s="158"/>
      <c r="D178" s="158"/>
      <c r="F178" s="158"/>
      <c r="H178" s="158"/>
      <c r="J178" s="158"/>
      <c r="L178" s="158"/>
      <c r="N178" s="158"/>
      <c r="P178" s="20"/>
    </row>
    <row r="179">
      <c r="B179" s="158"/>
      <c r="D179" s="158"/>
      <c r="F179" s="158"/>
      <c r="H179" s="158"/>
      <c r="J179" s="158"/>
      <c r="L179" s="158"/>
      <c r="N179" s="158"/>
      <c r="P179" s="20"/>
    </row>
    <row r="180">
      <c r="B180" s="158"/>
      <c r="D180" s="158"/>
      <c r="F180" s="158"/>
      <c r="H180" s="158"/>
      <c r="J180" s="158"/>
      <c r="L180" s="158"/>
      <c r="N180" s="158"/>
      <c r="P180" s="20"/>
    </row>
    <row r="181">
      <c r="B181" s="158"/>
      <c r="D181" s="158"/>
      <c r="F181" s="158"/>
      <c r="H181" s="158"/>
      <c r="J181" s="158"/>
      <c r="L181" s="158"/>
      <c r="N181" s="158"/>
      <c r="P181" s="20"/>
    </row>
    <row r="182">
      <c r="B182" s="158"/>
      <c r="D182" s="158"/>
      <c r="F182" s="158"/>
      <c r="H182" s="158"/>
      <c r="J182" s="158"/>
      <c r="L182" s="158"/>
      <c r="N182" s="158"/>
      <c r="P182" s="20"/>
    </row>
    <row r="183">
      <c r="B183" s="158"/>
      <c r="D183" s="158"/>
      <c r="F183" s="158"/>
      <c r="H183" s="158"/>
      <c r="J183" s="158"/>
      <c r="L183" s="158"/>
      <c r="N183" s="158"/>
      <c r="P183" s="20"/>
    </row>
    <row r="184">
      <c r="B184" s="158"/>
      <c r="D184" s="158"/>
      <c r="F184" s="158"/>
      <c r="H184" s="158"/>
      <c r="J184" s="158"/>
      <c r="L184" s="158"/>
      <c r="N184" s="158"/>
      <c r="P184" s="20"/>
    </row>
    <row r="185">
      <c r="B185" s="158"/>
      <c r="D185" s="158"/>
      <c r="F185" s="158"/>
      <c r="H185" s="158"/>
      <c r="J185" s="158"/>
      <c r="L185" s="158"/>
      <c r="N185" s="158"/>
      <c r="P185" s="20"/>
    </row>
    <row r="186">
      <c r="B186" s="158"/>
      <c r="D186" s="158"/>
      <c r="F186" s="158"/>
      <c r="H186" s="158"/>
      <c r="J186" s="158"/>
      <c r="L186" s="158"/>
      <c r="N186" s="158"/>
      <c r="P186" s="20"/>
    </row>
    <row r="187">
      <c r="B187" s="158"/>
      <c r="D187" s="158"/>
      <c r="F187" s="158"/>
      <c r="H187" s="158"/>
      <c r="J187" s="158"/>
      <c r="L187" s="158"/>
      <c r="N187" s="158"/>
      <c r="P187" s="20"/>
    </row>
    <row r="188">
      <c r="B188" s="158"/>
      <c r="D188" s="158"/>
      <c r="F188" s="158"/>
      <c r="H188" s="158"/>
      <c r="J188" s="158"/>
      <c r="L188" s="158"/>
      <c r="N188" s="158"/>
      <c r="P188" s="20"/>
    </row>
    <row r="189">
      <c r="B189" s="158"/>
      <c r="D189" s="158"/>
      <c r="F189" s="158"/>
      <c r="H189" s="158"/>
      <c r="J189" s="158"/>
      <c r="L189" s="158"/>
      <c r="N189" s="158"/>
      <c r="P189" s="20"/>
    </row>
    <row r="190">
      <c r="B190" s="158"/>
      <c r="D190" s="158"/>
      <c r="F190" s="158"/>
      <c r="H190" s="158"/>
      <c r="J190" s="158"/>
      <c r="L190" s="158"/>
      <c r="N190" s="158"/>
      <c r="P190" s="20"/>
    </row>
    <row r="191">
      <c r="B191" s="158"/>
      <c r="D191" s="158"/>
      <c r="F191" s="158"/>
      <c r="H191" s="158"/>
      <c r="J191" s="158"/>
      <c r="L191" s="158"/>
      <c r="N191" s="158"/>
      <c r="P191" s="20"/>
    </row>
    <row r="192">
      <c r="B192" s="158"/>
      <c r="D192" s="158"/>
      <c r="F192" s="158"/>
      <c r="H192" s="158"/>
      <c r="J192" s="158"/>
      <c r="L192" s="158"/>
      <c r="N192" s="158"/>
      <c r="P192" s="20"/>
    </row>
    <row r="193">
      <c r="B193" s="158"/>
      <c r="D193" s="158"/>
      <c r="F193" s="158"/>
      <c r="H193" s="158"/>
      <c r="J193" s="158"/>
      <c r="L193" s="158"/>
      <c r="N193" s="158"/>
      <c r="P193" s="20"/>
    </row>
    <row r="194">
      <c r="B194" s="158"/>
      <c r="D194" s="158"/>
      <c r="F194" s="158"/>
      <c r="H194" s="158"/>
      <c r="J194" s="158"/>
      <c r="L194" s="158"/>
      <c r="N194" s="158"/>
      <c r="P194" s="20"/>
    </row>
    <row r="195">
      <c r="B195" s="158"/>
      <c r="D195" s="158"/>
      <c r="F195" s="158"/>
      <c r="H195" s="158"/>
      <c r="J195" s="158"/>
      <c r="L195" s="158"/>
      <c r="N195" s="158"/>
      <c r="P195" s="20"/>
    </row>
    <row r="196">
      <c r="B196" s="158"/>
      <c r="D196" s="158"/>
      <c r="F196" s="158"/>
      <c r="H196" s="158"/>
      <c r="J196" s="158"/>
      <c r="L196" s="158"/>
      <c r="N196" s="158"/>
      <c r="P196" s="20"/>
    </row>
    <row r="197">
      <c r="B197" s="158"/>
      <c r="D197" s="158"/>
      <c r="F197" s="158"/>
      <c r="H197" s="158"/>
      <c r="J197" s="158"/>
      <c r="L197" s="158"/>
      <c r="N197" s="158"/>
      <c r="P197" s="20"/>
    </row>
    <row r="198">
      <c r="B198" s="158"/>
      <c r="D198" s="158"/>
      <c r="F198" s="158"/>
      <c r="H198" s="158"/>
      <c r="J198" s="158"/>
      <c r="L198" s="158"/>
      <c r="N198" s="158"/>
      <c r="P198" s="20"/>
    </row>
    <row r="199">
      <c r="B199" s="158"/>
      <c r="D199" s="158"/>
      <c r="F199" s="158"/>
      <c r="H199" s="158"/>
      <c r="J199" s="158"/>
      <c r="L199" s="158"/>
      <c r="N199" s="158"/>
      <c r="P199" s="20"/>
    </row>
    <row r="200">
      <c r="B200" s="158"/>
      <c r="D200" s="158"/>
      <c r="F200" s="158"/>
      <c r="H200" s="158"/>
      <c r="J200" s="158"/>
      <c r="L200" s="158"/>
      <c r="N200" s="158"/>
      <c r="P200" s="20"/>
    </row>
    <row r="201">
      <c r="B201" s="158"/>
      <c r="D201" s="158"/>
      <c r="F201" s="158"/>
      <c r="H201" s="158"/>
      <c r="J201" s="158"/>
      <c r="L201" s="158"/>
      <c r="N201" s="158"/>
      <c r="P201" s="20"/>
    </row>
    <row r="202">
      <c r="B202" s="158"/>
      <c r="D202" s="158"/>
      <c r="F202" s="158"/>
      <c r="H202" s="158"/>
      <c r="J202" s="158"/>
      <c r="L202" s="158"/>
      <c r="N202" s="158"/>
      <c r="P202" s="20"/>
    </row>
    <row r="203">
      <c r="B203" s="158"/>
      <c r="D203" s="158"/>
      <c r="F203" s="158"/>
      <c r="H203" s="158"/>
      <c r="J203" s="158"/>
      <c r="L203" s="158"/>
      <c r="N203" s="158"/>
      <c r="P203" s="20"/>
    </row>
    <row r="204">
      <c r="B204" s="158"/>
      <c r="D204" s="158"/>
      <c r="F204" s="158"/>
      <c r="H204" s="158"/>
      <c r="J204" s="158"/>
      <c r="L204" s="158"/>
      <c r="N204" s="158"/>
      <c r="P204" s="20"/>
    </row>
    <row r="205">
      <c r="B205" s="158"/>
      <c r="D205" s="158"/>
      <c r="F205" s="158"/>
      <c r="H205" s="158"/>
      <c r="J205" s="158"/>
      <c r="L205" s="158"/>
      <c r="N205" s="158"/>
      <c r="P205" s="20"/>
    </row>
    <row r="206">
      <c r="B206" s="158"/>
      <c r="D206" s="158"/>
      <c r="F206" s="158"/>
      <c r="H206" s="158"/>
      <c r="J206" s="158"/>
      <c r="L206" s="158"/>
      <c r="N206" s="158"/>
      <c r="P206" s="20"/>
    </row>
    <row r="207">
      <c r="B207" s="158"/>
      <c r="D207" s="158"/>
      <c r="F207" s="158"/>
      <c r="H207" s="158"/>
      <c r="J207" s="158"/>
      <c r="L207" s="158"/>
      <c r="N207" s="158"/>
      <c r="P207" s="20"/>
    </row>
    <row r="208">
      <c r="B208" s="158"/>
      <c r="D208" s="158"/>
      <c r="F208" s="158"/>
      <c r="H208" s="158"/>
      <c r="J208" s="158"/>
      <c r="L208" s="158"/>
      <c r="N208" s="158"/>
      <c r="P208" s="20"/>
    </row>
    <row r="209">
      <c r="B209" s="158"/>
      <c r="D209" s="158"/>
      <c r="F209" s="158"/>
      <c r="H209" s="158"/>
      <c r="J209" s="158"/>
      <c r="L209" s="158"/>
      <c r="N209" s="158"/>
      <c r="P209" s="20"/>
    </row>
    <row r="210">
      <c r="B210" s="158"/>
      <c r="D210" s="158"/>
      <c r="F210" s="158"/>
      <c r="H210" s="158"/>
      <c r="J210" s="158"/>
      <c r="L210" s="158"/>
      <c r="N210" s="158"/>
      <c r="P210" s="20"/>
    </row>
    <row r="211">
      <c r="B211" s="158"/>
      <c r="D211" s="158"/>
      <c r="F211" s="158"/>
      <c r="H211" s="158"/>
      <c r="J211" s="158"/>
      <c r="L211" s="158"/>
      <c r="N211" s="158"/>
      <c r="P211" s="20"/>
    </row>
    <row r="212">
      <c r="B212" s="158"/>
      <c r="D212" s="158"/>
      <c r="F212" s="158"/>
      <c r="H212" s="158"/>
      <c r="J212" s="158"/>
      <c r="L212" s="158"/>
      <c r="N212" s="158"/>
      <c r="P212" s="20"/>
    </row>
    <row r="213">
      <c r="B213" s="158"/>
      <c r="D213" s="158"/>
      <c r="F213" s="158"/>
      <c r="H213" s="158"/>
      <c r="J213" s="158"/>
      <c r="L213" s="158"/>
      <c r="N213" s="158"/>
      <c r="P213" s="20"/>
    </row>
    <row r="214">
      <c r="B214" s="158"/>
      <c r="D214" s="158"/>
      <c r="F214" s="158"/>
      <c r="H214" s="158"/>
      <c r="J214" s="158"/>
      <c r="L214" s="158"/>
      <c r="N214" s="158"/>
      <c r="P214" s="20"/>
    </row>
    <row r="215">
      <c r="B215" s="158"/>
      <c r="D215" s="158"/>
      <c r="F215" s="158"/>
      <c r="H215" s="158"/>
      <c r="J215" s="158"/>
      <c r="L215" s="158"/>
      <c r="N215" s="158"/>
      <c r="P215" s="20"/>
    </row>
    <row r="216">
      <c r="B216" s="158"/>
      <c r="D216" s="158"/>
      <c r="F216" s="158"/>
      <c r="H216" s="158"/>
      <c r="J216" s="158"/>
      <c r="L216" s="158"/>
      <c r="N216" s="158"/>
      <c r="P216" s="20"/>
    </row>
    <row r="217">
      <c r="B217" s="158"/>
      <c r="D217" s="158"/>
      <c r="F217" s="158"/>
      <c r="H217" s="158"/>
      <c r="J217" s="158"/>
      <c r="L217" s="158"/>
      <c r="N217" s="158"/>
      <c r="P217" s="20"/>
    </row>
    <row r="218">
      <c r="B218" s="158"/>
      <c r="D218" s="158"/>
      <c r="F218" s="158"/>
      <c r="H218" s="158"/>
      <c r="J218" s="158"/>
      <c r="L218" s="158"/>
      <c r="N218" s="158"/>
      <c r="P218" s="20"/>
    </row>
    <row r="219">
      <c r="B219" s="158"/>
      <c r="D219" s="158"/>
      <c r="F219" s="158"/>
      <c r="H219" s="158"/>
      <c r="J219" s="158"/>
      <c r="L219" s="158"/>
      <c r="N219" s="158"/>
      <c r="P219" s="20"/>
    </row>
    <row r="220">
      <c r="B220" s="158"/>
      <c r="D220" s="158"/>
      <c r="F220" s="158"/>
      <c r="H220" s="158"/>
      <c r="J220" s="158"/>
      <c r="L220" s="158"/>
      <c r="N220" s="158"/>
      <c r="P220" s="20"/>
    </row>
    <row r="221">
      <c r="B221" s="158"/>
      <c r="D221" s="158"/>
      <c r="F221" s="158"/>
      <c r="H221" s="158"/>
      <c r="J221" s="158"/>
      <c r="L221" s="158"/>
      <c r="N221" s="158"/>
      <c r="P221" s="20"/>
    </row>
    <row r="222">
      <c r="B222" s="158"/>
      <c r="D222" s="158"/>
      <c r="F222" s="158"/>
      <c r="H222" s="158"/>
      <c r="J222" s="158"/>
      <c r="L222" s="158"/>
      <c r="N222" s="158"/>
      <c r="P222" s="20"/>
    </row>
    <row r="223">
      <c r="B223" s="158"/>
      <c r="D223" s="158"/>
      <c r="F223" s="158"/>
      <c r="H223" s="158"/>
      <c r="J223" s="158"/>
      <c r="L223" s="158"/>
      <c r="N223" s="158"/>
      <c r="P223" s="20"/>
    </row>
    <row r="224">
      <c r="B224" s="158"/>
      <c r="D224" s="158"/>
      <c r="F224" s="158"/>
      <c r="H224" s="158"/>
      <c r="J224" s="158"/>
      <c r="L224" s="158"/>
      <c r="N224" s="158"/>
      <c r="P224" s="20"/>
    </row>
    <row r="225">
      <c r="B225" s="158"/>
      <c r="D225" s="158"/>
      <c r="F225" s="158"/>
      <c r="H225" s="158"/>
      <c r="J225" s="158"/>
      <c r="L225" s="158"/>
      <c r="N225" s="158"/>
      <c r="P225" s="20"/>
    </row>
    <row r="226">
      <c r="B226" s="158"/>
      <c r="D226" s="158"/>
      <c r="F226" s="158"/>
      <c r="H226" s="158"/>
      <c r="J226" s="158"/>
      <c r="L226" s="158"/>
      <c r="N226" s="158"/>
      <c r="P226" s="20"/>
    </row>
    <row r="227">
      <c r="B227" s="158"/>
      <c r="D227" s="158"/>
      <c r="F227" s="158"/>
      <c r="H227" s="158"/>
      <c r="J227" s="158"/>
      <c r="L227" s="158"/>
      <c r="N227" s="158"/>
      <c r="P227" s="20"/>
    </row>
    <row r="228">
      <c r="B228" s="158"/>
      <c r="D228" s="158"/>
      <c r="F228" s="158"/>
      <c r="H228" s="158"/>
      <c r="J228" s="158"/>
      <c r="L228" s="158"/>
      <c r="N228" s="158"/>
      <c r="P228" s="20"/>
    </row>
    <row r="229">
      <c r="B229" s="158"/>
      <c r="D229" s="158"/>
      <c r="F229" s="158"/>
      <c r="H229" s="158"/>
      <c r="J229" s="158"/>
      <c r="L229" s="158"/>
      <c r="N229" s="158"/>
      <c r="P229" s="20"/>
    </row>
    <row r="230">
      <c r="B230" s="158"/>
      <c r="D230" s="158"/>
      <c r="F230" s="158"/>
      <c r="H230" s="158"/>
      <c r="J230" s="158"/>
      <c r="L230" s="158"/>
      <c r="N230" s="158"/>
      <c r="P230" s="20"/>
    </row>
    <row r="231">
      <c r="B231" s="158"/>
      <c r="D231" s="158"/>
      <c r="F231" s="158"/>
      <c r="H231" s="158"/>
      <c r="J231" s="158"/>
      <c r="L231" s="158"/>
      <c r="N231" s="158"/>
      <c r="P231" s="20"/>
    </row>
    <row r="232">
      <c r="B232" s="158"/>
      <c r="D232" s="158"/>
      <c r="F232" s="158"/>
      <c r="H232" s="158"/>
      <c r="J232" s="158"/>
      <c r="L232" s="158"/>
      <c r="N232" s="158"/>
      <c r="P232" s="20"/>
    </row>
    <row r="233">
      <c r="B233" s="158"/>
      <c r="D233" s="158"/>
      <c r="F233" s="158"/>
      <c r="H233" s="158"/>
      <c r="J233" s="158"/>
      <c r="L233" s="158"/>
      <c r="N233" s="158"/>
      <c r="P233" s="20"/>
    </row>
    <row r="234">
      <c r="B234" s="158"/>
      <c r="D234" s="158"/>
      <c r="F234" s="158"/>
      <c r="H234" s="158"/>
      <c r="J234" s="158"/>
      <c r="L234" s="158"/>
      <c r="N234" s="158"/>
      <c r="P234" s="20"/>
    </row>
    <row r="235">
      <c r="B235" s="158"/>
      <c r="D235" s="158"/>
      <c r="F235" s="158"/>
      <c r="H235" s="158"/>
      <c r="J235" s="158"/>
      <c r="L235" s="158"/>
      <c r="N235" s="158"/>
      <c r="P235" s="20"/>
    </row>
    <row r="236">
      <c r="B236" s="158"/>
      <c r="D236" s="158"/>
      <c r="F236" s="158"/>
      <c r="H236" s="158"/>
      <c r="J236" s="158"/>
      <c r="L236" s="158"/>
      <c r="N236" s="158"/>
      <c r="P236" s="20"/>
    </row>
    <row r="237">
      <c r="B237" s="158"/>
      <c r="D237" s="158"/>
      <c r="F237" s="158"/>
      <c r="H237" s="158"/>
      <c r="J237" s="158"/>
      <c r="L237" s="158"/>
      <c r="N237" s="158"/>
      <c r="P237" s="20"/>
    </row>
    <row r="238">
      <c r="B238" s="158"/>
      <c r="D238" s="158"/>
      <c r="F238" s="158"/>
      <c r="H238" s="158"/>
      <c r="J238" s="158"/>
      <c r="L238" s="158"/>
      <c r="N238" s="158"/>
      <c r="P238" s="20"/>
    </row>
    <row r="239">
      <c r="B239" s="158"/>
      <c r="D239" s="158"/>
      <c r="F239" s="158"/>
      <c r="H239" s="158"/>
      <c r="J239" s="158"/>
      <c r="L239" s="158"/>
      <c r="N239" s="158"/>
      <c r="P239" s="20"/>
    </row>
    <row r="240">
      <c r="B240" s="158"/>
      <c r="D240" s="158"/>
      <c r="F240" s="158"/>
      <c r="H240" s="158"/>
      <c r="J240" s="158"/>
      <c r="L240" s="158"/>
      <c r="N240" s="158"/>
      <c r="P240" s="20"/>
    </row>
    <row r="241">
      <c r="B241" s="158"/>
      <c r="D241" s="158"/>
      <c r="F241" s="158"/>
      <c r="H241" s="158"/>
      <c r="J241" s="158"/>
      <c r="L241" s="158"/>
      <c r="N241" s="158"/>
      <c r="P241" s="20"/>
    </row>
    <row r="242">
      <c r="B242" s="158"/>
      <c r="D242" s="158"/>
      <c r="F242" s="158"/>
      <c r="H242" s="158"/>
      <c r="J242" s="158"/>
      <c r="L242" s="158"/>
      <c r="N242" s="158"/>
      <c r="P242" s="20"/>
    </row>
    <row r="243">
      <c r="B243" s="158"/>
      <c r="D243" s="158"/>
      <c r="F243" s="158"/>
      <c r="H243" s="158"/>
      <c r="J243" s="158"/>
      <c r="L243" s="158"/>
      <c r="N243" s="158"/>
      <c r="P243" s="20"/>
    </row>
    <row r="244">
      <c r="B244" s="158"/>
      <c r="D244" s="158"/>
      <c r="F244" s="158"/>
      <c r="H244" s="158"/>
      <c r="J244" s="158"/>
      <c r="L244" s="158"/>
      <c r="N244" s="158"/>
      <c r="P244" s="20"/>
    </row>
    <row r="245">
      <c r="B245" s="158"/>
      <c r="D245" s="158"/>
      <c r="F245" s="158"/>
      <c r="H245" s="158"/>
      <c r="J245" s="158"/>
      <c r="L245" s="158"/>
      <c r="N245" s="158"/>
      <c r="P245" s="20"/>
    </row>
    <row r="246">
      <c r="B246" s="158"/>
      <c r="D246" s="158"/>
      <c r="F246" s="158"/>
      <c r="H246" s="158"/>
      <c r="J246" s="158"/>
      <c r="L246" s="158"/>
      <c r="N246" s="158"/>
      <c r="P246" s="20"/>
    </row>
    <row r="247">
      <c r="B247" s="158"/>
      <c r="D247" s="158"/>
      <c r="F247" s="158"/>
      <c r="H247" s="158"/>
      <c r="J247" s="158"/>
      <c r="L247" s="158"/>
      <c r="N247" s="158"/>
      <c r="P247" s="20"/>
    </row>
    <row r="248">
      <c r="B248" s="158"/>
      <c r="D248" s="158"/>
      <c r="F248" s="158"/>
      <c r="H248" s="158"/>
      <c r="J248" s="158"/>
      <c r="L248" s="158"/>
      <c r="N248" s="158"/>
      <c r="P248" s="20"/>
    </row>
    <row r="249">
      <c r="B249" s="158"/>
      <c r="D249" s="158"/>
      <c r="F249" s="158"/>
      <c r="H249" s="158"/>
      <c r="J249" s="158"/>
      <c r="L249" s="158"/>
      <c r="N249" s="158"/>
      <c r="P249" s="20"/>
    </row>
    <row r="250">
      <c r="B250" s="158"/>
      <c r="D250" s="158"/>
      <c r="F250" s="158"/>
      <c r="H250" s="158"/>
      <c r="J250" s="158"/>
      <c r="L250" s="158"/>
      <c r="N250" s="158"/>
      <c r="P250" s="20"/>
    </row>
    <row r="251">
      <c r="B251" s="158"/>
      <c r="D251" s="158"/>
      <c r="F251" s="158"/>
      <c r="H251" s="158"/>
      <c r="J251" s="158"/>
      <c r="L251" s="158"/>
      <c r="N251" s="158"/>
      <c r="P251" s="20"/>
    </row>
    <row r="252">
      <c r="B252" s="158"/>
      <c r="D252" s="158"/>
      <c r="F252" s="158"/>
      <c r="H252" s="158"/>
      <c r="J252" s="158"/>
      <c r="L252" s="158"/>
      <c r="N252" s="158"/>
      <c r="P252" s="20"/>
    </row>
    <row r="253">
      <c r="B253" s="158"/>
      <c r="D253" s="158"/>
      <c r="F253" s="158"/>
      <c r="H253" s="158"/>
      <c r="J253" s="158"/>
      <c r="L253" s="158"/>
      <c r="N253" s="158"/>
      <c r="P253" s="20"/>
    </row>
    <row r="254">
      <c r="B254" s="158"/>
      <c r="D254" s="158"/>
      <c r="F254" s="158"/>
      <c r="H254" s="158"/>
      <c r="J254" s="158"/>
      <c r="L254" s="158"/>
      <c r="N254" s="158"/>
      <c r="P254" s="20"/>
    </row>
    <row r="255">
      <c r="B255" s="158"/>
      <c r="D255" s="158"/>
      <c r="F255" s="158"/>
      <c r="H255" s="158"/>
      <c r="J255" s="158"/>
      <c r="L255" s="158"/>
      <c r="N255" s="158"/>
      <c r="P255" s="20"/>
    </row>
    <row r="256">
      <c r="B256" s="158"/>
      <c r="D256" s="158"/>
      <c r="F256" s="158"/>
      <c r="H256" s="158"/>
      <c r="J256" s="158"/>
      <c r="L256" s="158"/>
      <c r="N256" s="158"/>
      <c r="P256" s="20"/>
    </row>
    <row r="257">
      <c r="B257" s="158"/>
      <c r="D257" s="158"/>
      <c r="F257" s="158"/>
      <c r="H257" s="158"/>
      <c r="J257" s="158"/>
      <c r="L257" s="158"/>
      <c r="N257" s="158"/>
      <c r="P257" s="20"/>
    </row>
    <row r="258">
      <c r="B258" s="158"/>
      <c r="D258" s="158"/>
      <c r="F258" s="158"/>
      <c r="H258" s="158"/>
      <c r="J258" s="158"/>
      <c r="L258" s="158"/>
      <c r="N258" s="158"/>
      <c r="P258" s="20"/>
    </row>
    <row r="259">
      <c r="B259" s="158"/>
      <c r="D259" s="158"/>
      <c r="F259" s="158"/>
      <c r="H259" s="158"/>
      <c r="J259" s="158"/>
      <c r="L259" s="158"/>
      <c r="N259" s="158"/>
      <c r="P259" s="20"/>
    </row>
    <row r="260">
      <c r="B260" s="158"/>
      <c r="D260" s="158"/>
      <c r="F260" s="158"/>
      <c r="H260" s="158"/>
      <c r="J260" s="158"/>
      <c r="L260" s="158"/>
      <c r="N260" s="158"/>
      <c r="P260" s="20"/>
    </row>
    <row r="261">
      <c r="B261" s="158"/>
      <c r="D261" s="158"/>
      <c r="F261" s="158"/>
      <c r="H261" s="158"/>
      <c r="J261" s="158"/>
      <c r="L261" s="158"/>
      <c r="N261" s="158"/>
      <c r="P261" s="20"/>
    </row>
    <row r="262">
      <c r="B262" s="158"/>
      <c r="D262" s="158"/>
      <c r="F262" s="158"/>
      <c r="H262" s="158"/>
      <c r="J262" s="158"/>
      <c r="L262" s="158"/>
      <c r="N262" s="158"/>
      <c r="P262" s="20"/>
    </row>
    <row r="263">
      <c r="B263" s="158"/>
      <c r="D263" s="158"/>
      <c r="F263" s="158"/>
      <c r="H263" s="158"/>
      <c r="J263" s="158"/>
      <c r="L263" s="158"/>
      <c r="N263" s="158"/>
      <c r="P263" s="20"/>
    </row>
    <row r="264">
      <c r="B264" s="158"/>
      <c r="D264" s="158"/>
      <c r="F264" s="158"/>
      <c r="H264" s="158"/>
      <c r="J264" s="158"/>
      <c r="L264" s="158"/>
      <c r="N264" s="158"/>
      <c r="P264" s="20"/>
    </row>
    <row r="265">
      <c r="B265" s="158"/>
      <c r="D265" s="158"/>
      <c r="F265" s="158"/>
      <c r="H265" s="158"/>
      <c r="J265" s="158"/>
      <c r="L265" s="158"/>
      <c r="N265" s="158"/>
      <c r="P265" s="20"/>
    </row>
    <row r="266">
      <c r="B266" s="158"/>
      <c r="D266" s="158"/>
      <c r="F266" s="158"/>
      <c r="H266" s="158"/>
      <c r="J266" s="158"/>
      <c r="L266" s="158"/>
      <c r="N266" s="158"/>
      <c r="P266" s="20"/>
    </row>
    <row r="267">
      <c r="B267" s="158"/>
      <c r="D267" s="158"/>
      <c r="F267" s="158"/>
      <c r="H267" s="158"/>
      <c r="J267" s="158"/>
      <c r="L267" s="158"/>
      <c r="N267" s="158"/>
      <c r="P267" s="20"/>
    </row>
    <row r="268">
      <c r="B268" s="158"/>
      <c r="D268" s="158"/>
      <c r="F268" s="158"/>
      <c r="H268" s="158"/>
      <c r="J268" s="158"/>
      <c r="L268" s="158"/>
      <c r="N268" s="158"/>
      <c r="P268" s="20"/>
    </row>
    <row r="269">
      <c r="B269" s="158"/>
      <c r="D269" s="158"/>
      <c r="F269" s="158"/>
      <c r="H269" s="158"/>
      <c r="J269" s="158"/>
      <c r="L269" s="158"/>
      <c r="N269" s="158"/>
      <c r="P269" s="20"/>
    </row>
    <row r="270">
      <c r="B270" s="158"/>
      <c r="D270" s="158"/>
      <c r="F270" s="158"/>
      <c r="H270" s="158"/>
      <c r="J270" s="158"/>
      <c r="L270" s="158"/>
      <c r="N270" s="158"/>
      <c r="P270" s="20"/>
    </row>
    <row r="271">
      <c r="B271" s="158"/>
      <c r="D271" s="158"/>
      <c r="F271" s="158"/>
      <c r="H271" s="158"/>
      <c r="J271" s="158"/>
      <c r="L271" s="158"/>
      <c r="N271" s="158"/>
      <c r="P271" s="20"/>
    </row>
    <row r="272">
      <c r="B272" s="158"/>
      <c r="D272" s="158"/>
      <c r="F272" s="158"/>
      <c r="H272" s="158"/>
      <c r="J272" s="158"/>
      <c r="L272" s="158"/>
      <c r="N272" s="158"/>
      <c r="P272" s="20"/>
    </row>
    <row r="273">
      <c r="B273" s="158"/>
      <c r="D273" s="158"/>
      <c r="F273" s="158"/>
      <c r="H273" s="158"/>
      <c r="J273" s="158"/>
      <c r="L273" s="158"/>
      <c r="N273" s="158"/>
      <c r="P273" s="20"/>
    </row>
    <row r="274">
      <c r="B274" s="158"/>
      <c r="D274" s="158"/>
      <c r="F274" s="158"/>
      <c r="H274" s="158"/>
      <c r="J274" s="158"/>
      <c r="L274" s="158"/>
      <c r="N274" s="158"/>
      <c r="P274" s="20"/>
    </row>
    <row r="275">
      <c r="B275" s="158"/>
      <c r="D275" s="158"/>
      <c r="F275" s="158"/>
      <c r="H275" s="158"/>
      <c r="J275" s="158"/>
      <c r="L275" s="158"/>
      <c r="N275" s="158"/>
      <c r="P275" s="20"/>
    </row>
    <row r="276">
      <c r="B276" s="158"/>
      <c r="D276" s="158"/>
      <c r="F276" s="158"/>
      <c r="H276" s="158"/>
      <c r="J276" s="158"/>
      <c r="L276" s="158"/>
      <c r="N276" s="158"/>
      <c r="P276" s="20"/>
    </row>
    <row r="277">
      <c r="B277" s="158"/>
      <c r="D277" s="158"/>
      <c r="F277" s="158"/>
      <c r="H277" s="158"/>
      <c r="J277" s="158"/>
      <c r="L277" s="158"/>
      <c r="N277" s="158"/>
      <c r="P277" s="20"/>
    </row>
    <row r="278">
      <c r="B278" s="158"/>
      <c r="D278" s="158"/>
      <c r="F278" s="158"/>
      <c r="H278" s="158"/>
      <c r="J278" s="158"/>
      <c r="L278" s="158"/>
      <c r="N278" s="158"/>
      <c r="P278" s="20"/>
    </row>
    <row r="279">
      <c r="B279" s="158"/>
      <c r="D279" s="158"/>
      <c r="F279" s="158"/>
      <c r="H279" s="158"/>
      <c r="J279" s="158"/>
      <c r="L279" s="158"/>
      <c r="N279" s="158"/>
      <c r="P279" s="20"/>
    </row>
    <row r="280">
      <c r="B280" s="158"/>
      <c r="D280" s="158"/>
      <c r="F280" s="158"/>
      <c r="H280" s="158"/>
      <c r="J280" s="158"/>
      <c r="L280" s="158"/>
      <c r="N280" s="158"/>
      <c r="P280" s="20"/>
    </row>
    <row r="281">
      <c r="B281" s="158"/>
      <c r="D281" s="158"/>
      <c r="F281" s="158"/>
      <c r="H281" s="158"/>
      <c r="J281" s="158"/>
      <c r="L281" s="158"/>
      <c r="N281" s="158"/>
      <c r="P281" s="20"/>
    </row>
    <row r="282">
      <c r="B282" s="158"/>
      <c r="D282" s="158"/>
      <c r="F282" s="158"/>
      <c r="H282" s="158"/>
      <c r="J282" s="158"/>
      <c r="L282" s="158"/>
      <c r="N282" s="158"/>
      <c r="P282" s="20"/>
    </row>
    <row r="283">
      <c r="B283" s="158"/>
      <c r="D283" s="158"/>
      <c r="F283" s="158"/>
      <c r="H283" s="158"/>
      <c r="J283" s="158"/>
      <c r="L283" s="158"/>
      <c r="N283" s="158"/>
      <c r="P283" s="20"/>
    </row>
    <row r="284">
      <c r="B284" s="158"/>
      <c r="D284" s="158"/>
      <c r="F284" s="158"/>
      <c r="H284" s="158"/>
      <c r="J284" s="158"/>
      <c r="L284" s="158"/>
      <c r="N284" s="158"/>
      <c r="P284" s="20"/>
    </row>
    <row r="285">
      <c r="B285" s="158"/>
      <c r="D285" s="158"/>
      <c r="F285" s="158"/>
      <c r="H285" s="158"/>
      <c r="J285" s="158"/>
      <c r="L285" s="158"/>
      <c r="N285" s="158"/>
      <c r="P285" s="20"/>
    </row>
    <row r="286">
      <c r="B286" s="158"/>
      <c r="D286" s="158"/>
      <c r="F286" s="158"/>
      <c r="H286" s="158"/>
      <c r="J286" s="158"/>
      <c r="L286" s="158"/>
      <c r="N286" s="158"/>
      <c r="P286" s="20"/>
    </row>
    <row r="287">
      <c r="B287" s="158"/>
      <c r="D287" s="158"/>
      <c r="F287" s="158"/>
      <c r="H287" s="158"/>
      <c r="J287" s="158"/>
      <c r="L287" s="158"/>
      <c r="N287" s="158"/>
      <c r="P287" s="20"/>
    </row>
    <row r="288">
      <c r="B288" s="158"/>
      <c r="D288" s="158"/>
      <c r="F288" s="158"/>
      <c r="H288" s="158"/>
      <c r="J288" s="158"/>
      <c r="L288" s="158"/>
      <c r="N288" s="158"/>
      <c r="P288" s="20"/>
    </row>
    <row r="289">
      <c r="B289" s="158"/>
      <c r="D289" s="158"/>
      <c r="F289" s="158"/>
      <c r="H289" s="158"/>
      <c r="J289" s="158"/>
      <c r="L289" s="158"/>
      <c r="N289" s="158"/>
      <c r="P289" s="20"/>
    </row>
    <row r="290">
      <c r="B290" s="158"/>
      <c r="D290" s="158"/>
      <c r="F290" s="158"/>
      <c r="H290" s="158"/>
      <c r="J290" s="158"/>
      <c r="L290" s="158"/>
      <c r="N290" s="158"/>
      <c r="P290" s="20"/>
    </row>
    <row r="291">
      <c r="B291" s="158"/>
      <c r="D291" s="158"/>
      <c r="F291" s="158"/>
      <c r="H291" s="158"/>
      <c r="J291" s="158"/>
      <c r="L291" s="158"/>
      <c r="N291" s="158"/>
      <c r="P291" s="20"/>
    </row>
    <row r="292">
      <c r="B292" s="158"/>
      <c r="D292" s="158"/>
      <c r="F292" s="158"/>
      <c r="H292" s="158"/>
      <c r="J292" s="158"/>
      <c r="L292" s="158"/>
      <c r="N292" s="158"/>
      <c r="P292" s="20"/>
    </row>
    <row r="293">
      <c r="B293" s="158"/>
      <c r="D293" s="158"/>
      <c r="F293" s="158"/>
      <c r="H293" s="158"/>
      <c r="J293" s="158"/>
      <c r="L293" s="158"/>
      <c r="N293" s="158"/>
      <c r="P293" s="20"/>
    </row>
    <row r="294">
      <c r="B294" s="158"/>
      <c r="D294" s="158"/>
      <c r="F294" s="158"/>
      <c r="H294" s="158"/>
      <c r="J294" s="158"/>
      <c r="L294" s="158"/>
      <c r="N294" s="158"/>
      <c r="P294" s="20"/>
    </row>
    <row r="295">
      <c r="B295" s="158"/>
      <c r="D295" s="158"/>
      <c r="F295" s="158"/>
      <c r="H295" s="158"/>
      <c r="J295" s="158"/>
      <c r="L295" s="158"/>
      <c r="N295" s="158"/>
      <c r="P295" s="20"/>
    </row>
    <row r="296">
      <c r="B296" s="158"/>
      <c r="D296" s="158"/>
      <c r="F296" s="158"/>
      <c r="H296" s="158"/>
      <c r="J296" s="158"/>
      <c r="L296" s="158"/>
      <c r="N296" s="158"/>
      <c r="P296" s="20"/>
    </row>
    <row r="297">
      <c r="B297" s="158"/>
      <c r="D297" s="158"/>
      <c r="F297" s="158"/>
      <c r="H297" s="158"/>
      <c r="J297" s="158"/>
      <c r="L297" s="158"/>
      <c r="N297" s="158"/>
      <c r="P297" s="20"/>
    </row>
    <row r="298">
      <c r="B298" s="158"/>
      <c r="D298" s="158"/>
      <c r="F298" s="158"/>
      <c r="H298" s="158"/>
      <c r="J298" s="158"/>
      <c r="L298" s="158"/>
      <c r="N298" s="158"/>
      <c r="P298" s="20"/>
    </row>
    <row r="299">
      <c r="B299" s="158"/>
      <c r="D299" s="158"/>
      <c r="F299" s="158"/>
      <c r="H299" s="158"/>
      <c r="J299" s="158"/>
      <c r="L299" s="158"/>
      <c r="N299" s="158"/>
      <c r="P299" s="20"/>
    </row>
    <row r="300">
      <c r="B300" s="158"/>
      <c r="D300" s="158"/>
      <c r="F300" s="158"/>
      <c r="H300" s="158"/>
      <c r="J300" s="158"/>
      <c r="L300" s="158"/>
      <c r="N300" s="158"/>
      <c r="P300" s="20"/>
    </row>
    <row r="301">
      <c r="B301" s="158"/>
      <c r="D301" s="158"/>
      <c r="F301" s="158"/>
      <c r="H301" s="158"/>
      <c r="J301" s="158"/>
      <c r="L301" s="158"/>
      <c r="N301" s="158"/>
      <c r="P301" s="20"/>
    </row>
    <row r="302">
      <c r="B302" s="158"/>
      <c r="D302" s="158"/>
      <c r="F302" s="158"/>
      <c r="H302" s="158"/>
      <c r="J302" s="158"/>
      <c r="L302" s="158"/>
      <c r="N302" s="158"/>
      <c r="P302" s="20"/>
    </row>
    <row r="303">
      <c r="B303" s="158"/>
      <c r="D303" s="158"/>
      <c r="F303" s="158"/>
      <c r="H303" s="158"/>
      <c r="J303" s="158"/>
      <c r="L303" s="158"/>
      <c r="N303" s="158"/>
      <c r="P303" s="20"/>
    </row>
    <row r="304">
      <c r="B304" s="158"/>
      <c r="D304" s="158"/>
      <c r="F304" s="158"/>
      <c r="H304" s="158"/>
      <c r="J304" s="158"/>
      <c r="L304" s="158"/>
      <c r="N304" s="158"/>
      <c r="P304" s="20"/>
    </row>
    <row r="305">
      <c r="B305" s="158"/>
      <c r="D305" s="158"/>
      <c r="F305" s="158"/>
      <c r="H305" s="158"/>
      <c r="J305" s="158"/>
      <c r="L305" s="158"/>
      <c r="N305" s="158"/>
      <c r="P305" s="20"/>
    </row>
    <row r="306">
      <c r="B306" s="158"/>
      <c r="D306" s="158"/>
      <c r="F306" s="158"/>
      <c r="H306" s="158"/>
      <c r="J306" s="158"/>
      <c r="L306" s="158"/>
      <c r="N306" s="158"/>
      <c r="P306" s="20"/>
    </row>
    <row r="307">
      <c r="B307" s="158"/>
      <c r="D307" s="158"/>
      <c r="F307" s="158"/>
      <c r="H307" s="158"/>
      <c r="J307" s="158"/>
      <c r="L307" s="158"/>
      <c r="N307" s="158"/>
      <c r="P307" s="20"/>
    </row>
    <row r="308">
      <c r="B308" s="158"/>
      <c r="D308" s="158"/>
      <c r="F308" s="158"/>
      <c r="H308" s="158"/>
      <c r="J308" s="158"/>
      <c r="L308" s="158"/>
      <c r="N308" s="158"/>
      <c r="P308" s="20"/>
    </row>
    <row r="309">
      <c r="B309" s="158"/>
      <c r="D309" s="158"/>
      <c r="F309" s="158"/>
      <c r="H309" s="158"/>
      <c r="J309" s="158"/>
      <c r="L309" s="158"/>
      <c r="N309" s="158"/>
      <c r="P309" s="20"/>
    </row>
    <row r="310">
      <c r="B310" s="158"/>
      <c r="D310" s="158"/>
      <c r="F310" s="158"/>
      <c r="H310" s="158"/>
      <c r="J310" s="158"/>
      <c r="L310" s="158"/>
      <c r="N310" s="158"/>
      <c r="P310" s="20"/>
    </row>
    <row r="311">
      <c r="B311" s="158"/>
      <c r="D311" s="158"/>
      <c r="F311" s="158"/>
      <c r="H311" s="158"/>
      <c r="J311" s="158"/>
      <c r="L311" s="158"/>
      <c r="N311" s="158"/>
      <c r="P311" s="20"/>
    </row>
    <row r="312">
      <c r="B312" s="158"/>
      <c r="D312" s="158"/>
      <c r="F312" s="158"/>
      <c r="H312" s="158"/>
      <c r="J312" s="158"/>
      <c r="L312" s="158"/>
      <c r="N312" s="158"/>
      <c r="P312" s="20"/>
    </row>
    <row r="313">
      <c r="B313" s="158"/>
      <c r="D313" s="158"/>
      <c r="F313" s="158"/>
      <c r="H313" s="158"/>
      <c r="J313" s="158"/>
      <c r="L313" s="158"/>
      <c r="N313" s="158"/>
      <c r="P313" s="20"/>
    </row>
    <row r="314">
      <c r="B314" s="158"/>
      <c r="D314" s="158"/>
      <c r="F314" s="158"/>
      <c r="H314" s="158"/>
      <c r="J314" s="158"/>
      <c r="L314" s="158"/>
      <c r="N314" s="158"/>
      <c r="P314" s="20"/>
    </row>
    <row r="315">
      <c r="B315" s="158"/>
      <c r="D315" s="158"/>
      <c r="F315" s="158"/>
      <c r="H315" s="158"/>
      <c r="J315" s="158"/>
      <c r="L315" s="158"/>
      <c r="N315" s="158"/>
      <c r="P315" s="20"/>
    </row>
    <row r="316">
      <c r="B316" s="158"/>
      <c r="D316" s="158"/>
      <c r="F316" s="158"/>
      <c r="H316" s="158"/>
      <c r="J316" s="158"/>
      <c r="L316" s="158"/>
      <c r="N316" s="158"/>
      <c r="P316" s="20"/>
    </row>
    <row r="317">
      <c r="B317" s="158"/>
      <c r="D317" s="158"/>
      <c r="F317" s="158"/>
      <c r="H317" s="158"/>
      <c r="J317" s="158"/>
      <c r="L317" s="158"/>
      <c r="N317" s="158"/>
      <c r="P317" s="20"/>
    </row>
    <row r="318">
      <c r="B318" s="158"/>
      <c r="D318" s="158"/>
      <c r="F318" s="158"/>
      <c r="H318" s="158"/>
      <c r="J318" s="158"/>
      <c r="L318" s="158"/>
      <c r="N318" s="158"/>
      <c r="P318" s="20"/>
    </row>
    <row r="319">
      <c r="B319" s="158"/>
      <c r="D319" s="158"/>
      <c r="F319" s="158"/>
      <c r="H319" s="158"/>
      <c r="J319" s="158"/>
      <c r="L319" s="158"/>
      <c r="N319" s="158"/>
      <c r="P319" s="20"/>
    </row>
    <row r="320">
      <c r="B320" s="158"/>
      <c r="D320" s="158"/>
      <c r="F320" s="158"/>
      <c r="H320" s="158"/>
      <c r="J320" s="158"/>
      <c r="L320" s="158"/>
      <c r="N320" s="158"/>
      <c r="P320" s="20"/>
    </row>
    <row r="321">
      <c r="B321" s="158"/>
      <c r="D321" s="158"/>
      <c r="F321" s="158"/>
      <c r="H321" s="158"/>
      <c r="J321" s="158"/>
      <c r="L321" s="158"/>
      <c r="N321" s="158"/>
      <c r="P321" s="20"/>
    </row>
    <row r="322">
      <c r="B322" s="158"/>
      <c r="D322" s="158"/>
      <c r="F322" s="158"/>
      <c r="H322" s="158"/>
      <c r="J322" s="158"/>
      <c r="L322" s="158"/>
      <c r="N322" s="158"/>
      <c r="P322" s="20"/>
    </row>
    <row r="323">
      <c r="B323" s="158"/>
      <c r="D323" s="158"/>
      <c r="F323" s="158"/>
      <c r="H323" s="158"/>
      <c r="J323" s="158"/>
      <c r="L323" s="158"/>
      <c r="N323" s="158"/>
      <c r="P323" s="20"/>
    </row>
    <row r="324">
      <c r="B324" s="158"/>
      <c r="D324" s="158"/>
      <c r="F324" s="158"/>
      <c r="H324" s="158"/>
      <c r="J324" s="158"/>
      <c r="L324" s="158"/>
      <c r="N324" s="158"/>
      <c r="P324" s="20"/>
    </row>
    <row r="325">
      <c r="B325" s="158"/>
      <c r="D325" s="158"/>
      <c r="F325" s="158"/>
      <c r="H325" s="158"/>
      <c r="J325" s="158"/>
      <c r="L325" s="158"/>
      <c r="N325" s="158"/>
      <c r="P325" s="20"/>
    </row>
    <row r="326">
      <c r="B326" s="158"/>
      <c r="D326" s="158"/>
      <c r="F326" s="158"/>
      <c r="H326" s="158"/>
      <c r="J326" s="158"/>
      <c r="L326" s="158"/>
      <c r="N326" s="158"/>
      <c r="P326" s="20"/>
    </row>
    <row r="327">
      <c r="B327" s="158"/>
      <c r="D327" s="158"/>
      <c r="F327" s="158"/>
      <c r="H327" s="158"/>
      <c r="J327" s="158"/>
      <c r="L327" s="158"/>
      <c r="N327" s="158"/>
      <c r="P327" s="20"/>
    </row>
    <row r="328">
      <c r="B328" s="158"/>
      <c r="D328" s="158"/>
      <c r="F328" s="158"/>
      <c r="H328" s="158"/>
      <c r="J328" s="158"/>
      <c r="L328" s="158"/>
      <c r="N328" s="158"/>
      <c r="P328" s="20"/>
    </row>
    <row r="329">
      <c r="B329" s="158"/>
      <c r="D329" s="158"/>
      <c r="F329" s="158"/>
      <c r="H329" s="158"/>
      <c r="J329" s="158"/>
      <c r="L329" s="158"/>
      <c r="N329" s="158"/>
      <c r="P329" s="20"/>
    </row>
    <row r="330">
      <c r="B330" s="158"/>
      <c r="D330" s="158"/>
      <c r="F330" s="158"/>
      <c r="H330" s="158"/>
      <c r="J330" s="158"/>
      <c r="L330" s="158"/>
      <c r="N330" s="158"/>
      <c r="P330" s="20"/>
    </row>
    <row r="331">
      <c r="B331" s="158"/>
      <c r="D331" s="158"/>
      <c r="F331" s="158"/>
      <c r="H331" s="158"/>
      <c r="J331" s="158"/>
      <c r="L331" s="158"/>
      <c r="N331" s="158"/>
      <c r="P331" s="20"/>
    </row>
    <row r="332">
      <c r="B332" s="158"/>
      <c r="D332" s="158"/>
      <c r="F332" s="158"/>
      <c r="H332" s="158"/>
      <c r="J332" s="158"/>
      <c r="L332" s="158"/>
      <c r="N332" s="158"/>
      <c r="P332" s="20"/>
    </row>
    <row r="333">
      <c r="B333" s="158"/>
      <c r="D333" s="158"/>
      <c r="F333" s="158"/>
      <c r="H333" s="158"/>
      <c r="J333" s="158"/>
      <c r="L333" s="158"/>
      <c r="N333" s="158"/>
      <c r="P333" s="20"/>
    </row>
    <row r="334">
      <c r="B334" s="158"/>
      <c r="D334" s="158"/>
      <c r="F334" s="158"/>
      <c r="H334" s="158"/>
      <c r="J334" s="158"/>
      <c r="L334" s="158"/>
      <c r="N334" s="158"/>
      <c r="P334" s="20"/>
    </row>
    <row r="335">
      <c r="B335" s="158"/>
      <c r="D335" s="158"/>
      <c r="F335" s="158"/>
      <c r="H335" s="158"/>
      <c r="J335" s="158"/>
      <c r="L335" s="158"/>
      <c r="N335" s="158"/>
      <c r="P335" s="20"/>
    </row>
    <row r="336">
      <c r="B336" s="158"/>
      <c r="D336" s="158"/>
      <c r="F336" s="158"/>
      <c r="H336" s="158"/>
      <c r="J336" s="158"/>
      <c r="L336" s="158"/>
      <c r="N336" s="158"/>
      <c r="P336" s="20"/>
    </row>
    <row r="337">
      <c r="B337" s="158"/>
      <c r="D337" s="158"/>
      <c r="F337" s="158"/>
      <c r="H337" s="158"/>
      <c r="J337" s="158"/>
      <c r="L337" s="158"/>
      <c r="N337" s="158"/>
      <c r="P337" s="20"/>
    </row>
    <row r="338">
      <c r="B338" s="158"/>
      <c r="D338" s="158"/>
      <c r="F338" s="158"/>
      <c r="H338" s="158"/>
      <c r="J338" s="158"/>
      <c r="L338" s="158"/>
      <c r="N338" s="158"/>
      <c r="P338" s="20"/>
    </row>
    <row r="339">
      <c r="B339" s="158"/>
      <c r="D339" s="158"/>
      <c r="F339" s="158"/>
      <c r="H339" s="158"/>
      <c r="J339" s="158"/>
      <c r="L339" s="158"/>
      <c r="N339" s="158"/>
      <c r="P339" s="20"/>
    </row>
    <row r="340">
      <c r="B340" s="158"/>
      <c r="D340" s="158"/>
      <c r="F340" s="158"/>
      <c r="H340" s="158"/>
      <c r="J340" s="158"/>
      <c r="L340" s="158"/>
      <c r="N340" s="158"/>
      <c r="P340" s="20"/>
    </row>
    <row r="341">
      <c r="B341" s="158"/>
      <c r="D341" s="158"/>
      <c r="F341" s="158"/>
      <c r="H341" s="158"/>
      <c r="J341" s="158"/>
      <c r="L341" s="158"/>
      <c r="N341" s="158"/>
      <c r="P341" s="20"/>
    </row>
    <row r="342">
      <c r="B342" s="158"/>
      <c r="D342" s="158"/>
      <c r="F342" s="158"/>
      <c r="H342" s="158"/>
      <c r="J342" s="158"/>
      <c r="L342" s="158"/>
      <c r="N342" s="158"/>
      <c r="P342" s="20"/>
    </row>
    <row r="343">
      <c r="B343" s="158"/>
      <c r="D343" s="158"/>
      <c r="F343" s="158"/>
      <c r="H343" s="158"/>
      <c r="J343" s="158"/>
      <c r="L343" s="158"/>
      <c r="N343" s="158"/>
      <c r="P343" s="20"/>
    </row>
    <row r="344">
      <c r="B344" s="158"/>
      <c r="D344" s="158"/>
      <c r="F344" s="158"/>
      <c r="H344" s="158"/>
      <c r="J344" s="158"/>
      <c r="L344" s="158"/>
      <c r="N344" s="158"/>
      <c r="P344" s="20"/>
    </row>
    <row r="345">
      <c r="B345" s="158"/>
      <c r="D345" s="158"/>
      <c r="F345" s="158"/>
      <c r="H345" s="158"/>
      <c r="J345" s="158"/>
      <c r="L345" s="158"/>
      <c r="N345" s="158"/>
      <c r="P345" s="20"/>
    </row>
    <row r="346">
      <c r="B346" s="158"/>
      <c r="D346" s="158"/>
      <c r="F346" s="158"/>
      <c r="H346" s="158"/>
      <c r="J346" s="158"/>
      <c r="L346" s="158"/>
      <c r="N346" s="158"/>
      <c r="P346" s="20"/>
    </row>
    <row r="347">
      <c r="B347" s="158"/>
      <c r="D347" s="158"/>
      <c r="F347" s="158"/>
      <c r="H347" s="158"/>
      <c r="J347" s="158"/>
      <c r="L347" s="158"/>
      <c r="N347" s="158"/>
      <c r="P347" s="20"/>
    </row>
    <row r="348">
      <c r="B348" s="158"/>
      <c r="D348" s="158"/>
      <c r="F348" s="158"/>
      <c r="H348" s="158"/>
      <c r="J348" s="158"/>
      <c r="L348" s="158"/>
      <c r="N348" s="158"/>
      <c r="P348" s="20"/>
    </row>
    <row r="349">
      <c r="B349" s="158"/>
      <c r="D349" s="158"/>
      <c r="F349" s="158"/>
      <c r="H349" s="158"/>
      <c r="J349" s="158"/>
      <c r="L349" s="158"/>
      <c r="N349" s="158"/>
      <c r="P349" s="20"/>
    </row>
    <row r="350">
      <c r="B350" s="158"/>
      <c r="D350" s="158"/>
      <c r="F350" s="158"/>
      <c r="H350" s="158"/>
      <c r="J350" s="158"/>
      <c r="L350" s="158"/>
      <c r="N350" s="158"/>
      <c r="P350" s="20"/>
    </row>
    <row r="351">
      <c r="B351" s="158"/>
      <c r="D351" s="158"/>
      <c r="F351" s="158"/>
      <c r="H351" s="158"/>
      <c r="J351" s="158"/>
      <c r="L351" s="158"/>
      <c r="N351" s="158"/>
      <c r="P351" s="20"/>
    </row>
    <row r="352">
      <c r="B352" s="158"/>
      <c r="D352" s="158"/>
      <c r="F352" s="158"/>
      <c r="H352" s="158"/>
      <c r="J352" s="158"/>
      <c r="L352" s="158"/>
      <c r="N352" s="158"/>
      <c r="P352" s="20"/>
    </row>
    <row r="353">
      <c r="B353" s="158"/>
      <c r="D353" s="158"/>
      <c r="F353" s="158"/>
      <c r="H353" s="158"/>
      <c r="J353" s="158"/>
      <c r="L353" s="158"/>
      <c r="N353" s="158"/>
      <c r="P353" s="20"/>
    </row>
    <row r="354">
      <c r="B354" s="158"/>
      <c r="D354" s="158"/>
      <c r="F354" s="158"/>
      <c r="H354" s="158"/>
      <c r="J354" s="158"/>
      <c r="L354" s="158"/>
      <c r="N354" s="158"/>
      <c r="P354" s="20"/>
    </row>
    <row r="355">
      <c r="B355" s="158"/>
      <c r="D355" s="158"/>
      <c r="F355" s="158"/>
      <c r="H355" s="158"/>
      <c r="J355" s="158"/>
      <c r="L355" s="158"/>
      <c r="N355" s="158"/>
      <c r="P355" s="20"/>
    </row>
    <row r="356">
      <c r="B356" s="158"/>
      <c r="D356" s="158"/>
      <c r="F356" s="158"/>
      <c r="H356" s="158"/>
      <c r="J356" s="158"/>
      <c r="L356" s="158"/>
      <c r="N356" s="158"/>
      <c r="P356" s="20"/>
    </row>
    <row r="357">
      <c r="B357" s="158"/>
      <c r="D357" s="158"/>
      <c r="F357" s="158"/>
      <c r="H357" s="158"/>
      <c r="J357" s="158"/>
      <c r="L357" s="158"/>
      <c r="N357" s="158"/>
      <c r="P357" s="20"/>
    </row>
    <row r="358">
      <c r="B358" s="158"/>
      <c r="D358" s="158"/>
      <c r="F358" s="158"/>
      <c r="H358" s="158"/>
      <c r="J358" s="158"/>
      <c r="L358" s="158"/>
      <c r="N358" s="158"/>
      <c r="P358" s="20"/>
    </row>
    <row r="359">
      <c r="B359" s="158"/>
      <c r="D359" s="158"/>
      <c r="F359" s="158"/>
      <c r="H359" s="158"/>
      <c r="J359" s="158"/>
      <c r="L359" s="158"/>
      <c r="N359" s="158"/>
      <c r="P359" s="20"/>
    </row>
    <row r="360">
      <c r="B360" s="158"/>
      <c r="D360" s="158"/>
      <c r="F360" s="158"/>
      <c r="H360" s="158"/>
      <c r="J360" s="158"/>
      <c r="L360" s="158"/>
      <c r="N360" s="158"/>
      <c r="P360" s="20"/>
    </row>
    <row r="361">
      <c r="B361" s="158"/>
      <c r="D361" s="158"/>
      <c r="F361" s="158"/>
      <c r="H361" s="158"/>
      <c r="J361" s="158"/>
      <c r="L361" s="158"/>
      <c r="N361" s="158"/>
      <c r="P361" s="20"/>
    </row>
    <row r="362">
      <c r="B362" s="158"/>
      <c r="D362" s="158"/>
      <c r="F362" s="158"/>
      <c r="H362" s="158"/>
      <c r="J362" s="158"/>
      <c r="L362" s="158"/>
      <c r="N362" s="158"/>
      <c r="P362" s="20"/>
    </row>
    <row r="363">
      <c r="B363" s="158"/>
      <c r="D363" s="158"/>
      <c r="F363" s="158"/>
      <c r="H363" s="158"/>
      <c r="J363" s="158"/>
      <c r="L363" s="158"/>
      <c r="N363" s="158"/>
      <c r="P363" s="20"/>
    </row>
    <row r="364">
      <c r="B364" s="158"/>
      <c r="D364" s="158"/>
      <c r="F364" s="158"/>
      <c r="H364" s="158"/>
      <c r="J364" s="158"/>
      <c r="L364" s="158"/>
      <c r="N364" s="158"/>
      <c r="P364" s="20"/>
    </row>
    <row r="365">
      <c r="B365" s="158"/>
      <c r="D365" s="158"/>
      <c r="F365" s="158"/>
      <c r="H365" s="158"/>
      <c r="J365" s="158"/>
      <c r="L365" s="158"/>
      <c r="N365" s="158"/>
      <c r="P365" s="20"/>
    </row>
    <row r="366">
      <c r="B366" s="158"/>
      <c r="D366" s="158"/>
      <c r="F366" s="158"/>
      <c r="H366" s="158"/>
      <c r="J366" s="158"/>
      <c r="L366" s="158"/>
      <c r="N366" s="158"/>
      <c r="P366" s="20"/>
    </row>
    <row r="367">
      <c r="B367" s="158"/>
      <c r="D367" s="158"/>
      <c r="F367" s="158"/>
      <c r="H367" s="158"/>
      <c r="J367" s="158"/>
      <c r="L367" s="158"/>
      <c r="N367" s="158"/>
      <c r="P367" s="20"/>
    </row>
    <row r="368">
      <c r="B368" s="158"/>
      <c r="D368" s="158"/>
      <c r="F368" s="158"/>
      <c r="H368" s="158"/>
      <c r="J368" s="158"/>
      <c r="L368" s="158"/>
      <c r="N368" s="158"/>
      <c r="P368" s="20"/>
    </row>
    <row r="369">
      <c r="B369" s="158"/>
      <c r="D369" s="158"/>
      <c r="F369" s="158"/>
      <c r="H369" s="158"/>
      <c r="J369" s="158"/>
      <c r="L369" s="158"/>
      <c r="N369" s="158"/>
      <c r="P369" s="20"/>
    </row>
    <row r="370">
      <c r="B370" s="158"/>
      <c r="D370" s="158"/>
      <c r="F370" s="158"/>
      <c r="H370" s="158"/>
      <c r="J370" s="158"/>
      <c r="L370" s="158"/>
      <c r="N370" s="158"/>
      <c r="P370" s="20"/>
    </row>
    <row r="371">
      <c r="B371" s="158"/>
      <c r="D371" s="158"/>
      <c r="F371" s="158"/>
      <c r="H371" s="158"/>
      <c r="J371" s="158"/>
      <c r="L371" s="158"/>
      <c r="N371" s="158"/>
      <c r="P371" s="20"/>
    </row>
    <row r="372">
      <c r="B372" s="158"/>
      <c r="D372" s="158"/>
      <c r="F372" s="158"/>
      <c r="H372" s="158"/>
      <c r="J372" s="158"/>
      <c r="L372" s="158"/>
      <c r="N372" s="158"/>
      <c r="P372" s="20"/>
    </row>
    <row r="373">
      <c r="B373" s="158"/>
      <c r="D373" s="158"/>
      <c r="F373" s="158"/>
      <c r="H373" s="158"/>
      <c r="J373" s="158"/>
      <c r="L373" s="158"/>
      <c r="N373" s="158"/>
      <c r="P373" s="20"/>
    </row>
    <row r="374">
      <c r="B374" s="158"/>
      <c r="D374" s="158"/>
      <c r="F374" s="158"/>
      <c r="H374" s="158"/>
      <c r="J374" s="158"/>
      <c r="L374" s="158"/>
      <c r="N374" s="158"/>
      <c r="P374" s="20"/>
    </row>
    <row r="375">
      <c r="B375" s="158"/>
      <c r="D375" s="158"/>
      <c r="F375" s="158"/>
      <c r="H375" s="158"/>
      <c r="J375" s="158"/>
      <c r="L375" s="158"/>
      <c r="N375" s="158"/>
      <c r="P375" s="20"/>
    </row>
    <row r="376">
      <c r="B376" s="158"/>
      <c r="D376" s="158"/>
      <c r="F376" s="158"/>
      <c r="H376" s="158"/>
      <c r="J376" s="158"/>
      <c r="L376" s="158"/>
      <c r="N376" s="158"/>
      <c r="P376" s="20"/>
    </row>
    <row r="377">
      <c r="B377" s="158"/>
      <c r="D377" s="158"/>
      <c r="F377" s="158"/>
      <c r="H377" s="158"/>
      <c r="J377" s="158"/>
      <c r="L377" s="158"/>
      <c r="N377" s="158"/>
      <c r="P377" s="20"/>
    </row>
    <row r="378">
      <c r="B378" s="158"/>
      <c r="D378" s="158"/>
      <c r="F378" s="158"/>
      <c r="H378" s="158"/>
      <c r="J378" s="158"/>
      <c r="L378" s="158"/>
      <c r="N378" s="158"/>
      <c r="P378" s="20"/>
    </row>
    <row r="379">
      <c r="B379" s="158"/>
      <c r="D379" s="158"/>
      <c r="F379" s="158"/>
      <c r="H379" s="158"/>
      <c r="J379" s="158"/>
      <c r="L379" s="158"/>
      <c r="N379" s="158"/>
      <c r="P379" s="20"/>
    </row>
    <row r="380">
      <c r="B380" s="158"/>
      <c r="D380" s="158"/>
      <c r="F380" s="158"/>
      <c r="H380" s="158"/>
      <c r="J380" s="158"/>
      <c r="L380" s="158"/>
      <c r="N380" s="158"/>
      <c r="P380" s="20"/>
    </row>
    <row r="381">
      <c r="B381" s="158"/>
      <c r="D381" s="158"/>
      <c r="F381" s="158"/>
      <c r="H381" s="158"/>
      <c r="J381" s="158"/>
      <c r="L381" s="158"/>
      <c r="N381" s="158"/>
      <c r="P381" s="20"/>
    </row>
    <row r="382">
      <c r="B382" s="158"/>
      <c r="D382" s="158"/>
      <c r="F382" s="158"/>
      <c r="H382" s="158"/>
      <c r="J382" s="158"/>
      <c r="L382" s="158"/>
      <c r="N382" s="158"/>
      <c r="P382" s="20"/>
    </row>
    <row r="383">
      <c r="B383" s="158"/>
      <c r="D383" s="158"/>
      <c r="F383" s="158"/>
      <c r="H383" s="158"/>
      <c r="J383" s="158"/>
      <c r="L383" s="158"/>
      <c r="N383" s="158"/>
      <c r="P383" s="20"/>
    </row>
    <row r="384">
      <c r="B384" s="158"/>
      <c r="D384" s="158"/>
      <c r="F384" s="158"/>
      <c r="H384" s="158"/>
      <c r="J384" s="158"/>
      <c r="L384" s="158"/>
      <c r="N384" s="158"/>
      <c r="P384" s="20"/>
    </row>
    <row r="385">
      <c r="B385" s="158"/>
      <c r="D385" s="158"/>
      <c r="F385" s="158"/>
      <c r="H385" s="158"/>
      <c r="J385" s="158"/>
      <c r="L385" s="158"/>
      <c r="N385" s="158"/>
      <c r="P385" s="20"/>
    </row>
    <row r="386">
      <c r="B386" s="158"/>
      <c r="D386" s="158"/>
      <c r="F386" s="158"/>
      <c r="H386" s="158"/>
      <c r="J386" s="158"/>
      <c r="L386" s="158"/>
      <c r="N386" s="158"/>
      <c r="P386" s="20"/>
    </row>
    <row r="387">
      <c r="B387" s="158"/>
      <c r="D387" s="158"/>
      <c r="F387" s="158"/>
      <c r="H387" s="158"/>
      <c r="J387" s="158"/>
      <c r="L387" s="158"/>
      <c r="N387" s="158"/>
      <c r="P387" s="20"/>
    </row>
    <row r="388">
      <c r="B388" s="158"/>
      <c r="D388" s="158"/>
      <c r="F388" s="158"/>
      <c r="H388" s="158"/>
      <c r="J388" s="158"/>
      <c r="L388" s="158"/>
      <c r="N388" s="158"/>
      <c r="P388" s="20"/>
    </row>
    <row r="389">
      <c r="B389" s="158"/>
      <c r="D389" s="158"/>
      <c r="F389" s="158"/>
      <c r="H389" s="158"/>
      <c r="J389" s="158"/>
      <c r="L389" s="158"/>
      <c r="N389" s="158"/>
      <c r="P389" s="20"/>
    </row>
    <row r="390">
      <c r="B390" s="158"/>
      <c r="D390" s="158"/>
      <c r="F390" s="158"/>
      <c r="H390" s="158"/>
      <c r="J390" s="158"/>
      <c r="L390" s="158"/>
      <c r="N390" s="158"/>
      <c r="P390" s="20"/>
    </row>
    <row r="391">
      <c r="B391" s="158"/>
      <c r="D391" s="158"/>
      <c r="F391" s="158"/>
      <c r="H391" s="158"/>
      <c r="J391" s="158"/>
      <c r="L391" s="158"/>
      <c r="N391" s="158"/>
      <c r="P391" s="20"/>
    </row>
    <row r="392">
      <c r="B392" s="158"/>
      <c r="D392" s="158"/>
      <c r="F392" s="158"/>
      <c r="H392" s="158"/>
      <c r="J392" s="158"/>
      <c r="L392" s="158"/>
      <c r="N392" s="158"/>
      <c r="P392" s="20"/>
    </row>
    <row r="393">
      <c r="B393" s="158"/>
      <c r="D393" s="158"/>
      <c r="F393" s="158"/>
      <c r="H393" s="158"/>
      <c r="J393" s="158"/>
      <c r="L393" s="158"/>
      <c r="N393" s="158"/>
      <c r="P393" s="20"/>
    </row>
    <row r="394">
      <c r="B394" s="158"/>
      <c r="D394" s="158"/>
      <c r="F394" s="158"/>
      <c r="H394" s="158"/>
      <c r="J394" s="158"/>
      <c r="L394" s="158"/>
      <c r="N394" s="158"/>
      <c r="P394" s="20"/>
    </row>
    <row r="395">
      <c r="B395" s="158"/>
      <c r="D395" s="158"/>
      <c r="F395" s="158"/>
      <c r="H395" s="158"/>
      <c r="J395" s="158"/>
      <c r="L395" s="158"/>
      <c r="N395" s="158"/>
      <c r="P395" s="20"/>
    </row>
    <row r="396">
      <c r="B396" s="158"/>
      <c r="D396" s="158"/>
      <c r="F396" s="158"/>
      <c r="H396" s="158"/>
      <c r="J396" s="158"/>
      <c r="L396" s="158"/>
      <c r="N396" s="158"/>
      <c r="P396" s="20"/>
    </row>
    <row r="397">
      <c r="B397" s="158"/>
      <c r="D397" s="158"/>
      <c r="F397" s="158"/>
      <c r="H397" s="158"/>
      <c r="J397" s="158"/>
      <c r="L397" s="158"/>
      <c r="N397" s="158"/>
      <c r="P397" s="20"/>
    </row>
    <row r="398">
      <c r="B398" s="158"/>
      <c r="D398" s="158"/>
      <c r="F398" s="158"/>
      <c r="H398" s="158"/>
      <c r="J398" s="158"/>
      <c r="L398" s="158"/>
      <c r="N398" s="158"/>
      <c r="P398" s="20"/>
    </row>
    <row r="399">
      <c r="B399" s="158"/>
      <c r="D399" s="158"/>
      <c r="F399" s="158"/>
      <c r="H399" s="158"/>
      <c r="J399" s="158"/>
      <c r="L399" s="158"/>
      <c r="N399" s="158"/>
      <c r="P399" s="20"/>
    </row>
    <row r="400">
      <c r="B400" s="158"/>
      <c r="D400" s="158"/>
      <c r="F400" s="158"/>
      <c r="H400" s="158"/>
      <c r="J400" s="158"/>
      <c r="L400" s="158"/>
      <c r="N400" s="158"/>
      <c r="P400" s="20"/>
    </row>
    <row r="401">
      <c r="B401" s="158"/>
      <c r="D401" s="158"/>
      <c r="F401" s="158"/>
      <c r="H401" s="158"/>
      <c r="J401" s="158"/>
      <c r="L401" s="158"/>
      <c r="N401" s="158"/>
      <c r="P401" s="20"/>
    </row>
    <row r="402">
      <c r="B402" s="158"/>
      <c r="D402" s="158"/>
      <c r="F402" s="158"/>
      <c r="H402" s="158"/>
      <c r="J402" s="158"/>
      <c r="L402" s="158"/>
      <c r="N402" s="158"/>
      <c r="P402" s="20"/>
    </row>
    <row r="403">
      <c r="B403" s="158"/>
      <c r="D403" s="158"/>
      <c r="F403" s="158"/>
      <c r="H403" s="158"/>
      <c r="J403" s="158"/>
      <c r="L403" s="158"/>
      <c r="N403" s="158"/>
      <c r="P403" s="20"/>
    </row>
    <row r="404">
      <c r="B404" s="158"/>
      <c r="D404" s="158"/>
      <c r="F404" s="158"/>
      <c r="H404" s="158"/>
      <c r="J404" s="158"/>
      <c r="L404" s="158"/>
      <c r="N404" s="158"/>
      <c r="P404" s="20"/>
    </row>
    <row r="405">
      <c r="B405" s="158"/>
      <c r="D405" s="158"/>
      <c r="F405" s="158"/>
      <c r="H405" s="158"/>
      <c r="J405" s="158"/>
      <c r="L405" s="158"/>
      <c r="N405" s="158"/>
      <c r="P405" s="20"/>
    </row>
    <row r="406">
      <c r="B406" s="158"/>
      <c r="D406" s="158"/>
      <c r="F406" s="158"/>
      <c r="H406" s="158"/>
      <c r="J406" s="158"/>
      <c r="L406" s="158"/>
      <c r="N406" s="158"/>
      <c r="P406" s="20"/>
    </row>
    <row r="407">
      <c r="B407" s="158"/>
      <c r="D407" s="158"/>
      <c r="F407" s="158"/>
      <c r="H407" s="158"/>
      <c r="J407" s="158"/>
      <c r="L407" s="158"/>
      <c r="N407" s="158"/>
      <c r="P407" s="20"/>
    </row>
    <row r="408">
      <c r="B408" s="158"/>
      <c r="D408" s="158"/>
      <c r="F408" s="158"/>
      <c r="H408" s="158"/>
      <c r="J408" s="158"/>
      <c r="L408" s="158"/>
      <c r="N408" s="158"/>
      <c r="P408" s="20"/>
    </row>
    <row r="409">
      <c r="B409" s="158"/>
      <c r="D409" s="158"/>
      <c r="F409" s="158"/>
      <c r="H409" s="158"/>
      <c r="J409" s="158"/>
      <c r="L409" s="158"/>
      <c r="N409" s="158"/>
      <c r="P409" s="20"/>
    </row>
    <row r="410">
      <c r="B410" s="158"/>
      <c r="D410" s="158"/>
      <c r="F410" s="158"/>
      <c r="H410" s="158"/>
      <c r="J410" s="158"/>
      <c r="L410" s="158"/>
      <c r="N410" s="158"/>
      <c r="P410" s="20"/>
    </row>
    <row r="411">
      <c r="B411" s="158"/>
      <c r="D411" s="158"/>
      <c r="F411" s="158"/>
      <c r="H411" s="158"/>
      <c r="J411" s="158"/>
      <c r="L411" s="158"/>
      <c r="N411" s="158"/>
      <c r="P411" s="20"/>
    </row>
    <row r="412">
      <c r="B412" s="158"/>
      <c r="D412" s="158"/>
      <c r="F412" s="158"/>
      <c r="H412" s="158"/>
      <c r="J412" s="158"/>
      <c r="L412" s="158"/>
      <c r="N412" s="158"/>
      <c r="P412" s="20"/>
    </row>
    <row r="413">
      <c r="B413" s="158"/>
      <c r="D413" s="158"/>
      <c r="F413" s="158"/>
      <c r="H413" s="158"/>
      <c r="J413" s="158"/>
      <c r="L413" s="158"/>
      <c r="N413" s="158"/>
      <c r="P413" s="20"/>
    </row>
    <row r="414">
      <c r="B414" s="158"/>
      <c r="D414" s="158"/>
      <c r="F414" s="158"/>
      <c r="H414" s="158"/>
      <c r="J414" s="158"/>
      <c r="L414" s="158"/>
      <c r="N414" s="158"/>
      <c r="P414" s="20"/>
    </row>
    <row r="415">
      <c r="B415" s="158"/>
      <c r="D415" s="158"/>
      <c r="F415" s="158"/>
      <c r="H415" s="158"/>
      <c r="J415" s="158"/>
      <c r="L415" s="158"/>
      <c r="N415" s="158"/>
      <c r="P415" s="20"/>
    </row>
    <row r="416">
      <c r="B416" s="158"/>
      <c r="D416" s="158"/>
      <c r="F416" s="158"/>
      <c r="H416" s="158"/>
      <c r="J416" s="158"/>
      <c r="L416" s="158"/>
      <c r="N416" s="158"/>
      <c r="P416" s="20"/>
    </row>
    <row r="417">
      <c r="B417" s="158"/>
      <c r="D417" s="158"/>
      <c r="F417" s="158"/>
      <c r="H417" s="158"/>
      <c r="J417" s="158"/>
      <c r="L417" s="158"/>
      <c r="N417" s="158"/>
      <c r="P417" s="20"/>
    </row>
    <row r="418">
      <c r="B418" s="158"/>
      <c r="D418" s="158"/>
      <c r="F418" s="158"/>
      <c r="H418" s="158"/>
      <c r="J418" s="158"/>
      <c r="L418" s="158"/>
      <c r="N418" s="158"/>
      <c r="P418" s="20"/>
    </row>
    <row r="419">
      <c r="B419" s="158"/>
      <c r="D419" s="158"/>
      <c r="F419" s="158"/>
      <c r="H419" s="158"/>
      <c r="J419" s="158"/>
      <c r="L419" s="158"/>
      <c r="N419" s="158"/>
      <c r="P419" s="20"/>
    </row>
    <row r="420">
      <c r="B420" s="158"/>
      <c r="D420" s="158"/>
      <c r="F420" s="158"/>
      <c r="H420" s="158"/>
      <c r="J420" s="158"/>
      <c r="L420" s="158"/>
      <c r="N420" s="158"/>
      <c r="P420" s="20"/>
    </row>
    <row r="421">
      <c r="B421" s="158"/>
      <c r="D421" s="158"/>
      <c r="F421" s="158"/>
      <c r="H421" s="158"/>
      <c r="J421" s="158"/>
      <c r="L421" s="158"/>
      <c r="N421" s="158"/>
      <c r="P421" s="20"/>
    </row>
    <row r="422">
      <c r="B422" s="158"/>
      <c r="D422" s="158"/>
      <c r="F422" s="158"/>
      <c r="H422" s="158"/>
      <c r="J422" s="158"/>
      <c r="L422" s="158"/>
      <c r="N422" s="158"/>
      <c r="P422" s="20"/>
    </row>
    <row r="423">
      <c r="B423" s="158"/>
      <c r="D423" s="158"/>
      <c r="F423" s="158"/>
      <c r="H423" s="158"/>
      <c r="J423" s="158"/>
      <c r="L423" s="158"/>
      <c r="N423" s="158"/>
      <c r="P423" s="20"/>
    </row>
    <row r="424">
      <c r="B424" s="158"/>
      <c r="D424" s="158"/>
      <c r="F424" s="158"/>
      <c r="H424" s="158"/>
      <c r="J424" s="158"/>
      <c r="L424" s="158"/>
      <c r="N424" s="158"/>
      <c r="P424" s="20"/>
    </row>
    <row r="425">
      <c r="B425" s="158"/>
      <c r="D425" s="158"/>
      <c r="F425" s="158"/>
      <c r="H425" s="158"/>
      <c r="J425" s="158"/>
      <c r="L425" s="158"/>
      <c r="N425" s="158"/>
      <c r="P425" s="20"/>
    </row>
    <row r="426">
      <c r="B426" s="158"/>
      <c r="D426" s="158"/>
      <c r="F426" s="158"/>
      <c r="H426" s="158"/>
      <c r="J426" s="158"/>
      <c r="L426" s="158"/>
      <c r="N426" s="158"/>
      <c r="P426" s="20"/>
    </row>
    <row r="427">
      <c r="B427" s="158"/>
      <c r="D427" s="158"/>
      <c r="F427" s="158"/>
      <c r="H427" s="158"/>
      <c r="J427" s="158"/>
      <c r="L427" s="158"/>
      <c r="N427" s="158"/>
      <c r="P427" s="20"/>
    </row>
    <row r="428">
      <c r="B428" s="158"/>
      <c r="D428" s="158"/>
      <c r="F428" s="158"/>
      <c r="H428" s="158"/>
      <c r="J428" s="158"/>
      <c r="L428" s="158"/>
      <c r="N428" s="158"/>
      <c r="P428" s="20"/>
    </row>
    <row r="429">
      <c r="B429" s="158"/>
      <c r="D429" s="158"/>
      <c r="F429" s="158"/>
      <c r="H429" s="158"/>
      <c r="J429" s="158"/>
      <c r="L429" s="158"/>
      <c r="N429" s="158"/>
      <c r="P429" s="20"/>
    </row>
    <row r="430">
      <c r="B430" s="158"/>
      <c r="D430" s="158"/>
      <c r="F430" s="158"/>
      <c r="H430" s="158"/>
      <c r="J430" s="158"/>
      <c r="L430" s="158"/>
      <c r="N430" s="158"/>
      <c r="P430" s="20"/>
    </row>
    <row r="431">
      <c r="B431" s="158"/>
      <c r="D431" s="158"/>
      <c r="F431" s="158"/>
      <c r="H431" s="158"/>
      <c r="J431" s="158"/>
      <c r="L431" s="158"/>
      <c r="N431" s="158"/>
      <c r="P431" s="20"/>
    </row>
    <row r="432">
      <c r="B432" s="158"/>
      <c r="D432" s="158"/>
      <c r="F432" s="158"/>
      <c r="H432" s="158"/>
      <c r="J432" s="158"/>
      <c r="L432" s="158"/>
      <c r="N432" s="158"/>
      <c r="P432" s="20"/>
    </row>
    <row r="433">
      <c r="B433" s="158"/>
      <c r="D433" s="158"/>
      <c r="F433" s="158"/>
      <c r="H433" s="158"/>
      <c r="J433" s="158"/>
      <c r="L433" s="158"/>
      <c r="N433" s="158"/>
      <c r="P433" s="20"/>
    </row>
    <row r="434">
      <c r="B434" s="158"/>
      <c r="D434" s="158"/>
      <c r="F434" s="158"/>
      <c r="H434" s="158"/>
      <c r="J434" s="158"/>
      <c r="L434" s="158"/>
      <c r="N434" s="158"/>
      <c r="P434" s="20"/>
    </row>
    <row r="435">
      <c r="B435" s="158"/>
      <c r="D435" s="158"/>
      <c r="F435" s="158"/>
      <c r="H435" s="158"/>
      <c r="J435" s="158"/>
      <c r="L435" s="158"/>
      <c r="N435" s="158"/>
      <c r="P435" s="20"/>
    </row>
    <row r="436">
      <c r="B436" s="158"/>
      <c r="D436" s="158"/>
      <c r="F436" s="158"/>
      <c r="H436" s="158"/>
      <c r="J436" s="158"/>
      <c r="L436" s="158"/>
      <c r="N436" s="158"/>
      <c r="P436" s="20"/>
    </row>
    <row r="437">
      <c r="B437" s="158"/>
      <c r="D437" s="158"/>
      <c r="F437" s="158"/>
      <c r="H437" s="158"/>
      <c r="J437" s="158"/>
      <c r="L437" s="158"/>
      <c r="N437" s="158"/>
      <c r="P437" s="20"/>
    </row>
    <row r="438">
      <c r="B438" s="158"/>
      <c r="D438" s="158"/>
      <c r="F438" s="158"/>
      <c r="H438" s="158"/>
      <c r="J438" s="158"/>
      <c r="L438" s="158"/>
      <c r="N438" s="158"/>
      <c r="P438" s="20"/>
    </row>
    <row r="439">
      <c r="B439" s="158"/>
      <c r="D439" s="158"/>
      <c r="F439" s="158"/>
      <c r="H439" s="158"/>
      <c r="J439" s="158"/>
      <c r="L439" s="158"/>
      <c r="N439" s="158"/>
      <c r="P439" s="20"/>
    </row>
    <row r="440">
      <c r="B440" s="158"/>
      <c r="D440" s="158"/>
      <c r="F440" s="158"/>
      <c r="H440" s="158"/>
      <c r="J440" s="158"/>
      <c r="L440" s="158"/>
      <c r="N440" s="158"/>
      <c r="P440" s="20"/>
    </row>
    <row r="441">
      <c r="B441" s="158"/>
      <c r="D441" s="158"/>
      <c r="F441" s="158"/>
      <c r="H441" s="158"/>
      <c r="J441" s="158"/>
      <c r="L441" s="158"/>
      <c r="N441" s="158"/>
      <c r="P441" s="20"/>
    </row>
    <row r="442">
      <c r="B442" s="158"/>
      <c r="D442" s="158"/>
      <c r="F442" s="158"/>
      <c r="H442" s="158"/>
      <c r="J442" s="158"/>
      <c r="L442" s="158"/>
      <c r="N442" s="158"/>
      <c r="P442" s="20"/>
    </row>
    <row r="443">
      <c r="B443" s="158"/>
      <c r="D443" s="158"/>
      <c r="F443" s="158"/>
      <c r="H443" s="158"/>
      <c r="J443" s="158"/>
      <c r="L443" s="158"/>
      <c r="N443" s="158"/>
      <c r="P443" s="20"/>
    </row>
    <row r="444">
      <c r="B444" s="158"/>
      <c r="D444" s="158"/>
      <c r="F444" s="158"/>
      <c r="H444" s="158"/>
      <c r="J444" s="158"/>
      <c r="L444" s="158"/>
      <c r="N444" s="158"/>
      <c r="P444" s="20"/>
    </row>
    <row r="445">
      <c r="B445" s="158"/>
      <c r="D445" s="158"/>
      <c r="F445" s="158"/>
      <c r="H445" s="158"/>
      <c r="J445" s="158"/>
      <c r="L445" s="158"/>
      <c r="N445" s="158"/>
      <c r="P445" s="20"/>
    </row>
    <row r="446">
      <c r="B446" s="158"/>
      <c r="D446" s="158"/>
      <c r="F446" s="158"/>
      <c r="H446" s="158"/>
      <c r="J446" s="158"/>
      <c r="L446" s="158"/>
      <c r="N446" s="158"/>
      <c r="P446" s="20"/>
    </row>
    <row r="447">
      <c r="B447" s="158"/>
      <c r="D447" s="158"/>
      <c r="F447" s="158"/>
      <c r="H447" s="158"/>
      <c r="J447" s="158"/>
      <c r="L447" s="158"/>
      <c r="N447" s="158"/>
      <c r="P447" s="20"/>
    </row>
    <row r="448">
      <c r="B448" s="158"/>
      <c r="D448" s="158"/>
      <c r="F448" s="158"/>
      <c r="H448" s="158"/>
      <c r="J448" s="158"/>
      <c r="L448" s="158"/>
      <c r="N448" s="158"/>
      <c r="P448" s="20"/>
    </row>
    <row r="449">
      <c r="B449" s="158"/>
      <c r="D449" s="158"/>
      <c r="F449" s="158"/>
      <c r="H449" s="158"/>
      <c r="J449" s="158"/>
      <c r="L449" s="158"/>
      <c r="N449" s="158"/>
      <c r="P449" s="20"/>
    </row>
    <row r="450">
      <c r="B450" s="158"/>
      <c r="D450" s="158"/>
      <c r="F450" s="158"/>
      <c r="H450" s="158"/>
      <c r="J450" s="158"/>
      <c r="L450" s="158"/>
      <c r="N450" s="158"/>
      <c r="P450" s="20"/>
    </row>
    <row r="451">
      <c r="B451" s="158"/>
      <c r="D451" s="158"/>
      <c r="F451" s="158"/>
      <c r="H451" s="158"/>
      <c r="J451" s="158"/>
      <c r="L451" s="158"/>
      <c r="N451" s="158"/>
      <c r="P451" s="20"/>
    </row>
    <row r="452">
      <c r="B452" s="158"/>
      <c r="D452" s="158"/>
      <c r="F452" s="158"/>
      <c r="H452" s="158"/>
      <c r="J452" s="158"/>
      <c r="L452" s="158"/>
      <c r="N452" s="158"/>
      <c r="P452" s="20"/>
    </row>
    <row r="453">
      <c r="B453" s="158"/>
      <c r="D453" s="158"/>
      <c r="F453" s="158"/>
      <c r="H453" s="158"/>
      <c r="J453" s="158"/>
      <c r="L453" s="158"/>
      <c r="N453" s="158"/>
      <c r="P453" s="20"/>
    </row>
    <row r="454">
      <c r="B454" s="158"/>
      <c r="D454" s="158"/>
      <c r="F454" s="158"/>
      <c r="H454" s="158"/>
      <c r="J454" s="158"/>
      <c r="L454" s="158"/>
      <c r="N454" s="158"/>
      <c r="P454" s="20"/>
    </row>
    <row r="455">
      <c r="B455" s="158"/>
      <c r="D455" s="158"/>
      <c r="F455" s="158"/>
      <c r="H455" s="158"/>
      <c r="J455" s="158"/>
      <c r="L455" s="158"/>
      <c r="N455" s="158"/>
      <c r="P455" s="20"/>
    </row>
    <row r="456">
      <c r="B456" s="158"/>
      <c r="D456" s="158"/>
      <c r="F456" s="158"/>
      <c r="H456" s="158"/>
      <c r="J456" s="158"/>
      <c r="L456" s="158"/>
      <c r="N456" s="158"/>
      <c r="P456" s="20"/>
    </row>
    <row r="457">
      <c r="B457" s="158"/>
      <c r="D457" s="158"/>
      <c r="F457" s="158"/>
      <c r="H457" s="158"/>
      <c r="J457" s="158"/>
      <c r="L457" s="158"/>
      <c r="N457" s="158"/>
      <c r="P457" s="20"/>
    </row>
    <row r="458">
      <c r="B458" s="158"/>
      <c r="D458" s="158"/>
      <c r="F458" s="158"/>
      <c r="H458" s="158"/>
      <c r="J458" s="158"/>
      <c r="L458" s="158"/>
      <c r="N458" s="158"/>
      <c r="P458" s="20"/>
    </row>
    <row r="459">
      <c r="B459" s="158"/>
      <c r="D459" s="158"/>
      <c r="F459" s="158"/>
      <c r="H459" s="158"/>
      <c r="J459" s="158"/>
      <c r="L459" s="158"/>
      <c r="N459" s="158"/>
      <c r="P459" s="20"/>
    </row>
    <row r="460">
      <c r="B460" s="158"/>
      <c r="D460" s="158"/>
      <c r="F460" s="158"/>
      <c r="H460" s="158"/>
      <c r="J460" s="158"/>
      <c r="L460" s="158"/>
      <c r="N460" s="158"/>
      <c r="P460" s="20"/>
    </row>
    <row r="461">
      <c r="B461" s="158"/>
      <c r="D461" s="158"/>
      <c r="F461" s="158"/>
      <c r="H461" s="158"/>
      <c r="J461" s="158"/>
      <c r="L461" s="158"/>
      <c r="N461" s="158"/>
      <c r="P461" s="20"/>
    </row>
    <row r="462">
      <c r="B462" s="158"/>
      <c r="D462" s="158"/>
      <c r="F462" s="158"/>
      <c r="H462" s="158"/>
      <c r="J462" s="158"/>
      <c r="L462" s="158"/>
      <c r="N462" s="158"/>
      <c r="P462" s="20"/>
    </row>
    <row r="463">
      <c r="B463" s="158"/>
      <c r="D463" s="158"/>
      <c r="F463" s="158"/>
      <c r="H463" s="158"/>
      <c r="J463" s="158"/>
      <c r="L463" s="158"/>
      <c r="N463" s="158"/>
      <c r="P463" s="20"/>
    </row>
    <row r="464">
      <c r="B464" s="158"/>
      <c r="D464" s="158"/>
      <c r="F464" s="158"/>
      <c r="H464" s="158"/>
      <c r="J464" s="158"/>
      <c r="L464" s="158"/>
      <c r="N464" s="158"/>
      <c r="P464" s="20"/>
    </row>
    <row r="465">
      <c r="B465" s="158"/>
      <c r="D465" s="158"/>
      <c r="F465" s="158"/>
      <c r="H465" s="158"/>
      <c r="J465" s="158"/>
      <c r="L465" s="158"/>
      <c r="N465" s="158"/>
      <c r="P465" s="20"/>
    </row>
    <row r="466">
      <c r="B466" s="158"/>
      <c r="D466" s="158"/>
      <c r="F466" s="158"/>
      <c r="H466" s="158"/>
      <c r="J466" s="158"/>
      <c r="L466" s="158"/>
      <c r="N466" s="158"/>
      <c r="P466" s="20"/>
    </row>
    <row r="467">
      <c r="B467" s="158"/>
      <c r="D467" s="158"/>
      <c r="F467" s="158"/>
      <c r="H467" s="158"/>
      <c r="J467" s="158"/>
      <c r="L467" s="158"/>
      <c r="N467" s="158"/>
      <c r="P467" s="20"/>
    </row>
    <row r="468">
      <c r="B468" s="158"/>
      <c r="D468" s="158"/>
      <c r="F468" s="158"/>
      <c r="H468" s="158"/>
      <c r="J468" s="158"/>
      <c r="L468" s="158"/>
      <c r="N468" s="158"/>
      <c r="P468" s="20"/>
    </row>
    <row r="469">
      <c r="B469" s="158"/>
      <c r="D469" s="158"/>
      <c r="F469" s="158"/>
      <c r="H469" s="158"/>
      <c r="J469" s="158"/>
      <c r="L469" s="158"/>
      <c r="N469" s="158"/>
      <c r="P469" s="20"/>
    </row>
    <row r="470">
      <c r="B470" s="158"/>
      <c r="D470" s="158"/>
      <c r="F470" s="158"/>
      <c r="H470" s="158"/>
      <c r="J470" s="158"/>
      <c r="L470" s="158"/>
      <c r="N470" s="158"/>
      <c r="P470" s="20"/>
    </row>
    <row r="471">
      <c r="B471" s="158"/>
      <c r="D471" s="158"/>
      <c r="F471" s="158"/>
      <c r="H471" s="158"/>
      <c r="J471" s="158"/>
      <c r="L471" s="158"/>
      <c r="N471" s="158"/>
      <c r="P471" s="20"/>
    </row>
    <row r="472">
      <c r="B472" s="158"/>
      <c r="D472" s="158"/>
      <c r="F472" s="158"/>
      <c r="H472" s="158"/>
      <c r="J472" s="158"/>
      <c r="L472" s="158"/>
      <c r="N472" s="158"/>
      <c r="P472" s="20"/>
    </row>
    <row r="473">
      <c r="B473" s="158"/>
      <c r="D473" s="158"/>
      <c r="F473" s="158"/>
      <c r="H473" s="158"/>
      <c r="J473" s="158"/>
      <c r="L473" s="158"/>
      <c r="N473" s="158"/>
      <c r="P473" s="20"/>
    </row>
    <row r="474">
      <c r="B474" s="158"/>
      <c r="D474" s="158"/>
      <c r="F474" s="158"/>
      <c r="H474" s="158"/>
      <c r="J474" s="158"/>
      <c r="L474" s="158"/>
      <c r="N474" s="158"/>
      <c r="P474" s="20"/>
    </row>
    <row r="475">
      <c r="B475" s="158"/>
      <c r="D475" s="158"/>
      <c r="F475" s="158"/>
      <c r="H475" s="158"/>
      <c r="J475" s="158"/>
      <c r="L475" s="158"/>
      <c r="N475" s="158"/>
      <c r="P475" s="20"/>
    </row>
    <row r="476">
      <c r="B476" s="158"/>
      <c r="D476" s="158"/>
      <c r="F476" s="158"/>
      <c r="H476" s="158"/>
      <c r="J476" s="158"/>
      <c r="L476" s="158"/>
      <c r="N476" s="158"/>
      <c r="P476" s="20"/>
    </row>
    <row r="477">
      <c r="B477" s="158"/>
      <c r="D477" s="158"/>
      <c r="F477" s="158"/>
      <c r="H477" s="158"/>
      <c r="J477" s="158"/>
      <c r="L477" s="158"/>
      <c r="N477" s="158"/>
      <c r="P477" s="20"/>
    </row>
    <row r="478">
      <c r="B478" s="158"/>
      <c r="D478" s="158"/>
      <c r="F478" s="158"/>
      <c r="H478" s="158"/>
      <c r="J478" s="158"/>
      <c r="L478" s="158"/>
      <c r="N478" s="158"/>
      <c r="P478" s="20"/>
    </row>
    <row r="479">
      <c r="B479" s="158"/>
      <c r="D479" s="158"/>
      <c r="F479" s="158"/>
      <c r="H479" s="158"/>
      <c r="J479" s="158"/>
      <c r="L479" s="158"/>
      <c r="N479" s="158"/>
      <c r="P479" s="20"/>
    </row>
    <row r="480">
      <c r="B480" s="158"/>
      <c r="D480" s="158"/>
      <c r="F480" s="158"/>
      <c r="H480" s="158"/>
      <c r="J480" s="158"/>
      <c r="L480" s="158"/>
      <c r="N480" s="158"/>
      <c r="P480" s="20"/>
    </row>
    <row r="481">
      <c r="B481" s="158"/>
      <c r="D481" s="158"/>
      <c r="F481" s="158"/>
      <c r="H481" s="158"/>
      <c r="J481" s="158"/>
      <c r="L481" s="158"/>
      <c r="N481" s="158"/>
      <c r="P481" s="20"/>
    </row>
    <row r="482">
      <c r="B482" s="158"/>
      <c r="D482" s="158"/>
      <c r="F482" s="158"/>
      <c r="H482" s="158"/>
      <c r="J482" s="158"/>
      <c r="L482" s="158"/>
      <c r="N482" s="158"/>
      <c r="P482" s="20"/>
    </row>
    <row r="483">
      <c r="B483" s="158"/>
      <c r="D483" s="158"/>
      <c r="F483" s="158"/>
      <c r="H483" s="158"/>
      <c r="J483" s="158"/>
      <c r="L483" s="158"/>
      <c r="N483" s="158"/>
      <c r="P483" s="20"/>
    </row>
    <row r="484">
      <c r="B484" s="158"/>
      <c r="D484" s="158"/>
      <c r="F484" s="158"/>
      <c r="H484" s="158"/>
      <c r="J484" s="158"/>
      <c r="L484" s="158"/>
      <c r="N484" s="158"/>
      <c r="P484" s="20"/>
    </row>
    <row r="485">
      <c r="B485" s="158"/>
      <c r="D485" s="158"/>
      <c r="F485" s="158"/>
      <c r="H485" s="158"/>
      <c r="J485" s="158"/>
      <c r="L485" s="158"/>
      <c r="N485" s="158"/>
      <c r="P485" s="20"/>
    </row>
    <row r="486">
      <c r="B486" s="158"/>
      <c r="D486" s="158"/>
      <c r="F486" s="158"/>
      <c r="H486" s="158"/>
      <c r="J486" s="158"/>
      <c r="L486" s="158"/>
      <c r="N486" s="158"/>
      <c r="P486" s="20"/>
    </row>
    <row r="487">
      <c r="B487" s="158"/>
      <c r="D487" s="158"/>
      <c r="F487" s="158"/>
      <c r="H487" s="158"/>
      <c r="J487" s="158"/>
      <c r="L487" s="158"/>
      <c r="N487" s="158"/>
      <c r="P487" s="20"/>
    </row>
    <row r="488">
      <c r="B488" s="158"/>
      <c r="D488" s="158"/>
      <c r="F488" s="158"/>
      <c r="H488" s="158"/>
      <c r="J488" s="158"/>
      <c r="L488" s="158"/>
      <c r="N488" s="158"/>
      <c r="P488" s="20"/>
    </row>
    <row r="489">
      <c r="B489" s="158"/>
      <c r="D489" s="158"/>
      <c r="F489" s="158"/>
      <c r="H489" s="158"/>
      <c r="J489" s="158"/>
      <c r="L489" s="158"/>
      <c r="N489" s="158"/>
      <c r="P489" s="20"/>
    </row>
    <row r="490">
      <c r="B490" s="158"/>
      <c r="D490" s="158"/>
      <c r="F490" s="158"/>
      <c r="H490" s="158"/>
      <c r="J490" s="158"/>
      <c r="L490" s="158"/>
      <c r="N490" s="158"/>
      <c r="P490" s="20"/>
    </row>
    <row r="491">
      <c r="B491" s="158"/>
      <c r="D491" s="158"/>
      <c r="F491" s="158"/>
      <c r="H491" s="158"/>
      <c r="J491" s="158"/>
      <c r="L491" s="158"/>
      <c r="N491" s="158"/>
      <c r="P491" s="20"/>
    </row>
    <row r="492">
      <c r="B492" s="158"/>
      <c r="D492" s="158"/>
      <c r="F492" s="158"/>
      <c r="H492" s="158"/>
      <c r="J492" s="158"/>
      <c r="L492" s="158"/>
      <c r="N492" s="158"/>
      <c r="P492" s="20"/>
    </row>
    <row r="493">
      <c r="B493" s="158"/>
      <c r="D493" s="158"/>
      <c r="F493" s="158"/>
      <c r="H493" s="158"/>
      <c r="J493" s="158"/>
      <c r="L493" s="158"/>
      <c r="N493" s="158"/>
      <c r="P493" s="20"/>
    </row>
    <row r="494">
      <c r="B494" s="158"/>
      <c r="D494" s="158"/>
      <c r="F494" s="158"/>
      <c r="H494" s="158"/>
      <c r="J494" s="158"/>
      <c r="L494" s="158"/>
      <c r="N494" s="158"/>
      <c r="P494" s="20"/>
    </row>
    <row r="495">
      <c r="B495" s="158"/>
      <c r="D495" s="158"/>
      <c r="F495" s="158"/>
      <c r="H495" s="158"/>
      <c r="J495" s="158"/>
      <c r="L495" s="158"/>
      <c r="N495" s="158"/>
      <c r="P495" s="20"/>
    </row>
    <row r="496">
      <c r="B496" s="158"/>
      <c r="D496" s="158"/>
      <c r="F496" s="158"/>
      <c r="H496" s="158"/>
      <c r="J496" s="158"/>
      <c r="L496" s="158"/>
      <c r="N496" s="158"/>
      <c r="P496" s="20"/>
    </row>
    <row r="497">
      <c r="B497" s="158"/>
      <c r="D497" s="158"/>
      <c r="F497" s="158"/>
      <c r="H497" s="158"/>
      <c r="J497" s="158"/>
      <c r="L497" s="158"/>
      <c r="N497" s="158"/>
      <c r="P497" s="20"/>
    </row>
    <row r="498">
      <c r="B498" s="158"/>
      <c r="D498" s="158"/>
      <c r="F498" s="158"/>
      <c r="H498" s="158"/>
      <c r="J498" s="158"/>
      <c r="L498" s="158"/>
      <c r="N498" s="158"/>
      <c r="P498" s="20"/>
    </row>
    <row r="499">
      <c r="B499" s="158"/>
      <c r="D499" s="158"/>
      <c r="F499" s="158"/>
      <c r="H499" s="158"/>
      <c r="J499" s="158"/>
      <c r="L499" s="158"/>
      <c r="N499" s="158"/>
      <c r="P499" s="20"/>
    </row>
    <row r="500">
      <c r="B500" s="158"/>
      <c r="D500" s="158"/>
      <c r="F500" s="158"/>
      <c r="H500" s="158"/>
      <c r="J500" s="158"/>
      <c r="L500" s="158"/>
      <c r="N500" s="158"/>
      <c r="P500" s="20"/>
    </row>
    <row r="501">
      <c r="B501" s="158"/>
      <c r="D501" s="158"/>
      <c r="F501" s="158"/>
      <c r="H501" s="158"/>
      <c r="J501" s="158"/>
      <c r="L501" s="158"/>
      <c r="N501" s="158"/>
      <c r="P501" s="20"/>
    </row>
    <row r="502">
      <c r="B502" s="158"/>
      <c r="D502" s="158"/>
      <c r="F502" s="158"/>
      <c r="H502" s="158"/>
      <c r="J502" s="158"/>
      <c r="L502" s="158"/>
      <c r="N502" s="158"/>
      <c r="P502" s="20"/>
    </row>
    <row r="503">
      <c r="B503" s="158"/>
      <c r="D503" s="158"/>
      <c r="F503" s="158"/>
      <c r="H503" s="158"/>
      <c r="J503" s="158"/>
      <c r="L503" s="158"/>
      <c r="N503" s="158"/>
      <c r="P503" s="20"/>
    </row>
    <row r="504">
      <c r="B504" s="158"/>
      <c r="D504" s="158"/>
      <c r="F504" s="158"/>
      <c r="H504" s="158"/>
      <c r="J504" s="158"/>
      <c r="L504" s="158"/>
      <c r="N504" s="158"/>
      <c r="P504" s="20"/>
    </row>
    <row r="505">
      <c r="B505" s="158"/>
      <c r="D505" s="158"/>
      <c r="F505" s="158"/>
      <c r="H505" s="158"/>
      <c r="J505" s="158"/>
      <c r="L505" s="158"/>
      <c r="N505" s="158"/>
      <c r="P505" s="20"/>
    </row>
    <row r="506">
      <c r="B506" s="158"/>
      <c r="D506" s="158"/>
      <c r="F506" s="158"/>
      <c r="H506" s="158"/>
      <c r="J506" s="158"/>
      <c r="L506" s="158"/>
      <c r="N506" s="158"/>
      <c r="P506" s="20"/>
    </row>
    <row r="507">
      <c r="B507" s="158"/>
      <c r="D507" s="158"/>
      <c r="F507" s="158"/>
      <c r="H507" s="158"/>
      <c r="J507" s="158"/>
      <c r="L507" s="158"/>
      <c r="N507" s="158"/>
      <c r="P507" s="20"/>
    </row>
    <row r="508">
      <c r="B508" s="158"/>
      <c r="D508" s="158"/>
      <c r="F508" s="158"/>
      <c r="H508" s="158"/>
      <c r="J508" s="158"/>
      <c r="L508" s="158"/>
      <c r="N508" s="158"/>
      <c r="P508" s="20"/>
    </row>
    <row r="509">
      <c r="B509" s="158"/>
      <c r="D509" s="158"/>
      <c r="F509" s="158"/>
      <c r="H509" s="158"/>
      <c r="J509" s="158"/>
      <c r="L509" s="158"/>
      <c r="N509" s="158"/>
      <c r="P509" s="20"/>
    </row>
    <row r="510">
      <c r="B510" s="158"/>
      <c r="D510" s="158"/>
      <c r="F510" s="158"/>
      <c r="H510" s="158"/>
      <c r="J510" s="158"/>
      <c r="L510" s="158"/>
      <c r="N510" s="158"/>
      <c r="P510" s="20"/>
    </row>
    <row r="511">
      <c r="B511" s="158"/>
      <c r="D511" s="158"/>
      <c r="F511" s="158"/>
      <c r="H511" s="158"/>
      <c r="J511" s="158"/>
      <c r="L511" s="158"/>
      <c r="N511" s="158"/>
      <c r="P511" s="20"/>
    </row>
    <row r="512">
      <c r="B512" s="158"/>
      <c r="D512" s="158"/>
      <c r="F512" s="158"/>
      <c r="H512" s="158"/>
      <c r="J512" s="158"/>
      <c r="L512" s="158"/>
      <c r="N512" s="158"/>
      <c r="P512" s="20"/>
    </row>
    <row r="513">
      <c r="B513" s="158"/>
      <c r="D513" s="158"/>
      <c r="F513" s="158"/>
      <c r="H513" s="158"/>
      <c r="J513" s="158"/>
      <c r="L513" s="158"/>
      <c r="N513" s="158"/>
      <c r="P513" s="20"/>
    </row>
    <row r="514">
      <c r="B514" s="158"/>
      <c r="D514" s="158"/>
      <c r="F514" s="158"/>
      <c r="H514" s="158"/>
      <c r="J514" s="158"/>
      <c r="L514" s="158"/>
      <c r="N514" s="158"/>
      <c r="P514" s="20"/>
    </row>
    <row r="515">
      <c r="B515" s="158"/>
      <c r="D515" s="158"/>
      <c r="F515" s="158"/>
      <c r="H515" s="158"/>
      <c r="J515" s="158"/>
      <c r="L515" s="158"/>
      <c r="N515" s="158"/>
      <c r="P515" s="20"/>
    </row>
    <row r="516">
      <c r="B516" s="158"/>
      <c r="D516" s="158"/>
      <c r="F516" s="158"/>
      <c r="H516" s="158"/>
      <c r="J516" s="158"/>
      <c r="L516" s="158"/>
      <c r="N516" s="158"/>
      <c r="P516" s="20"/>
    </row>
    <row r="517">
      <c r="B517" s="158"/>
      <c r="D517" s="158"/>
      <c r="F517" s="158"/>
      <c r="H517" s="158"/>
      <c r="J517" s="158"/>
      <c r="L517" s="158"/>
      <c r="N517" s="158"/>
      <c r="P517" s="20"/>
    </row>
    <row r="518">
      <c r="B518" s="158"/>
      <c r="D518" s="158"/>
      <c r="F518" s="158"/>
      <c r="H518" s="158"/>
      <c r="J518" s="158"/>
      <c r="L518" s="158"/>
      <c r="N518" s="158"/>
      <c r="P518" s="20"/>
    </row>
    <row r="519">
      <c r="B519" s="158"/>
      <c r="D519" s="158"/>
      <c r="F519" s="158"/>
      <c r="H519" s="158"/>
      <c r="J519" s="158"/>
      <c r="L519" s="158"/>
      <c r="N519" s="158"/>
      <c r="P519" s="20"/>
    </row>
    <row r="520">
      <c r="B520" s="158"/>
      <c r="D520" s="158"/>
      <c r="F520" s="158"/>
      <c r="H520" s="158"/>
      <c r="J520" s="158"/>
      <c r="L520" s="158"/>
      <c r="N520" s="158"/>
      <c r="P520" s="20"/>
    </row>
    <row r="521">
      <c r="B521" s="158"/>
      <c r="D521" s="158"/>
      <c r="F521" s="158"/>
      <c r="H521" s="158"/>
      <c r="J521" s="158"/>
      <c r="L521" s="158"/>
      <c r="N521" s="158"/>
      <c r="P521" s="20"/>
    </row>
    <row r="522">
      <c r="B522" s="158"/>
      <c r="D522" s="158"/>
      <c r="F522" s="158"/>
      <c r="H522" s="158"/>
      <c r="J522" s="158"/>
      <c r="L522" s="158"/>
      <c r="N522" s="158"/>
      <c r="P522" s="20"/>
    </row>
    <row r="523">
      <c r="B523" s="158"/>
      <c r="D523" s="158"/>
      <c r="F523" s="158"/>
      <c r="H523" s="158"/>
      <c r="J523" s="158"/>
      <c r="L523" s="158"/>
      <c r="N523" s="158"/>
      <c r="P523" s="20"/>
    </row>
    <row r="524">
      <c r="B524" s="158"/>
      <c r="D524" s="158"/>
      <c r="F524" s="158"/>
      <c r="H524" s="158"/>
      <c r="J524" s="158"/>
      <c r="L524" s="158"/>
      <c r="N524" s="158"/>
      <c r="P524" s="20"/>
    </row>
    <row r="525">
      <c r="B525" s="158"/>
      <c r="D525" s="158"/>
      <c r="F525" s="158"/>
      <c r="H525" s="158"/>
      <c r="J525" s="158"/>
      <c r="L525" s="158"/>
      <c r="N525" s="158"/>
      <c r="P525" s="20"/>
    </row>
    <row r="526">
      <c r="B526" s="158"/>
      <c r="D526" s="158"/>
      <c r="F526" s="158"/>
      <c r="H526" s="158"/>
      <c r="J526" s="158"/>
      <c r="L526" s="158"/>
      <c r="N526" s="158"/>
      <c r="P526" s="20"/>
    </row>
    <row r="527">
      <c r="B527" s="158"/>
      <c r="D527" s="158"/>
      <c r="F527" s="158"/>
      <c r="H527" s="158"/>
      <c r="J527" s="158"/>
      <c r="L527" s="158"/>
      <c r="N527" s="158"/>
      <c r="P527" s="20"/>
    </row>
    <row r="528">
      <c r="B528" s="158"/>
      <c r="D528" s="158"/>
      <c r="F528" s="158"/>
      <c r="H528" s="158"/>
      <c r="J528" s="158"/>
      <c r="L528" s="158"/>
      <c r="N528" s="158"/>
      <c r="P528" s="20"/>
    </row>
    <row r="529">
      <c r="B529" s="158"/>
      <c r="D529" s="158"/>
      <c r="F529" s="158"/>
      <c r="H529" s="158"/>
      <c r="J529" s="158"/>
      <c r="L529" s="158"/>
      <c r="N529" s="158"/>
      <c r="P529" s="20"/>
    </row>
    <row r="530">
      <c r="B530" s="158"/>
      <c r="D530" s="158"/>
      <c r="F530" s="158"/>
      <c r="H530" s="158"/>
      <c r="J530" s="158"/>
      <c r="L530" s="158"/>
      <c r="N530" s="158"/>
      <c r="P530" s="20"/>
    </row>
    <row r="531">
      <c r="B531" s="158"/>
      <c r="D531" s="158"/>
      <c r="F531" s="158"/>
      <c r="H531" s="158"/>
      <c r="J531" s="158"/>
      <c r="L531" s="158"/>
      <c r="N531" s="158"/>
      <c r="P531" s="20"/>
    </row>
    <row r="532">
      <c r="B532" s="158"/>
      <c r="D532" s="158"/>
      <c r="F532" s="158"/>
      <c r="H532" s="158"/>
      <c r="J532" s="158"/>
      <c r="L532" s="158"/>
      <c r="N532" s="158"/>
      <c r="P532" s="20"/>
    </row>
    <row r="533">
      <c r="B533" s="158"/>
      <c r="D533" s="158"/>
      <c r="F533" s="158"/>
      <c r="H533" s="158"/>
      <c r="J533" s="158"/>
      <c r="L533" s="158"/>
      <c r="N533" s="158"/>
      <c r="P533" s="20"/>
    </row>
    <row r="534">
      <c r="B534" s="158"/>
      <c r="D534" s="158"/>
      <c r="F534" s="158"/>
      <c r="H534" s="158"/>
      <c r="J534" s="158"/>
      <c r="L534" s="158"/>
      <c r="N534" s="158"/>
      <c r="P534" s="20"/>
    </row>
    <row r="535">
      <c r="B535" s="158"/>
      <c r="D535" s="158"/>
      <c r="F535" s="158"/>
      <c r="H535" s="158"/>
      <c r="J535" s="158"/>
      <c r="L535" s="158"/>
      <c r="N535" s="158"/>
      <c r="P535" s="20"/>
    </row>
    <row r="536">
      <c r="B536" s="158"/>
      <c r="D536" s="158"/>
      <c r="F536" s="158"/>
      <c r="H536" s="158"/>
      <c r="J536" s="158"/>
      <c r="L536" s="158"/>
      <c r="N536" s="158"/>
      <c r="P536" s="20"/>
    </row>
    <row r="537">
      <c r="B537" s="158"/>
      <c r="D537" s="158"/>
      <c r="F537" s="158"/>
      <c r="H537" s="158"/>
      <c r="J537" s="158"/>
      <c r="L537" s="158"/>
      <c r="N537" s="158"/>
      <c r="P537" s="20"/>
    </row>
    <row r="538">
      <c r="B538" s="158"/>
      <c r="D538" s="158"/>
      <c r="F538" s="158"/>
      <c r="H538" s="158"/>
      <c r="J538" s="158"/>
      <c r="L538" s="158"/>
      <c r="N538" s="158"/>
      <c r="P538" s="20"/>
    </row>
    <row r="539">
      <c r="B539" s="158"/>
      <c r="D539" s="158"/>
      <c r="F539" s="158"/>
      <c r="H539" s="158"/>
      <c r="J539" s="158"/>
      <c r="L539" s="158"/>
      <c r="N539" s="158"/>
      <c r="P539" s="20"/>
    </row>
    <row r="540">
      <c r="B540" s="158"/>
      <c r="D540" s="158"/>
      <c r="F540" s="158"/>
      <c r="H540" s="158"/>
      <c r="J540" s="158"/>
      <c r="L540" s="158"/>
      <c r="N540" s="158"/>
      <c r="P540" s="20"/>
    </row>
    <row r="541">
      <c r="B541" s="158"/>
      <c r="D541" s="158"/>
      <c r="F541" s="158"/>
      <c r="H541" s="158"/>
      <c r="J541" s="158"/>
      <c r="L541" s="158"/>
      <c r="N541" s="158"/>
      <c r="P541" s="20"/>
    </row>
    <row r="542">
      <c r="B542" s="158"/>
      <c r="D542" s="158"/>
      <c r="F542" s="158"/>
      <c r="H542" s="158"/>
      <c r="J542" s="158"/>
      <c r="L542" s="158"/>
      <c r="N542" s="158"/>
      <c r="P542" s="20"/>
    </row>
    <row r="543">
      <c r="B543" s="158"/>
      <c r="D543" s="158"/>
      <c r="F543" s="158"/>
      <c r="H543" s="158"/>
      <c r="J543" s="158"/>
      <c r="L543" s="158"/>
      <c r="N543" s="158"/>
      <c r="P543" s="20"/>
    </row>
    <row r="544">
      <c r="B544" s="158"/>
      <c r="D544" s="158"/>
      <c r="F544" s="158"/>
      <c r="H544" s="158"/>
      <c r="J544" s="158"/>
      <c r="L544" s="158"/>
      <c r="N544" s="158"/>
      <c r="P544" s="20"/>
    </row>
    <row r="545">
      <c r="B545" s="158"/>
      <c r="D545" s="158"/>
      <c r="F545" s="158"/>
      <c r="H545" s="158"/>
      <c r="J545" s="158"/>
      <c r="L545" s="158"/>
      <c r="N545" s="158"/>
      <c r="P545" s="20"/>
    </row>
    <row r="546">
      <c r="B546" s="158"/>
      <c r="D546" s="158"/>
      <c r="F546" s="158"/>
      <c r="H546" s="158"/>
      <c r="J546" s="158"/>
      <c r="L546" s="158"/>
      <c r="N546" s="158"/>
      <c r="P546" s="20"/>
    </row>
    <row r="547">
      <c r="B547" s="158"/>
      <c r="D547" s="158"/>
      <c r="F547" s="158"/>
      <c r="H547" s="158"/>
      <c r="J547" s="158"/>
      <c r="L547" s="158"/>
      <c r="N547" s="158"/>
      <c r="P547" s="20"/>
    </row>
    <row r="548">
      <c r="B548" s="158"/>
      <c r="D548" s="158"/>
      <c r="F548" s="158"/>
      <c r="H548" s="158"/>
      <c r="J548" s="158"/>
      <c r="L548" s="158"/>
      <c r="N548" s="158"/>
      <c r="P548" s="20"/>
    </row>
    <row r="549">
      <c r="B549" s="158"/>
      <c r="D549" s="158"/>
      <c r="F549" s="158"/>
      <c r="H549" s="158"/>
      <c r="J549" s="158"/>
      <c r="L549" s="158"/>
      <c r="N549" s="158"/>
      <c r="P549" s="20"/>
    </row>
    <row r="550">
      <c r="B550" s="158"/>
      <c r="D550" s="158"/>
      <c r="F550" s="158"/>
      <c r="H550" s="158"/>
      <c r="J550" s="158"/>
      <c r="L550" s="158"/>
      <c r="N550" s="158"/>
      <c r="P550" s="20"/>
    </row>
    <row r="551">
      <c r="B551" s="158"/>
      <c r="D551" s="158"/>
      <c r="F551" s="158"/>
      <c r="H551" s="158"/>
      <c r="J551" s="158"/>
      <c r="L551" s="158"/>
      <c r="N551" s="158"/>
      <c r="P551" s="20"/>
    </row>
    <row r="552">
      <c r="B552" s="158"/>
      <c r="D552" s="158"/>
      <c r="F552" s="158"/>
      <c r="H552" s="158"/>
      <c r="J552" s="158"/>
      <c r="L552" s="158"/>
      <c r="N552" s="158"/>
      <c r="P552" s="20"/>
    </row>
    <row r="553">
      <c r="B553" s="158"/>
      <c r="D553" s="158"/>
      <c r="F553" s="158"/>
      <c r="H553" s="158"/>
      <c r="J553" s="158"/>
      <c r="L553" s="158"/>
      <c r="N553" s="158"/>
      <c r="P553" s="20"/>
    </row>
    <row r="554">
      <c r="B554" s="158"/>
      <c r="D554" s="158"/>
      <c r="F554" s="158"/>
      <c r="H554" s="158"/>
      <c r="J554" s="158"/>
      <c r="L554" s="158"/>
      <c r="N554" s="158"/>
      <c r="P554" s="20"/>
    </row>
    <row r="555">
      <c r="B555" s="158"/>
      <c r="D555" s="158"/>
      <c r="F555" s="158"/>
      <c r="H555" s="158"/>
      <c r="J555" s="158"/>
      <c r="L555" s="158"/>
      <c r="N555" s="158"/>
      <c r="P555" s="20"/>
    </row>
    <row r="556">
      <c r="B556" s="158"/>
      <c r="D556" s="158"/>
      <c r="F556" s="158"/>
      <c r="H556" s="158"/>
      <c r="J556" s="158"/>
      <c r="L556" s="158"/>
      <c r="N556" s="158"/>
      <c r="P556" s="20"/>
    </row>
    <row r="557">
      <c r="B557" s="158"/>
      <c r="D557" s="158"/>
      <c r="F557" s="158"/>
      <c r="H557" s="158"/>
      <c r="J557" s="158"/>
      <c r="L557" s="158"/>
      <c r="N557" s="158"/>
      <c r="P557" s="20"/>
    </row>
    <row r="558">
      <c r="B558" s="158"/>
      <c r="D558" s="158"/>
      <c r="F558" s="158"/>
      <c r="H558" s="158"/>
      <c r="J558" s="158"/>
      <c r="L558" s="158"/>
      <c r="N558" s="158"/>
      <c r="P558" s="20"/>
    </row>
    <row r="559">
      <c r="B559" s="158"/>
      <c r="D559" s="158"/>
      <c r="F559" s="158"/>
      <c r="H559" s="158"/>
      <c r="J559" s="158"/>
      <c r="L559" s="158"/>
      <c r="N559" s="158"/>
      <c r="P559" s="20"/>
    </row>
    <row r="560">
      <c r="B560" s="158"/>
      <c r="D560" s="158"/>
      <c r="F560" s="158"/>
      <c r="H560" s="158"/>
      <c r="J560" s="158"/>
      <c r="L560" s="158"/>
      <c r="N560" s="158"/>
      <c r="P560" s="20"/>
    </row>
    <row r="561">
      <c r="B561" s="158"/>
      <c r="D561" s="158"/>
      <c r="F561" s="158"/>
      <c r="H561" s="158"/>
      <c r="J561" s="158"/>
      <c r="L561" s="158"/>
      <c r="N561" s="158"/>
      <c r="P561" s="20"/>
    </row>
    <row r="562">
      <c r="B562" s="158"/>
      <c r="D562" s="158"/>
      <c r="F562" s="158"/>
      <c r="H562" s="158"/>
      <c r="J562" s="158"/>
      <c r="L562" s="158"/>
      <c r="N562" s="158"/>
      <c r="P562" s="20"/>
    </row>
    <row r="563">
      <c r="B563" s="158"/>
      <c r="D563" s="158"/>
      <c r="F563" s="158"/>
      <c r="H563" s="158"/>
      <c r="J563" s="158"/>
      <c r="L563" s="158"/>
      <c r="N563" s="158"/>
      <c r="P563" s="20"/>
    </row>
    <row r="564">
      <c r="B564" s="158"/>
      <c r="D564" s="158"/>
      <c r="F564" s="158"/>
      <c r="H564" s="158"/>
      <c r="J564" s="158"/>
      <c r="L564" s="158"/>
      <c r="N564" s="158"/>
      <c r="P564" s="20"/>
    </row>
    <row r="565">
      <c r="B565" s="158"/>
      <c r="D565" s="158"/>
      <c r="F565" s="158"/>
      <c r="H565" s="158"/>
      <c r="J565" s="158"/>
      <c r="L565" s="158"/>
      <c r="N565" s="158"/>
      <c r="P565" s="20"/>
    </row>
    <row r="566">
      <c r="B566" s="158"/>
      <c r="D566" s="158"/>
      <c r="F566" s="158"/>
      <c r="H566" s="158"/>
      <c r="J566" s="158"/>
      <c r="L566" s="158"/>
      <c r="N566" s="158"/>
      <c r="P566" s="20"/>
    </row>
    <row r="567">
      <c r="B567" s="158"/>
      <c r="D567" s="158"/>
      <c r="F567" s="158"/>
      <c r="H567" s="158"/>
      <c r="J567" s="158"/>
      <c r="L567" s="158"/>
      <c r="N567" s="158"/>
      <c r="P567" s="20"/>
    </row>
    <row r="568">
      <c r="B568" s="158"/>
      <c r="D568" s="158"/>
      <c r="F568" s="158"/>
      <c r="H568" s="158"/>
      <c r="J568" s="158"/>
      <c r="L568" s="158"/>
      <c r="N568" s="158"/>
      <c r="P568" s="20"/>
    </row>
    <row r="569">
      <c r="B569" s="158"/>
      <c r="D569" s="158"/>
      <c r="F569" s="158"/>
      <c r="H569" s="158"/>
      <c r="J569" s="158"/>
      <c r="L569" s="158"/>
      <c r="N569" s="158"/>
      <c r="P569" s="20"/>
    </row>
    <row r="570">
      <c r="B570" s="158"/>
      <c r="D570" s="158"/>
      <c r="F570" s="158"/>
      <c r="H570" s="158"/>
      <c r="J570" s="158"/>
      <c r="L570" s="158"/>
      <c r="N570" s="158"/>
      <c r="P570" s="20"/>
    </row>
    <row r="571">
      <c r="B571" s="158"/>
      <c r="D571" s="158"/>
      <c r="F571" s="158"/>
      <c r="H571" s="158"/>
      <c r="J571" s="158"/>
      <c r="L571" s="158"/>
      <c r="N571" s="158"/>
      <c r="P571" s="20"/>
    </row>
    <row r="572">
      <c r="B572" s="158"/>
      <c r="D572" s="158"/>
      <c r="F572" s="158"/>
      <c r="H572" s="158"/>
      <c r="J572" s="158"/>
      <c r="L572" s="158"/>
      <c r="N572" s="158"/>
      <c r="P572" s="20"/>
    </row>
    <row r="573">
      <c r="B573" s="158"/>
      <c r="D573" s="158"/>
      <c r="F573" s="158"/>
      <c r="H573" s="158"/>
      <c r="J573" s="158"/>
      <c r="L573" s="158"/>
      <c r="N573" s="158"/>
      <c r="P573" s="20"/>
    </row>
    <row r="574">
      <c r="B574" s="158"/>
      <c r="D574" s="158"/>
      <c r="F574" s="158"/>
      <c r="H574" s="158"/>
      <c r="J574" s="158"/>
      <c r="L574" s="158"/>
      <c r="N574" s="158"/>
      <c r="P574" s="20"/>
    </row>
    <row r="575">
      <c r="B575" s="158"/>
      <c r="D575" s="158"/>
      <c r="F575" s="158"/>
      <c r="H575" s="158"/>
      <c r="J575" s="158"/>
      <c r="L575" s="158"/>
      <c r="N575" s="158"/>
      <c r="P575" s="20"/>
    </row>
    <row r="576">
      <c r="B576" s="158"/>
      <c r="D576" s="158"/>
      <c r="F576" s="158"/>
      <c r="H576" s="158"/>
      <c r="J576" s="158"/>
      <c r="L576" s="158"/>
      <c r="N576" s="158"/>
      <c r="P576" s="20"/>
    </row>
    <row r="577">
      <c r="B577" s="158"/>
      <c r="D577" s="158"/>
      <c r="F577" s="158"/>
      <c r="H577" s="158"/>
      <c r="J577" s="158"/>
      <c r="L577" s="158"/>
      <c r="N577" s="158"/>
      <c r="P577" s="20"/>
    </row>
    <row r="578">
      <c r="B578" s="158"/>
      <c r="D578" s="158"/>
      <c r="F578" s="158"/>
      <c r="H578" s="158"/>
      <c r="J578" s="158"/>
      <c r="L578" s="158"/>
      <c r="N578" s="158"/>
      <c r="P578" s="20"/>
    </row>
    <row r="579">
      <c r="B579" s="158"/>
      <c r="D579" s="158"/>
      <c r="F579" s="158"/>
      <c r="H579" s="158"/>
      <c r="J579" s="158"/>
      <c r="L579" s="158"/>
      <c r="N579" s="158"/>
      <c r="P579" s="20"/>
    </row>
    <row r="580">
      <c r="B580" s="158"/>
      <c r="D580" s="158"/>
      <c r="F580" s="158"/>
      <c r="H580" s="158"/>
      <c r="J580" s="158"/>
      <c r="L580" s="158"/>
      <c r="N580" s="158"/>
      <c r="P580" s="20"/>
    </row>
    <row r="581">
      <c r="B581" s="158"/>
      <c r="D581" s="158"/>
      <c r="F581" s="158"/>
      <c r="H581" s="158"/>
      <c r="J581" s="158"/>
      <c r="L581" s="158"/>
      <c r="N581" s="158"/>
      <c r="P581" s="20"/>
    </row>
    <row r="582">
      <c r="B582" s="158"/>
      <c r="D582" s="158"/>
      <c r="F582" s="158"/>
      <c r="H582" s="158"/>
      <c r="J582" s="158"/>
      <c r="L582" s="158"/>
      <c r="N582" s="158"/>
      <c r="P582" s="20"/>
    </row>
    <row r="583">
      <c r="B583" s="158"/>
      <c r="D583" s="158"/>
      <c r="F583" s="158"/>
      <c r="H583" s="158"/>
      <c r="J583" s="158"/>
      <c r="L583" s="158"/>
      <c r="N583" s="158"/>
      <c r="P583" s="20"/>
    </row>
    <row r="584">
      <c r="B584" s="158"/>
      <c r="D584" s="158"/>
      <c r="F584" s="158"/>
      <c r="H584" s="158"/>
      <c r="J584" s="158"/>
      <c r="L584" s="158"/>
      <c r="N584" s="158"/>
      <c r="P584" s="20"/>
    </row>
    <row r="585">
      <c r="B585" s="158"/>
      <c r="D585" s="158"/>
      <c r="F585" s="158"/>
      <c r="H585" s="158"/>
      <c r="J585" s="158"/>
      <c r="L585" s="158"/>
      <c r="N585" s="158"/>
      <c r="P585" s="20"/>
    </row>
    <row r="586">
      <c r="B586" s="158"/>
      <c r="D586" s="158"/>
      <c r="F586" s="158"/>
      <c r="H586" s="158"/>
      <c r="J586" s="158"/>
      <c r="L586" s="158"/>
      <c r="N586" s="158"/>
      <c r="P586" s="20"/>
    </row>
    <row r="587">
      <c r="B587" s="158"/>
      <c r="D587" s="158"/>
      <c r="F587" s="158"/>
      <c r="H587" s="158"/>
      <c r="J587" s="158"/>
      <c r="L587" s="158"/>
      <c r="N587" s="158"/>
      <c r="P587" s="20"/>
    </row>
    <row r="588">
      <c r="B588" s="158"/>
      <c r="D588" s="158"/>
      <c r="F588" s="158"/>
      <c r="H588" s="158"/>
      <c r="J588" s="158"/>
      <c r="L588" s="158"/>
      <c r="N588" s="158"/>
      <c r="P588" s="20"/>
    </row>
    <row r="589">
      <c r="B589" s="158"/>
      <c r="D589" s="158"/>
      <c r="F589" s="158"/>
      <c r="H589" s="158"/>
      <c r="J589" s="158"/>
      <c r="L589" s="158"/>
      <c r="N589" s="158"/>
      <c r="P589" s="20"/>
    </row>
    <row r="590">
      <c r="B590" s="158"/>
      <c r="D590" s="158"/>
      <c r="F590" s="158"/>
      <c r="H590" s="158"/>
      <c r="J590" s="158"/>
      <c r="L590" s="158"/>
      <c r="N590" s="158"/>
      <c r="P590" s="20"/>
    </row>
    <row r="591">
      <c r="B591" s="158"/>
      <c r="D591" s="158"/>
      <c r="F591" s="158"/>
      <c r="H591" s="158"/>
      <c r="J591" s="158"/>
      <c r="L591" s="158"/>
      <c r="N591" s="158"/>
      <c r="P591" s="20"/>
    </row>
    <row r="592">
      <c r="B592" s="158"/>
      <c r="D592" s="158"/>
      <c r="F592" s="158"/>
      <c r="H592" s="158"/>
      <c r="J592" s="158"/>
      <c r="L592" s="158"/>
      <c r="N592" s="158"/>
      <c r="P592" s="20"/>
    </row>
    <row r="593">
      <c r="B593" s="158"/>
      <c r="D593" s="158"/>
      <c r="F593" s="158"/>
      <c r="H593" s="158"/>
      <c r="J593" s="158"/>
      <c r="L593" s="158"/>
      <c r="N593" s="158"/>
      <c r="P593" s="20"/>
    </row>
    <row r="594">
      <c r="B594" s="158"/>
      <c r="D594" s="158"/>
      <c r="F594" s="158"/>
      <c r="H594" s="158"/>
      <c r="J594" s="158"/>
      <c r="L594" s="158"/>
      <c r="N594" s="158"/>
      <c r="P594" s="20"/>
    </row>
    <row r="595">
      <c r="B595" s="158"/>
      <c r="D595" s="158"/>
      <c r="F595" s="158"/>
      <c r="H595" s="158"/>
      <c r="J595" s="158"/>
      <c r="L595" s="158"/>
      <c r="N595" s="158"/>
      <c r="P595" s="20"/>
    </row>
    <row r="596">
      <c r="B596" s="158"/>
      <c r="D596" s="158"/>
      <c r="F596" s="158"/>
      <c r="H596" s="158"/>
      <c r="J596" s="158"/>
      <c r="L596" s="158"/>
      <c r="N596" s="158"/>
      <c r="P596" s="20"/>
    </row>
    <row r="597">
      <c r="B597" s="158"/>
      <c r="D597" s="158"/>
      <c r="F597" s="158"/>
      <c r="H597" s="158"/>
      <c r="J597" s="158"/>
      <c r="L597" s="158"/>
      <c r="N597" s="158"/>
      <c r="P597" s="20"/>
    </row>
    <row r="598">
      <c r="B598" s="158"/>
      <c r="D598" s="158"/>
      <c r="F598" s="158"/>
      <c r="H598" s="158"/>
      <c r="J598" s="158"/>
      <c r="L598" s="158"/>
      <c r="N598" s="158"/>
      <c r="P598" s="20"/>
    </row>
    <row r="599">
      <c r="B599" s="158"/>
      <c r="D599" s="158"/>
      <c r="F599" s="158"/>
      <c r="H599" s="158"/>
      <c r="J599" s="158"/>
      <c r="L599" s="158"/>
      <c r="N599" s="158"/>
      <c r="P599" s="20"/>
    </row>
    <row r="600">
      <c r="B600" s="158"/>
      <c r="D600" s="158"/>
      <c r="F600" s="158"/>
      <c r="H600" s="158"/>
      <c r="J600" s="158"/>
      <c r="L600" s="158"/>
      <c r="N600" s="158"/>
      <c r="P600" s="20"/>
    </row>
    <row r="601">
      <c r="B601" s="158"/>
      <c r="D601" s="158"/>
      <c r="F601" s="158"/>
      <c r="H601" s="158"/>
      <c r="J601" s="158"/>
      <c r="L601" s="158"/>
      <c r="N601" s="158"/>
      <c r="P601" s="20"/>
    </row>
    <row r="602">
      <c r="B602" s="158"/>
      <c r="D602" s="158"/>
      <c r="F602" s="158"/>
      <c r="H602" s="158"/>
      <c r="J602" s="158"/>
      <c r="L602" s="158"/>
      <c r="N602" s="158"/>
      <c r="P602" s="20"/>
    </row>
    <row r="603">
      <c r="B603" s="158"/>
      <c r="D603" s="158"/>
      <c r="F603" s="158"/>
      <c r="H603" s="158"/>
      <c r="J603" s="158"/>
      <c r="L603" s="158"/>
      <c r="N603" s="158"/>
      <c r="P603" s="20"/>
    </row>
    <row r="604">
      <c r="B604" s="158"/>
      <c r="D604" s="158"/>
      <c r="F604" s="158"/>
      <c r="H604" s="158"/>
      <c r="J604" s="158"/>
      <c r="L604" s="158"/>
      <c r="N604" s="158"/>
      <c r="P604" s="20"/>
    </row>
    <row r="605">
      <c r="B605" s="158"/>
      <c r="D605" s="158"/>
      <c r="F605" s="158"/>
      <c r="H605" s="158"/>
      <c r="J605" s="158"/>
      <c r="L605" s="158"/>
      <c r="N605" s="158"/>
      <c r="P605" s="20"/>
    </row>
    <row r="606">
      <c r="B606" s="158"/>
      <c r="D606" s="158"/>
      <c r="F606" s="158"/>
      <c r="H606" s="158"/>
      <c r="J606" s="158"/>
      <c r="L606" s="158"/>
      <c r="N606" s="158"/>
      <c r="P606" s="20"/>
    </row>
    <row r="607">
      <c r="B607" s="158"/>
      <c r="D607" s="158"/>
      <c r="F607" s="158"/>
      <c r="H607" s="158"/>
      <c r="J607" s="158"/>
      <c r="L607" s="158"/>
      <c r="N607" s="158"/>
      <c r="P607" s="20"/>
    </row>
    <row r="608">
      <c r="B608" s="158"/>
      <c r="D608" s="158"/>
      <c r="F608" s="158"/>
      <c r="H608" s="158"/>
      <c r="J608" s="158"/>
      <c r="L608" s="158"/>
      <c r="N608" s="158"/>
      <c r="P608" s="20"/>
    </row>
    <row r="609">
      <c r="B609" s="158"/>
      <c r="D609" s="158"/>
      <c r="F609" s="158"/>
      <c r="H609" s="158"/>
      <c r="J609" s="158"/>
      <c r="L609" s="158"/>
      <c r="N609" s="158"/>
      <c r="P609" s="20"/>
    </row>
    <row r="610">
      <c r="B610" s="158"/>
      <c r="D610" s="158"/>
      <c r="F610" s="158"/>
      <c r="H610" s="158"/>
      <c r="J610" s="158"/>
      <c r="L610" s="158"/>
      <c r="N610" s="158"/>
      <c r="P610" s="20"/>
    </row>
    <row r="611">
      <c r="B611" s="158"/>
      <c r="D611" s="158"/>
      <c r="F611" s="158"/>
      <c r="H611" s="158"/>
      <c r="J611" s="158"/>
      <c r="L611" s="158"/>
      <c r="N611" s="158"/>
      <c r="P611" s="20"/>
    </row>
    <row r="612">
      <c r="B612" s="158"/>
      <c r="D612" s="158"/>
      <c r="F612" s="158"/>
      <c r="H612" s="158"/>
      <c r="J612" s="158"/>
      <c r="L612" s="158"/>
      <c r="N612" s="158"/>
      <c r="P612" s="20"/>
    </row>
    <row r="613">
      <c r="B613" s="158"/>
      <c r="D613" s="158"/>
      <c r="F613" s="158"/>
      <c r="H613" s="158"/>
      <c r="J613" s="158"/>
      <c r="L613" s="158"/>
      <c r="N613" s="158"/>
      <c r="P613" s="20"/>
    </row>
    <row r="614">
      <c r="B614" s="158"/>
      <c r="D614" s="158"/>
      <c r="F614" s="158"/>
      <c r="H614" s="158"/>
      <c r="J614" s="158"/>
      <c r="L614" s="158"/>
      <c r="N614" s="158"/>
      <c r="P614" s="20"/>
    </row>
    <row r="615">
      <c r="B615" s="158"/>
      <c r="D615" s="158"/>
      <c r="F615" s="158"/>
      <c r="H615" s="158"/>
      <c r="J615" s="158"/>
      <c r="L615" s="158"/>
      <c r="N615" s="158"/>
      <c r="P615" s="20"/>
    </row>
    <row r="616">
      <c r="B616" s="158"/>
      <c r="D616" s="158"/>
      <c r="F616" s="158"/>
      <c r="H616" s="158"/>
      <c r="J616" s="158"/>
      <c r="L616" s="158"/>
      <c r="N616" s="158"/>
      <c r="P616" s="20"/>
    </row>
    <row r="617">
      <c r="B617" s="158"/>
      <c r="D617" s="158"/>
      <c r="F617" s="158"/>
      <c r="H617" s="158"/>
      <c r="J617" s="158"/>
      <c r="L617" s="158"/>
      <c r="N617" s="158"/>
      <c r="P617" s="20"/>
    </row>
    <row r="618">
      <c r="B618" s="158"/>
      <c r="D618" s="158"/>
      <c r="F618" s="158"/>
      <c r="H618" s="158"/>
      <c r="J618" s="158"/>
      <c r="L618" s="158"/>
      <c r="N618" s="158"/>
      <c r="P618" s="20"/>
    </row>
    <row r="619">
      <c r="B619" s="158"/>
      <c r="D619" s="158"/>
      <c r="F619" s="158"/>
      <c r="H619" s="158"/>
      <c r="J619" s="158"/>
      <c r="L619" s="158"/>
      <c r="N619" s="158"/>
      <c r="P619" s="20"/>
    </row>
    <row r="620">
      <c r="B620" s="158"/>
      <c r="D620" s="158"/>
      <c r="F620" s="158"/>
      <c r="H620" s="158"/>
      <c r="J620" s="158"/>
      <c r="L620" s="158"/>
      <c r="N620" s="158"/>
      <c r="P620" s="20"/>
    </row>
    <row r="621">
      <c r="B621" s="158"/>
      <c r="D621" s="158"/>
      <c r="F621" s="158"/>
      <c r="H621" s="158"/>
      <c r="J621" s="158"/>
      <c r="L621" s="158"/>
      <c r="N621" s="158"/>
      <c r="P621" s="20"/>
    </row>
    <row r="622">
      <c r="B622" s="158"/>
      <c r="D622" s="158"/>
      <c r="F622" s="158"/>
      <c r="H622" s="158"/>
      <c r="J622" s="158"/>
      <c r="L622" s="158"/>
      <c r="N622" s="158"/>
      <c r="P622" s="20"/>
    </row>
    <row r="623">
      <c r="B623" s="158"/>
      <c r="D623" s="158"/>
      <c r="F623" s="158"/>
      <c r="H623" s="158"/>
      <c r="J623" s="158"/>
      <c r="L623" s="158"/>
      <c r="N623" s="158"/>
      <c r="P623" s="20"/>
    </row>
    <row r="624">
      <c r="B624" s="158"/>
      <c r="D624" s="158"/>
      <c r="F624" s="158"/>
      <c r="H624" s="158"/>
      <c r="J624" s="158"/>
      <c r="L624" s="158"/>
      <c r="N624" s="158"/>
      <c r="P624" s="20"/>
    </row>
    <row r="625">
      <c r="B625" s="158"/>
      <c r="D625" s="158"/>
      <c r="F625" s="158"/>
      <c r="H625" s="158"/>
      <c r="J625" s="158"/>
      <c r="L625" s="158"/>
      <c r="N625" s="158"/>
      <c r="P625" s="20"/>
    </row>
    <row r="626">
      <c r="B626" s="158"/>
      <c r="D626" s="158"/>
      <c r="F626" s="158"/>
      <c r="H626" s="158"/>
      <c r="J626" s="158"/>
      <c r="L626" s="158"/>
      <c r="N626" s="158"/>
      <c r="P626" s="20"/>
    </row>
    <row r="627">
      <c r="B627" s="158"/>
      <c r="D627" s="158"/>
      <c r="F627" s="158"/>
      <c r="H627" s="158"/>
      <c r="J627" s="158"/>
      <c r="L627" s="158"/>
      <c r="N627" s="158"/>
      <c r="P627" s="20"/>
    </row>
    <row r="628">
      <c r="B628" s="158"/>
      <c r="D628" s="158"/>
      <c r="F628" s="158"/>
      <c r="H628" s="158"/>
      <c r="J628" s="158"/>
      <c r="L628" s="158"/>
      <c r="N628" s="158"/>
      <c r="P628" s="20"/>
    </row>
    <row r="629">
      <c r="B629" s="158"/>
      <c r="D629" s="158"/>
      <c r="F629" s="158"/>
      <c r="H629" s="158"/>
      <c r="J629" s="158"/>
      <c r="L629" s="158"/>
      <c r="N629" s="158"/>
      <c r="P629" s="20"/>
    </row>
    <row r="630">
      <c r="B630" s="158"/>
      <c r="D630" s="158"/>
      <c r="F630" s="158"/>
      <c r="H630" s="158"/>
      <c r="J630" s="158"/>
      <c r="L630" s="158"/>
      <c r="N630" s="158"/>
      <c r="P630" s="20"/>
    </row>
    <row r="631">
      <c r="B631" s="158"/>
      <c r="D631" s="158"/>
      <c r="F631" s="158"/>
      <c r="H631" s="158"/>
      <c r="J631" s="158"/>
      <c r="L631" s="158"/>
      <c r="N631" s="158"/>
      <c r="P631" s="20"/>
    </row>
    <row r="632">
      <c r="B632" s="158"/>
      <c r="D632" s="158"/>
      <c r="F632" s="158"/>
      <c r="H632" s="158"/>
      <c r="J632" s="158"/>
      <c r="L632" s="158"/>
      <c r="N632" s="158"/>
      <c r="P632" s="20"/>
    </row>
    <row r="633">
      <c r="B633" s="158"/>
      <c r="D633" s="158"/>
      <c r="F633" s="158"/>
      <c r="H633" s="158"/>
      <c r="J633" s="158"/>
      <c r="L633" s="158"/>
      <c r="N633" s="158"/>
      <c r="P633" s="20"/>
    </row>
    <row r="634">
      <c r="B634" s="158"/>
      <c r="D634" s="158"/>
      <c r="F634" s="158"/>
      <c r="H634" s="158"/>
      <c r="J634" s="158"/>
      <c r="L634" s="158"/>
      <c r="N634" s="158"/>
      <c r="P634" s="20"/>
    </row>
    <row r="635">
      <c r="B635" s="158"/>
      <c r="D635" s="158"/>
      <c r="F635" s="158"/>
      <c r="H635" s="158"/>
      <c r="J635" s="158"/>
      <c r="L635" s="158"/>
      <c r="N635" s="158"/>
      <c r="P635" s="20"/>
    </row>
    <row r="636">
      <c r="B636" s="158"/>
      <c r="D636" s="158"/>
      <c r="F636" s="158"/>
      <c r="H636" s="158"/>
      <c r="J636" s="158"/>
      <c r="L636" s="158"/>
      <c r="N636" s="158"/>
      <c r="P636" s="20"/>
    </row>
    <row r="637">
      <c r="B637" s="158"/>
      <c r="D637" s="158"/>
      <c r="F637" s="158"/>
      <c r="H637" s="158"/>
      <c r="J637" s="158"/>
      <c r="L637" s="158"/>
      <c r="N637" s="158"/>
      <c r="P637" s="20"/>
    </row>
    <row r="638">
      <c r="B638" s="158"/>
      <c r="D638" s="158"/>
      <c r="F638" s="158"/>
      <c r="H638" s="158"/>
      <c r="J638" s="158"/>
      <c r="L638" s="158"/>
      <c r="N638" s="158"/>
      <c r="P638" s="20"/>
    </row>
    <row r="639">
      <c r="B639" s="158"/>
      <c r="D639" s="158"/>
      <c r="F639" s="158"/>
      <c r="H639" s="158"/>
      <c r="J639" s="158"/>
      <c r="L639" s="158"/>
      <c r="N639" s="158"/>
      <c r="P639" s="20"/>
    </row>
    <row r="640">
      <c r="B640" s="158"/>
      <c r="D640" s="158"/>
      <c r="F640" s="158"/>
      <c r="H640" s="158"/>
      <c r="J640" s="158"/>
      <c r="L640" s="158"/>
      <c r="N640" s="158"/>
      <c r="P640" s="20"/>
    </row>
    <row r="641">
      <c r="B641" s="158"/>
      <c r="D641" s="158"/>
      <c r="F641" s="158"/>
      <c r="H641" s="158"/>
      <c r="J641" s="158"/>
      <c r="L641" s="158"/>
      <c r="N641" s="158"/>
      <c r="P641" s="20"/>
    </row>
    <row r="642">
      <c r="B642" s="158"/>
      <c r="D642" s="158"/>
      <c r="F642" s="158"/>
      <c r="H642" s="158"/>
      <c r="J642" s="158"/>
      <c r="L642" s="158"/>
      <c r="N642" s="158"/>
      <c r="P642" s="20"/>
    </row>
    <row r="643">
      <c r="B643" s="158"/>
      <c r="D643" s="158"/>
      <c r="F643" s="158"/>
      <c r="H643" s="158"/>
      <c r="J643" s="158"/>
      <c r="L643" s="158"/>
      <c r="N643" s="158"/>
      <c r="P643" s="20"/>
    </row>
    <row r="644">
      <c r="B644" s="158"/>
      <c r="D644" s="158"/>
      <c r="F644" s="158"/>
      <c r="H644" s="158"/>
      <c r="J644" s="158"/>
      <c r="L644" s="158"/>
      <c r="N644" s="158"/>
      <c r="P644" s="20"/>
    </row>
    <row r="645">
      <c r="B645" s="158"/>
      <c r="D645" s="158"/>
      <c r="F645" s="158"/>
      <c r="H645" s="158"/>
      <c r="J645" s="158"/>
      <c r="L645" s="158"/>
      <c r="N645" s="158"/>
      <c r="P645" s="20"/>
    </row>
    <row r="646">
      <c r="B646" s="158"/>
      <c r="D646" s="158"/>
      <c r="F646" s="158"/>
      <c r="H646" s="158"/>
      <c r="J646" s="158"/>
      <c r="L646" s="158"/>
      <c r="N646" s="158"/>
      <c r="P646" s="20"/>
    </row>
    <row r="647">
      <c r="B647" s="158"/>
      <c r="D647" s="158"/>
      <c r="F647" s="158"/>
      <c r="H647" s="158"/>
      <c r="J647" s="158"/>
      <c r="L647" s="158"/>
      <c r="N647" s="158"/>
      <c r="P647" s="20"/>
    </row>
    <row r="648">
      <c r="B648" s="158"/>
      <c r="D648" s="158"/>
      <c r="F648" s="158"/>
      <c r="H648" s="158"/>
      <c r="J648" s="158"/>
      <c r="L648" s="158"/>
      <c r="N648" s="158"/>
      <c r="P648" s="20"/>
    </row>
    <row r="649">
      <c r="B649" s="158"/>
      <c r="D649" s="158"/>
      <c r="F649" s="158"/>
      <c r="H649" s="158"/>
      <c r="J649" s="158"/>
      <c r="L649" s="158"/>
      <c r="N649" s="158"/>
      <c r="P649" s="20"/>
    </row>
    <row r="650">
      <c r="B650" s="158"/>
      <c r="D650" s="158"/>
      <c r="F650" s="158"/>
      <c r="H650" s="158"/>
      <c r="J650" s="158"/>
      <c r="L650" s="158"/>
      <c r="N650" s="158"/>
      <c r="P650" s="20"/>
    </row>
    <row r="651">
      <c r="B651" s="158"/>
      <c r="D651" s="158"/>
      <c r="F651" s="158"/>
      <c r="H651" s="158"/>
      <c r="J651" s="158"/>
      <c r="L651" s="158"/>
      <c r="N651" s="158"/>
      <c r="P651" s="20"/>
    </row>
    <row r="652">
      <c r="B652" s="158"/>
      <c r="D652" s="158"/>
      <c r="F652" s="158"/>
      <c r="H652" s="158"/>
      <c r="J652" s="158"/>
      <c r="L652" s="158"/>
      <c r="N652" s="158"/>
      <c r="P652" s="20"/>
    </row>
    <row r="653">
      <c r="B653" s="158"/>
      <c r="D653" s="158"/>
      <c r="F653" s="158"/>
      <c r="H653" s="158"/>
      <c r="J653" s="158"/>
      <c r="L653" s="158"/>
      <c r="N653" s="158"/>
      <c r="P653" s="20"/>
    </row>
    <row r="654">
      <c r="B654" s="158"/>
      <c r="D654" s="158"/>
      <c r="F654" s="158"/>
      <c r="H654" s="158"/>
      <c r="J654" s="158"/>
      <c r="L654" s="158"/>
      <c r="N654" s="158"/>
      <c r="P654" s="20"/>
    </row>
    <row r="655">
      <c r="B655" s="158"/>
      <c r="D655" s="158"/>
      <c r="F655" s="158"/>
      <c r="H655" s="158"/>
      <c r="J655" s="158"/>
      <c r="L655" s="158"/>
      <c r="N655" s="158"/>
      <c r="P655" s="20"/>
    </row>
    <row r="656">
      <c r="B656" s="158"/>
      <c r="D656" s="158"/>
      <c r="F656" s="158"/>
      <c r="H656" s="158"/>
      <c r="J656" s="158"/>
      <c r="L656" s="158"/>
      <c r="N656" s="158"/>
      <c r="P656" s="20"/>
    </row>
    <row r="657">
      <c r="B657" s="158"/>
      <c r="D657" s="158"/>
      <c r="F657" s="158"/>
      <c r="H657" s="158"/>
      <c r="J657" s="158"/>
      <c r="L657" s="158"/>
      <c r="N657" s="158"/>
      <c r="P657" s="20"/>
    </row>
    <row r="658">
      <c r="B658" s="158"/>
      <c r="D658" s="158"/>
      <c r="F658" s="158"/>
      <c r="H658" s="158"/>
      <c r="J658" s="158"/>
      <c r="L658" s="158"/>
      <c r="N658" s="158"/>
      <c r="P658" s="20"/>
    </row>
    <row r="659">
      <c r="B659" s="158"/>
      <c r="D659" s="158"/>
      <c r="F659" s="158"/>
      <c r="H659" s="158"/>
      <c r="J659" s="158"/>
      <c r="L659" s="158"/>
      <c r="N659" s="158"/>
      <c r="P659" s="20"/>
    </row>
    <row r="660">
      <c r="B660" s="158"/>
      <c r="D660" s="158"/>
      <c r="F660" s="158"/>
      <c r="H660" s="158"/>
      <c r="J660" s="158"/>
      <c r="L660" s="158"/>
      <c r="N660" s="158"/>
      <c r="P660" s="20"/>
    </row>
    <row r="661">
      <c r="B661" s="158"/>
      <c r="D661" s="158"/>
      <c r="F661" s="158"/>
      <c r="H661" s="158"/>
      <c r="J661" s="158"/>
      <c r="L661" s="158"/>
      <c r="N661" s="158"/>
      <c r="P661" s="20"/>
    </row>
    <row r="662">
      <c r="B662" s="158"/>
      <c r="D662" s="158"/>
      <c r="F662" s="158"/>
      <c r="H662" s="158"/>
      <c r="J662" s="158"/>
      <c r="L662" s="158"/>
      <c r="N662" s="158"/>
      <c r="P662" s="20"/>
    </row>
    <row r="663">
      <c r="B663" s="158"/>
      <c r="D663" s="158"/>
      <c r="F663" s="158"/>
      <c r="H663" s="158"/>
      <c r="J663" s="158"/>
      <c r="L663" s="158"/>
      <c r="N663" s="158"/>
      <c r="P663" s="20"/>
    </row>
    <row r="664">
      <c r="B664" s="158"/>
      <c r="D664" s="158"/>
      <c r="F664" s="158"/>
      <c r="H664" s="158"/>
      <c r="J664" s="158"/>
      <c r="L664" s="158"/>
      <c r="N664" s="158"/>
      <c r="P664" s="20"/>
    </row>
    <row r="665">
      <c r="B665" s="158"/>
      <c r="D665" s="158"/>
      <c r="F665" s="158"/>
      <c r="H665" s="158"/>
      <c r="J665" s="158"/>
      <c r="L665" s="158"/>
      <c r="N665" s="158"/>
      <c r="P665" s="20"/>
    </row>
    <row r="666">
      <c r="B666" s="158"/>
      <c r="D666" s="158"/>
      <c r="F666" s="158"/>
      <c r="H666" s="158"/>
      <c r="J666" s="158"/>
      <c r="L666" s="158"/>
      <c r="N666" s="158"/>
      <c r="P666" s="20"/>
    </row>
    <row r="667">
      <c r="B667" s="158"/>
      <c r="D667" s="158"/>
      <c r="F667" s="158"/>
      <c r="H667" s="158"/>
      <c r="J667" s="158"/>
      <c r="L667" s="158"/>
      <c r="N667" s="158"/>
      <c r="P667" s="20"/>
    </row>
    <row r="668">
      <c r="B668" s="158"/>
      <c r="D668" s="158"/>
      <c r="F668" s="158"/>
      <c r="H668" s="158"/>
      <c r="J668" s="158"/>
      <c r="L668" s="158"/>
      <c r="N668" s="158"/>
      <c r="P668" s="20"/>
    </row>
    <row r="669">
      <c r="B669" s="158"/>
      <c r="D669" s="158"/>
      <c r="F669" s="158"/>
      <c r="H669" s="158"/>
      <c r="J669" s="158"/>
      <c r="L669" s="158"/>
      <c r="N669" s="158"/>
      <c r="P669" s="20"/>
    </row>
    <row r="670">
      <c r="B670" s="158"/>
      <c r="D670" s="158"/>
      <c r="F670" s="158"/>
      <c r="H670" s="158"/>
      <c r="J670" s="158"/>
      <c r="L670" s="158"/>
      <c r="N670" s="158"/>
      <c r="P670" s="20"/>
    </row>
    <row r="671">
      <c r="B671" s="158"/>
      <c r="D671" s="158"/>
      <c r="F671" s="158"/>
      <c r="H671" s="158"/>
      <c r="J671" s="158"/>
      <c r="L671" s="158"/>
      <c r="N671" s="158"/>
      <c r="P671" s="20"/>
    </row>
    <row r="672">
      <c r="B672" s="158"/>
      <c r="D672" s="158"/>
      <c r="F672" s="158"/>
      <c r="H672" s="158"/>
      <c r="J672" s="158"/>
      <c r="L672" s="158"/>
      <c r="N672" s="158"/>
      <c r="P672" s="20"/>
    </row>
    <row r="673">
      <c r="B673" s="158"/>
      <c r="D673" s="158"/>
      <c r="F673" s="158"/>
      <c r="H673" s="158"/>
      <c r="J673" s="158"/>
      <c r="L673" s="158"/>
      <c r="N673" s="158"/>
      <c r="P673" s="20"/>
    </row>
    <row r="674">
      <c r="B674" s="158"/>
      <c r="D674" s="158"/>
      <c r="F674" s="158"/>
      <c r="H674" s="158"/>
      <c r="J674" s="158"/>
      <c r="L674" s="158"/>
      <c r="N674" s="158"/>
      <c r="P674" s="20"/>
    </row>
    <row r="675">
      <c r="B675" s="158"/>
      <c r="D675" s="158"/>
      <c r="F675" s="158"/>
      <c r="H675" s="158"/>
      <c r="J675" s="158"/>
      <c r="L675" s="158"/>
      <c r="N675" s="158"/>
      <c r="P675" s="20"/>
    </row>
    <row r="676">
      <c r="B676" s="158"/>
      <c r="D676" s="158"/>
      <c r="F676" s="158"/>
      <c r="H676" s="158"/>
      <c r="J676" s="158"/>
      <c r="L676" s="158"/>
      <c r="N676" s="158"/>
      <c r="P676" s="20"/>
    </row>
    <row r="677">
      <c r="B677" s="158"/>
      <c r="D677" s="158"/>
      <c r="F677" s="158"/>
      <c r="H677" s="158"/>
      <c r="J677" s="158"/>
      <c r="L677" s="158"/>
      <c r="N677" s="158"/>
      <c r="P677" s="20"/>
    </row>
    <row r="678">
      <c r="B678" s="158"/>
      <c r="D678" s="158"/>
      <c r="F678" s="158"/>
      <c r="H678" s="158"/>
      <c r="J678" s="158"/>
      <c r="L678" s="158"/>
      <c r="N678" s="158"/>
      <c r="P678" s="20"/>
    </row>
    <row r="679">
      <c r="B679" s="158"/>
      <c r="D679" s="158"/>
      <c r="F679" s="158"/>
      <c r="H679" s="158"/>
      <c r="J679" s="158"/>
      <c r="L679" s="158"/>
      <c r="N679" s="158"/>
      <c r="P679" s="20"/>
    </row>
    <row r="680">
      <c r="B680" s="158"/>
      <c r="D680" s="158"/>
      <c r="F680" s="158"/>
      <c r="H680" s="158"/>
      <c r="J680" s="158"/>
      <c r="L680" s="158"/>
      <c r="N680" s="158"/>
      <c r="P680" s="20"/>
    </row>
    <row r="681">
      <c r="B681" s="158"/>
      <c r="D681" s="158"/>
      <c r="F681" s="158"/>
      <c r="H681" s="158"/>
      <c r="J681" s="158"/>
      <c r="L681" s="158"/>
      <c r="N681" s="158"/>
      <c r="P681" s="20"/>
    </row>
    <row r="682">
      <c r="B682" s="158"/>
      <c r="D682" s="158"/>
      <c r="F682" s="158"/>
      <c r="H682" s="158"/>
      <c r="J682" s="158"/>
      <c r="L682" s="158"/>
      <c r="N682" s="158"/>
      <c r="P682" s="20"/>
    </row>
    <row r="683">
      <c r="B683" s="158"/>
      <c r="D683" s="158"/>
      <c r="F683" s="158"/>
      <c r="H683" s="158"/>
      <c r="J683" s="158"/>
      <c r="L683" s="158"/>
      <c r="N683" s="158"/>
      <c r="P683" s="20"/>
    </row>
    <row r="684">
      <c r="B684" s="158"/>
      <c r="D684" s="158"/>
      <c r="F684" s="158"/>
      <c r="H684" s="158"/>
      <c r="J684" s="158"/>
      <c r="L684" s="158"/>
      <c r="N684" s="158"/>
      <c r="P684" s="20"/>
    </row>
    <row r="685">
      <c r="B685" s="158"/>
      <c r="D685" s="158"/>
      <c r="F685" s="158"/>
      <c r="H685" s="158"/>
      <c r="J685" s="158"/>
      <c r="L685" s="158"/>
      <c r="N685" s="158"/>
      <c r="P685" s="20"/>
    </row>
    <row r="686">
      <c r="B686" s="158"/>
      <c r="D686" s="158"/>
      <c r="F686" s="158"/>
      <c r="H686" s="158"/>
      <c r="J686" s="158"/>
      <c r="L686" s="158"/>
      <c r="N686" s="158"/>
      <c r="P686" s="20"/>
    </row>
    <row r="687">
      <c r="B687" s="158"/>
      <c r="D687" s="158"/>
      <c r="F687" s="158"/>
      <c r="H687" s="158"/>
      <c r="J687" s="158"/>
      <c r="L687" s="158"/>
      <c r="N687" s="158"/>
      <c r="P687" s="20"/>
    </row>
    <row r="688">
      <c r="B688" s="158"/>
      <c r="D688" s="158"/>
      <c r="F688" s="158"/>
      <c r="H688" s="158"/>
      <c r="J688" s="158"/>
      <c r="L688" s="158"/>
      <c r="N688" s="158"/>
      <c r="P688" s="20"/>
    </row>
    <row r="689">
      <c r="B689" s="158"/>
      <c r="D689" s="158"/>
      <c r="F689" s="158"/>
      <c r="H689" s="158"/>
      <c r="J689" s="158"/>
      <c r="L689" s="158"/>
      <c r="N689" s="158"/>
      <c r="P689" s="20"/>
    </row>
    <row r="690">
      <c r="B690" s="158"/>
      <c r="D690" s="158"/>
      <c r="F690" s="158"/>
      <c r="H690" s="158"/>
      <c r="J690" s="158"/>
      <c r="L690" s="158"/>
      <c r="N690" s="158"/>
      <c r="P690" s="20"/>
    </row>
    <row r="691">
      <c r="B691" s="158"/>
      <c r="D691" s="158"/>
      <c r="F691" s="158"/>
      <c r="H691" s="158"/>
      <c r="J691" s="158"/>
      <c r="L691" s="158"/>
      <c r="N691" s="158"/>
      <c r="P691" s="20"/>
    </row>
    <row r="692">
      <c r="B692" s="158"/>
      <c r="D692" s="158"/>
      <c r="F692" s="158"/>
      <c r="H692" s="158"/>
      <c r="J692" s="158"/>
      <c r="L692" s="158"/>
      <c r="N692" s="158"/>
      <c r="P692" s="20"/>
    </row>
    <row r="693">
      <c r="B693" s="158"/>
      <c r="D693" s="158"/>
      <c r="F693" s="158"/>
      <c r="H693" s="158"/>
      <c r="J693" s="158"/>
      <c r="L693" s="158"/>
      <c r="N693" s="158"/>
      <c r="P693" s="20"/>
    </row>
    <row r="694">
      <c r="B694" s="158"/>
      <c r="D694" s="158"/>
      <c r="F694" s="158"/>
      <c r="H694" s="158"/>
      <c r="J694" s="158"/>
      <c r="L694" s="158"/>
      <c r="N694" s="158"/>
      <c r="P694" s="20"/>
    </row>
    <row r="695">
      <c r="B695" s="158"/>
      <c r="D695" s="158"/>
      <c r="F695" s="158"/>
      <c r="H695" s="158"/>
      <c r="J695" s="158"/>
      <c r="L695" s="158"/>
      <c r="N695" s="158"/>
      <c r="P695" s="20"/>
    </row>
    <row r="696">
      <c r="B696" s="158"/>
      <c r="D696" s="158"/>
      <c r="F696" s="158"/>
      <c r="H696" s="158"/>
      <c r="J696" s="158"/>
      <c r="L696" s="158"/>
      <c r="N696" s="158"/>
      <c r="P696" s="20"/>
    </row>
    <row r="697">
      <c r="B697" s="158"/>
      <c r="D697" s="158"/>
      <c r="F697" s="158"/>
      <c r="H697" s="158"/>
      <c r="J697" s="158"/>
      <c r="L697" s="158"/>
      <c r="N697" s="158"/>
      <c r="P697" s="20"/>
    </row>
    <row r="698">
      <c r="B698" s="158"/>
      <c r="D698" s="158"/>
      <c r="F698" s="158"/>
      <c r="H698" s="158"/>
      <c r="J698" s="158"/>
      <c r="L698" s="158"/>
      <c r="N698" s="158"/>
      <c r="P698" s="20"/>
    </row>
    <row r="699">
      <c r="B699" s="158"/>
      <c r="D699" s="158"/>
      <c r="F699" s="158"/>
      <c r="H699" s="158"/>
      <c r="J699" s="158"/>
      <c r="L699" s="158"/>
      <c r="N699" s="158"/>
      <c r="P699" s="20"/>
    </row>
    <row r="700">
      <c r="B700" s="158"/>
      <c r="D700" s="158"/>
      <c r="F700" s="158"/>
      <c r="H700" s="158"/>
      <c r="J700" s="158"/>
      <c r="L700" s="158"/>
      <c r="N700" s="158"/>
      <c r="P700" s="20"/>
    </row>
    <row r="701">
      <c r="B701" s="158"/>
      <c r="D701" s="158"/>
      <c r="F701" s="158"/>
      <c r="H701" s="158"/>
      <c r="J701" s="158"/>
      <c r="L701" s="158"/>
      <c r="N701" s="158"/>
      <c r="P701" s="20"/>
    </row>
    <row r="702">
      <c r="B702" s="158"/>
      <c r="D702" s="158"/>
      <c r="F702" s="158"/>
      <c r="H702" s="158"/>
      <c r="J702" s="158"/>
      <c r="L702" s="158"/>
      <c r="N702" s="158"/>
      <c r="P702" s="20"/>
    </row>
    <row r="703">
      <c r="B703" s="158"/>
      <c r="D703" s="158"/>
      <c r="F703" s="158"/>
      <c r="H703" s="158"/>
      <c r="J703" s="158"/>
      <c r="L703" s="158"/>
      <c r="N703" s="158"/>
      <c r="P703" s="20"/>
    </row>
    <row r="704">
      <c r="B704" s="158"/>
      <c r="D704" s="158"/>
      <c r="F704" s="158"/>
      <c r="H704" s="158"/>
      <c r="J704" s="158"/>
      <c r="L704" s="158"/>
      <c r="N704" s="158"/>
      <c r="P704" s="20"/>
    </row>
    <row r="705">
      <c r="B705" s="158"/>
      <c r="D705" s="158"/>
      <c r="F705" s="158"/>
      <c r="H705" s="158"/>
      <c r="J705" s="158"/>
      <c r="L705" s="158"/>
      <c r="N705" s="158"/>
      <c r="P705" s="20"/>
    </row>
    <row r="706">
      <c r="B706" s="158"/>
      <c r="D706" s="158"/>
      <c r="F706" s="158"/>
      <c r="H706" s="158"/>
      <c r="J706" s="158"/>
      <c r="L706" s="158"/>
      <c r="N706" s="158"/>
      <c r="P706" s="20"/>
    </row>
    <row r="707">
      <c r="B707" s="158"/>
      <c r="D707" s="158"/>
      <c r="F707" s="158"/>
      <c r="H707" s="158"/>
      <c r="J707" s="158"/>
      <c r="L707" s="158"/>
      <c r="N707" s="158"/>
      <c r="P707" s="20"/>
    </row>
    <row r="708">
      <c r="B708" s="158"/>
      <c r="D708" s="158"/>
      <c r="F708" s="158"/>
      <c r="H708" s="158"/>
      <c r="J708" s="158"/>
      <c r="L708" s="158"/>
      <c r="N708" s="158"/>
      <c r="P708" s="20"/>
    </row>
    <row r="709">
      <c r="B709" s="158"/>
      <c r="D709" s="158"/>
      <c r="F709" s="158"/>
      <c r="H709" s="158"/>
      <c r="J709" s="158"/>
      <c r="L709" s="158"/>
      <c r="N709" s="158"/>
      <c r="P709" s="20"/>
    </row>
    <row r="710">
      <c r="B710" s="158"/>
      <c r="D710" s="158"/>
      <c r="F710" s="158"/>
      <c r="H710" s="158"/>
      <c r="J710" s="158"/>
      <c r="L710" s="158"/>
      <c r="N710" s="158"/>
      <c r="P710" s="20"/>
    </row>
    <row r="711">
      <c r="B711" s="158"/>
      <c r="D711" s="158"/>
      <c r="F711" s="158"/>
      <c r="H711" s="158"/>
      <c r="J711" s="158"/>
      <c r="L711" s="158"/>
      <c r="N711" s="158"/>
      <c r="P711" s="20"/>
    </row>
    <row r="712">
      <c r="B712" s="158"/>
      <c r="D712" s="158"/>
      <c r="F712" s="158"/>
      <c r="H712" s="158"/>
      <c r="J712" s="158"/>
      <c r="L712" s="158"/>
      <c r="N712" s="158"/>
      <c r="P712" s="20"/>
    </row>
    <row r="713">
      <c r="B713" s="158"/>
      <c r="D713" s="158"/>
      <c r="F713" s="158"/>
      <c r="H713" s="158"/>
      <c r="J713" s="158"/>
      <c r="L713" s="158"/>
      <c r="N713" s="158"/>
      <c r="P713" s="20"/>
    </row>
    <row r="714">
      <c r="B714" s="158"/>
      <c r="D714" s="158"/>
      <c r="F714" s="158"/>
      <c r="H714" s="158"/>
      <c r="J714" s="158"/>
      <c r="L714" s="158"/>
      <c r="N714" s="158"/>
      <c r="P714" s="20"/>
    </row>
    <row r="715">
      <c r="B715" s="158"/>
      <c r="D715" s="158"/>
      <c r="F715" s="158"/>
      <c r="H715" s="158"/>
      <c r="J715" s="158"/>
      <c r="L715" s="158"/>
      <c r="N715" s="158"/>
      <c r="P715" s="20"/>
    </row>
    <row r="716">
      <c r="B716" s="158"/>
      <c r="D716" s="158"/>
      <c r="F716" s="158"/>
      <c r="H716" s="158"/>
      <c r="J716" s="158"/>
      <c r="L716" s="158"/>
      <c r="N716" s="158"/>
      <c r="P716" s="20"/>
    </row>
    <row r="717">
      <c r="B717" s="158"/>
      <c r="D717" s="158"/>
      <c r="F717" s="158"/>
      <c r="H717" s="158"/>
      <c r="J717" s="158"/>
      <c r="L717" s="158"/>
      <c r="N717" s="158"/>
      <c r="P717" s="20"/>
    </row>
    <row r="718">
      <c r="B718" s="158"/>
      <c r="D718" s="158"/>
      <c r="F718" s="158"/>
      <c r="H718" s="158"/>
      <c r="J718" s="158"/>
      <c r="L718" s="158"/>
      <c r="N718" s="158"/>
      <c r="P718" s="20"/>
    </row>
    <row r="719">
      <c r="B719" s="158"/>
      <c r="D719" s="158"/>
      <c r="F719" s="158"/>
      <c r="H719" s="158"/>
      <c r="J719" s="158"/>
      <c r="L719" s="158"/>
      <c r="N719" s="158"/>
      <c r="P719" s="20"/>
    </row>
    <row r="720">
      <c r="B720" s="158"/>
      <c r="D720" s="158"/>
      <c r="F720" s="158"/>
      <c r="H720" s="158"/>
      <c r="J720" s="158"/>
      <c r="L720" s="158"/>
      <c r="N720" s="158"/>
      <c r="P720" s="20"/>
    </row>
    <row r="721">
      <c r="B721" s="158"/>
      <c r="D721" s="158"/>
      <c r="F721" s="158"/>
      <c r="H721" s="158"/>
      <c r="J721" s="158"/>
      <c r="L721" s="158"/>
      <c r="N721" s="158"/>
      <c r="P721" s="20"/>
    </row>
    <row r="722">
      <c r="B722" s="158"/>
      <c r="D722" s="158"/>
      <c r="F722" s="158"/>
      <c r="H722" s="158"/>
      <c r="J722" s="158"/>
      <c r="L722" s="158"/>
      <c r="N722" s="158"/>
      <c r="P722" s="20"/>
    </row>
    <row r="723">
      <c r="B723" s="158"/>
      <c r="D723" s="158"/>
      <c r="F723" s="158"/>
      <c r="H723" s="158"/>
      <c r="J723" s="158"/>
      <c r="L723" s="158"/>
      <c r="N723" s="158"/>
      <c r="P723" s="20"/>
    </row>
    <row r="724">
      <c r="B724" s="158"/>
      <c r="D724" s="158"/>
      <c r="F724" s="158"/>
      <c r="H724" s="158"/>
      <c r="J724" s="158"/>
      <c r="L724" s="158"/>
      <c r="N724" s="158"/>
      <c r="P724" s="20"/>
    </row>
    <row r="725">
      <c r="B725" s="158"/>
      <c r="D725" s="158"/>
      <c r="F725" s="158"/>
      <c r="H725" s="158"/>
      <c r="J725" s="158"/>
      <c r="L725" s="158"/>
      <c r="N725" s="158"/>
      <c r="P725" s="20"/>
    </row>
    <row r="726">
      <c r="B726" s="158"/>
      <c r="D726" s="158"/>
      <c r="F726" s="158"/>
      <c r="H726" s="158"/>
      <c r="J726" s="158"/>
      <c r="L726" s="158"/>
      <c r="N726" s="158"/>
      <c r="P726" s="20"/>
    </row>
    <row r="727">
      <c r="B727" s="158"/>
      <c r="D727" s="158"/>
      <c r="F727" s="158"/>
      <c r="H727" s="158"/>
      <c r="J727" s="158"/>
      <c r="L727" s="158"/>
      <c r="N727" s="158"/>
      <c r="P727" s="20"/>
    </row>
    <row r="728">
      <c r="B728" s="158"/>
      <c r="D728" s="158"/>
      <c r="F728" s="158"/>
      <c r="H728" s="158"/>
      <c r="J728" s="158"/>
      <c r="L728" s="158"/>
      <c r="N728" s="158"/>
      <c r="P728" s="20"/>
    </row>
    <row r="729">
      <c r="B729" s="158"/>
      <c r="D729" s="158"/>
      <c r="F729" s="158"/>
      <c r="H729" s="158"/>
      <c r="J729" s="158"/>
      <c r="L729" s="158"/>
      <c r="N729" s="158"/>
      <c r="P729" s="20"/>
    </row>
    <row r="730">
      <c r="B730" s="158"/>
      <c r="D730" s="158"/>
      <c r="F730" s="158"/>
      <c r="H730" s="158"/>
      <c r="J730" s="158"/>
      <c r="L730" s="158"/>
      <c r="N730" s="158"/>
      <c r="P730" s="20"/>
    </row>
    <row r="731">
      <c r="B731" s="158"/>
      <c r="D731" s="158"/>
      <c r="F731" s="158"/>
      <c r="H731" s="158"/>
      <c r="J731" s="158"/>
      <c r="L731" s="158"/>
      <c r="N731" s="158"/>
      <c r="P731" s="20"/>
    </row>
    <row r="732">
      <c r="B732" s="158"/>
      <c r="D732" s="158"/>
      <c r="F732" s="158"/>
      <c r="H732" s="158"/>
      <c r="J732" s="158"/>
      <c r="L732" s="158"/>
      <c r="N732" s="158"/>
      <c r="P732" s="20"/>
    </row>
    <row r="733">
      <c r="B733" s="158"/>
      <c r="D733" s="158"/>
      <c r="F733" s="158"/>
      <c r="H733" s="158"/>
      <c r="J733" s="158"/>
      <c r="L733" s="158"/>
      <c r="N733" s="158"/>
      <c r="P733" s="20"/>
    </row>
    <row r="734">
      <c r="B734" s="158"/>
      <c r="D734" s="158"/>
      <c r="F734" s="158"/>
      <c r="H734" s="158"/>
      <c r="J734" s="158"/>
      <c r="L734" s="158"/>
      <c r="N734" s="158"/>
      <c r="P734" s="20"/>
    </row>
    <row r="735">
      <c r="B735" s="158"/>
      <c r="D735" s="158"/>
      <c r="F735" s="158"/>
      <c r="H735" s="158"/>
      <c r="J735" s="158"/>
      <c r="L735" s="158"/>
      <c r="N735" s="158"/>
      <c r="P735" s="20"/>
    </row>
    <row r="736">
      <c r="B736" s="158"/>
      <c r="D736" s="158"/>
      <c r="F736" s="158"/>
      <c r="H736" s="158"/>
      <c r="J736" s="158"/>
      <c r="L736" s="158"/>
      <c r="N736" s="158"/>
      <c r="P736" s="20"/>
    </row>
    <row r="737">
      <c r="B737" s="158"/>
      <c r="D737" s="158"/>
      <c r="F737" s="158"/>
      <c r="H737" s="158"/>
      <c r="J737" s="158"/>
      <c r="L737" s="158"/>
      <c r="N737" s="158"/>
      <c r="P737" s="20"/>
    </row>
    <row r="738">
      <c r="B738" s="158"/>
      <c r="D738" s="158"/>
      <c r="F738" s="158"/>
      <c r="H738" s="158"/>
      <c r="J738" s="158"/>
      <c r="L738" s="158"/>
      <c r="N738" s="158"/>
      <c r="P738" s="20"/>
    </row>
    <row r="739">
      <c r="B739" s="158"/>
      <c r="D739" s="158"/>
      <c r="F739" s="158"/>
      <c r="H739" s="158"/>
      <c r="J739" s="158"/>
      <c r="L739" s="158"/>
      <c r="N739" s="158"/>
      <c r="P739" s="20"/>
    </row>
    <row r="740">
      <c r="B740" s="158"/>
      <c r="D740" s="158"/>
      <c r="F740" s="158"/>
      <c r="H740" s="158"/>
      <c r="J740" s="158"/>
      <c r="L740" s="158"/>
      <c r="N740" s="158"/>
      <c r="P740" s="20"/>
    </row>
    <row r="741">
      <c r="B741" s="158"/>
      <c r="D741" s="158"/>
      <c r="F741" s="158"/>
      <c r="H741" s="158"/>
      <c r="J741" s="158"/>
      <c r="L741" s="158"/>
      <c r="N741" s="158"/>
      <c r="P741" s="20"/>
    </row>
    <row r="742">
      <c r="B742" s="158"/>
      <c r="D742" s="158"/>
      <c r="F742" s="158"/>
      <c r="H742" s="158"/>
      <c r="J742" s="158"/>
      <c r="L742" s="158"/>
      <c r="N742" s="158"/>
      <c r="P742" s="20"/>
    </row>
    <row r="743">
      <c r="B743" s="158"/>
      <c r="D743" s="158"/>
      <c r="F743" s="158"/>
      <c r="H743" s="158"/>
      <c r="J743" s="158"/>
      <c r="L743" s="158"/>
      <c r="N743" s="158"/>
      <c r="P743" s="20"/>
    </row>
    <row r="744">
      <c r="B744" s="158"/>
      <c r="D744" s="158"/>
      <c r="F744" s="158"/>
      <c r="H744" s="158"/>
      <c r="J744" s="158"/>
      <c r="L744" s="158"/>
      <c r="N744" s="158"/>
      <c r="P744" s="20"/>
    </row>
    <row r="745">
      <c r="B745" s="158"/>
      <c r="D745" s="158"/>
      <c r="F745" s="158"/>
      <c r="H745" s="158"/>
      <c r="J745" s="158"/>
      <c r="L745" s="158"/>
      <c r="N745" s="158"/>
      <c r="P745" s="20"/>
    </row>
    <row r="746">
      <c r="B746" s="158"/>
      <c r="D746" s="158"/>
      <c r="F746" s="158"/>
      <c r="H746" s="158"/>
      <c r="J746" s="158"/>
      <c r="L746" s="158"/>
      <c r="N746" s="158"/>
      <c r="P746" s="20"/>
    </row>
    <row r="747">
      <c r="B747" s="158"/>
      <c r="D747" s="158"/>
      <c r="F747" s="158"/>
      <c r="H747" s="158"/>
      <c r="J747" s="158"/>
      <c r="L747" s="158"/>
      <c r="N747" s="158"/>
      <c r="P747" s="20"/>
    </row>
    <row r="748">
      <c r="B748" s="158"/>
      <c r="D748" s="158"/>
      <c r="F748" s="158"/>
      <c r="H748" s="158"/>
      <c r="J748" s="158"/>
      <c r="L748" s="158"/>
      <c r="N748" s="158"/>
      <c r="P748" s="20"/>
    </row>
    <row r="749">
      <c r="B749" s="158"/>
      <c r="D749" s="158"/>
      <c r="F749" s="158"/>
      <c r="H749" s="158"/>
      <c r="J749" s="158"/>
      <c r="L749" s="158"/>
      <c r="N749" s="158"/>
      <c r="P749" s="20"/>
    </row>
    <row r="750">
      <c r="B750" s="158"/>
      <c r="D750" s="158"/>
      <c r="F750" s="158"/>
      <c r="H750" s="158"/>
      <c r="J750" s="158"/>
      <c r="L750" s="158"/>
      <c r="N750" s="158"/>
      <c r="P750" s="20"/>
    </row>
    <row r="751">
      <c r="B751" s="158"/>
      <c r="D751" s="158"/>
      <c r="F751" s="158"/>
      <c r="H751" s="158"/>
      <c r="J751" s="158"/>
      <c r="L751" s="158"/>
      <c r="N751" s="158"/>
      <c r="P751" s="20"/>
    </row>
    <row r="752">
      <c r="B752" s="158"/>
      <c r="D752" s="158"/>
      <c r="F752" s="158"/>
      <c r="H752" s="158"/>
      <c r="J752" s="158"/>
      <c r="L752" s="158"/>
      <c r="N752" s="158"/>
      <c r="P752" s="20"/>
    </row>
    <row r="753">
      <c r="B753" s="158"/>
      <c r="D753" s="158"/>
      <c r="F753" s="158"/>
      <c r="H753" s="158"/>
      <c r="J753" s="158"/>
      <c r="L753" s="158"/>
      <c r="N753" s="158"/>
      <c r="P753" s="20"/>
    </row>
    <row r="754">
      <c r="B754" s="158"/>
      <c r="D754" s="158"/>
      <c r="F754" s="158"/>
      <c r="H754" s="158"/>
      <c r="J754" s="158"/>
      <c r="L754" s="158"/>
      <c r="N754" s="158"/>
      <c r="P754" s="20"/>
    </row>
    <row r="755">
      <c r="B755" s="158"/>
      <c r="D755" s="158"/>
      <c r="F755" s="158"/>
      <c r="H755" s="158"/>
      <c r="J755" s="158"/>
      <c r="L755" s="158"/>
      <c r="N755" s="158"/>
      <c r="P755" s="20"/>
    </row>
    <row r="756">
      <c r="B756" s="158"/>
      <c r="D756" s="158"/>
      <c r="F756" s="158"/>
      <c r="H756" s="158"/>
      <c r="J756" s="158"/>
      <c r="L756" s="158"/>
      <c r="N756" s="158"/>
      <c r="P756" s="20"/>
    </row>
    <row r="757">
      <c r="B757" s="158"/>
      <c r="D757" s="158"/>
      <c r="F757" s="158"/>
      <c r="H757" s="158"/>
      <c r="J757" s="158"/>
      <c r="L757" s="158"/>
      <c r="N757" s="158"/>
      <c r="P757" s="20"/>
    </row>
    <row r="758">
      <c r="B758" s="158"/>
      <c r="D758" s="158"/>
      <c r="F758" s="158"/>
      <c r="H758" s="158"/>
      <c r="J758" s="158"/>
      <c r="L758" s="158"/>
      <c r="N758" s="158"/>
      <c r="P758" s="20"/>
    </row>
    <row r="759">
      <c r="B759" s="158"/>
      <c r="D759" s="158"/>
      <c r="F759" s="158"/>
      <c r="H759" s="158"/>
      <c r="J759" s="158"/>
      <c r="L759" s="158"/>
      <c r="N759" s="158"/>
      <c r="P759" s="20"/>
    </row>
    <row r="760">
      <c r="B760" s="158"/>
      <c r="D760" s="158"/>
      <c r="F760" s="158"/>
      <c r="H760" s="158"/>
      <c r="J760" s="158"/>
      <c r="L760" s="158"/>
      <c r="N760" s="158"/>
      <c r="P760" s="20"/>
    </row>
    <row r="761">
      <c r="B761" s="158"/>
      <c r="D761" s="158"/>
      <c r="F761" s="158"/>
      <c r="H761" s="158"/>
      <c r="J761" s="158"/>
      <c r="L761" s="158"/>
      <c r="N761" s="158"/>
      <c r="P761" s="20"/>
    </row>
    <row r="762">
      <c r="B762" s="158"/>
      <c r="D762" s="158"/>
      <c r="F762" s="158"/>
      <c r="H762" s="158"/>
      <c r="J762" s="158"/>
      <c r="L762" s="158"/>
      <c r="N762" s="158"/>
      <c r="P762" s="20"/>
    </row>
    <row r="763">
      <c r="B763" s="158"/>
      <c r="D763" s="158"/>
      <c r="F763" s="158"/>
      <c r="H763" s="158"/>
      <c r="J763" s="158"/>
      <c r="L763" s="158"/>
      <c r="N763" s="158"/>
      <c r="P763" s="20"/>
    </row>
    <row r="764">
      <c r="B764" s="158"/>
      <c r="D764" s="158"/>
      <c r="F764" s="158"/>
      <c r="H764" s="158"/>
      <c r="J764" s="158"/>
      <c r="L764" s="158"/>
      <c r="N764" s="158"/>
      <c r="P764" s="20"/>
    </row>
    <row r="765">
      <c r="B765" s="158"/>
      <c r="D765" s="158"/>
      <c r="F765" s="158"/>
      <c r="H765" s="158"/>
      <c r="J765" s="158"/>
      <c r="L765" s="158"/>
      <c r="N765" s="158"/>
      <c r="P765" s="20"/>
    </row>
    <row r="766">
      <c r="B766" s="158"/>
      <c r="D766" s="158"/>
      <c r="F766" s="158"/>
      <c r="H766" s="158"/>
      <c r="J766" s="158"/>
      <c r="L766" s="158"/>
      <c r="N766" s="158"/>
      <c r="P766" s="20"/>
    </row>
    <row r="767">
      <c r="B767" s="158"/>
      <c r="D767" s="158"/>
      <c r="F767" s="158"/>
      <c r="H767" s="158"/>
      <c r="J767" s="158"/>
      <c r="L767" s="158"/>
      <c r="N767" s="158"/>
      <c r="P767" s="20"/>
    </row>
    <row r="768">
      <c r="B768" s="158"/>
      <c r="D768" s="158"/>
      <c r="F768" s="158"/>
      <c r="H768" s="158"/>
      <c r="J768" s="158"/>
      <c r="L768" s="158"/>
      <c r="N768" s="158"/>
      <c r="P768" s="20"/>
    </row>
    <row r="769">
      <c r="B769" s="158"/>
      <c r="D769" s="158"/>
      <c r="F769" s="158"/>
      <c r="H769" s="158"/>
      <c r="J769" s="158"/>
      <c r="L769" s="158"/>
      <c r="N769" s="158"/>
      <c r="P769" s="20"/>
    </row>
    <row r="770">
      <c r="B770" s="158"/>
      <c r="D770" s="158"/>
      <c r="F770" s="158"/>
      <c r="H770" s="158"/>
      <c r="J770" s="158"/>
      <c r="L770" s="158"/>
      <c r="N770" s="158"/>
      <c r="P770" s="20"/>
    </row>
    <row r="771">
      <c r="B771" s="158"/>
      <c r="D771" s="158"/>
      <c r="F771" s="158"/>
      <c r="H771" s="158"/>
      <c r="J771" s="158"/>
      <c r="L771" s="158"/>
      <c r="N771" s="158"/>
      <c r="P771" s="20"/>
    </row>
    <row r="772">
      <c r="B772" s="158"/>
      <c r="D772" s="158"/>
      <c r="F772" s="158"/>
      <c r="H772" s="158"/>
      <c r="J772" s="158"/>
      <c r="L772" s="158"/>
      <c r="N772" s="158"/>
      <c r="P772" s="20"/>
    </row>
    <row r="773">
      <c r="B773" s="158"/>
      <c r="D773" s="158"/>
      <c r="F773" s="158"/>
      <c r="H773" s="158"/>
      <c r="J773" s="158"/>
      <c r="L773" s="158"/>
      <c r="N773" s="158"/>
      <c r="P773" s="20"/>
    </row>
    <row r="774">
      <c r="B774" s="158"/>
      <c r="D774" s="158"/>
      <c r="F774" s="158"/>
      <c r="H774" s="158"/>
      <c r="J774" s="158"/>
      <c r="L774" s="158"/>
      <c r="N774" s="158"/>
      <c r="P774" s="20"/>
    </row>
    <row r="775">
      <c r="B775" s="158"/>
      <c r="D775" s="158"/>
      <c r="F775" s="158"/>
      <c r="H775" s="158"/>
      <c r="J775" s="158"/>
      <c r="L775" s="158"/>
      <c r="N775" s="158"/>
      <c r="P775" s="20"/>
    </row>
    <row r="776">
      <c r="B776" s="158"/>
      <c r="D776" s="158"/>
      <c r="F776" s="158"/>
      <c r="H776" s="158"/>
      <c r="J776" s="158"/>
      <c r="L776" s="158"/>
      <c r="N776" s="158"/>
      <c r="P776" s="20"/>
    </row>
    <row r="777">
      <c r="B777" s="158"/>
      <c r="D777" s="158"/>
      <c r="F777" s="158"/>
      <c r="H777" s="158"/>
      <c r="J777" s="158"/>
      <c r="L777" s="158"/>
      <c r="N777" s="158"/>
      <c r="P777" s="20"/>
    </row>
    <row r="778">
      <c r="B778" s="158"/>
      <c r="D778" s="158"/>
      <c r="F778" s="158"/>
      <c r="H778" s="158"/>
      <c r="J778" s="158"/>
      <c r="L778" s="158"/>
      <c r="N778" s="158"/>
      <c r="P778" s="20"/>
    </row>
    <row r="779">
      <c r="B779" s="158"/>
      <c r="D779" s="158"/>
      <c r="F779" s="158"/>
      <c r="H779" s="158"/>
      <c r="J779" s="158"/>
      <c r="L779" s="158"/>
      <c r="N779" s="158"/>
      <c r="P779" s="20"/>
    </row>
    <row r="780">
      <c r="B780" s="158"/>
      <c r="D780" s="158"/>
      <c r="F780" s="158"/>
      <c r="H780" s="158"/>
      <c r="J780" s="158"/>
      <c r="L780" s="158"/>
      <c r="N780" s="158"/>
      <c r="P780" s="20"/>
    </row>
    <row r="781">
      <c r="B781" s="158"/>
      <c r="D781" s="158"/>
      <c r="F781" s="158"/>
      <c r="H781" s="158"/>
      <c r="J781" s="158"/>
      <c r="L781" s="158"/>
      <c r="N781" s="158"/>
      <c r="P781" s="20"/>
    </row>
    <row r="782">
      <c r="B782" s="158"/>
      <c r="D782" s="158"/>
      <c r="F782" s="158"/>
      <c r="H782" s="158"/>
      <c r="J782" s="158"/>
      <c r="L782" s="158"/>
      <c r="N782" s="158"/>
      <c r="P782" s="20"/>
    </row>
    <row r="783">
      <c r="B783" s="158"/>
      <c r="D783" s="158"/>
      <c r="F783" s="158"/>
      <c r="H783" s="158"/>
      <c r="J783" s="158"/>
      <c r="L783" s="158"/>
      <c r="N783" s="158"/>
      <c r="P783" s="20"/>
    </row>
    <row r="784">
      <c r="B784" s="158"/>
      <c r="D784" s="158"/>
      <c r="F784" s="158"/>
      <c r="H784" s="158"/>
      <c r="J784" s="158"/>
      <c r="L784" s="158"/>
      <c r="N784" s="158"/>
      <c r="P784" s="20"/>
    </row>
    <row r="785">
      <c r="B785" s="158"/>
      <c r="D785" s="158"/>
      <c r="F785" s="158"/>
      <c r="H785" s="158"/>
      <c r="J785" s="158"/>
      <c r="L785" s="158"/>
      <c r="N785" s="158"/>
      <c r="P785" s="20"/>
    </row>
    <row r="786">
      <c r="B786" s="158"/>
      <c r="D786" s="158"/>
      <c r="F786" s="158"/>
      <c r="H786" s="158"/>
      <c r="J786" s="158"/>
      <c r="L786" s="158"/>
      <c r="N786" s="158"/>
      <c r="P786" s="20"/>
    </row>
    <row r="787">
      <c r="B787" s="158"/>
      <c r="D787" s="158"/>
      <c r="F787" s="158"/>
      <c r="H787" s="158"/>
      <c r="J787" s="158"/>
      <c r="L787" s="158"/>
      <c r="N787" s="158"/>
      <c r="P787" s="20"/>
    </row>
    <row r="788">
      <c r="B788" s="158"/>
      <c r="D788" s="158"/>
      <c r="F788" s="158"/>
      <c r="H788" s="158"/>
      <c r="J788" s="158"/>
      <c r="L788" s="158"/>
      <c r="N788" s="158"/>
      <c r="P788" s="20"/>
    </row>
    <row r="789">
      <c r="B789" s="158"/>
      <c r="D789" s="158"/>
      <c r="F789" s="158"/>
      <c r="H789" s="158"/>
      <c r="J789" s="158"/>
      <c r="L789" s="158"/>
      <c r="N789" s="158"/>
      <c r="P789" s="20"/>
    </row>
    <row r="790">
      <c r="B790" s="158"/>
      <c r="D790" s="158"/>
      <c r="F790" s="158"/>
      <c r="H790" s="158"/>
      <c r="J790" s="158"/>
      <c r="L790" s="158"/>
      <c r="N790" s="158"/>
      <c r="P790" s="20"/>
    </row>
    <row r="791">
      <c r="B791" s="158"/>
      <c r="D791" s="158"/>
      <c r="F791" s="158"/>
      <c r="H791" s="158"/>
      <c r="J791" s="158"/>
      <c r="L791" s="158"/>
      <c r="N791" s="158"/>
      <c r="P791" s="20"/>
    </row>
    <row r="792">
      <c r="B792" s="158"/>
      <c r="D792" s="158"/>
      <c r="F792" s="158"/>
      <c r="H792" s="158"/>
      <c r="J792" s="158"/>
      <c r="L792" s="158"/>
      <c r="N792" s="158"/>
      <c r="P792" s="20"/>
    </row>
    <row r="793">
      <c r="B793" s="158"/>
      <c r="D793" s="158"/>
      <c r="F793" s="158"/>
      <c r="H793" s="158"/>
      <c r="J793" s="158"/>
      <c r="L793" s="158"/>
      <c r="N793" s="158"/>
      <c r="P793" s="20"/>
    </row>
    <row r="794">
      <c r="B794" s="158"/>
      <c r="D794" s="158"/>
      <c r="F794" s="158"/>
      <c r="H794" s="158"/>
      <c r="J794" s="158"/>
      <c r="L794" s="158"/>
      <c r="N794" s="158"/>
      <c r="P794" s="20"/>
    </row>
    <row r="795">
      <c r="B795" s="158"/>
      <c r="D795" s="158"/>
      <c r="F795" s="158"/>
      <c r="H795" s="158"/>
      <c r="J795" s="158"/>
      <c r="L795" s="158"/>
      <c r="N795" s="158"/>
      <c r="P795" s="20"/>
    </row>
    <row r="796">
      <c r="B796" s="158"/>
      <c r="D796" s="158"/>
      <c r="F796" s="158"/>
      <c r="H796" s="158"/>
      <c r="J796" s="158"/>
      <c r="L796" s="158"/>
      <c r="N796" s="158"/>
      <c r="P796" s="20"/>
    </row>
    <row r="797">
      <c r="B797" s="158"/>
      <c r="D797" s="158"/>
      <c r="F797" s="158"/>
      <c r="H797" s="158"/>
      <c r="J797" s="158"/>
      <c r="L797" s="158"/>
      <c r="N797" s="158"/>
      <c r="P797" s="20"/>
    </row>
    <row r="798">
      <c r="B798" s="158"/>
      <c r="D798" s="158"/>
      <c r="F798" s="158"/>
      <c r="H798" s="158"/>
      <c r="J798" s="158"/>
      <c r="L798" s="158"/>
      <c r="N798" s="158"/>
      <c r="P798" s="20"/>
    </row>
    <row r="799">
      <c r="B799" s="158"/>
      <c r="D799" s="158"/>
      <c r="F799" s="158"/>
      <c r="H799" s="158"/>
      <c r="J799" s="158"/>
      <c r="L799" s="158"/>
      <c r="N799" s="158"/>
      <c r="P799" s="20"/>
    </row>
    <row r="800">
      <c r="B800" s="158"/>
      <c r="D800" s="158"/>
      <c r="F800" s="158"/>
      <c r="H800" s="158"/>
      <c r="J800" s="158"/>
      <c r="L800" s="158"/>
      <c r="N800" s="158"/>
      <c r="P800" s="20"/>
    </row>
    <row r="801">
      <c r="B801" s="158"/>
      <c r="D801" s="158"/>
      <c r="F801" s="158"/>
      <c r="H801" s="158"/>
      <c r="J801" s="158"/>
      <c r="L801" s="158"/>
      <c r="N801" s="158"/>
      <c r="P801" s="20"/>
    </row>
    <row r="802">
      <c r="B802" s="158"/>
      <c r="D802" s="158"/>
      <c r="F802" s="158"/>
      <c r="H802" s="158"/>
      <c r="J802" s="158"/>
      <c r="L802" s="158"/>
      <c r="N802" s="158"/>
      <c r="P802" s="20"/>
    </row>
    <row r="803">
      <c r="B803" s="158"/>
      <c r="D803" s="158"/>
      <c r="F803" s="158"/>
      <c r="H803" s="158"/>
      <c r="J803" s="158"/>
      <c r="L803" s="158"/>
      <c r="N803" s="158"/>
      <c r="P803" s="20"/>
    </row>
    <row r="804">
      <c r="B804" s="158"/>
      <c r="D804" s="158"/>
      <c r="F804" s="158"/>
      <c r="H804" s="158"/>
      <c r="J804" s="158"/>
      <c r="L804" s="158"/>
      <c r="N804" s="158"/>
      <c r="P804" s="20"/>
    </row>
    <row r="805">
      <c r="B805" s="158"/>
      <c r="D805" s="158"/>
      <c r="F805" s="158"/>
      <c r="H805" s="158"/>
      <c r="J805" s="158"/>
      <c r="L805" s="158"/>
      <c r="N805" s="158"/>
      <c r="P805" s="20"/>
    </row>
    <row r="806">
      <c r="B806" s="158"/>
      <c r="D806" s="158"/>
      <c r="F806" s="158"/>
      <c r="H806" s="158"/>
      <c r="J806" s="158"/>
      <c r="L806" s="158"/>
      <c r="N806" s="158"/>
      <c r="P806" s="20"/>
    </row>
    <row r="807">
      <c r="B807" s="158"/>
      <c r="D807" s="158"/>
      <c r="F807" s="158"/>
      <c r="H807" s="158"/>
      <c r="J807" s="158"/>
      <c r="L807" s="158"/>
      <c r="N807" s="158"/>
      <c r="P807" s="20"/>
    </row>
    <row r="808">
      <c r="B808" s="158"/>
      <c r="D808" s="158"/>
      <c r="F808" s="158"/>
      <c r="H808" s="158"/>
      <c r="J808" s="158"/>
      <c r="L808" s="158"/>
      <c r="N808" s="158"/>
      <c r="P808" s="20"/>
    </row>
    <row r="809">
      <c r="B809" s="158"/>
      <c r="D809" s="158"/>
      <c r="F809" s="158"/>
      <c r="H809" s="158"/>
      <c r="J809" s="158"/>
      <c r="L809" s="158"/>
      <c r="N809" s="158"/>
      <c r="P809" s="20"/>
    </row>
    <row r="810">
      <c r="B810" s="158"/>
      <c r="D810" s="158"/>
      <c r="F810" s="158"/>
      <c r="H810" s="158"/>
      <c r="J810" s="158"/>
      <c r="L810" s="158"/>
      <c r="N810" s="158"/>
      <c r="P810" s="20"/>
    </row>
    <row r="811">
      <c r="B811" s="158"/>
      <c r="D811" s="158"/>
      <c r="F811" s="158"/>
      <c r="H811" s="158"/>
      <c r="J811" s="158"/>
      <c r="L811" s="158"/>
      <c r="N811" s="158"/>
      <c r="P811" s="20"/>
    </row>
    <row r="812">
      <c r="B812" s="158"/>
      <c r="D812" s="158"/>
      <c r="F812" s="158"/>
      <c r="H812" s="158"/>
      <c r="J812" s="158"/>
      <c r="L812" s="158"/>
      <c r="N812" s="158"/>
      <c r="P812" s="20"/>
    </row>
    <row r="813">
      <c r="B813" s="158"/>
      <c r="D813" s="158"/>
      <c r="F813" s="158"/>
      <c r="H813" s="158"/>
      <c r="J813" s="158"/>
      <c r="L813" s="158"/>
      <c r="N813" s="158"/>
      <c r="P813" s="20"/>
    </row>
    <row r="814">
      <c r="B814" s="158"/>
      <c r="D814" s="158"/>
      <c r="F814" s="158"/>
      <c r="H814" s="158"/>
      <c r="J814" s="158"/>
      <c r="L814" s="158"/>
      <c r="N814" s="158"/>
      <c r="P814" s="20"/>
    </row>
    <row r="815">
      <c r="B815" s="158"/>
      <c r="D815" s="158"/>
      <c r="F815" s="158"/>
      <c r="H815" s="158"/>
      <c r="J815" s="158"/>
      <c r="L815" s="158"/>
      <c r="N815" s="158"/>
      <c r="P815" s="20"/>
    </row>
    <row r="816">
      <c r="B816" s="158"/>
      <c r="D816" s="158"/>
      <c r="F816" s="158"/>
      <c r="H816" s="158"/>
      <c r="J816" s="158"/>
      <c r="L816" s="158"/>
      <c r="N816" s="158"/>
      <c r="P816" s="20"/>
    </row>
    <row r="817">
      <c r="B817" s="158"/>
      <c r="D817" s="158"/>
      <c r="F817" s="158"/>
      <c r="H817" s="158"/>
      <c r="J817" s="158"/>
      <c r="L817" s="158"/>
      <c r="N817" s="158"/>
      <c r="P817" s="20"/>
    </row>
    <row r="818">
      <c r="B818" s="158"/>
      <c r="D818" s="158"/>
      <c r="F818" s="158"/>
      <c r="H818" s="158"/>
      <c r="J818" s="158"/>
      <c r="L818" s="158"/>
      <c r="N818" s="158"/>
      <c r="P818" s="20"/>
    </row>
    <row r="819">
      <c r="B819" s="158"/>
      <c r="D819" s="158"/>
      <c r="F819" s="158"/>
      <c r="H819" s="158"/>
      <c r="J819" s="158"/>
      <c r="L819" s="158"/>
      <c r="N819" s="158"/>
      <c r="P819" s="20"/>
    </row>
    <row r="820">
      <c r="B820" s="158"/>
      <c r="D820" s="158"/>
      <c r="F820" s="158"/>
      <c r="H820" s="158"/>
      <c r="J820" s="158"/>
      <c r="L820" s="158"/>
      <c r="N820" s="158"/>
      <c r="P820" s="20"/>
    </row>
    <row r="821">
      <c r="B821" s="158"/>
      <c r="D821" s="158"/>
      <c r="F821" s="158"/>
      <c r="H821" s="158"/>
      <c r="J821" s="158"/>
      <c r="L821" s="158"/>
      <c r="N821" s="158"/>
      <c r="P821" s="20"/>
    </row>
    <row r="822">
      <c r="B822" s="158"/>
      <c r="D822" s="158"/>
      <c r="F822" s="158"/>
      <c r="H822" s="158"/>
      <c r="J822" s="158"/>
      <c r="L822" s="158"/>
      <c r="N822" s="158"/>
      <c r="P822" s="20"/>
    </row>
    <row r="823">
      <c r="B823" s="158"/>
      <c r="D823" s="158"/>
      <c r="F823" s="158"/>
      <c r="H823" s="158"/>
      <c r="J823" s="158"/>
      <c r="L823" s="158"/>
      <c r="N823" s="158"/>
      <c r="P823" s="20"/>
    </row>
    <row r="824">
      <c r="B824" s="158"/>
      <c r="D824" s="158"/>
      <c r="F824" s="158"/>
      <c r="H824" s="158"/>
      <c r="J824" s="158"/>
      <c r="L824" s="158"/>
      <c r="N824" s="158"/>
      <c r="P824" s="20"/>
    </row>
    <row r="825">
      <c r="B825" s="158"/>
      <c r="D825" s="158"/>
      <c r="F825" s="158"/>
      <c r="H825" s="158"/>
      <c r="J825" s="158"/>
      <c r="L825" s="158"/>
      <c r="N825" s="158"/>
      <c r="P825" s="20"/>
    </row>
    <row r="826">
      <c r="B826" s="158"/>
      <c r="D826" s="158"/>
      <c r="F826" s="158"/>
      <c r="H826" s="158"/>
      <c r="J826" s="158"/>
      <c r="L826" s="158"/>
      <c r="N826" s="158"/>
      <c r="P826" s="20"/>
    </row>
    <row r="827">
      <c r="B827" s="158"/>
      <c r="D827" s="158"/>
      <c r="F827" s="158"/>
      <c r="H827" s="158"/>
      <c r="J827" s="158"/>
      <c r="L827" s="158"/>
      <c r="N827" s="158"/>
      <c r="P827" s="20"/>
    </row>
    <row r="828">
      <c r="B828" s="158"/>
      <c r="D828" s="158"/>
      <c r="F828" s="158"/>
      <c r="H828" s="158"/>
      <c r="J828" s="158"/>
      <c r="L828" s="158"/>
      <c r="N828" s="158"/>
      <c r="P828" s="20"/>
    </row>
    <row r="829">
      <c r="B829" s="158"/>
      <c r="D829" s="158"/>
      <c r="F829" s="158"/>
      <c r="H829" s="158"/>
      <c r="J829" s="158"/>
      <c r="L829" s="158"/>
      <c r="N829" s="158"/>
      <c r="P829" s="20"/>
    </row>
    <row r="830">
      <c r="B830" s="158"/>
      <c r="D830" s="158"/>
      <c r="F830" s="158"/>
      <c r="H830" s="158"/>
      <c r="J830" s="158"/>
      <c r="L830" s="158"/>
      <c r="N830" s="158"/>
      <c r="P830" s="20"/>
    </row>
    <row r="831">
      <c r="B831" s="158"/>
      <c r="D831" s="158"/>
      <c r="F831" s="158"/>
      <c r="H831" s="158"/>
      <c r="J831" s="158"/>
      <c r="L831" s="158"/>
      <c r="N831" s="158"/>
      <c r="P831" s="20"/>
    </row>
    <row r="832">
      <c r="B832" s="158"/>
      <c r="D832" s="158"/>
      <c r="F832" s="158"/>
      <c r="H832" s="158"/>
      <c r="J832" s="158"/>
      <c r="L832" s="158"/>
      <c r="N832" s="158"/>
      <c r="P832" s="20"/>
    </row>
    <row r="833">
      <c r="B833" s="158"/>
      <c r="D833" s="158"/>
      <c r="F833" s="158"/>
      <c r="H833" s="158"/>
      <c r="J833" s="158"/>
      <c r="L833" s="158"/>
      <c r="N833" s="158"/>
      <c r="P833" s="20"/>
    </row>
    <row r="834">
      <c r="B834" s="158"/>
      <c r="D834" s="158"/>
      <c r="F834" s="158"/>
      <c r="H834" s="158"/>
      <c r="J834" s="158"/>
      <c r="L834" s="158"/>
      <c r="N834" s="158"/>
      <c r="P834" s="20"/>
    </row>
    <row r="835">
      <c r="B835" s="158"/>
      <c r="D835" s="158"/>
      <c r="F835" s="158"/>
      <c r="H835" s="158"/>
      <c r="J835" s="158"/>
      <c r="L835" s="158"/>
      <c r="N835" s="158"/>
      <c r="P835" s="20"/>
    </row>
    <row r="836">
      <c r="B836" s="158"/>
      <c r="D836" s="158"/>
      <c r="F836" s="158"/>
      <c r="H836" s="158"/>
      <c r="J836" s="158"/>
      <c r="L836" s="158"/>
      <c r="N836" s="158"/>
      <c r="P836" s="20"/>
    </row>
    <row r="837">
      <c r="B837" s="158"/>
      <c r="D837" s="158"/>
      <c r="F837" s="158"/>
      <c r="H837" s="158"/>
      <c r="J837" s="158"/>
      <c r="L837" s="158"/>
      <c r="N837" s="158"/>
      <c r="P837" s="20"/>
    </row>
    <row r="838">
      <c r="B838" s="158"/>
      <c r="D838" s="158"/>
      <c r="F838" s="158"/>
      <c r="H838" s="158"/>
      <c r="J838" s="158"/>
      <c r="L838" s="158"/>
      <c r="N838" s="158"/>
      <c r="P838" s="20"/>
    </row>
    <row r="839">
      <c r="B839" s="158"/>
      <c r="D839" s="158"/>
      <c r="F839" s="158"/>
      <c r="H839" s="158"/>
      <c r="J839" s="158"/>
      <c r="L839" s="158"/>
      <c r="N839" s="158"/>
      <c r="P839" s="20"/>
    </row>
    <row r="840">
      <c r="B840" s="158"/>
      <c r="D840" s="158"/>
      <c r="F840" s="158"/>
      <c r="H840" s="158"/>
      <c r="J840" s="158"/>
      <c r="L840" s="158"/>
      <c r="N840" s="158"/>
      <c r="P840" s="20"/>
    </row>
    <row r="841">
      <c r="B841" s="158"/>
      <c r="D841" s="158"/>
      <c r="F841" s="158"/>
      <c r="H841" s="158"/>
      <c r="J841" s="158"/>
      <c r="L841" s="158"/>
      <c r="N841" s="158"/>
      <c r="P841" s="20"/>
    </row>
    <row r="842">
      <c r="B842" s="158"/>
      <c r="D842" s="158"/>
      <c r="F842" s="158"/>
      <c r="H842" s="158"/>
      <c r="J842" s="158"/>
      <c r="L842" s="158"/>
      <c r="N842" s="158"/>
      <c r="P842" s="20"/>
    </row>
    <row r="843">
      <c r="B843" s="158"/>
      <c r="D843" s="158"/>
      <c r="F843" s="158"/>
      <c r="H843" s="158"/>
      <c r="J843" s="158"/>
      <c r="L843" s="158"/>
      <c r="N843" s="158"/>
      <c r="P843" s="20"/>
    </row>
    <row r="844">
      <c r="B844" s="158"/>
      <c r="D844" s="158"/>
      <c r="F844" s="158"/>
      <c r="H844" s="158"/>
      <c r="J844" s="158"/>
      <c r="L844" s="158"/>
      <c r="N844" s="158"/>
      <c r="P844" s="20"/>
    </row>
    <row r="845">
      <c r="B845" s="158"/>
      <c r="D845" s="158"/>
      <c r="F845" s="158"/>
      <c r="H845" s="158"/>
      <c r="J845" s="158"/>
      <c r="L845" s="158"/>
      <c r="N845" s="158"/>
      <c r="P845" s="20"/>
    </row>
    <row r="846">
      <c r="B846" s="158"/>
      <c r="D846" s="158"/>
      <c r="F846" s="158"/>
      <c r="H846" s="158"/>
      <c r="J846" s="158"/>
      <c r="L846" s="158"/>
      <c r="N846" s="158"/>
      <c r="P846" s="20"/>
    </row>
    <row r="847">
      <c r="B847" s="158"/>
      <c r="D847" s="158"/>
      <c r="F847" s="158"/>
      <c r="H847" s="158"/>
      <c r="J847" s="158"/>
      <c r="L847" s="158"/>
      <c r="N847" s="158"/>
      <c r="P847" s="20"/>
    </row>
    <row r="848">
      <c r="B848" s="158"/>
      <c r="D848" s="158"/>
      <c r="F848" s="158"/>
      <c r="H848" s="158"/>
      <c r="J848" s="158"/>
      <c r="L848" s="158"/>
      <c r="N848" s="158"/>
      <c r="P848" s="20"/>
    </row>
    <row r="849">
      <c r="B849" s="158"/>
      <c r="D849" s="158"/>
      <c r="F849" s="158"/>
      <c r="H849" s="158"/>
      <c r="J849" s="158"/>
      <c r="L849" s="158"/>
      <c r="N849" s="158"/>
      <c r="P849" s="20"/>
    </row>
    <row r="850">
      <c r="B850" s="158"/>
      <c r="D850" s="158"/>
      <c r="F850" s="158"/>
      <c r="H850" s="158"/>
      <c r="J850" s="158"/>
      <c r="L850" s="158"/>
      <c r="N850" s="158"/>
      <c r="P850" s="20"/>
    </row>
    <row r="851">
      <c r="B851" s="158"/>
      <c r="D851" s="158"/>
      <c r="F851" s="158"/>
      <c r="H851" s="158"/>
      <c r="J851" s="158"/>
      <c r="L851" s="158"/>
      <c r="N851" s="158"/>
      <c r="P851" s="20"/>
    </row>
    <row r="852">
      <c r="B852" s="158"/>
      <c r="D852" s="158"/>
      <c r="F852" s="158"/>
      <c r="H852" s="158"/>
      <c r="J852" s="158"/>
      <c r="L852" s="158"/>
      <c r="N852" s="158"/>
      <c r="P852" s="20"/>
    </row>
    <row r="853">
      <c r="B853" s="158"/>
      <c r="D853" s="158"/>
      <c r="F853" s="158"/>
      <c r="H853" s="158"/>
      <c r="J853" s="158"/>
      <c r="L853" s="158"/>
      <c r="N853" s="158"/>
      <c r="P853" s="20"/>
    </row>
    <row r="854">
      <c r="B854" s="158"/>
      <c r="D854" s="158"/>
      <c r="F854" s="158"/>
      <c r="H854" s="158"/>
      <c r="J854" s="158"/>
      <c r="L854" s="158"/>
      <c r="N854" s="158"/>
      <c r="P854" s="20"/>
    </row>
    <row r="855">
      <c r="B855" s="158"/>
      <c r="D855" s="158"/>
      <c r="F855" s="158"/>
      <c r="H855" s="158"/>
      <c r="J855" s="158"/>
      <c r="L855" s="158"/>
      <c r="N855" s="158"/>
      <c r="P855" s="20"/>
    </row>
    <row r="856">
      <c r="B856" s="158"/>
      <c r="D856" s="158"/>
      <c r="F856" s="158"/>
      <c r="H856" s="158"/>
      <c r="J856" s="158"/>
      <c r="L856" s="158"/>
      <c r="N856" s="158"/>
      <c r="P856" s="20"/>
    </row>
    <row r="857">
      <c r="B857" s="158"/>
      <c r="D857" s="158"/>
      <c r="F857" s="158"/>
      <c r="H857" s="158"/>
      <c r="J857" s="158"/>
      <c r="L857" s="158"/>
      <c r="N857" s="158"/>
      <c r="P857" s="20"/>
    </row>
    <row r="858">
      <c r="B858" s="158"/>
      <c r="D858" s="158"/>
      <c r="F858" s="158"/>
      <c r="H858" s="158"/>
      <c r="J858" s="158"/>
      <c r="L858" s="158"/>
      <c r="N858" s="158"/>
      <c r="P858" s="20"/>
    </row>
    <row r="859">
      <c r="B859" s="158"/>
      <c r="D859" s="158"/>
      <c r="F859" s="158"/>
      <c r="H859" s="158"/>
      <c r="J859" s="158"/>
      <c r="L859" s="158"/>
      <c r="N859" s="158"/>
      <c r="P859" s="20"/>
    </row>
    <row r="860">
      <c r="B860" s="158"/>
      <c r="D860" s="158"/>
      <c r="F860" s="158"/>
      <c r="H860" s="158"/>
      <c r="J860" s="158"/>
      <c r="L860" s="158"/>
      <c r="N860" s="158"/>
      <c r="P860" s="20"/>
    </row>
    <row r="861">
      <c r="B861" s="158"/>
      <c r="D861" s="158"/>
      <c r="F861" s="158"/>
      <c r="H861" s="158"/>
      <c r="J861" s="158"/>
      <c r="L861" s="158"/>
      <c r="N861" s="158"/>
      <c r="P861" s="20"/>
    </row>
    <row r="862">
      <c r="B862" s="158"/>
      <c r="D862" s="158"/>
      <c r="F862" s="158"/>
      <c r="H862" s="158"/>
      <c r="J862" s="158"/>
      <c r="L862" s="158"/>
      <c r="N862" s="158"/>
      <c r="P862" s="20"/>
    </row>
    <row r="863">
      <c r="B863" s="158"/>
      <c r="D863" s="158"/>
      <c r="F863" s="158"/>
      <c r="H863" s="158"/>
      <c r="J863" s="158"/>
      <c r="L863" s="158"/>
      <c r="N863" s="158"/>
      <c r="P863" s="20"/>
    </row>
    <row r="864">
      <c r="B864" s="158"/>
      <c r="D864" s="158"/>
      <c r="F864" s="158"/>
      <c r="H864" s="158"/>
      <c r="J864" s="158"/>
      <c r="L864" s="158"/>
      <c r="N864" s="158"/>
      <c r="P864" s="20"/>
    </row>
    <row r="865">
      <c r="B865" s="158"/>
      <c r="D865" s="158"/>
      <c r="F865" s="158"/>
      <c r="H865" s="158"/>
      <c r="J865" s="158"/>
      <c r="L865" s="158"/>
      <c r="N865" s="158"/>
      <c r="P865" s="20"/>
    </row>
    <row r="866">
      <c r="B866" s="158"/>
      <c r="D866" s="158"/>
      <c r="F866" s="158"/>
      <c r="H866" s="158"/>
      <c r="J866" s="158"/>
      <c r="L866" s="158"/>
      <c r="N866" s="158"/>
      <c r="P866" s="20"/>
    </row>
    <row r="867">
      <c r="B867" s="158"/>
      <c r="D867" s="158"/>
      <c r="F867" s="158"/>
      <c r="H867" s="158"/>
      <c r="J867" s="158"/>
      <c r="L867" s="158"/>
      <c r="N867" s="158"/>
      <c r="P867" s="20"/>
    </row>
    <row r="868">
      <c r="B868" s="158"/>
      <c r="D868" s="158"/>
      <c r="F868" s="158"/>
      <c r="H868" s="158"/>
      <c r="J868" s="158"/>
      <c r="L868" s="158"/>
      <c r="N868" s="158"/>
      <c r="P868" s="20"/>
    </row>
    <row r="869">
      <c r="B869" s="158"/>
      <c r="D869" s="158"/>
      <c r="F869" s="158"/>
      <c r="H869" s="158"/>
      <c r="J869" s="158"/>
      <c r="L869" s="158"/>
      <c r="N869" s="158"/>
      <c r="P869" s="20"/>
    </row>
    <row r="870">
      <c r="B870" s="158"/>
      <c r="D870" s="158"/>
      <c r="F870" s="158"/>
      <c r="H870" s="158"/>
      <c r="J870" s="158"/>
      <c r="L870" s="158"/>
      <c r="N870" s="158"/>
      <c r="P870" s="20"/>
    </row>
    <row r="871">
      <c r="B871" s="158"/>
      <c r="D871" s="158"/>
      <c r="F871" s="158"/>
      <c r="H871" s="158"/>
      <c r="J871" s="158"/>
      <c r="L871" s="158"/>
      <c r="N871" s="158"/>
      <c r="P871" s="20"/>
    </row>
    <row r="872">
      <c r="B872" s="158"/>
      <c r="D872" s="158"/>
      <c r="F872" s="158"/>
      <c r="H872" s="158"/>
      <c r="J872" s="158"/>
      <c r="L872" s="158"/>
      <c r="N872" s="158"/>
      <c r="P872" s="20"/>
    </row>
    <row r="873">
      <c r="B873" s="158"/>
      <c r="D873" s="158"/>
      <c r="F873" s="158"/>
      <c r="H873" s="158"/>
      <c r="J873" s="158"/>
      <c r="L873" s="158"/>
      <c r="N873" s="158"/>
      <c r="P873" s="20"/>
    </row>
    <row r="874">
      <c r="B874" s="158"/>
      <c r="D874" s="158"/>
      <c r="F874" s="158"/>
      <c r="H874" s="158"/>
      <c r="J874" s="158"/>
      <c r="L874" s="158"/>
      <c r="N874" s="158"/>
      <c r="P874" s="20"/>
    </row>
    <row r="875">
      <c r="B875" s="158"/>
      <c r="D875" s="158"/>
      <c r="F875" s="158"/>
      <c r="H875" s="158"/>
      <c r="J875" s="158"/>
      <c r="L875" s="158"/>
      <c r="N875" s="158"/>
      <c r="P875" s="20"/>
    </row>
    <row r="876">
      <c r="B876" s="158"/>
      <c r="D876" s="158"/>
      <c r="F876" s="158"/>
      <c r="H876" s="158"/>
      <c r="J876" s="158"/>
      <c r="L876" s="158"/>
      <c r="N876" s="158"/>
      <c r="P876" s="20"/>
    </row>
    <row r="877">
      <c r="B877" s="158"/>
      <c r="D877" s="158"/>
      <c r="F877" s="158"/>
      <c r="H877" s="158"/>
      <c r="J877" s="158"/>
      <c r="L877" s="158"/>
      <c r="N877" s="158"/>
      <c r="P877" s="20"/>
    </row>
    <row r="878">
      <c r="B878" s="158"/>
      <c r="D878" s="158"/>
      <c r="F878" s="158"/>
      <c r="H878" s="158"/>
      <c r="J878" s="158"/>
      <c r="L878" s="158"/>
      <c r="N878" s="158"/>
      <c r="P878" s="20"/>
    </row>
    <row r="879">
      <c r="B879" s="158"/>
      <c r="D879" s="158"/>
      <c r="F879" s="158"/>
      <c r="H879" s="158"/>
      <c r="J879" s="158"/>
      <c r="L879" s="158"/>
      <c r="N879" s="158"/>
      <c r="P879" s="20"/>
    </row>
    <row r="880">
      <c r="B880" s="158"/>
      <c r="D880" s="158"/>
      <c r="F880" s="158"/>
      <c r="H880" s="158"/>
      <c r="J880" s="158"/>
      <c r="L880" s="158"/>
      <c r="N880" s="158"/>
      <c r="P880" s="20"/>
    </row>
    <row r="881">
      <c r="B881" s="158"/>
      <c r="D881" s="158"/>
      <c r="F881" s="158"/>
      <c r="H881" s="158"/>
      <c r="J881" s="158"/>
      <c r="L881" s="158"/>
      <c r="N881" s="158"/>
      <c r="P881" s="20"/>
    </row>
    <row r="882">
      <c r="B882" s="158"/>
      <c r="D882" s="158"/>
      <c r="F882" s="158"/>
      <c r="H882" s="158"/>
      <c r="J882" s="158"/>
      <c r="L882" s="158"/>
      <c r="N882" s="158"/>
      <c r="P882" s="20"/>
    </row>
    <row r="883">
      <c r="B883" s="158"/>
      <c r="D883" s="158"/>
      <c r="F883" s="158"/>
      <c r="H883" s="158"/>
      <c r="J883" s="158"/>
      <c r="L883" s="158"/>
      <c r="N883" s="158"/>
      <c r="P883" s="20"/>
    </row>
    <row r="884">
      <c r="B884" s="158"/>
      <c r="D884" s="158"/>
      <c r="F884" s="158"/>
      <c r="H884" s="158"/>
      <c r="J884" s="158"/>
      <c r="L884" s="158"/>
      <c r="N884" s="158"/>
      <c r="P884" s="20"/>
    </row>
    <row r="885">
      <c r="B885" s="158"/>
      <c r="D885" s="158"/>
      <c r="F885" s="158"/>
      <c r="H885" s="158"/>
      <c r="J885" s="158"/>
      <c r="L885" s="158"/>
      <c r="N885" s="158"/>
      <c r="P885" s="20"/>
    </row>
    <row r="886">
      <c r="B886" s="158"/>
      <c r="D886" s="158"/>
      <c r="F886" s="158"/>
      <c r="H886" s="158"/>
      <c r="J886" s="158"/>
      <c r="L886" s="158"/>
      <c r="N886" s="158"/>
      <c r="P886" s="20"/>
    </row>
    <row r="887">
      <c r="B887" s="158"/>
      <c r="D887" s="158"/>
      <c r="F887" s="158"/>
      <c r="H887" s="158"/>
      <c r="J887" s="158"/>
      <c r="L887" s="158"/>
      <c r="N887" s="158"/>
      <c r="P887" s="20"/>
    </row>
    <row r="888">
      <c r="B888" s="158"/>
      <c r="D888" s="158"/>
      <c r="F888" s="158"/>
      <c r="H888" s="158"/>
      <c r="J888" s="158"/>
      <c r="L888" s="158"/>
      <c r="N888" s="158"/>
      <c r="P888" s="20"/>
    </row>
    <row r="889">
      <c r="B889" s="158"/>
      <c r="D889" s="158"/>
      <c r="F889" s="158"/>
      <c r="H889" s="158"/>
      <c r="J889" s="158"/>
      <c r="L889" s="158"/>
      <c r="N889" s="158"/>
      <c r="P889" s="20"/>
    </row>
    <row r="890">
      <c r="B890" s="158"/>
      <c r="D890" s="158"/>
      <c r="F890" s="158"/>
      <c r="H890" s="158"/>
      <c r="J890" s="158"/>
      <c r="L890" s="158"/>
      <c r="N890" s="158"/>
      <c r="P890" s="20"/>
    </row>
    <row r="891">
      <c r="B891" s="158"/>
      <c r="D891" s="158"/>
      <c r="F891" s="158"/>
      <c r="H891" s="158"/>
      <c r="J891" s="158"/>
      <c r="L891" s="158"/>
      <c r="N891" s="158"/>
      <c r="P891" s="20"/>
    </row>
    <row r="892">
      <c r="B892" s="158"/>
      <c r="D892" s="158"/>
      <c r="F892" s="158"/>
      <c r="H892" s="158"/>
      <c r="J892" s="158"/>
      <c r="L892" s="158"/>
      <c r="N892" s="158"/>
      <c r="P892" s="20"/>
    </row>
    <row r="893">
      <c r="B893" s="158"/>
      <c r="D893" s="158"/>
      <c r="F893" s="158"/>
      <c r="H893" s="158"/>
      <c r="J893" s="158"/>
      <c r="L893" s="158"/>
      <c r="N893" s="158"/>
      <c r="P893" s="20"/>
    </row>
    <row r="894">
      <c r="B894" s="158"/>
      <c r="D894" s="158"/>
      <c r="F894" s="158"/>
      <c r="H894" s="158"/>
      <c r="J894" s="158"/>
      <c r="L894" s="158"/>
      <c r="N894" s="158"/>
      <c r="P894" s="20"/>
    </row>
    <row r="895">
      <c r="B895" s="158"/>
      <c r="D895" s="158"/>
      <c r="F895" s="158"/>
      <c r="H895" s="158"/>
      <c r="J895" s="158"/>
      <c r="L895" s="158"/>
      <c r="N895" s="158"/>
      <c r="P895" s="20"/>
    </row>
    <row r="896">
      <c r="B896" s="158"/>
      <c r="D896" s="158"/>
      <c r="F896" s="158"/>
      <c r="H896" s="158"/>
      <c r="J896" s="158"/>
      <c r="L896" s="158"/>
      <c r="N896" s="158"/>
      <c r="P896" s="20"/>
    </row>
    <row r="897">
      <c r="B897" s="158"/>
      <c r="D897" s="158"/>
      <c r="F897" s="158"/>
      <c r="H897" s="158"/>
      <c r="J897" s="158"/>
      <c r="L897" s="158"/>
      <c r="N897" s="158"/>
      <c r="P897" s="20"/>
    </row>
    <row r="898">
      <c r="B898" s="158"/>
      <c r="D898" s="158"/>
      <c r="F898" s="158"/>
      <c r="H898" s="158"/>
      <c r="J898" s="158"/>
      <c r="L898" s="158"/>
      <c r="N898" s="158"/>
      <c r="P898" s="20"/>
    </row>
    <row r="899">
      <c r="B899" s="158"/>
      <c r="D899" s="158"/>
      <c r="F899" s="158"/>
      <c r="H899" s="158"/>
      <c r="J899" s="158"/>
      <c r="L899" s="158"/>
      <c r="N899" s="158"/>
      <c r="P899" s="20"/>
    </row>
    <row r="900">
      <c r="B900" s="158"/>
      <c r="D900" s="158"/>
      <c r="F900" s="158"/>
      <c r="H900" s="158"/>
      <c r="J900" s="158"/>
      <c r="L900" s="158"/>
      <c r="N900" s="158"/>
      <c r="P900" s="20"/>
    </row>
    <row r="901">
      <c r="B901" s="158"/>
      <c r="D901" s="158"/>
      <c r="F901" s="158"/>
      <c r="H901" s="158"/>
      <c r="J901" s="158"/>
      <c r="L901" s="158"/>
      <c r="N901" s="158"/>
      <c r="P901" s="20"/>
    </row>
    <row r="902">
      <c r="B902" s="158"/>
      <c r="D902" s="158"/>
      <c r="F902" s="158"/>
      <c r="H902" s="158"/>
      <c r="J902" s="158"/>
      <c r="L902" s="158"/>
      <c r="N902" s="158"/>
      <c r="P902" s="20"/>
    </row>
    <row r="903">
      <c r="B903" s="158"/>
      <c r="D903" s="158"/>
      <c r="F903" s="158"/>
      <c r="H903" s="158"/>
      <c r="J903" s="158"/>
      <c r="L903" s="158"/>
      <c r="N903" s="158"/>
      <c r="P903" s="20"/>
    </row>
    <row r="904">
      <c r="B904" s="158"/>
      <c r="D904" s="158"/>
      <c r="F904" s="158"/>
      <c r="H904" s="158"/>
      <c r="J904" s="158"/>
      <c r="L904" s="158"/>
      <c r="N904" s="158"/>
      <c r="P904" s="20"/>
    </row>
    <row r="905">
      <c r="B905" s="158"/>
      <c r="D905" s="158"/>
      <c r="F905" s="158"/>
      <c r="H905" s="158"/>
      <c r="J905" s="158"/>
      <c r="L905" s="158"/>
      <c r="N905" s="158"/>
      <c r="P905" s="20"/>
    </row>
    <row r="906">
      <c r="B906" s="158"/>
      <c r="D906" s="158"/>
      <c r="F906" s="158"/>
      <c r="H906" s="158"/>
      <c r="J906" s="158"/>
      <c r="L906" s="158"/>
      <c r="N906" s="158"/>
      <c r="P906" s="20"/>
    </row>
    <row r="907">
      <c r="B907" s="158"/>
      <c r="D907" s="158"/>
      <c r="F907" s="158"/>
      <c r="H907" s="158"/>
      <c r="J907" s="158"/>
      <c r="L907" s="158"/>
      <c r="N907" s="158"/>
      <c r="P907" s="20"/>
    </row>
    <row r="908">
      <c r="B908" s="158"/>
      <c r="D908" s="158"/>
      <c r="F908" s="158"/>
      <c r="H908" s="158"/>
      <c r="J908" s="158"/>
      <c r="L908" s="158"/>
      <c r="N908" s="158"/>
      <c r="P908" s="20"/>
    </row>
    <row r="909">
      <c r="B909" s="158"/>
      <c r="D909" s="158"/>
      <c r="F909" s="158"/>
      <c r="H909" s="158"/>
      <c r="J909" s="158"/>
      <c r="L909" s="158"/>
      <c r="N909" s="158"/>
      <c r="P909" s="20"/>
    </row>
    <row r="910">
      <c r="B910" s="158"/>
      <c r="D910" s="158"/>
      <c r="F910" s="158"/>
      <c r="H910" s="158"/>
      <c r="J910" s="158"/>
      <c r="L910" s="158"/>
      <c r="N910" s="158"/>
      <c r="P910" s="20"/>
    </row>
    <row r="911">
      <c r="B911" s="158"/>
      <c r="D911" s="158"/>
      <c r="F911" s="158"/>
      <c r="H911" s="158"/>
      <c r="J911" s="158"/>
      <c r="L911" s="158"/>
      <c r="N911" s="158"/>
      <c r="P911" s="20"/>
    </row>
    <row r="912">
      <c r="B912" s="158"/>
      <c r="D912" s="158"/>
      <c r="F912" s="158"/>
      <c r="H912" s="158"/>
      <c r="J912" s="158"/>
      <c r="L912" s="158"/>
      <c r="N912" s="158"/>
      <c r="P912" s="20"/>
    </row>
    <row r="913">
      <c r="B913" s="158"/>
      <c r="D913" s="158"/>
      <c r="F913" s="158"/>
      <c r="H913" s="158"/>
      <c r="J913" s="158"/>
      <c r="L913" s="158"/>
      <c r="N913" s="158"/>
      <c r="P913" s="20"/>
    </row>
    <row r="914">
      <c r="B914" s="158"/>
      <c r="D914" s="158"/>
      <c r="F914" s="158"/>
      <c r="H914" s="158"/>
      <c r="J914" s="158"/>
      <c r="L914" s="158"/>
      <c r="N914" s="158"/>
      <c r="P914" s="20"/>
    </row>
    <row r="915">
      <c r="B915" s="158"/>
      <c r="D915" s="158"/>
      <c r="F915" s="158"/>
      <c r="H915" s="158"/>
      <c r="J915" s="158"/>
      <c r="L915" s="158"/>
      <c r="N915" s="158"/>
      <c r="P915" s="20"/>
    </row>
    <row r="916">
      <c r="B916" s="158"/>
      <c r="D916" s="158"/>
      <c r="F916" s="158"/>
      <c r="H916" s="158"/>
      <c r="J916" s="158"/>
      <c r="L916" s="158"/>
      <c r="N916" s="158"/>
      <c r="P916" s="20"/>
    </row>
    <row r="917">
      <c r="B917" s="158"/>
      <c r="D917" s="158"/>
      <c r="F917" s="158"/>
      <c r="H917" s="158"/>
      <c r="J917" s="158"/>
      <c r="L917" s="158"/>
      <c r="N917" s="158"/>
      <c r="P917" s="20"/>
    </row>
    <row r="918">
      <c r="B918" s="158"/>
      <c r="D918" s="158"/>
      <c r="F918" s="158"/>
      <c r="H918" s="158"/>
      <c r="J918" s="158"/>
      <c r="L918" s="158"/>
      <c r="N918" s="158"/>
      <c r="P918" s="20"/>
    </row>
    <row r="919">
      <c r="B919" s="158"/>
      <c r="D919" s="158"/>
      <c r="F919" s="158"/>
      <c r="H919" s="158"/>
      <c r="J919" s="158"/>
      <c r="L919" s="158"/>
      <c r="N919" s="158"/>
      <c r="P919" s="20"/>
    </row>
    <row r="920">
      <c r="B920" s="158"/>
      <c r="D920" s="158"/>
      <c r="F920" s="158"/>
      <c r="H920" s="158"/>
      <c r="J920" s="158"/>
      <c r="L920" s="158"/>
      <c r="N920" s="158"/>
      <c r="P920" s="20"/>
    </row>
    <row r="921">
      <c r="B921" s="158"/>
      <c r="D921" s="158"/>
      <c r="F921" s="158"/>
      <c r="H921" s="158"/>
      <c r="J921" s="158"/>
      <c r="L921" s="158"/>
      <c r="N921" s="158"/>
      <c r="P921" s="20"/>
    </row>
    <row r="922">
      <c r="B922" s="158"/>
      <c r="D922" s="158"/>
      <c r="F922" s="158"/>
      <c r="H922" s="158"/>
      <c r="J922" s="158"/>
      <c r="L922" s="158"/>
      <c r="N922" s="158"/>
      <c r="P922" s="20"/>
    </row>
    <row r="923">
      <c r="B923" s="158"/>
      <c r="D923" s="158"/>
      <c r="F923" s="158"/>
      <c r="H923" s="158"/>
      <c r="J923" s="158"/>
      <c r="L923" s="158"/>
      <c r="N923" s="158"/>
      <c r="P923" s="20"/>
    </row>
    <row r="924">
      <c r="B924" s="158"/>
      <c r="D924" s="158"/>
      <c r="F924" s="158"/>
      <c r="H924" s="158"/>
      <c r="J924" s="158"/>
      <c r="L924" s="158"/>
      <c r="N924" s="158"/>
      <c r="P924" s="20"/>
    </row>
    <row r="925">
      <c r="B925" s="158"/>
      <c r="D925" s="158"/>
      <c r="F925" s="158"/>
      <c r="H925" s="158"/>
      <c r="J925" s="158"/>
      <c r="L925" s="158"/>
      <c r="N925" s="158"/>
      <c r="P925" s="20"/>
    </row>
    <row r="926">
      <c r="B926" s="158"/>
      <c r="D926" s="158"/>
      <c r="F926" s="158"/>
      <c r="H926" s="158"/>
      <c r="J926" s="158"/>
      <c r="L926" s="158"/>
      <c r="N926" s="158"/>
      <c r="P926" s="20"/>
    </row>
    <row r="927">
      <c r="B927" s="158"/>
      <c r="D927" s="158"/>
      <c r="F927" s="158"/>
      <c r="H927" s="158"/>
      <c r="J927" s="158"/>
      <c r="L927" s="158"/>
      <c r="N927" s="158"/>
      <c r="P927" s="20"/>
    </row>
    <row r="928">
      <c r="B928" s="158"/>
      <c r="D928" s="158"/>
      <c r="F928" s="158"/>
      <c r="H928" s="158"/>
      <c r="J928" s="158"/>
      <c r="L928" s="158"/>
      <c r="N928" s="158"/>
      <c r="P928" s="20"/>
    </row>
    <row r="929">
      <c r="B929" s="158"/>
      <c r="D929" s="158"/>
      <c r="F929" s="158"/>
      <c r="H929" s="158"/>
      <c r="J929" s="158"/>
      <c r="L929" s="158"/>
      <c r="N929" s="158"/>
      <c r="P929" s="20"/>
    </row>
    <row r="930">
      <c r="B930" s="158"/>
      <c r="D930" s="158"/>
      <c r="F930" s="158"/>
      <c r="H930" s="158"/>
      <c r="J930" s="158"/>
      <c r="L930" s="158"/>
      <c r="N930" s="158"/>
      <c r="P930" s="20"/>
    </row>
    <row r="931">
      <c r="B931" s="158"/>
      <c r="D931" s="158"/>
      <c r="F931" s="158"/>
      <c r="H931" s="158"/>
      <c r="J931" s="158"/>
      <c r="L931" s="158"/>
      <c r="N931" s="158"/>
      <c r="P931" s="20"/>
    </row>
    <row r="932">
      <c r="B932" s="158"/>
      <c r="D932" s="158"/>
      <c r="F932" s="158"/>
      <c r="H932" s="158"/>
      <c r="J932" s="158"/>
      <c r="L932" s="158"/>
      <c r="N932" s="158"/>
      <c r="P932" s="20"/>
    </row>
    <row r="933">
      <c r="B933" s="158"/>
      <c r="D933" s="158"/>
      <c r="F933" s="158"/>
      <c r="H933" s="158"/>
      <c r="J933" s="158"/>
      <c r="L933" s="158"/>
      <c r="N933" s="158"/>
      <c r="P933" s="20"/>
    </row>
    <row r="934">
      <c r="B934" s="158"/>
      <c r="D934" s="158"/>
      <c r="F934" s="158"/>
      <c r="H934" s="158"/>
      <c r="J934" s="158"/>
      <c r="L934" s="158"/>
      <c r="N934" s="158"/>
      <c r="P934" s="20"/>
    </row>
    <row r="935">
      <c r="B935" s="158"/>
      <c r="D935" s="158"/>
      <c r="F935" s="158"/>
      <c r="H935" s="158"/>
      <c r="J935" s="158"/>
      <c r="L935" s="158"/>
      <c r="N935" s="158"/>
      <c r="P935" s="20"/>
    </row>
    <row r="936">
      <c r="B936" s="158"/>
      <c r="D936" s="158"/>
      <c r="F936" s="158"/>
      <c r="H936" s="158"/>
      <c r="J936" s="158"/>
      <c r="L936" s="158"/>
      <c r="N936" s="158"/>
      <c r="P936" s="20"/>
    </row>
    <row r="937">
      <c r="B937" s="158"/>
      <c r="D937" s="158"/>
      <c r="F937" s="158"/>
      <c r="H937" s="158"/>
      <c r="J937" s="158"/>
      <c r="L937" s="158"/>
      <c r="N937" s="158"/>
      <c r="P937" s="20"/>
    </row>
    <row r="938">
      <c r="B938" s="158"/>
      <c r="D938" s="158"/>
      <c r="F938" s="158"/>
      <c r="H938" s="158"/>
      <c r="J938" s="158"/>
      <c r="L938" s="158"/>
      <c r="N938" s="158"/>
      <c r="P938" s="20"/>
    </row>
    <row r="939">
      <c r="B939" s="158"/>
      <c r="D939" s="158"/>
      <c r="F939" s="158"/>
      <c r="H939" s="158"/>
      <c r="J939" s="158"/>
      <c r="L939" s="158"/>
      <c r="N939" s="158"/>
      <c r="P939" s="20"/>
    </row>
    <row r="940">
      <c r="B940" s="158"/>
      <c r="D940" s="158"/>
      <c r="F940" s="158"/>
      <c r="H940" s="158"/>
      <c r="J940" s="158"/>
      <c r="L940" s="158"/>
      <c r="N940" s="158"/>
      <c r="P940" s="20"/>
    </row>
    <row r="941">
      <c r="B941" s="158"/>
      <c r="D941" s="158"/>
      <c r="F941" s="158"/>
      <c r="H941" s="158"/>
      <c r="J941" s="158"/>
      <c r="L941" s="158"/>
      <c r="N941" s="158"/>
      <c r="P941" s="20"/>
    </row>
    <row r="942">
      <c r="B942" s="158"/>
      <c r="D942" s="158"/>
      <c r="F942" s="158"/>
      <c r="H942" s="158"/>
      <c r="J942" s="158"/>
      <c r="L942" s="158"/>
      <c r="N942" s="158"/>
      <c r="P942" s="20"/>
    </row>
    <row r="943">
      <c r="B943" s="158"/>
      <c r="D943" s="158"/>
      <c r="F943" s="158"/>
      <c r="H943" s="158"/>
      <c r="J943" s="158"/>
      <c r="L943" s="158"/>
      <c r="N943" s="158"/>
      <c r="P943" s="20"/>
    </row>
    <row r="944">
      <c r="B944" s="158"/>
      <c r="D944" s="158"/>
      <c r="F944" s="158"/>
      <c r="H944" s="158"/>
      <c r="J944" s="158"/>
      <c r="L944" s="158"/>
      <c r="N944" s="158"/>
      <c r="P944" s="20"/>
    </row>
    <row r="945">
      <c r="B945" s="158"/>
      <c r="D945" s="158"/>
      <c r="F945" s="158"/>
      <c r="H945" s="158"/>
      <c r="J945" s="158"/>
      <c r="L945" s="158"/>
      <c r="N945" s="158"/>
      <c r="P945" s="20"/>
    </row>
    <row r="946">
      <c r="B946" s="158"/>
      <c r="D946" s="158"/>
      <c r="F946" s="158"/>
      <c r="H946" s="158"/>
      <c r="J946" s="158"/>
      <c r="L946" s="158"/>
      <c r="N946" s="158"/>
      <c r="P946" s="20"/>
    </row>
    <row r="947">
      <c r="B947" s="158"/>
      <c r="D947" s="158"/>
      <c r="F947" s="158"/>
      <c r="H947" s="158"/>
      <c r="J947" s="158"/>
      <c r="L947" s="158"/>
      <c r="N947" s="158"/>
      <c r="P947" s="20"/>
    </row>
    <row r="948">
      <c r="B948" s="158"/>
      <c r="D948" s="158"/>
      <c r="F948" s="158"/>
      <c r="H948" s="158"/>
      <c r="J948" s="158"/>
      <c r="L948" s="158"/>
      <c r="N948" s="158"/>
      <c r="P948" s="20"/>
    </row>
    <row r="949">
      <c r="B949" s="158"/>
      <c r="D949" s="158"/>
      <c r="F949" s="158"/>
      <c r="H949" s="158"/>
      <c r="J949" s="158"/>
      <c r="L949" s="158"/>
      <c r="N949" s="158"/>
      <c r="P949" s="20"/>
    </row>
    <row r="950">
      <c r="B950" s="158"/>
      <c r="D950" s="158"/>
      <c r="F950" s="158"/>
      <c r="H950" s="158"/>
      <c r="J950" s="158"/>
      <c r="L950" s="158"/>
      <c r="N950" s="158"/>
      <c r="P950" s="20"/>
    </row>
    <row r="951">
      <c r="B951" s="158"/>
      <c r="D951" s="158"/>
      <c r="F951" s="158"/>
      <c r="H951" s="158"/>
      <c r="J951" s="158"/>
      <c r="L951" s="158"/>
      <c r="N951" s="158"/>
      <c r="P951" s="20"/>
    </row>
    <row r="952">
      <c r="B952" s="158"/>
      <c r="D952" s="158"/>
      <c r="F952" s="158"/>
      <c r="H952" s="158"/>
      <c r="J952" s="158"/>
      <c r="L952" s="158"/>
      <c r="N952" s="158"/>
      <c r="P952" s="20"/>
    </row>
    <row r="953">
      <c r="B953" s="158"/>
      <c r="D953" s="158"/>
      <c r="F953" s="158"/>
      <c r="H953" s="158"/>
      <c r="J953" s="158"/>
      <c r="L953" s="158"/>
      <c r="N953" s="158"/>
      <c r="P953" s="20"/>
    </row>
    <row r="954">
      <c r="B954" s="158"/>
      <c r="D954" s="158"/>
      <c r="F954" s="158"/>
      <c r="H954" s="158"/>
      <c r="J954" s="158"/>
      <c r="L954" s="158"/>
      <c r="N954" s="158"/>
      <c r="P954" s="20"/>
    </row>
    <row r="955">
      <c r="B955" s="158"/>
      <c r="D955" s="158"/>
      <c r="F955" s="158"/>
      <c r="H955" s="158"/>
      <c r="J955" s="158"/>
      <c r="L955" s="158"/>
      <c r="N955" s="158"/>
      <c r="P955" s="20"/>
    </row>
    <row r="956">
      <c r="B956" s="158"/>
      <c r="D956" s="158"/>
      <c r="F956" s="158"/>
      <c r="H956" s="158"/>
      <c r="J956" s="158"/>
      <c r="L956" s="158"/>
      <c r="N956" s="158"/>
      <c r="P956" s="20"/>
    </row>
    <row r="957">
      <c r="B957" s="158"/>
      <c r="D957" s="158"/>
      <c r="F957" s="158"/>
      <c r="H957" s="158"/>
      <c r="J957" s="158"/>
      <c r="L957" s="158"/>
      <c r="N957" s="158"/>
      <c r="P957" s="20"/>
    </row>
    <row r="958">
      <c r="B958" s="158"/>
      <c r="D958" s="158"/>
      <c r="F958" s="158"/>
      <c r="H958" s="158"/>
      <c r="J958" s="158"/>
      <c r="L958" s="158"/>
      <c r="N958" s="158"/>
      <c r="P958" s="20"/>
    </row>
    <row r="959">
      <c r="B959" s="158"/>
      <c r="D959" s="158"/>
      <c r="F959" s="158"/>
      <c r="H959" s="158"/>
      <c r="J959" s="158"/>
      <c r="L959" s="158"/>
      <c r="N959" s="158"/>
      <c r="P959" s="20"/>
    </row>
    <row r="960">
      <c r="B960" s="158"/>
      <c r="D960" s="158"/>
      <c r="F960" s="158"/>
      <c r="H960" s="158"/>
      <c r="J960" s="158"/>
      <c r="L960" s="158"/>
      <c r="N960" s="158"/>
      <c r="P960" s="20"/>
    </row>
    <row r="961">
      <c r="B961" s="158"/>
      <c r="D961" s="158"/>
      <c r="F961" s="158"/>
      <c r="H961" s="158"/>
      <c r="J961" s="158"/>
      <c r="L961" s="158"/>
      <c r="N961" s="158"/>
      <c r="P961" s="20"/>
    </row>
    <row r="962">
      <c r="B962" s="158"/>
      <c r="D962" s="158"/>
      <c r="F962" s="158"/>
      <c r="H962" s="158"/>
      <c r="J962" s="158"/>
      <c r="L962" s="158"/>
      <c r="N962" s="158"/>
      <c r="P962" s="20"/>
    </row>
    <row r="963">
      <c r="B963" s="158"/>
      <c r="D963" s="158"/>
      <c r="F963" s="158"/>
      <c r="H963" s="158"/>
      <c r="J963" s="158"/>
      <c r="L963" s="158"/>
      <c r="N963" s="158"/>
      <c r="P963" s="20"/>
    </row>
    <row r="964">
      <c r="B964" s="158"/>
      <c r="D964" s="158"/>
      <c r="F964" s="158"/>
      <c r="H964" s="158"/>
      <c r="J964" s="158"/>
      <c r="L964" s="158"/>
      <c r="N964" s="158"/>
      <c r="P964" s="20"/>
    </row>
    <row r="965">
      <c r="B965" s="158"/>
      <c r="D965" s="158"/>
      <c r="F965" s="158"/>
      <c r="H965" s="158"/>
      <c r="J965" s="158"/>
      <c r="L965" s="158"/>
      <c r="N965" s="158"/>
      <c r="P965" s="20"/>
    </row>
    <row r="966">
      <c r="B966" s="158"/>
      <c r="D966" s="158"/>
      <c r="F966" s="158"/>
      <c r="H966" s="158"/>
      <c r="J966" s="158"/>
      <c r="L966" s="158"/>
      <c r="N966" s="158"/>
      <c r="P966" s="20"/>
    </row>
    <row r="967">
      <c r="B967" s="158"/>
      <c r="D967" s="158"/>
      <c r="F967" s="158"/>
      <c r="H967" s="158"/>
      <c r="J967" s="158"/>
      <c r="L967" s="158"/>
      <c r="N967" s="158"/>
      <c r="P967" s="20"/>
    </row>
    <row r="968">
      <c r="B968" s="158"/>
      <c r="D968" s="158"/>
      <c r="F968" s="158"/>
      <c r="H968" s="158"/>
      <c r="J968" s="158"/>
      <c r="L968" s="158"/>
      <c r="N968" s="158"/>
      <c r="P968" s="20"/>
    </row>
    <row r="969">
      <c r="B969" s="158"/>
      <c r="D969" s="158"/>
      <c r="F969" s="158"/>
      <c r="H969" s="158"/>
      <c r="J969" s="158"/>
      <c r="L969" s="158"/>
      <c r="N969" s="158"/>
      <c r="P969" s="20"/>
    </row>
    <row r="970">
      <c r="B970" s="158"/>
      <c r="D970" s="158"/>
      <c r="F970" s="158"/>
      <c r="H970" s="158"/>
      <c r="J970" s="158"/>
      <c r="L970" s="158"/>
      <c r="N970" s="158"/>
      <c r="P970" s="20"/>
    </row>
    <row r="971">
      <c r="B971" s="158"/>
      <c r="D971" s="158"/>
      <c r="F971" s="158"/>
      <c r="H971" s="158"/>
      <c r="J971" s="158"/>
      <c r="L971" s="158"/>
      <c r="N971" s="158"/>
      <c r="P971" s="20"/>
    </row>
    <row r="972">
      <c r="B972" s="158"/>
      <c r="D972" s="158"/>
      <c r="F972" s="158"/>
      <c r="H972" s="158"/>
      <c r="J972" s="158"/>
      <c r="L972" s="158"/>
      <c r="N972" s="158"/>
      <c r="P972" s="20"/>
    </row>
    <row r="973">
      <c r="B973" s="158"/>
      <c r="D973" s="158"/>
      <c r="F973" s="158"/>
      <c r="H973" s="158"/>
      <c r="J973" s="158"/>
      <c r="L973" s="158"/>
      <c r="N973" s="158"/>
      <c r="P973" s="20"/>
    </row>
    <row r="974">
      <c r="B974" s="158"/>
      <c r="D974" s="158"/>
      <c r="F974" s="158"/>
      <c r="H974" s="158"/>
      <c r="J974" s="158"/>
      <c r="L974" s="158"/>
      <c r="N974" s="158"/>
      <c r="P974" s="20"/>
    </row>
    <row r="975">
      <c r="B975" s="158"/>
      <c r="D975" s="158"/>
      <c r="F975" s="158"/>
      <c r="H975" s="158"/>
      <c r="J975" s="158"/>
      <c r="L975" s="158"/>
      <c r="N975" s="158"/>
      <c r="P975" s="20"/>
    </row>
    <row r="976">
      <c r="B976" s="158"/>
      <c r="D976" s="158"/>
      <c r="F976" s="158"/>
      <c r="H976" s="158"/>
      <c r="J976" s="158"/>
      <c r="L976" s="158"/>
      <c r="N976" s="158"/>
      <c r="P976" s="20"/>
    </row>
    <row r="977">
      <c r="B977" s="158"/>
      <c r="D977" s="158"/>
      <c r="F977" s="158"/>
      <c r="H977" s="158"/>
      <c r="J977" s="158"/>
      <c r="L977" s="158"/>
      <c r="N977" s="158"/>
      <c r="P977" s="20"/>
    </row>
    <row r="978">
      <c r="B978" s="158"/>
      <c r="D978" s="158"/>
      <c r="F978" s="158"/>
      <c r="H978" s="158"/>
      <c r="J978" s="158"/>
      <c r="L978" s="158"/>
      <c r="N978" s="158"/>
      <c r="P978" s="20"/>
    </row>
    <row r="979">
      <c r="B979" s="158"/>
      <c r="D979" s="158"/>
      <c r="F979" s="158"/>
      <c r="H979" s="158"/>
      <c r="J979" s="158"/>
      <c r="L979" s="158"/>
      <c r="N979" s="158"/>
      <c r="P979" s="20"/>
    </row>
    <row r="980">
      <c r="B980" s="158"/>
      <c r="D980" s="158"/>
      <c r="F980" s="158"/>
      <c r="H980" s="158"/>
      <c r="J980" s="158"/>
      <c r="L980" s="158"/>
      <c r="N980" s="158"/>
      <c r="P980" s="20"/>
    </row>
    <row r="981">
      <c r="B981" s="158"/>
      <c r="D981" s="158"/>
      <c r="F981" s="158"/>
      <c r="H981" s="158"/>
      <c r="J981" s="158"/>
      <c r="L981" s="158"/>
      <c r="N981" s="158"/>
      <c r="P981" s="20"/>
    </row>
    <row r="982">
      <c r="B982" s="158"/>
      <c r="D982" s="158"/>
      <c r="F982" s="158"/>
      <c r="H982" s="158"/>
      <c r="J982" s="158"/>
      <c r="L982" s="158"/>
      <c r="N982" s="158"/>
      <c r="P982" s="20"/>
    </row>
    <row r="983">
      <c r="B983" s="158"/>
      <c r="D983" s="158"/>
      <c r="F983" s="158"/>
      <c r="H983" s="158"/>
      <c r="J983" s="158"/>
      <c r="L983" s="158"/>
      <c r="N983" s="158"/>
      <c r="P983" s="20"/>
    </row>
    <row r="984">
      <c r="B984" s="158"/>
      <c r="D984" s="158"/>
      <c r="F984" s="158"/>
      <c r="H984" s="158"/>
      <c r="J984" s="158"/>
      <c r="L984" s="158"/>
      <c r="N984" s="158"/>
      <c r="P984" s="20"/>
    </row>
    <row r="985">
      <c r="B985" s="158"/>
      <c r="D985" s="158"/>
      <c r="F985" s="158"/>
      <c r="H985" s="158"/>
      <c r="J985" s="158"/>
      <c r="L985" s="158"/>
      <c r="N985" s="158"/>
      <c r="P985" s="20"/>
    </row>
    <row r="986">
      <c r="B986" s="158"/>
      <c r="D986" s="158"/>
      <c r="F986" s="158"/>
      <c r="H986" s="158"/>
      <c r="J986" s="158"/>
      <c r="L986" s="158"/>
      <c r="N986" s="158"/>
      <c r="P986" s="20"/>
    </row>
    <row r="987">
      <c r="B987" s="158"/>
      <c r="D987" s="158"/>
      <c r="F987" s="158"/>
      <c r="H987" s="158"/>
      <c r="J987" s="158"/>
      <c r="L987" s="158"/>
      <c r="N987" s="158"/>
      <c r="P987" s="20"/>
    </row>
    <row r="988">
      <c r="B988" s="158"/>
      <c r="D988" s="158"/>
      <c r="F988" s="158"/>
      <c r="H988" s="158"/>
      <c r="J988" s="158"/>
      <c r="L988" s="158"/>
      <c r="N988" s="158"/>
      <c r="P988" s="20"/>
    </row>
    <row r="989">
      <c r="B989" s="158"/>
      <c r="D989" s="158"/>
      <c r="F989" s="158"/>
      <c r="H989" s="158"/>
      <c r="J989" s="158"/>
      <c r="L989" s="158"/>
      <c r="N989" s="158"/>
      <c r="P989" s="20"/>
    </row>
    <row r="990">
      <c r="B990" s="158"/>
      <c r="D990" s="158"/>
      <c r="F990" s="158"/>
      <c r="H990" s="158"/>
      <c r="J990" s="158"/>
      <c r="L990" s="158"/>
      <c r="N990" s="158"/>
      <c r="P990" s="20"/>
    </row>
    <row r="991">
      <c r="B991" s="158"/>
      <c r="D991" s="158"/>
      <c r="F991" s="158"/>
      <c r="H991" s="158"/>
      <c r="J991" s="158"/>
      <c r="L991" s="158"/>
      <c r="N991" s="158"/>
      <c r="P991" s="20"/>
    </row>
    <row r="992">
      <c r="B992" s="158"/>
      <c r="D992" s="158"/>
      <c r="F992" s="158"/>
      <c r="H992" s="158"/>
      <c r="J992" s="158"/>
      <c r="L992" s="158"/>
      <c r="N992" s="158"/>
      <c r="P992" s="20"/>
    </row>
    <row r="993">
      <c r="B993" s="158"/>
      <c r="D993" s="158"/>
      <c r="F993" s="158"/>
      <c r="H993" s="158"/>
      <c r="J993" s="158"/>
      <c r="L993" s="158"/>
      <c r="N993" s="158"/>
      <c r="P993" s="20"/>
    </row>
    <row r="994">
      <c r="B994" s="158"/>
      <c r="D994" s="158"/>
      <c r="F994" s="158"/>
      <c r="H994" s="158"/>
      <c r="J994" s="158"/>
      <c r="L994" s="158"/>
      <c r="N994" s="158"/>
      <c r="P994" s="20"/>
    </row>
    <row r="995">
      <c r="B995" s="158"/>
      <c r="D995" s="158"/>
      <c r="F995" s="158"/>
      <c r="H995" s="158"/>
      <c r="J995" s="158"/>
      <c r="L995" s="158"/>
      <c r="N995" s="158"/>
      <c r="P995" s="20"/>
    </row>
    <row r="996">
      <c r="B996" s="158"/>
      <c r="D996" s="158"/>
      <c r="F996" s="158"/>
      <c r="H996" s="158"/>
      <c r="J996" s="158"/>
      <c r="L996" s="158"/>
      <c r="N996" s="158"/>
      <c r="P996" s="20"/>
    </row>
    <row r="997">
      <c r="B997" s="158"/>
      <c r="D997" s="158"/>
      <c r="F997" s="158"/>
      <c r="H997" s="158"/>
      <c r="J997" s="158"/>
      <c r="L997" s="158"/>
      <c r="N997" s="158"/>
      <c r="P997" s="20"/>
    </row>
    <row r="998">
      <c r="B998" s="158"/>
      <c r="D998" s="158"/>
      <c r="F998" s="158"/>
      <c r="H998" s="158"/>
      <c r="J998" s="158"/>
      <c r="L998" s="158"/>
      <c r="N998" s="158"/>
      <c r="P998" s="20"/>
    </row>
    <row r="999">
      <c r="B999" s="158"/>
      <c r="D999" s="158"/>
      <c r="F999" s="158"/>
      <c r="H999" s="158"/>
      <c r="J999" s="158"/>
      <c r="L999" s="158"/>
      <c r="N999" s="158"/>
      <c r="P999" s="20"/>
    </row>
    <row r="1000">
      <c r="B1000" s="158"/>
      <c r="D1000" s="158"/>
      <c r="F1000" s="158"/>
      <c r="H1000" s="158"/>
      <c r="J1000" s="158"/>
      <c r="L1000" s="158"/>
      <c r="N1000" s="158"/>
      <c r="P1000" s="20"/>
    </row>
  </sheetData>
  <hyperlinks>
    <hyperlink r:id="rId1" ref="A5"/>
  </hyperlinks>
  <drawing r:id="rId2"/>
</worksheet>
</file>