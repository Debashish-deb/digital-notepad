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an2022" sheetId="2" r:id="rId6"/>
    <sheet state="visible" name="Feb2022" sheetId="3" r:id="rId7"/>
    <sheet state="visible" name="March2022" sheetId="4" r:id="rId8"/>
    <sheet state="visible" name="Apr2022" sheetId="5" r:id="rId9"/>
    <sheet state="visible" name="May2022" sheetId="6" r:id="rId10"/>
    <sheet state="visible" name="Jun2022" sheetId="7" r:id="rId11"/>
    <sheet state="visible" name="July2022" sheetId="8" r:id="rId12"/>
    <sheet state="visible" name="Aug2022" sheetId="9" r:id="rId13"/>
    <sheet state="visible" name="Sept2022" sheetId="10" r:id="rId14"/>
    <sheet state="visible" name="Oct2022" sheetId="11" r:id="rId15"/>
    <sheet state="visible" name="Nov2022" sheetId="12" r:id="rId16"/>
    <sheet state="visible" name="Dec2022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tc={3a145223-123b-48d3-8bf1-ecbb412ce116}</author>
    <author>tc={6c820eae-f9e2-4525-9d8c-9adb2be7b20f}</author>
    <author>tc={ab85d8c6-2548-4c16-a071-09f7c82ca0ab}</author>
    <author>tc={fdd759d6-6536-491e-afa9-26403c850017}</author>
  </authors>
  <commentList>
    <comment authorId="0" xr:uid="{3a145223-123b-48d3-8bf1-ecbb412ce116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 of this sum FIMM ST bill 10600,01e did not arrive yet
</t>
      </text>
    </comment>
    <comment authorId="1" xr:uid="{6c820eae-f9e2-4525-9d8c-9adb2be7b20f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Drug dispenser not yet paid!
</t>
      </text>
    </comment>
    <comment authorId="2" xr:uid="{ab85d8c6-2548-4c16-a071-09f7c82ca0ab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WES, iCAN share
</t>
      </text>
    </comment>
    <comment authorId="3" xr:uid="{fdd759d6-6536-491e-afa9-26403c8500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asked, if possible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tc={e0e8d3bb-e464-40cb-866d-748e3641396b}</author>
  </authors>
  <commentList>
    <comment authorId="0" xr:uid="{e0e8d3bb-e464-40cb-866d-748e3641396b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asked, if possible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6">
      <text>
        <t xml:space="preserve">HUS Kuntayhtymä / HYKS-sairaanhoitoalue
        Naistentaudit ja synnytykset
                             PL 94029
                             01051  LASKUT
VAT number: 15675350
REFERENCE: 2179002TYH2021103-Färkkilä/Chernenko
</t>
      </text>
    </comment>
  </commentList>
</comments>
</file>

<file path=xl/sharedStrings.xml><?xml version="1.0" encoding="utf-8"?>
<sst xmlns="http://schemas.openxmlformats.org/spreadsheetml/2006/main" count="2230" uniqueCount="743">
  <si>
    <t>WBS</t>
  </si>
  <si>
    <t>Finished in Nov2022</t>
  </si>
  <si>
    <t>Totals</t>
  </si>
  <si>
    <t>Month</t>
  </si>
  <si>
    <t>Kulttuurirahasto</t>
  </si>
  <si>
    <t>Early career</t>
  </si>
  <si>
    <t>iCAN deep profiling</t>
  </si>
  <si>
    <t>iCAN basic profiling</t>
  </si>
  <si>
    <t>ONCOSYS money</t>
  </si>
  <si>
    <t>HUS money/TYH2021103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</si>
  <si>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</si>
  <si>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</si>
  <si>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</si>
  <si>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</si>
  <si>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</si>
  <si>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</si>
  <si>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</si>
  <si>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</si>
  <si>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</si>
  <si>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</si>
  <si>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pending in October-Abcam order</t>
  </si>
  <si>
    <t>Nov</t>
  </si>
  <si>
    <t>Dec</t>
  </si>
  <si>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</si>
  <si>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</si>
  <si>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</si>
  <si>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</si>
  <si>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</si>
  <si>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</si>
  <si>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</si>
  <si>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</si>
  <si>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</si>
  <si>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</si>
  <si>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</si>
  <si>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</si>
  <si>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</si>
  <si>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ADDITIONAL INFO</t>
  </si>
  <si>
    <t>Total</t>
  </si>
  <si>
    <r>
      <rPr>
        <rFont val="Calibri"/>
        <color theme="1"/>
        <sz val="11.0"/>
      </rPr>
      <t>APC/Fire™ 750 anti-human CD326 (</t>
    </r>
    <r>
      <rPr>
        <rFont val="Calibri"/>
        <b/>
        <color theme="1"/>
        <sz val="11.0"/>
      </rPr>
      <t>EpCAM</t>
    </r>
    <r>
      <rPr>
        <rFont val="Calibri"/>
        <color theme="1"/>
        <sz val="11.0"/>
      </rPr>
      <t>) mouse mAb, clone 9C4</t>
    </r>
  </si>
  <si>
    <t>25 tests</t>
  </si>
  <si>
    <t>BioLegend</t>
  </si>
  <si>
    <t>NordicBioSite</t>
  </si>
  <si>
    <t>5.1.2022</t>
  </si>
  <si>
    <t>NC</t>
  </si>
  <si>
    <t>11.1.2022</t>
  </si>
  <si>
    <t>plus4oC, Box2, slot B2</t>
  </si>
  <si>
    <t>info@nordicbiosite.com</t>
  </si>
  <si>
    <t>Animal-Free Recombinant Human EGF</t>
  </si>
  <si>
    <t>AF-100-15</t>
  </si>
  <si>
    <t>1 mg</t>
  </si>
  <si>
    <t>Peprotech</t>
  </si>
  <si>
    <t>10.1.2022</t>
  </si>
  <si>
    <t>lab -20oC, top drawer, lyophilized</t>
  </si>
  <si>
    <t>info@peprotech.se</t>
  </si>
  <si>
    <t>Recombinant human FGF10</t>
  </si>
  <si>
    <t>100-26</t>
  </si>
  <si>
    <t>25 ug</t>
  </si>
  <si>
    <t>Animal-Free Recombinant Human FGF-basic (154 a.a.)</t>
  </si>
  <si>
    <t>AF-100-18B</t>
  </si>
  <si>
    <t>50 ug</t>
  </si>
  <si>
    <t>Slides scanning</t>
  </si>
  <si>
    <t>GBU</t>
  </si>
  <si>
    <t>Early Career grant</t>
  </si>
  <si>
    <t>BioRender Image Processing Program</t>
  </si>
  <si>
    <t>BioRender</t>
  </si>
  <si>
    <t>96% ethanol</t>
  </si>
  <si>
    <t>5L</t>
  </si>
  <si>
    <t>Berner Oy</t>
  </si>
  <si>
    <t>26.1.2022</t>
  </si>
  <si>
    <t>RPU basic funds, H3040/wbs 73040001</t>
  </si>
  <si>
    <t>RQ1 RNase-Free DNase</t>
  </si>
  <si>
    <t>M6101</t>
  </si>
  <si>
    <t>1000U</t>
  </si>
  <si>
    <t>Promega</t>
  </si>
  <si>
    <t>LabNet/City-Lab</t>
  </si>
  <si>
    <t>20.1.2022</t>
  </si>
  <si>
    <t>27.1.2022</t>
  </si>
  <si>
    <t>-20oC lab freezer, top drawer</t>
  </si>
  <si>
    <t>WES bill, Sari Hannula</t>
  </si>
  <si>
    <t>FIMM</t>
  </si>
  <si>
    <t>15.2.2022</t>
  </si>
  <si>
    <t>Total sum was 17563.24e, paid from - iCAN 11708.83e</t>
  </si>
  <si>
    <t>Safety Space Filter Tip 0.1-10ul Sterile-Racked 10x96</t>
  </si>
  <si>
    <t>790011F</t>
  </si>
  <si>
    <t>10x96</t>
  </si>
  <si>
    <t>Sartorius</t>
  </si>
  <si>
    <t>City-Lab</t>
  </si>
  <si>
    <t>10.3.2022</t>
  </si>
  <si>
    <t>Optifit Tip 0.1-10ul  Non-sterile Refill-Racked 10x96</t>
  </si>
  <si>
    <t>31.5.2022</t>
  </si>
  <si>
    <t>SafetySpace™ Filter Tip 2-120ul Sterile-Racked 10x96</t>
  </si>
  <si>
    <t>790101F</t>
  </si>
  <si>
    <t>11.2.2022</t>
  </si>
  <si>
    <t>Optifit Tip 0.5-200ul  Non-sterile Refill-Racked 10x96</t>
  </si>
  <si>
    <t>8.3.2022</t>
  </si>
  <si>
    <t>Safety Space Filter Tip 5-200ul Sterile-Racked 10x96</t>
  </si>
  <si>
    <t>790201F</t>
  </si>
  <si>
    <t>19.4.2022</t>
  </si>
  <si>
    <t>Safety Space Filter Tip 50-1000ul Sterile-Racked 10x96</t>
  </si>
  <si>
    <t>791001F</t>
  </si>
  <si>
    <t>Adavosertib (MK-1775)</t>
  </si>
  <si>
    <t>S1525</t>
  </si>
  <si>
    <t>5mg</t>
  </si>
  <si>
    <t>Selleckchem</t>
  </si>
  <si>
    <t>28.1.2022</t>
  </si>
  <si>
    <t>31.1.2022</t>
  </si>
  <si>
    <t>-20oc, lab freezer, top drawer</t>
  </si>
  <si>
    <t>https://www.selleckchem.com/products/MK-1775.html</t>
  </si>
  <si>
    <t>plus 31e shipping</t>
  </si>
  <si>
    <t>VE-822, ATR inhibitor</t>
  </si>
  <si>
    <t>333-B1383-10</t>
  </si>
  <si>
    <t>10mg</t>
  </si>
  <si>
    <t>APExBIO</t>
  </si>
  <si>
    <t>DISCONTINUED</t>
  </si>
  <si>
    <t>https://www.apexbt.com/ve-822.html</t>
  </si>
  <si>
    <t>free shipment</t>
  </si>
  <si>
    <t>HBSS, no calcium, no magnesium, no phenol red</t>
  </si>
  <si>
    <t>500ml</t>
  </si>
  <si>
    <t>Thermo Scientific</t>
  </si>
  <si>
    <t>Fisher/City-Lab</t>
  </si>
  <si>
    <t>2.2.2022</t>
  </si>
  <si>
    <t>23.2.2022</t>
  </si>
  <si>
    <t>RT, cupboard</t>
  </si>
  <si>
    <t>Slack bill</t>
  </si>
  <si>
    <t>3.2.2022</t>
  </si>
  <si>
    <t>plus 73.77e? was another bill, EUROCARD bill</t>
  </si>
  <si>
    <t>Nature Communications bill, Inga-Maria</t>
  </si>
  <si>
    <t>Split: 3000e from KLTO, wbs 7921102, rest - Kulttuurirahasto</t>
  </si>
  <si>
    <t>EUROCARD bill</t>
  </si>
  <si>
    <t>Fafa's bill, lab retreat 14.1.2022</t>
  </si>
  <si>
    <t>9 ppl</t>
  </si>
  <si>
    <r>
      <rPr>
        <rFont val="Calibri"/>
        <color theme="1"/>
        <sz val="11.0"/>
      </rPr>
      <t xml:space="preserve">Kulttuurirahasto, </t>
    </r>
    <r>
      <rPr>
        <rFont val="Calibri"/>
        <color rgb="FFFF0000"/>
        <sz val="11.0"/>
      </rPr>
      <t>check, if possible to pay food!</t>
    </r>
  </si>
  <si>
    <t>NSGO Membership 2022, Anniina Färkkilä</t>
  </si>
  <si>
    <t>Dulbecco’s Phosphate Buffered Saline, W/O Ca and Mg</t>
  </si>
  <si>
    <t>500 ml</t>
  </si>
  <si>
    <t>Gibco</t>
  </si>
  <si>
    <t>4.2.2022</t>
  </si>
  <si>
    <t>8.2.20222</t>
  </si>
  <si>
    <t>VE-822 / Berzosertib</t>
  </si>
  <si>
    <t>S7102</t>
  </si>
  <si>
    <t>via e-mail</t>
  </si>
  <si>
    <t>9.2.2022</t>
  </si>
  <si>
    <t>plus 31e shipment</t>
  </si>
  <si>
    <t>SNP array bill, Dec SNP array, 12Färkkilä-12 Kauppi samples</t>
  </si>
  <si>
    <t>18.2.2022</t>
  </si>
  <si>
    <t>852e total sum, half paid by Kauppi lab, wbs1322178</t>
  </si>
  <si>
    <t>VECTASHIELD® Mounting medium, NO DAPI</t>
  </si>
  <si>
    <t>H-1000-10</t>
  </si>
  <si>
    <t>10ml</t>
  </si>
  <si>
    <t>Vector laboratories</t>
  </si>
  <si>
    <t>Bio-Nordika/City-Lab</t>
  </si>
  <si>
    <t>2.3.2022</t>
  </si>
  <si>
    <t>EP</t>
  </si>
  <si>
    <t>QIAamp Fast DNA Tissue Kit</t>
  </si>
  <si>
    <t>Qiagen</t>
  </si>
  <si>
    <t>11.3.2022</t>
  </si>
  <si>
    <t>iCAN deep profiling H300, WBS 7300333/TA333106</t>
  </si>
  <si>
    <t>ordered from qiagen.com</t>
  </si>
  <si>
    <t>DIVA CS&amp;T RUO BEAD 150T</t>
  </si>
  <si>
    <t>BD</t>
  </si>
  <si>
    <t>For the Fortessa (flow machine at TRIMM)</t>
  </si>
  <si>
    <t>2ml eppendorfs</t>
  </si>
  <si>
    <t>500pcs</t>
  </si>
  <si>
    <t>Sarstedt</t>
  </si>
  <si>
    <t>16.3.2022</t>
  </si>
  <si>
    <t>25.3.2022</t>
  </si>
  <si>
    <t>info.fi@sarstedt.com</t>
  </si>
  <si>
    <t>1,5ml eppendorf tubes</t>
  </si>
  <si>
    <t>72.690.001</t>
  </si>
  <si>
    <t>22.3.2022</t>
  </si>
  <si>
    <t>17.3.2022</t>
  </si>
  <si>
    <t>24.3.2022</t>
  </si>
  <si>
    <t>Tweezers straight pointed steel 105mm</t>
  </si>
  <si>
    <t>Fisher</t>
  </si>
  <si>
    <t>29.3.2022</t>
  </si>
  <si>
    <t>Tape Station bill, 17 FFPE samples, incl. 15xMyriad set</t>
  </si>
  <si>
    <t>FuGU</t>
  </si>
  <si>
    <t>21.3.2022</t>
  </si>
  <si>
    <t>iCAN basic profiling: TA-code 333023; WBS 7300333/H300</t>
  </si>
  <si>
    <t>30.27e basic fee plus 17x6.49e</t>
  </si>
  <si>
    <t>SafetySpace™ Filter Tip 0.5-20ul Sterile-Racked 10x96</t>
  </si>
  <si>
    <t>790021F</t>
  </si>
  <si>
    <t>28.3.2022</t>
  </si>
  <si>
    <r>
      <rPr>
        <rFont val="Calibri"/>
        <color theme="1"/>
        <sz val="11.0"/>
      </rPr>
      <t xml:space="preserve">Polypropylene Wide Mouth Containers with Screw Caps, </t>
    </r>
    <r>
      <rPr>
        <rFont val="Calibri"/>
        <b/>
        <color theme="1"/>
        <sz val="11.0"/>
      </rPr>
      <t>250ml</t>
    </r>
  </si>
  <si>
    <t>12594997/JWP0250P</t>
  </si>
  <si>
    <t>5.4.2022</t>
  </si>
  <si>
    <t>Eurocard bill, cookies for lab meetings</t>
  </si>
  <si>
    <t>S-market Tullinpuomi</t>
  </si>
  <si>
    <t>9.3.2022</t>
  </si>
  <si>
    <t>Nordic Society of Gynaecological Oncology meeting, 2022, Fernando</t>
  </si>
  <si>
    <t>Ashwini paid with her card</t>
  </si>
  <si>
    <t>11.4.2022</t>
  </si>
  <si>
    <t>GBU bill, slides scanning Jan-March, 2022</t>
  </si>
  <si>
    <t>SNP array bill, 2 runs, one was 1/2 Kauppi samples.</t>
  </si>
  <si>
    <t>FiMM</t>
  </si>
  <si>
    <t>21.4.2022</t>
  </si>
  <si>
    <t>426e was paid from Kauppi lab wbs 1322178, SO AF lab share is 1278e</t>
  </si>
  <si>
    <r>
      <rPr>
        <rFont val="Calibri"/>
        <color theme="1"/>
        <sz val="11.0"/>
      </rPr>
      <t>IL-2Rα/</t>
    </r>
    <r>
      <rPr>
        <rFont val="Calibri"/>
        <b/>
        <color theme="1"/>
        <sz val="11.0"/>
      </rPr>
      <t>CD25</t>
    </r>
    <r>
      <rPr>
        <rFont val="Calibri"/>
        <color theme="1"/>
        <sz val="11.0"/>
      </rPr>
      <t xml:space="preserve"> (E9W2J) XP® Rabbit mAb</t>
    </r>
  </si>
  <si>
    <t>20ul</t>
  </si>
  <si>
    <t>CST</t>
  </si>
  <si>
    <t>BioNordika/City-Lab</t>
  </si>
  <si>
    <t>28.4.2022</t>
  </si>
  <si>
    <t>minus20oC, Box1, I3</t>
  </si>
  <si>
    <t>https://www.cellsignal.com/products/primary-antibodies/il-2ra-cd25-e9w2j-xp-rabbit-mab/39475?site-search-type=Products&amp;N=4294956287&amp;Ntt=cd25&amp;fromPage=plp</t>
  </si>
  <si>
    <r>
      <rPr>
        <rFont val="Calibri"/>
        <color theme="1"/>
        <sz val="11.0"/>
      </rPr>
      <t>Recombinant Anti-</t>
    </r>
    <r>
      <rPr>
        <rFont val="Calibri"/>
        <b/>
        <color theme="1"/>
        <sz val="11.0"/>
      </rPr>
      <t>CD28</t>
    </r>
    <r>
      <rPr>
        <rFont val="Calibri"/>
        <color theme="1"/>
        <sz val="11.0"/>
      </rPr>
      <t xml:space="preserve"> antibody [EPR22076]</t>
    </r>
  </si>
  <si>
    <t>ab243228</t>
  </si>
  <si>
    <t>100ul</t>
  </si>
  <si>
    <t>Abcam</t>
  </si>
  <si>
    <t>4.5.2022</t>
  </si>
  <si>
    <r>
      <rPr>
        <rFont val="Calibri"/>
        <color rgb="FF0000FF"/>
        <sz val="11.0"/>
        <u/>
      </rPr>
      <t>https://www.abcam.com/cd28-antibody-epr22076-ab243228.html</t>
    </r>
    <r>
      <rPr>
        <rFont val="Calibri"/>
        <color rgb="FF2C3333"/>
        <sz val="11.0"/>
        <u/>
      </rPr>
      <t xml:space="preserve"> , 490.5e discounted price+42e shipment, 532.5 in total</t>
    </r>
  </si>
  <si>
    <r>
      <rPr>
        <rFont val="Calibri"/>
        <color theme="1"/>
        <sz val="11.0"/>
      </rPr>
      <t xml:space="preserve">PE anti-human </t>
    </r>
    <r>
      <rPr>
        <rFont val="Calibri"/>
        <b/>
        <color theme="1"/>
        <sz val="11.0"/>
      </rPr>
      <t>CD314</t>
    </r>
    <r>
      <rPr>
        <rFont val="Calibri"/>
        <color theme="1"/>
        <sz val="11.0"/>
      </rPr>
      <t xml:space="preserve"> (NKG2D) Antibody</t>
    </r>
  </si>
  <si>
    <t>100tests</t>
  </si>
  <si>
    <t>29.4.2022</t>
  </si>
  <si>
    <t>plus4, FACS abs Box2, B8</t>
  </si>
  <si>
    <t>https://www.biolegend.com/de-de/products/pe-anti-human-cd314-nkg2d-antibody-3016</t>
  </si>
  <si>
    <r>
      <rPr>
        <rFont val="Calibri"/>
        <color theme="1"/>
        <sz val="11.0"/>
      </rPr>
      <t>Anti-</t>
    </r>
    <r>
      <rPr>
        <rFont val="Calibri"/>
        <b/>
        <color theme="1"/>
        <sz val="11.0"/>
      </rPr>
      <t>CD137</t>
    </r>
    <r>
      <rPr>
        <rFont val="Calibri"/>
        <color theme="1"/>
        <sz val="11.0"/>
      </rPr>
      <t xml:space="preserve"> Antibody (BBK-2)</t>
    </r>
  </si>
  <si>
    <t>sc-58947</t>
  </si>
  <si>
    <t>free sample</t>
  </si>
  <si>
    <t>SantaCruz</t>
  </si>
  <si>
    <t>https://www.scbt.com/p/cd137-antibody-bbk-2?requestFrom=search</t>
  </si>
  <si>
    <t>SNP array bill, only ONCOSYS samples</t>
  </si>
  <si>
    <t>27.4.2022</t>
  </si>
  <si>
    <t>3x3 rack for 30mm tubes (50ml falcons), green</t>
  </si>
  <si>
    <t>5972-0430/10360291</t>
  </si>
  <si>
    <t>Nalgene</t>
  </si>
  <si>
    <t>9.5.2022</t>
  </si>
  <si>
    <t>16.5.2022</t>
  </si>
  <si>
    <t>Tissue services, 22.02.2022</t>
  </si>
  <si>
    <t>18.5.2022</t>
  </si>
  <si>
    <r>
      <rPr>
        <rFont val="Calibri, Arial"/>
        <color theme="1"/>
        <sz val="11.0"/>
      </rPr>
      <t>Anti-</t>
    </r>
    <r>
      <rPr>
        <rFont val="Calibri, Arial"/>
        <b/>
        <color theme="1"/>
        <sz val="11.0"/>
      </rPr>
      <t>PAX8</t>
    </r>
    <r>
      <rPr>
        <rFont val="Calibri, Arial"/>
        <color theme="1"/>
        <sz val="11.0"/>
      </rPr>
      <t xml:space="preserve"> antibody [EPR18715] (Alexa Fluor® 647)</t>
    </r>
  </si>
  <si>
    <t>ab215953</t>
  </si>
  <si>
    <t>24.5.2022</t>
  </si>
  <si>
    <t>currently out of stock</t>
  </si>
  <si>
    <t>cancelled order</t>
  </si>
  <si>
    <t>orders@abcam.com, plus 42e shipment</t>
  </si>
  <si>
    <t>3.6.2022</t>
  </si>
  <si>
    <t>CK7-555</t>
  </si>
  <si>
    <t>ab209601</t>
  </si>
  <si>
    <t>6.6.2022</t>
  </si>
  <si>
    <t>8.6.2022</t>
  </si>
  <si>
    <t>minus 20oC, Box2, I3-I12</t>
  </si>
  <si>
    <t>https://www.abcam.com/alexa-fluor-555-cytokeratin-7-antibody-epr17078-ab209601.html</t>
  </si>
  <si>
    <t xml:space="preserve">ordered via orders@abcam.com </t>
  </si>
  <si>
    <t>Phospho-p53 (Ser15) (16G8) Mouse mAb</t>
  </si>
  <si>
    <t>9286S</t>
  </si>
  <si>
    <t>9.6.2022</t>
  </si>
  <si>
    <t>15.6.2022</t>
  </si>
  <si>
    <t>https://www.cellsignal.com/products/primary-antibodies/phospho-p53-ser15-16g8-mouse-mab/9286</t>
  </si>
  <si>
    <t>QUOTE TA2022-0505-KL</t>
  </si>
  <si>
    <t>Fuj:tech HDMI 2.1 8K Certified Ultra High Speed -kaapeli, 1 m - HDMI cable</t>
  </si>
  <si>
    <t>Fujitech</t>
  </si>
  <si>
    <t>Verkkokauppa.com</t>
  </si>
  <si>
    <t>14.6.2022</t>
  </si>
  <si>
    <t>lab card/Early Career grant</t>
  </si>
  <si>
    <t>https://www.verkkokauppa.com/fi/product/709679/Fuj-tech-HDMI-2-1-8K-Certified-Ultra-High-Speed-kaapeli-1-m</t>
  </si>
  <si>
    <t>Logitech M330 Silent Plus -hiiri, musta - computer mouse</t>
  </si>
  <si>
    <t>Logitech</t>
  </si>
  <si>
    <t>https://www.verkkokauppa.com/fi/product/348755/Logitech-M330-Silent-Plus-hiiri-musta</t>
  </si>
  <si>
    <t>plus 3.99e S-market Tullinpuomi pakettiautomatti delivery</t>
  </si>
  <si>
    <t>LINQ 3 in 1 USB-C Multiport Hub -adapteri, tähtiharmaa - USB-C adapter</t>
  </si>
  <si>
    <t>LINQ</t>
  </si>
  <si>
    <t>https://www.verkkokauppa.com/fi/product/650302/LINQ-3-in-1-USB-C-Multiport-Hub-adapteri-tahtiharmaa</t>
  </si>
  <si>
    <t>Starguard Touch, latex gloves, size S</t>
  </si>
  <si>
    <t>70-SG-T-S</t>
  </si>
  <si>
    <t>10x100pcs</t>
  </si>
  <si>
    <t xml:space="preserve">Starguard </t>
  </si>
  <si>
    <t>Vinglab</t>
  </si>
  <si>
    <t>8.7.2022</t>
  </si>
  <si>
    <t>asiakaspalvelu@vinglab.fi</t>
  </si>
  <si>
    <t>LLG-disposable gloves, nitrile, ERGO, size S</t>
  </si>
  <si>
    <t>200pcs</t>
  </si>
  <si>
    <t>LLG</t>
  </si>
  <si>
    <t>Labnet/City-Lab</t>
  </si>
  <si>
    <t>10.6.2022</t>
  </si>
  <si>
    <t>LLG-disposable gloves, nitrile, ERGO, size XS</t>
  </si>
  <si>
    <t>External hard drive Samsung T7 -ulkoinen SSD-levy, 2 Tt, sininen</t>
  </si>
  <si>
    <t>Samsung</t>
  </si>
  <si>
    <t>https://www.verkkokauppa.com/fi/product/641041/Samsung-T7-ulkoinen-SSD-levy-2-Tt-sininen</t>
  </si>
  <si>
    <t>one for Ada SN: S6XHNS0T504583, one for - Ashwini, SN: S6XHNS0T504546</t>
  </si>
  <si>
    <t>Recombinant Alexa Fluor® 488 Anti-PAX8 antibody [EPR18715]</t>
  </si>
  <si>
    <t>ab214955</t>
  </si>
  <si>
    <t>-20oC Box3</t>
  </si>
  <si>
    <t>Recombinant Alexa Fluor® 555 Anti-PAX8 antibody [EPR18715]</t>
  </si>
  <si>
    <t>ab217733</t>
  </si>
  <si>
    <t>16.6.2022</t>
  </si>
  <si>
    <t>Recombinant Anti-c-Myc antibody [Y69] - ChIP Grade</t>
  </si>
  <si>
    <t>ab32072</t>
  </si>
  <si>
    <t>https://www.abcam.com/c-myc-antibody-y69-chip-grade-ab32072.html</t>
  </si>
  <si>
    <t>Goat anti-Rat IgG (H+L) Cross-Adsorbed Secondary Antibody, Alexa Fluor™ 555</t>
  </si>
  <si>
    <t>A-21434</t>
  </si>
  <si>
    <t>1mg</t>
  </si>
  <si>
    <t>TermoFisher</t>
  </si>
  <si>
    <t xml:space="preserve">plus4oC, Box1, slot E7 </t>
  </si>
  <si>
    <t>Hydrogen Peroxide (30% in Water)</t>
  </si>
  <si>
    <t>BP2633500/10386643</t>
  </si>
  <si>
    <t>FisherScientific</t>
  </si>
  <si>
    <t>appr. July 10th, no, still delayed..</t>
  </si>
  <si>
    <t>cancelled this order, they could not promise any delivery date..</t>
  </si>
  <si>
    <r>
      <rPr>
        <rFont val="Calibri"/>
        <strike/>
        <color theme="1"/>
        <sz val="11.0"/>
      </rPr>
      <t xml:space="preserve">Phosphate Buffered Saline (10X), </t>
    </r>
    <r>
      <rPr>
        <rFont val="Calibri"/>
        <b/>
        <strike/>
        <color theme="1"/>
        <sz val="11.0"/>
      </rPr>
      <t>pack of 12 bottles</t>
    </r>
  </si>
  <si>
    <t>BE17-517Q</t>
  </si>
  <si>
    <t>1000ml</t>
  </si>
  <si>
    <t>Lonza</t>
  </si>
  <si>
    <t>13.6.2022</t>
  </si>
  <si>
    <t>not available anymore</t>
  </si>
  <si>
    <t>10x PBS (67mM PO4, 1.37M NaCl, 0.027M KCl and 0.119M phosphates)</t>
  </si>
  <si>
    <t>10649743/BP399-20</t>
  </si>
  <si>
    <t>20L</t>
  </si>
  <si>
    <t>17.6.2022</t>
  </si>
  <si>
    <t>1L aliquots are on lab bench close to the window.</t>
  </si>
  <si>
    <t>https://www.fishersci.at/shop/products/pbs-phosphate-buffered-saline-10x-solution-fisher-bioreagents/10649743</t>
  </si>
  <si>
    <t>T8+ Dispensehead Cassettes, 8 well, 11 pL to 10 µL</t>
  </si>
  <si>
    <t>20 Cassettes Per Box</t>
  </si>
  <si>
    <t>Tecan</t>
  </si>
  <si>
    <t>Triolab</t>
  </si>
  <si>
    <t>15.9.2022</t>
  </si>
  <si>
    <t>our order was forgotten..</t>
  </si>
  <si>
    <t>anna.paaso@triolab.fi</t>
  </si>
  <si>
    <t xml:space="preserve">Tissue services/Anatomy bill: 9.5.-30.5.22, </t>
  </si>
  <si>
    <t>Tissue Services/Anatomy</t>
  </si>
  <si>
    <t>29.6.2022</t>
  </si>
  <si>
    <t>Scalpels disposable with No. 10 blade (blade is more rounded shape)</t>
  </si>
  <si>
    <t>11798343/0501</t>
  </si>
  <si>
    <t>10pcs</t>
  </si>
  <si>
    <t>4.7.2022</t>
  </si>
  <si>
    <t>70μm cell strainer</t>
  </si>
  <si>
    <t>22-363-548</t>
  </si>
  <si>
    <t>50/box</t>
  </si>
  <si>
    <t>Fischer Scientific</t>
  </si>
  <si>
    <t>48-well plates for suspension cells / hydrophobic surface, well: 1cm2, 1.7ml</t>
  </si>
  <si>
    <t>392-0061</t>
  </si>
  <si>
    <t>100pcs</t>
  </si>
  <si>
    <t>Greiner CELLSTAR®</t>
  </si>
  <si>
    <t>VWR</t>
  </si>
  <si>
    <t>30.6.2022</t>
  </si>
  <si>
    <t>11.7.2022</t>
  </si>
  <si>
    <t>plus 8e handling fee</t>
  </si>
  <si>
    <t>Rat anti-Sodium Potassium ATPase antibody [EP1845Y]</t>
  </si>
  <si>
    <t>ab283345</t>
  </si>
  <si>
    <t>10ul trial size</t>
  </si>
  <si>
    <t>https://www.abcam.com/sodium-potassium-atpase-antibody-ep1845y-rat-igg2a-ab283345.html</t>
  </si>
  <si>
    <t>Rabbit anti-CD28 AF-647 [EPR22076]</t>
  </si>
  <si>
    <t>ab288330</t>
  </si>
  <si>
    <t>https://www.abcam.com/alexa-fluor-647-cd28-antibody-epr22076-ab288330.html</t>
  </si>
  <si>
    <t>Mouse anti-human Neutrophil Elastase/ELA2 Alexa Fluor® 647</t>
  </si>
  <si>
    <t>IC91671R-100UG</t>
  </si>
  <si>
    <t>100ug</t>
  </si>
  <si>
    <t>R&amp;D Systems</t>
  </si>
  <si>
    <t>bio-techne/City-Lab</t>
  </si>
  <si>
    <t>plus 4, Box1, slot E8</t>
  </si>
  <si>
    <t>https://www.rndsystems.com/products/human-neutrophil-elastase-ela2-alexa-fluor-647-conjugated-antibody-950317_ic91671r</t>
  </si>
  <si>
    <t>Mouse anti-CD137 (BBK-2), Alexa488 conjugate</t>
  </si>
  <si>
    <t>200ug/ml</t>
  </si>
  <si>
    <t>27.7.2022</t>
  </si>
  <si>
    <t>plus 4oC, Box1, slot D7</t>
  </si>
  <si>
    <t>https://datasheets.scbt.com/sc-58947.pdf</t>
  </si>
  <si>
    <t>Anti-mouse Ig, K/ Negative Control compensation particles set</t>
  </si>
  <si>
    <t>100 tests</t>
  </si>
  <si>
    <t>BD Biosciences</t>
  </si>
  <si>
    <t>6.7.2022</t>
  </si>
  <si>
    <t>lab fridge, top shelf</t>
  </si>
  <si>
    <t>7.7.2022</t>
  </si>
  <si>
    <t>14.7.2022</t>
  </si>
  <si>
    <t>minus 20oC, top drawer</t>
  </si>
  <si>
    <t>Alexa Fluor® 647 anti-human CD45 [HI30]; mouse monoclonal antibody</t>
  </si>
  <si>
    <t>15.7.2022</t>
  </si>
  <si>
    <t>plus 4oC, Box1, I1</t>
  </si>
  <si>
    <t>New batteries for Sartorius pipette boy from cell culture, S.N. , Midi+ Battery set 3pcs</t>
  </si>
  <si>
    <t>LH-712149</t>
  </si>
  <si>
    <t>3 pcs.</t>
  </si>
  <si>
    <t>12.7.2022</t>
  </si>
  <si>
    <t>18.7.2022</t>
  </si>
  <si>
    <t>in AF wet lab, shelf above NC lab bench</t>
  </si>
  <si>
    <t>Beurer TL30 -kirkasvalolamppu</t>
  </si>
  <si>
    <t>Bauer</t>
  </si>
  <si>
    <t>plus 4.9e delivery to Pakettiautomaatti Smarket Tullinpuomi</t>
  </si>
  <si>
    <t>Cover glasses 24×60 mm, thickness #0mm (0.08-0.12mm)</t>
  </si>
  <si>
    <t>10703857/BB02400600A03
3MNZ0</t>
  </si>
  <si>
    <t>Epredia/Menzel-Gläser</t>
  </si>
  <si>
    <t>25.8.2022</t>
  </si>
  <si>
    <t>Traceable 4-channel alarm Timer</t>
  </si>
  <si>
    <t>11745863/5004</t>
  </si>
  <si>
    <t>Traceable</t>
  </si>
  <si>
    <r>
      <rPr>
        <rFont val="Calibri, Arial"/>
        <color theme="1"/>
        <sz val="11.0"/>
      </rPr>
      <t>APC/Fire™ 750 anti-human CD326 (</t>
    </r>
    <r>
      <rPr>
        <rFont val="Calibri, Arial"/>
        <b/>
        <color theme="1"/>
        <sz val="11.0"/>
      </rPr>
      <t>EpCAM</t>
    </r>
    <r>
      <rPr>
        <rFont val="Calibri, Arial"/>
        <color theme="1"/>
        <sz val="11.0"/>
      </rPr>
      <t>) mouse mAb, clone 9C4</t>
    </r>
  </si>
  <si>
    <t>plus 4oC, Box2, C2</t>
  </si>
  <si>
    <t>Dispase II</t>
  </si>
  <si>
    <t>D4693-1G</t>
  </si>
  <si>
    <t>1g</t>
  </si>
  <si>
    <t>Sigma/Merk</t>
  </si>
  <si>
    <t>19.7.2022</t>
  </si>
  <si>
    <t>plus 4oC, will reconstitute soon, NC</t>
  </si>
  <si>
    <t>Virkon, Rely+On Virkon (Day Impex™ Virkon™ Disinfectant Virucidal Tablets)</t>
  </si>
  <si>
    <t>12328667/330012</t>
  </si>
  <si>
    <t>20x10x5g, 200tabl</t>
  </si>
  <si>
    <t>Recombinant Human IL-15</t>
  </si>
  <si>
    <t>200-15</t>
  </si>
  <si>
    <t>10ug</t>
  </si>
  <si>
    <t>Xylene, ACS, 99%</t>
  </si>
  <si>
    <t xml:space="preserve">
10453931/422685000</t>
  </si>
  <si>
    <t>AcrosOrganics</t>
  </si>
  <si>
    <t>22.7.2022</t>
  </si>
  <si>
    <t>1.8.2022</t>
  </si>
  <si>
    <r>
      <rPr>
        <rFont val="Calibri, Arial"/>
        <color theme="1"/>
        <sz val="11.0"/>
      </rPr>
      <t xml:space="preserve">Qubit dsDNA </t>
    </r>
    <r>
      <rPr>
        <rFont val="Calibri, Arial"/>
        <b/>
        <color theme="1"/>
        <sz val="11.0"/>
      </rPr>
      <t xml:space="preserve">BR </t>
    </r>
    <r>
      <rPr>
        <rFont val="Calibri, Arial"/>
        <color theme="1"/>
        <sz val="11.0"/>
      </rPr>
      <t>Assay Kit (Broad Range)</t>
    </r>
  </si>
  <si>
    <t>Q32850</t>
  </si>
  <si>
    <t>100 assays</t>
  </si>
  <si>
    <t>Thermo</t>
  </si>
  <si>
    <t>26.7.2022</t>
  </si>
  <si>
    <t>iCAN basic profiling: H300/7300333/ TA333106, Chernenko</t>
  </si>
  <si>
    <r>
      <rPr>
        <rFont val="Calibri"/>
        <strike/>
        <color theme="1"/>
        <sz val="11.0"/>
      </rPr>
      <t xml:space="preserve">Hydrogen Peroxide (30% in Water) - </t>
    </r>
    <r>
      <rPr>
        <rFont val="Calibri"/>
        <b/>
        <strike/>
        <color theme="1"/>
        <sz val="11.0"/>
      </rPr>
      <t>to return to Kauppi lab</t>
    </r>
  </si>
  <si>
    <t>25.7.2022</t>
  </si>
  <si>
    <t>Tissue Services bill, 20.6.-21.6.2022</t>
  </si>
  <si>
    <t>Hydrogen Peroxide 30% (w/v) (100 Volumes), Extra Pure SLR</t>
  </si>
  <si>
    <t>10687022/H/1750/15</t>
  </si>
  <si>
    <t>1L</t>
  </si>
  <si>
    <t>Fisher Chemical</t>
  </si>
  <si>
    <t>4.8.2022</t>
  </si>
  <si>
    <t>9.8.2022</t>
  </si>
  <si>
    <t>plus 4 oC lab fridge, door</t>
  </si>
  <si>
    <t>https://www.fishersci.fi/shop/products/hydrogen-peroxide-30-w-v-100-volumes-extra-pure-slr-2/10687022#?keyword=Hydrogen%20Peroxide%20(30%%20in%20Water)</t>
  </si>
  <si>
    <t>one bottle for Färkkilä lab and one bottle for Kauppi lab, to return the borrowed reagent</t>
  </si>
  <si>
    <t>Scanning the slides, April-June, 2022</t>
  </si>
  <si>
    <t>FIMM Tissue Services bill - sectioning and H&amp;E, Jan-Jun, 2022</t>
  </si>
  <si>
    <t>FIMM TC Digital Microscopy and Molecular Pathology Unit</t>
  </si>
  <si>
    <t>2ml Safe-Lock eppendorfs, DNase-RNase-free  (PCR-clean)</t>
  </si>
  <si>
    <t>10073321/0030123344</t>
  </si>
  <si>
    <t>1000pcs</t>
  </si>
  <si>
    <t>Eppendorf</t>
  </si>
  <si>
    <t>11.8.2022</t>
  </si>
  <si>
    <t>15.8.2022</t>
  </si>
  <si>
    <t>2ml Safe-Lock eppendorfs, DNase-RNase-free  (PCR-clean, DNALoBind)</t>
  </si>
  <si>
    <t>10031282/0030108078</t>
  </si>
  <si>
    <t>250pcs</t>
  </si>
  <si>
    <t>To be returned to Taipale lab, borrowed for scrolls cutting at Biobank, NC. 15.8.2022, when this order arrived, the whole box was given to Taipale lab, Päivi Pihlajamaa.</t>
  </si>
  <si>
    <t>96% Ethanol</t>
  </si>
  <si>
    <t>18.8.2022</t>
  </si>
  <si>
    <r>
      <rPr>
        <rFont val="Calibri"/>
        <b/>
        <color theme="1"/>
        <sz val="11.0"/>
      </rPr>
      <t xml:space="preserve">medlab.tilaukset@berner.fi </t>
    </r>
    <r>
      <rPr>
        <rFont val="Calibri"/>
        <color theme="1"/>
        <sz val="11.0"/>
      </rPr>
      <t>NEW ADDRESS! Valvira permission number! plus 25e delivery costs</t>
    </r>
  </si>
  <si>
    <t>1.5 ml Safe-Lock eppendorfs, DNase-RNase-free  (PCR-clean, DNALoBind)</t>
  </si>
  <si>
    <t>16.8.2022</t>
  </si>
  <si>
    <t>17.8.2022</t>
  </si>
  <si>
    <t>Pipette tips Eppendorf™ epT.I.P.S.™ 384 Reloads</t>
  </si>
  <si>
    <t xml:space="preserve">16222381/Eppendorf™  0030076052
                                </t>
  </si>
  <si>
    <t>pack of 3840</t>
  </si>
  <si>
    <t>1.9.2022</t>
  </si>
  <si>
    <t>https://www.fishersci.fi/shop/products/ept-i-p-s-384-reloads-eppendorf-quality/16222381</t>
  </si>
  <si>
    <t>AF lab share Tecan D300e drug dispenser</t>
  </si>
  <si>
    <t>Triolab Oy</t>
  </si>
  <si>
    <t>16.8.2022 wbs given to Jehanna Eriksson, purchase will be later</t>
  </si>
  <si>
    <t>Lenovo Thinkpad P15v Gen 3</t>
  </si>
  <si>
    <t>Lenovo</t>
  </si>
  <si>
    <t>Dustin, via Helpdesk and ltdk-palvelukoordinaattorit</t>
  </si>
  <si>
    <t>19.8.2022</t>
  </si>
  <si>
    <t>800e should be paid from RPU basic funds H3040/wbs 73040001, the rest -from wbs 730492300.</t>
  </si>
  <si>
    <t>25" Display ThinkVision T25d</t>
  </si>
  <si>
    <t>5011294641 (61DBMAT1EU)</t>
  </si>
  <si>
    <t xml:space="preserve">ThinkPad Universal USB-C Dock </t>
  </si>
  <si>
    <t>5011258021 (40AY0090EU)</t>
  </si>
  <si>
    <t>11.11.2022</t>
  </si>
  <si>
    <t>Pay from WBS 730492320, because WBS 730492300 is used</t>
  </si>
  <si>
    <t>New dock arrived 28.11.2022, Cat. 40B00300EU, SN: ZDZL0ZVL</t>
  </si>
  <si>
    <t>HDMI cable: Prokord HDMI 1.4-kaapeli 2m HDMI Uros HDMI Uros</t>
  </si>
  <si>
    <t>Laptop stand for desk</t>
  </si>
  <si>
    <t>D2LAP360BK/5011229426</t>
  </si>
  <si>
    <t>Desire2</t>
  </si>
  <si>
    <t>22.8.2022</t>
  </si>
  <si>
    <t>https://www.dustin.fi/product/5011229426/2in1-kannettava-tietokoneteline-musta-matkapuhelintelineella</t>
  </si>
  <si>
    <t>gDNA TapeStation, 3xGL DNAs for WES and 2xOmegel_DNA batches, 30.27e plus 5x 6.49, 62.72, in total</t>
  </si>
  <si>
    <t>ONCOSYS-OVA_SNP_26_08_2022, 1 chip, 24 samples, submitted to FIMM 26.08.2022NC</t>
  </si>
  <si>
    <t>26.8.2022</t>
  </si>
  <si>
    <t>bill paid 20.9.2022</t>
  </si>
  <si>
    <t>to anu.yliperttula@helsinki.fi</t>
  </si>
  <si>
    <t>29.8.2022</t>
  </si>
  <si>
    <t>6.9.2022</t>
  </si>
  <si>
    <t>to be aliquoted and frozen asap!</t>
  </si>
  <si>
    <t>plus 60e shipment</t>
  </si>
  <si>
    <t>Recombinant Alexa Fluor® 488 Anti-CD163 antibody, [EPR14643-36] - C-terminal</t>
  </si>
  <si>
    <t>ab218293</t>
  </si>
  <si>
    <t>5.9.2022</t>
  </si>
  <si>
    <t>https://www.abcam.com/alexa-fluor-488-cd163-antibody-epr14643-36-c-terminal-ab218293.html</t>
  </si>
  <si>
    <t>CK7-555, Recombinant Alexa Fluor® 555 Anti-Cytokeratin 7 antibody, [EPR17078]</t>
  </si>
  <si>
    <r>
      <rPr>
        <rFont val="Calibri, Arial"/>
        <color theme="1"/>
        <sz val="11.0"/>
      </rPr>
      <t>APC/Fire™ 750 anti-human CD326 (</t>
    </r>
    <r>
      <rPr>
        <rFont val="Calibri, Arial"/>
        <b/>
        <color theme="1"/>
        <sz val="11.0"/>
      </rPr>
      <t>EpCAM</t>
    </r>
    <r>
      <rPr>
        <rFont val="Calibri, Arial"/>
        <color theme="1"/>
        <sz val="11.0"/>
      </rPr>
      <t>) mouse mAb, clone 9C4</t>
    </r>
  </si>
  <si>
    <t>9.9.2022</t>
  </si>
  <si>
    <t>2x External hard drives Samsung T7 -ulkoinen SSD-levy, 2 Tt, sininen, FOR Iga and for HE scans</t>
  </si>
  <si>
    <t>30.8.2022</t>
  </si>
  <si>
    <r>
      <rPr>
        <rFont val="Calibri"/>
        <b/>
        <color theme="1"/>
        <sz val="11.0"/>
      </rPr>
      <t>Iga:</t>
    </r>
    <r>
      <rPr>
        <rFont val="Calibri"/>
        <color theme="1"/>
        <sz val="11.0"/>
      </rPr>
      <t xml:space="preserve"> SN: S6XHNS0T502025, </t>
    </r>
    <r>
      <rPr>
        <rFont val="Calibri"/>
        <b/>
        <color theme="1"/>
        <sz val="11.0"/>
      </rPr>
      <t>H&amp;Es disk</t>
    </r>
    <r>
      <rPr>
        <rFont val="Calibri"/>
        <color theme="1"/>
        <sz val="11.0"/>
      </rPr>
      <t>:SN: S6XHNS0T502781</t>
    </r>
  </si>
  <si>
    <t>plus 4.9e shipment to S-market Tullinpuomi</t>
  </si>
  <si>
    <t>CyClops pizza order</t>
  </si>
  <si>
    <t>25.08.2022</t>
  </si>
  <si>
    <t>Inga</t>
  </si>
  <si>
    <t>lab credit card</t>
  </si>
  <si>
    <t>Early career money</t>
  </si>
  <si>
    <t>Inga-Maria AACR ovarian cancer seminar series registration</t>
  </si>
  <si>
    <t>Julia, ESGO, Berlin conference refistration fee</t>
  </si>
  <si>
    <t>31.8.2022</t>
  </si>
  <si>
    <t>Julia</t>
  </si>
  <si>
    <t>Angela, ESGO, Berlin conference refistration fee</t>
  </si>
  <si>
    <t>Angela</t>
  </si>
  <si>
    <t>Anniina, ESGO, Berlin conference fee</t>
  </si>
  <si>
    <t>Anniina</t>
  </si>
  <si>
    <t>Fernando, ESGO, Berlin conference fee</t>
  </si>
  <si>
    <t>Fernando</t>
  </si>
  <si>
    <t>Anniina, Berlin flight</t>
  </si>
  <si>
    <t>CWT</t>
  </si>
  <si>
    <t>2.9.2022</t>
  </si>
  <si>
    <t>Brilliant Stain Buffer, for FACS</t>
  </si>
  <si>
    <t>14.9.2022</t>
  </si>
  <si>
    <t>iCAN basic</t>
  </si>
  <si>
    <t>plus 4 lab fridge</t>
  </si>
  <si>
    <t>1 arrived 8.9.2022, 2 - 14.9.2022</t>
  </si>
  <si>
    <t>-20oC, top drawer, lab</t>
  </si>
  <si>
    <t>Axygen PCR tubes 0.5ml</t>
  </si>
  <si>
    <t>PCR-05-C or 11331974</t>
  </si>
  <si>
    <t>Axygen</t>
  </si>
  <si>
    <t>1 arrived 14.9.2022, 3 arrived 26.9.2022</t>
  </si>
  <si>
    <t>Safe-lock micro test tubes 1.5 ml PCR-clean (RNase-free), colourless</t>
  </si>
  <si>
    <t>30.9.2022</t>
  </si>
  <si>
    <t>13.9.2022</t>
  </si>
  <si>
    <t>RT, lab closet</t>
  </si>
  <si>
    <t>SNP array HUS Scrolls_Batch1_1.9.22</t>
  </si>
  <si>
    <t>Optifit Tip 10-1000ul  Non-sterile Refill-Racked 10x96</t>
  </si>
  <si>
    <t>20.9.2022</t>
  </si>
  <si>
    <t>FIMM Tissue Services bill for Tissue processing, H&amp;E, slides scanning, sectioning, blades</t>
  </si>
  <si>
    <t>FIMM Tissue Services</t>
  </si>
  <si>
    <t>28.9.2022</t>
  </si>
  <si>
    <t>iCAN Symposium poster, Fernando</t>
  </si>
  <si>
    <t>PSWFolders Oy</t>
  </si>
  <si>
    <t>iCAN Symposium poster, Ashwini</t>
  </si>
  <si>
    <t>iCAN Symposium poster, Inga-Maria</t>
  </si>
  <si>
    <t>Alko wines order</t>
  </si>
  <si>
    <t>Alko</t>
  </si>
  <si>
    <t>lab credit card, to be covered from ONCOSYS money, wbs</t>
  </si>
  <si>
    <t>RNA QC at FIMM, 10FFPE blocks (3xONCOSYS, 7xHUS), then GeoMx Spatial Profiler RNA Analysis</t>
  </si>
  <si>
    <t>29.9.2022</t>
  </si>
  <si>
    <t>paid, end of the year 2022</t>
  </si>
  <si>
    <t>Creative Cloud Teams, 12 kk sakrepantanagaraj</t>
  </si>
  <si>
    <t>Ilona IT Oy</t>
  </si>
  <si>
    <t>3.10.2022</t>
  </si>
  <si>
    <t>Amsterdam hotel booking, Anniina, Research visit NKI Pathology department, plus 22e City Tax</t>
  </si>
  <si>
    <t>Park Plaza</t>
  </si>
  <si>
    <t>S-market cookies for lab meetings</t>
  </si>
  <si>
    <t>S-Market</t>
  </si>
  <si>
    <t>19.9.2022</t>
  </si>
  <si>
    <t>ONCOSYS, wbs730492320</t>
  </si>
  <si>
    <t>S-market cakes, ice-cream and Pommac, Anniina's award celebration</t>
  </si>
  <si>
    <t>Creative Cloud Teams, 12 kk Anniina</t>
  </si>
  <si>
    <t>SNP array HUS FFPE scrolls, batch2, 1 chip, 4.10.2022</t>
  </si>
  <si>
    <t>4.10.2022</t>
  </si>
  <si>
    <t>13.10.2022</t>
  </si>
  <si>
    <t>Grey plastic slide boxes, for 100 places</t>
  </si>
  <si>
    <t>10586191/278</t>
  </si>
  <si>
    <t>Kartell</t>
  </si>
  <si>
    <t>5.10.2022</t>
  </si>
  <si>
    <t>2 arrived 25.10.2022, 8 arrived 27.10.2022</t>
  </si>
  <si>
    <t>Blue PP slide boxes, for 100 places, 165x210x35mm</t>
  </si>
  <si>
    <t>631-0736</t>
  </si>
  <si>
    <t>7.10.2022</t>
  </si>
  <si>
    <t>plus 3e shipment</t>
  </si>
  <si>
    <t>White boxes, 9x9 (for -80Revco), grid incl.</t>
  </si>
  <si>
    <t>70-A9023-8181</t>
  </si>
  <si>
    <t>Starlab</t>
  </si>
  <si>
    <t>VingLab</t>
  </si>
  <si>
    <t>Electric tables, to AF stuff office, 120x80cm, white</t>
  </si>
  <si>
    <t>Martela</t>
  </si>
  <si>
    <t>HY247</t>
  </si>
  <si>
    <t>340e table +62e delivery per table</t>
  </si>
  <si>
    <t>hy247-kalustamispalvelut@helsinki.fi</t>
  </si>
  <si>
    <t>Berlin flifgh, Finnair, Fernando</t>
  </si>
  <si>
    <t>10.10.2022</t>
  </si>
  <si>
    <t>Berlin flifgh, Air Baltic, Fernando</t>
  </si>
  <si>
    <t>Berlin flifgh, Finnair, Julia</t>
  </si>
  <si>
    <r>
      <rPr>
        <rFont val="Calibri"/>
        <b/>
        <color theme="1"/>
        <sz val="11.0"/>
      </rPr>
      <t>E-cadherin</t>
    </r>
    <r>
      <rPr>
        <rFont val="Calibri"/>
        <color theme="1"/>
        <sz val="11.0"/>
      </rPr>
      <t xml:space="preserve"> 488</t>
    </r>
  </si>
  <si>
    <t>CST3199</t>
  </si>
  <si>
    <t>14.10.2022</t>
  </si>
  <si>
    <t>https://www.cellsignal.com/products/antibody-conjugates/e-cadherin-24e10-rabbit-mab-alexa-fluor-488-conjugate/31991.</t>
  </si>
  <si>
    <t>-7% quote, TA2022-0505-KL</t>
  </si>
  <si>
    <r>
      <rPr>
        <rFont val="Calibri"/>
        <color rgb="FFFF0000"/>
        <sz val="11.0"/>
      </rPr>
      <t>Recombinant Alexa Fluor® 555 Anti-</t>
    </r>
    <r>
      <rPr>
        <rFont val="Calibri"/>
        <b/>
        <color rgb="FFFF0000"/>
        <sz val="11.0"/>
      </rPr>
      <t>CD3D</t>
    </r>
    <r>
      <rPr>
        <rFont val="Calibri"/>
        <color rgb="FFFF0000"/>
        <sz val="11.0"/>
      </rPr>
      <t xml:space="preserve"> antibody [EP4426]</t>
    </r>
  </si>
  <si>
    <t>ab208514</t>
  </si>
  <si>
    <t>https://www.abcam.com/alexa-fluor-555-cd3d-antibody-ep4426-ab208514.html</t>
  </si>
  <si>
    <r>
      <rPr>
        <rFont val="Calibri"/>
        <color rgb="FFFF0000"/>
        <sz val="11.0"/>
      </rPr>
      <t>Recombinant Alexa Fluor® 647 Anti-</t>
    </r>
    <r>
      <rPr>
        <rFont val="Calibri"/>
        <b/>
        <color rgb="FFFF0000"/>
        <sz val="11.0"/>
      </rPr>
      <t xml:space="preserve">PD1 </t>
    </r>
    <r>
      <rPr>
        <rFont val="Calibri"/>
        <color rgb="FFFF0000"/>
        <sz val="11.0"/>
      </rPr>
      <t>antibody [EPR4877(2)]</t>
    </r>
  </si>
  <si>
    <t>ab201825</t>
  </si>
  <si>
    <t>https://www.abcam.com/alexa-fluor-647-pd1-antibody-epr48772-ab201825.html</t>
  </si>
  <si>
    <r>
      <rPr>
        <rFont val="Calibri"/>
        <color rgb="FFFF0000"/>
        <sz val="11.0"/>
      </rPr>
      <t>Anti-</t>
    </r>
    <r>
      <rPr>
        <rFont val="Calibri"/>
        <b/>
        <color rgb="FFFF0000"/>
        <sz val="11.0"/>
      </rPr>
      <t xml:space="preserve">CD11b </t>
    </r>
    <r>
      <rPr>
        <rFont val="Calibri"/>
        <color rgb="FFFF0000"/>
        <sz val="11.0"/>
      </rPr>
      <t>antibody [EPR1344] (Alexa Fluor® 555)</t>
    </r>
  </si>
  <si>
    <t>ab206616</t>
  </si>
  <si>
    <t>https://www.citeab.com/antibodies/4641417-ab206616-anti-cd11b-antibody-epr1344-alexa-fluor</t>
  </si>
  <si>
    <r>
      <rPr>
        <rFont val="Calibri"/>
        <color rgb="FFFF0000"/>
        <sz val="11.0"/>
      </rPr>
      <t>Rat anti-</t>
    </r>
    <r>
      <rPr>
        <rFont val="Calibri"/>
        <b/>
        <color rgb="FFFF0000"/>
        <sz val="11.0"/>
      </rPr>
      <t xml:space="preserve">Sodium Potassium ATPase </t>
    </r>
    <r>
      <rPr>
        <rFont val="Calibri"/>
        <color rgb="FFFF0000"/>
        <sz val="11.0"/>
      </rPr>
      <t>antibody [EP1845Y]</t>
    </r>
  </si>
  <si>
    <t>Recombinant Alexa Fluor® 488 Anti-CD86 antibody [EPR21962]</t>
  </si>
  <si>
    <t>ab290990</t>
  </si>
  <si>
    <t>10ul</t>
  </si>
  <si>
    <t>asked, if aliquot is available</t>
  </si>
  <si>
    <t>https://www.abcam.com/alexa-fluor-488-cd86-antibody-epr21962-ab290990.html</t>
  </si>
  <si>
    <t>LEGENDplex™ Human CD8/NK Panel (13-plex) with V-bottom Plate</t>
  </si>
  <si>
    <t>17.10.2022</t>
  </si>
  <si>
    <t>20.10.2022</t>
  </si>
  <si>
    <t>https://www.biolegend.com/en-us/search-results/legendplex-human-cd8-nk-panel-13-plex-with-v-bottom-plate-21512</t>
  </si>
  <si>
    <t>Sensire deep freezer temperature alarm, annual fee</t>
  </si>
  <si>
    <t>Sensire</t>
  </si>
  <si>
    <t>24.10.2022</t>
  </si>
  <si>
    <t>full sum is 200.88e, shared with Kauppi lab 50-50</t>
  </si>
  <si>
    <t>NCAM (123C3) - Alexa647</t>
  </si>
  <si>
    <t>sc-7326 AF647</t>
  </si>
  <si>
    <t>10ul, test sample</t>
  </si>
  <si>
    <t>18.10.2022</t>
  </si>
  <si>
    <t>AN</t>
  </si>
  <si>
    <t>9.11.2022</t>
  </si>
  <si>
    <t>we got minus 10% test discount from Labnet</t>
  </si>
  <si>
    <t>Tissue services, Anatomy, bill - 5.7.-12.7. Tissue processing, pitkä ajo</t>
  </si>
  <si>
    <t>TissueServices, Anatomy</t>
  </si>
  <si>
    <t>25.10.2022</t>
  </si>
  <si>
    <t>LEGENDplex™ V-bottom Plate for LEGENDplex™ Assay</t>
  </si>
  <si>
    <t>2.11.2022</t>
  </si>
  <si>
    <t>https://nordicbiosite.com/product/740379/LEGENDplextm-Vbottom-Plate-for-LEGENDplextm-Assay</t>
  </si>
  <si>
    <t>26e per plate. We got -10% off, 23.4e per plate</t>
  </si>
  <si>
    <t>Red Spirit Filled Total Immersion Thermometer</t>
  </si>
  <si>
    <t>Fisher Scientific</t>
  </si>
  <si>
    <t>28.10.2022</t>
  </si>
  <si>
    <t>https://www.fishersci.fi/shop/products/liquid-filled-total-immersion-thermometer-1/11597273?searchHijack=true&amp;searchTerm=11597273&amp;searchType=RAPID&amp;matchedCatNo=11597273</t>
  </si>
  <si>
    <t>Berlin Conference expnces, Matilda</t>
  </si>
  <si>
    <t>30.11.2022</t>
  </si>
  <si>
    <t>Angela, Berlin Conference expences</t>
  </si>
  <si>
    <t>Berlin ESGO Conference, Hotel, Anniina</t>
  </si>
  <si>
    <t>Poster transportation tube</t>
  </si>
  <si>
    <t>via Point-of-Print, PSWFolders Oy</t>
  </si>
  <si>
    <t>3.11.2022</t>
  </si>
  <si>
    <t>4.11.2022</t>
  </si>
  <si>
    <r>
      <rPr>
        <rFont val="Calibri"/>
        <color theme="1"/>
        <sz val="11.0"/>
      </rPr>
      <t xml:space="preserve">BV711 Mouse Anti-Human </t>
    </r>
    <r>
      <rPr>
        <rFont val="Calibri"/>
        <b/>
        <color theme="1"/>
        <sz val="11.0"/>
      </rPr>
      <t>CD11c</t>
    </r>
    <r>
      <rPr>
        <rFont val="Calibri"/>
        <color theme="1"/>
        <sz val="11.0"/>
      </rPr>
      <t>, for FACS</t>
    </r>
  </si>
  <si>
    <t>50 tests</t>
  </si>
  <si>
    <t>BD Horizon™</t>
  </si>
  <si>
    <t>16.11.2022</t>
  </si>
  <si>
    <r>
      <rPr>
        <rFont val="Calibri"/>
        <color theme="1"/>
        <sz val="11.0"/>
      </rPr>
      <t xml:space="preserve">Mouse Anti-Human  PerCP-Cy™5.5 </t>
    </r>
    <r>
      <rPr>
        <rFont val="Calibri"/>
        <b/>
        <color theme="1"/>
        <sz val="11.0"/>
      </rPr>
      <t>HLA-DR</t>
    </r>
    <r>
      <rPr>
        <rFont val="Calibri"/>
        <color theme="1"/>
        <sz val="11.0"/>
      </rPr>
      <t>, mouse monoclonal  
IgG 2a, for FACS</t>
    </r>
  </si>
  <si>
    <t>BD Pharmingen™</t>
  </si>
  <si>
    <r>
      <rPr>
        <rFont val="Calibri"/>
        <color theme="1"/>
        <sz val="11.0"/>
      </rPr>
      <t xml:space="preserve">BV786 Mouse Anti-Human </t>
    </r>
    <r>
      <rPr>
        <rFont val="Calibri"/>
        <b/>
        <color theme="1"/>
        <sz val="11.0"/>
      </rPr>
      <t>CD3</t>
    </r>
    <r>
      <rPr>
        <rFont val="Calibri"/>
        <color theme="1"/>
        <sz val="11.0"/>
      </rPr>
      <t>, for FACS</t>
    </r>
  </si>
  <si>
    <r>
      <rPr>
        <rFont val="Calibri"/>
        <strike/>
        <color theme="1"/>
        <sz val="11.0"/>
      </rPr>
      <t xml:space="preserve">CellFIX™ Tissue Processing Reagent, BD </t>
    </r>
    <r>
      <rPr>
        <rFont val="Calibri"/>
        <strike val="0"/>
        <color rgb="FFFF0000"/>
        <sz val="11.0"/>
      </rPr>
      <t>discontinued</t>
    </r>
  </si>
  <si>
    <t>12756879/BD Biosciences  340181</t>
  </si>
  <si>
    <t>50ml</t>
  </si>
  <si>
    <t>BD via FisherScientific</t>
  </si>
  <si>
    <t>discontinued</t>
  </si>
  <si>
    <t>Dec.2022</t>
  </si>
  <si>
    <t>Cultrex RGF Basement Membrane Extract, Type 2</t>
  </si>
  <si>
    <t>3533-010-02</t>
  </si>
  <si>
    <t>2x5ml</t>
  </si>
  <si>
    <t>R&amp;D systems</t>
  </si>
  <si>
    <t>10.11.2022</t>
  </si>
  <si>
    <t>23.11.2022</t>
  </si>
  <si>
    <t>EAP</t>
  </si>
  <si>
    <t>-80C free space; needs to be aliquotted</t>
  </si>
  <si>
    <t>asked for lot 1542603, if still available , IIL2158766  send to Tomi Mäkela for approval on 28.7.2023</t>
  </si>
  <si>
    <t>Poster, kiiltävä, Inga-Maria</t>
  </si>
  <si>
    <t>14.11.2022</t>
  </si>
  <si>
    <t>Eppendorf Research® plus, 16-channel, incl. epT.I.P.S.® Box, 5 –100 μL, light yellow</t>
  </si>
  <si>
    <t>15.11.2022</t>
  </si>
  <si>
    <t>OFFER CODE #Eppendorf-22</t>
  </si>
  <si>
    <t>Pipette tips Eppendorf™ epT.I.P.S.™ 384 Reloads, for 16-channel pipette</t>
  </si>
  <si>
    <t>16222381/Eppendorf™ 0030076052</t>
  </si>
  <si>
    <t>Cakes from HUS Asvia: Chocolate lactose-free for 20 portions and black currant mousse vegan cake for 20 portions, 66+77e, for ERC celebration 22.11.2022</t>
  </si>
  <si>
    <t>30 portions</t>
  </si>
  <si>
    <t>HUSAsvia</t>
  </si>
  <si>
    <t>catering@hus.fi</t>
  </si>
  <si>
    <t>RNA extraction and QC (10x70e, 700e), GeoMx RNA Human WTA Library Prep (8x2372.59e, 18980.72e), GeoMx RNA Sample Processing (4x86.65e, 346.60e ), GeoMx RNA Area Of Illumination (320x12.25e, 3920e)</t>
  </si>
  <si>
    <t>FIMM Tech Center</t>
  </si>
  <si>
    <t>17.11.2022</t>
  </si>
  <si>
    <t>17500e from EarlyCareer wbs 730492300, 6447.32e  from Kulttuurirahasto wbs 4706188</t>
  </si>
  <si>
    <t>Extension cord for Matilda: DELTACO 3-osainen jatkojohto, 3 m</t>
  </si>
  <si>
    <t>18.11.2022</t>
  </si>
  <si>
    <t>8.12.2022</t>
  </si>
  <si>
    <t>will be paid from ONCOSYS money</t>
  </si>
  <si>
    <t>https://www.verkkokauppa.com/fi/product/264058/DELTACO-3-osainen-jatkojohto-3-m</t>
  </si>
  <si>
    <t>Wireless mouse for Ashwini: Logitech M280 -hiiri, musta</t>
  </si>
  <si>
    <t>https://www.verkkokauppa.com/fi/product/194915/Logitech-M280-hiiri-musta</t>
  </si>
  <si>
    <t>Wireless mouse for Iga: Logitech M705-hiiri</t>
  </si>
  <si>
    <t>https://www.verkkokauppa.com/fi/product/93930/Logitech-M705-hiiri</t>
  </si>
  <si>
    <t>Lenovo USBc charging adapter for Ashwini and Inga-Maria: 
Lenovo 65 W Standard AC Adapter (USB Type-C) -virtalähde</t>
  </si>
  <si>
    <t>https://www.verkkokauppa.com/fi/product/395285/Lenovo-65-W-Standard-AC-Adapter-USB-Type-C-virtalahde</t>
  </si>
  <si>
    <t>USBc adapter for Ada and Teodora: 
Kingston Nucleum USB Type-C -telakointiasema</t>
  </si>
  <si>
    <t>https://www.verkkokauppa.com/fi/product/519326/Kingston-Nucleum-USB-Type-C-telakointiasema</t>
  </si>
  <si>
    <t>External hard drive for Julia: 
Samsung T7 -ulkoinen SSD-levy, 2 Tt, sininen</t>
  </si>
  <si>
    <t>FIMM Tissue Services bill, tissue processing, sectioning and H&amp;E</t>
  </si>
  <si>
    <t>Slides scanning, July-August 2022</t>
  </si>
  <si>
    <t>22.11.2022</t>
  </si>
  <si>
    <t>LIVE/DEAD™ Fixable Green Dead Cell Stain Kit, for 488 nm excitation</t>
  </si>
  <si>
    <t>L23101</t>
  </si>
  <si>
    <t>200 assays</t>
  </si>
  <si>
    <t>Invitrogen</t>
  </si>
  <si>
    <t>https://www.thermofisher.com/order/catalog/product/L23101</t>
  </si>
  <si>
    <t>Falcon 5 mL tubes: 12 x 75mm, Sterile Polystyrene Round Bottom Test Tubes With Snap Cap</t>
  </si>
  <si>
    <t>352058/10100151</t>
  </si>
  <si>
    <t>Falcon/Corning Brand</t>
  </si>
  <si>
    <t>7.2.2023</t>
  </si>
  <si>
    <t>SS</t>
  </si>
  <si>
    <t>https://www.fishersci.com/shop/products/falcon-round-bottom-polystyrene-tubes-13/149591A</t>
  </si>
  <si>
    <t>Recombinant Human IL-2</t>
  </si>
  <si>
    <t>200-02</t>
  </si>
  <si>
    <t>25.11.2022</t>
  </si>
  <si>
    <t>22.12.2022</t>
  </si>
  <si>
    <t>-20oC top drawer</t>
  </si>
  <si>
    <t>Recombinant Human IL-7</t>
  </si>
  <si>
    <t>200-07</t>
  </si>
  <si>
    <t>15.12.2022</t>
  </si>
  <si>
    <t>Live-or-Dye™ 488/515</t>
  </si>
  <si>
    <t>1 kit</t>
  </si>
  <si>
    <t>Biotium</t>
  </si>
  <si>
    <t>14.12.2022</t>
  </si>
  <si>
    <t>Fibrinogen</t>
  </si>
  <si>
    <t>500 mg</t>
  </si>
  <si>
    <t>Sigma/Merck</t>
  </si>
  <si>
    <t>-80C free space; needs to be dissolved + aliquotted</t>
  </si>
  <si>
    <t>plus 15e transportation and handling, plus 40e dry ice</t>
  </si>
  <si>
    <t xml:space="preserve">Thrombin   </t>
  </si>
  <si>
    <t>T6884</t>
  </si>
  <si>
    <t>100 Units</t>
  </si>
  <si>
    <t>7.12.2022</t>
  </si>
  <si>
    <t>-20oC,top drawer</t>
  </si>
  <si>
    <t>B-27 supplement 50x</t>
  </si>
  <si>
    <t>10 ml</t>
  </si>
  <si>
    <t>ThermoFischer</t>
  </si>
  <si>
    <t>Cell Counting Slides for LUNA cell counter</t>
  </si>
  <si>
    <t>L12001</t>
  </si>
  <si>
    <t>50 slides-100 counts</t>
  </si>
  <si>
    <t>Logos Biosystems</t>
  </si>
  <si>
    <t>Trypan Blue stain 0.4%</t>
  </si>
  <si>
    <t>T10282</t>
  </si>
  <si>
    <t>2x1ml</t>
  </si>
  <si>
    <t>Thermo/City-Lab</t>
  </si>
  <si>
    <t>Optifit Tip 100-5000ul Non-sterile</t>
  </si>
  <si>
    <t>Sheath Fluid for fortessa flow cytometer.</t>
  </si>
  <si>
    <t>5.12.2022</t>
  </si>
  <si>
    <t>will arr. directly to Kekäläinen lab</t>
  </si>
  <si>
    <t>ordered by Eliisa Kekäläinen lab, our turn to pay</t>
  </si>
  <si>
    <t>https://www.bdbiosciences.com/en-fi/products/instruments/flow-cytometers/research-cell-analyzers/facscanto-ii/sheath-fluid.342003</t>
  </si>
  <si>
    <t>AACR registration, Inga-Maria</t>
  </si>
  <si>
    <t>WBS 730492320, ONCOSYS money</t>
  </si>
  <si>
    <t>Advanced DMEM/F-12</t>
  </si>
  <si>
    <t>12.12.2022</t>
  </si>
  <si>
    <t>21.12.2022</t>
  </si>
  <si>
    <t>one of the 6 tip boxes should come for free, offer</t>
  </si>
  <si>
    <t>Aqua Stabil, Water bath protective media</t>
  </si>
  <si>
    <t>9858040/8 940 012.1</t>
  </si>
  <si>
    <t>100ml</t>
  </si>
  <si>
    <t>Julabo Gmbh</t>
  </si>
  <si>
    <t>28.12.2022</t>
  </si>
  <si>
    <t>put on cell culture room table</t>
  </si>
  <si>
    <t>mouse anti-CD45 BV421</t>
  </si>
  <si>
    <t>27.12.2022</t>
  </si>
  <si>
    <t>https://www.bdbiosciences.com/en-fi/products/reagents/flow-cytometry-reagents/research-reagents/single-color-antibodies-ruo/bv421-mouse-anti-human-cd45.563880</t>
  </si>
  <si>
    <t>https://www.bdbiosciences.com/en-us/products/reagents/flow-cytometry-reagents/research-reagents/buffers-and-supporting-reagents-ruo/brilliant-stain-buffer.563794</t>
  </si>
  <si>
    <t>FIMM Tissue services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</si>
</sst>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4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color theme="1"/>
      <name val="Arial"/>
      <scheme val="minor"/>
    </font>
    <font>
      <b/>
      <sz val="14.0"/>
      <color theme="1"/>
      <name val="Calibri"/>
    </font>
    <font>
      <b/>
      <sz val="14.0"/>
      <color theme="1"/>
      <name val="Arial"/>
    </font>
    <font>
      <color theme="1"/>
      <name val="Arial"/>
    </font>
    <font>
      <color rgb="FFFF0000"/>
      <name val="Arial"/>
      <scheme val="minor"/>
    </font>
    <font>
      <color theme="1"/>
      <name val="Arial"/>
      <scheme val="minor"/>
    </font>
    <font>
      <u/>
      <sz val="11.0"/>
      <color rgb="FF0000FF"/>
      <name val="Calibri"/>
    </font>
    <font>
      <strike/>
      <sz val="11.0"/>
      <color theme="1"/>
      <name val="Calibri"/>
    </font>
    <font>
      <strike/>
      <sz val="11.0"/>
      <color rgb="FF2C3333"/>
      <name val="Calibri"/>
    </font>
    <font>
      <strike/>
      <sz val="11.0"/>
      <color rgb="FFEA4335"/>
      <name val="Calibri"/>
    </font>
    <font>
      <strike/>
      <sz val="11.0"/>
      <color rgb="FF1F497D"/>
      <name val="Calibri"/>
    </font>
    <font>
      <b/>
      <strike/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11.0"/>
      <color rgb="FF1F497D"/>
      <name val="Calibri"/>
    </font>
    <font>
      <u/>
      <sz val="11.0"/>
      <color rgb="FF1155CC"/>
      <name val="Calibri"/>
    </font>
    <font>
      <u/>
      <color rgb="FF0000FF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sz val="11.0"/>
      <color rgb="FF53565A"/>
      <name val="Calibri"/>
    </font>
    <font>
      <sz val="11.0"/>
      <color rgb="FF40404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strike/>
      <color theme="1"/>
      <name val="Arial"/>
      <scheme val="minor"/>
    </font>
    <font>
      <sz val="9.0"/>
      <color theme="1"/>
      <name val="Arial"/>
    </font>
    <font>
      <u/>
      <sz val="11.0"/>
      <color rgb="FF0000FF"/>
      <name val="Calibri"/>
    </font>
    <font>
      <sz val="11.0"/>
      <color rgb="FF1D1C1D"/>
      <name val="Calibri"/>
    </font>
    <font>
      <color rgb="FFEA4335"/>
      <name val="Arial"/>
      <scheme val="minor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1155CC"/>
      <name val="Arial"/>
    </font>
    <font>
      <strike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1D252D"/>
      <name val="Calibri"/>
    </font>
    <font>
      <sz val="11.0"/>
      <color rgb="FF980000"/>
      <name val="Calibri"/>
    </font>
    <font>
      <sz val="11.0"/>
      <color rgb="FF333333"/>
      <name val="Calibri"/>
    </font>
    <font>
      <u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2" fillId="0" fontId="5" numFmtId="49" xfId="0" applyAlignment="1" applyBorder="1" applyFont="1" applyNumberFormat="1">
      <alignment shrinkToFit="0" vertical="bottom" wrapText="1"/>
    </xf>
    <xf borderId="2" fillId="0" fontId="5" numFmtId="49" xfId="0" applyAlignment="1" applyBorder="1" applyFont="1" applyNumberFormat="1">
      <alignment horizontal="center" shrinkToFit="0" vertical="bottom" wrapText="1"/>
    </xf>
    <xf borderId="1" fillId="0" fontId="5" numFmtId="49" xfId="0" applyAlignment="1" applyBorder="1" applyFont="1" applyNumberFormat="1">
      <alignment horizontal="center" shrinkToFit="0" vertical="bottom" wrapText="1"/>
    </xf>
    <xf borderId="1" fillId="0" fontId="5" numFmtId="1" xfId="0" applyAlignment="1" applyBorder="1" applyFont="1" applyNumberFormat="1">
      <alignment horizontal="center" shrinkToFit="0" vertical="bottom" wrapText="1"/>
    </xf>
    <xf borderId="1" fillId="0" fontId="5" numFmtId="14" xfId="0" applyAlignment="1" applyBorder="1" applyFont="1" applyNumberFormat="1">
      <alignment horizontal="center" shrinkToFit="0" vertical="bottom" wrapText="1"/>
    </xf>
    <xf borderId="1" fillId="2" fontId="6" numFmtId="0" xfId="0" applyAlignment="1" applyBorder="1" applyFill="1" applyFont="1">
      <alignment vertical="bottom"/>
    </xf>
    <xf borderId="1" fillId="2" fontId="6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2" fillId="3" fontId="1" numFmtId="0" xfId="0" applyAlignment="1" applyBorder="1" applyFill="1" applyFont="1">
      <alignment horizontal="right"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6" fillId="4" fontId="1" numFmtId="0" xfId="0" applyAlignment="1" applyBorder="1" applyFill="1" applyFont="1">
      <alignment readingOrder="0" vertical="bottom"/>
    </xf>
    <xf borderId="2" fillId="0" fontId="1" numFmtId="0" xfId="0" applyAlignment="1" applyBorder="1" applyFont="1">
      <alignment vertical="bottom"/>
    </xf>
    <xf borderId="6" fillId="0" fontId="1" numFmtId="0" xfId="0" applyBorder="1" applyFont="1"/>
    <xf borderId="0" fillId="0" fontId="1" numFmtId="0" xfId="0" applyAlignment="1" applyFont="1">
      <alignment vertical="bottom"/>
    </xf>
    <xf borderId="6" fillId="3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readingOrder="0"/>
    </xf>
    <xf borderId="6" fillId="0" fontId="7" numFmtId="0" xfId="0" applyAlignment="1" applyBorder="1" applyFont="1">
      <alignment vertical="bottom"/>
    </xf>
    <xf borderId="6" fillId="0" fontId="9" numFmtId="0" xfId="0" applyBorder="1" applyFont="1"/>
    <xf borderId="0" fillId="3" fontId="1" numFmtId="0" xfId="0" applyAlignment="1" applyFont="1">
      <alignment vertical="bottom"/>
    </xf>
    <xf borderId="7" fillId="3" fontId="1" numFmtId="0" xfId="0" applyAlignment="1" applyBorder="1" applyFont="1">
      <alignment horizontal="center" vertical="bottom"/>
    </xf>
    <xf borderId="8" fillId="3" fontId="1" numFmtId="0" xfId="0" applyAlignment="1" applyBorder="1" applyFont="1">
      <alignment horizontal="center" vertical="bottom"/>
    </xf>
    <xf borderId="9" fillId="0" fontId="9" numFmtId="0" xfId="0" applyBorder="1" applyFont="1"/>
    <xf borderId="8" fillId="0" fontId="1" numFmtId="0" xfId="0" applyAlignment="1" applyBorder="1" applyFont="1">
      <alignment horizontal="center" readingOrder="0"/>
    </xf>
    <xf borderId="6" fillId="5" fontId="1" numFmtId="0" xfId="0" applyAlignment="1" applyBorder="1" applyFill="1" applyFont="1">
      <alignment readingOrder="0" vertical="bottom"/>
    </xf>
    <xf borderId="8" fillId="3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7" fillId="0" fontId="1" numFmtId="0" xfId="0" applyBorder="1" applyFont="1"/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8" fillId="3" fontId="1" numFmtId="0" xfId="0" applyAlignment="1" applyBorder="1" applyFont="1">
      <alignment vertical="bottom"/>
    </xf>
    <xf borderId="0" fillId="0" fontId="9" numFmtId="0" xfId="0" applyAlignment="1" applyFont="1">
      <alignment horizontal="center" readingOrder="0"/>
    </xf>
    <xf borderId="6" fillId="3" fontId="1" numFmtId="0" xfId="0" applyAlignment="1" applyBorder="1" applyFont="1">
      <alignment horizontal="center" vertical="bottom"/>
    </xf>
    <xf borderId="0" fillId="3" fontId="1" numFmtId="0" xfId="0" applyAlignment="1" applyFont="1">
      <alignment horizontal="center" vertical="bottom"/>
    </xf>
    <xf borderId="7" fillId="3" fontId="1" numFmtId="0" xfId="0" applyAlignment="1" applyBorder="1" applyFont="1">
      <alignment horizontal="right" vertical="bottom"/>
    </xf>
    <xf borderId="6" fillId="0" fontId="9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center" readingOrder="0" vertical="bottom"/>
    </xf>
    <xf borderId="6" fillId="6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0" fillId="0" fontId="9" numFmtId="0" xfId="0" applyFont="1"/>
    <xf borderId="7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right" readingOrder="0"/>
    </xf>
    <xf borderId="0" fillId="6" fontId="1" numFmtId="0" xfId="0" applyAlignment="1" applyFont="1">
      <alignment horizontal="center" readingOrder="0"/>
    </xf>
    <xf borderId="6" fillId="0" fontId="10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8" fillId="0" fontId="12" numFmtId="0" xfId="0" applyAlignment="1" applyBorder="1" applyFont="1">
      <alignment horizontal="right" readingOrder="0"/>
    </xf>
    <xf borderId="6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Font="1"/>
    <xf borderId="6" fillId="3" fontId="13" numFmtId="0" xfId="0" applyAlignment="1" applyBorder="1" applyFont="1">
      <alignment readingOrder="0"/>
    </xf>
    <xf borderId="0" fillId="3" fontId="11" numFmtId="0" xfId="0" applyFont="1"/>
    <xf borderId="6" fillId="4" fontId="11" numFmtId="0" xfId="0" applyAlignment="1" applyBorder="1" applyFont="1">
      <alignment readingOrder="0" vertical="bottom"/>
    </xf>
    <xf borderId="6" fillId="0" fontId="14" numFmtId="0" xfId="0" applyAlignment="1" applyBorder="1" applyFont="1">
      <alignment readingOrder="0"/>
    </xf>
    <xf borderId="6" fillId="0" fontId="11" numFmtId="0" xfId="0" applyBorder="1" applyFont="1"/>
    <xf borderId="0" fillId="0" fontId="15" numFmtId="0" xfId="0" applyAlignment="1" applyFont="1">
      <alignment readingOrder="0"/>
    </xf>
    <xf borderId="3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readingOrder="0" vertical="bottom"/>
    </xf>
    <xf borderId="6" fillId="0" fontId="1" numFmtId="0" xfId="0" applyAlignment="1" applyBorder="1" applyFont="1">
      <alignment horizontal="center"/>
    </xf>
    <xf borderId="6" fillId="3" fontId="1" numFmtId="0" xfId="0" applyAlignment="1" applyBorder="1" applyFont="1">
      <alignment vertical="bottom"/>
    </xf>
    <xf borderId="7" fillId="3" fontId="1" numFmtId="0" xfId="0" applyAlignment="1" applyBorder="1" applyFont="1">
      <alignment horizontal="right" readingOrder="0" vertical="bottom"/>
    </xf>
    <xf borderId="6" fillId="3" fontId="9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shrinkToFit="0" vertical="bottom" wrapText="1"/>
    </xf>
    <xf borderId="0" fillId="0" fontId="16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6" fillId="0" fontId="17" numFmtId="0" xfId="0" applyAlignment="1" applyBorder="1" applyFont="1">
      <alignment readingOrder="0"/>
    </xf>
    <xf borderId="7" fillId="0" fontId="1" numFmtId="0" xfId="0" applyAlignment="1" applyBorder="1" applyFont="1">
      <alignment vertical="bottom"/>
    </xf>
    <xf borderId="6" fillId="0" fontId="18" numFmtId="0" xfId="0" applyAlignment="1" applyBorder="1" applyFont="1">
      <alignment readingOrder="0"/>
    </xf>
    <xf borderId="2" fillId="0" fontId="17" numFmtId="0" xfId="0" applyAlignment="1" applyBorder="1" applyFont="1">
      <alignment vertical="bottom"/>
    </xf>
    <xf borderId="6" fillId="3" fontId="17" numFmtId="0" xfId="0" applyAlignment="1" applyBorder="1" applyFont="1">
      <alignment vertical="bottom"/>
    </xf>
    <xf borderId="0" fillId="3" fontId="17" numFmtId="0" xfId="0" applyAlignment="1" applyFont="1">
      <alignment horizontal="center" vertical="bottom"/>
    </xf>
    <xf borderId="6" fillId="0" fontId="17" numFmtId="0" xfId="0" applyAlignment="1" applyBorder="1" applyFont="1">
      <alignment horizontal="center" readingOrder="0" vertical="bottom"/>
    </xf>
    <xf borderId="0" fillId="3" fontId="17" numFmtId="0" xfId="0" applyAlignment="1" applyFont="1">
      <alignment vertical="bottom"/>
    </xf>
    <xf borderId="8" fillId="3" fontId="17" numFmtId="0" xfId="0" applyAlignment="1" applyBorder="1" applyFont="1">
      <alignment vertical="bottom"/>
    </xf>
    <xf borderId="6" fillId="3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vertical="bottom"/>
    </xf>
    <xf borderId="2" fillId="0" fontId="1" numFmtId="0" xfId="0" applyAlignment="1" applyBorder="1" applyFont="1">
      <alignment readingOrder="0"/>
    </xf>
    <xf borderId="9" fillId="3" fontId="1" numFmtId="0" xfId="0" applyAlignment="1" applyBorder="1" applyFont="1">
      <alignment vertical="bottom"/>
    </xf>
    <xf borderId="7" fillId="0" fontId="17" numFmtId="0" xfId="0" applyAlignment="1" applyBorder="1" applyFont="1">
      <alignment horizontal="right" vertical="bottom"/>
    </xf>
    <xf borderId="9" fillId="0" fontId="1" numFmtId="0" xfId="0" applyBorder="1" applyFont="1"/>
    <xf borderId="8" fillId="0" fontId="1" numFmtId="0" xfId="0" applyAlignment="1" applyBorder="1" applyFont="1">
      <alignment horizontal="left" vertical="bottom"/>
    </xf>
    <xf borderId="6" fillId="3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horizontal="right" readingOrder="0" vertical="bottom"/>
    </xf>
    <xf borderId="8" fillId="0" fontId="1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7" fillId="5" fontId="1" numFmtId="0" xfId="0" applyAlignment="1" applyBorder="1" applyFont="1">
      <alignment readingOrder="0" vertical="bottom"/>
    </xf>
    <xf borderId="6" fillId="6" fontId="1" numFmtId="0" xfId="0" applyAlignment="1" applyBorder="1" applyFont="1">
      <alignment readingOrder="0"/>
    </xf>
    <xf borderId="6" fillId="0" fontId="19" numFmtId="0" xfId="0" applyAlignment="1" applyBorder="1" applyFont="1">
      <alignment readingOrder="0"/>
    </xf>
    <xf borderId="6" fillId="3" fontId="1" numFmtId="0" xfId="0" applyAlignment="1" applyBorder="1" applyFont="1">
      <alignment horizontal="left" vertical="bottom"/>
    </xf>
    <xf borderId="6" fillId="0" fontId="20" numFmtId="0" xfId="0" applyAlignment="1" applyBorder="1" applyFont="1">
      <alignment readingOrder="0"/>
    </xf>
    <xf borderId="3" fillId="3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8" fillId="0" fontId="1" numFmtId="0" xfId="0" applyBorder="1" applyFont="1"/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horizontal="right" readingOrder="0" vertical="bottom"/>
    </xf>
    <xf borderId="6" fillId="6" fontId="8" numFmtId="0" xfId="0" applyAlignment="1" applyBorder="1" applyFont="1">
      <alignment readingOrder="0"/>
    </xf>
    <xf borderId="0" fillId="6" fontId="9" numFmtId="0" xfId="0" applyAlignment="1" applyFont="1">
      <alignment readingOrder="0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left" readingOrder="0"/>
    </xf>
    <xf borderId="6" fillId="0" fontId="21" numFmtId="0" xfId="0" applyAlignment="1" applyBorder="1" applyFont="1">
      <alignment horizontal="left" readingOrder="0"/>
    </xf>
    <xf borderId="6" fillId="5" fontId="1" numFmtId="0" xfId="0" applyAlignment="1" applyBorder="1" applyFont="1">
      <alignment readingOrder="0"/>
    </xf>
    <xf borderId="2" fillId="0" fontId="1" numFmtId="0" xfId="0" applyBorder="1" applyFont="1"/>
    <xf borderId="9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left" readingOrder="0" vertical="bottom"/>
    </xf>
    <xf borderId="7" fillId="0" fontId="11" numFmtId="0" xfId="0" applyAlignment="1" applyBorder="1" applyFont="1">
      <alignment readingOrder="0"/>
    </xf>
    <xf borderId="6" fillId="0" fontId="11" numFmtId="0" xfId="0" applyAlignment="1" applyBorder="1" applyFont="1">
      <alignment readingOrder="0"/>
    </xf>
    <xf borderId="0" fillId="6" fontId="11" numFmtId="0" xfId="0" applyAlignment="1" applyFont="1">
      <alignment readingOrder="0"/>
    </xf>
    <xf borderId="7" fillId="0" fontId="11" numFmtId="0" xfId="0" applyAlignment="1" applyBorder="1" applyFont="1">
      <alignment horizontal="center" readingOrder="0"/>
    </xf>
    <xf borderId="6" fillId="6" fontId="22" numFmtId="0" xfId="0" applyAlignment="1" applyBorder="1" applyFont="1">
      <alignment readingOrder="0"/>
    </xf>
    <xf borderId="0" fillId="6" fontId="1" numFmtId="0" xfId="0" applyFont="1"/>
    <xf borderId="6" fillId="0" fontId="4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6" fillId="0" fontId="11" numFmtId="0" xfId="0" applyAlignment="1" applyBorder="1" applyFont="1">
      <alignment horizontal="left" vertical="bottom"/>
    </xf>
    <xf borderId="7" fillId="0" fontId="11" numFmtId="0" xfId="0" applyAlignment="1" applyBorder="1" applyFont="1">
      <alignment horizontal="center" vertical="bottom"/>
    </xf>
    <xf borderId="8" fillId="0" fontId="11" numFmtId="0" xfId="0" applyAlignment="1" applyBorder="1" applyFont="1">
      <alignment horizontal="left"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horizontal="right" vertical="bottom"/>
    </xf>
    <xf borderId="6" fillId="6" fontId="3" numFmtId="0" xfId="0" applyAlignment="1" applyBorder="1" applyFont="1">
      <alignment readingOrder="0"/>
    </xf>
    <xf borderId="0" fillId="6" fontId="11" numFmtId="0" xfId="0" applyFont="1"/>
    <xf borderId="6" fillId="5" fontId="11" numFmtId="0" xfId="0" applyAlignment="1" applyBorder="1" applyFont="1">
      <alignment readingOrder="0" vertical="bottom"/>
    </xf>
    <xf borderId="7" fillId="0" fontId="2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6" fontId="1" numFmtId="0" xfId="0" applyAlignment="1" applyBorder="1" applyFont="1">
      <alignment readingOrder="0" vertical="bottom"/>
    </xf>
    <xf borderId="6" fillId="0" fontId="22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left" vertical="bottom"/>
    </xf>
    <xf borderId="6" fillId="0" fontId="24" numFmtId="0" xfId="0" applyAlignment="1" applyBorder="1" applyFont="1">
      <alignment readingOrder="0"/>
    </xf>
    <xf borderId="0" fillId="0" fontId="9" numFmtId="0" xfId="0" applyAlignment="1" applyFont="1">
      <alignment horizontal="center"/>
    </xf>
    <xf borderId="6" fillId="0" fontId="9" numFmtId="0" xfId="0" applyAlignment="1" applyBorder="1" applyFont="1">
      <alignment horizontal="center"/>
    </xf>
    <xf borderId="2" fillId="0" fontId="25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left" vertical="bottom"/>
    </xf>
    <xf borderId="7" fillId="3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6" fillId="0" fontId="26" numFmtId="0" xfId="0" applyAlignment="1" applyBorder="1" applyFont="1">
      <alignment horizontal="center" readingOrder="0"/>
    </xf>
    <xf borderId="8" fillId="0" fontId="1" numFmtId="0" xfId="0" applyAlignment="1" applyBorder="1" applyFont="1">
      <alignment vertical="bottom"/>
    </xf>
    <xf borderId="6" fillId="0" fontId="27" numFmtId="0" xfId="0" applyAlignment="1" applyBorder="1" applyFont="1">
      <alignment horizontal="center" vertical="bottom"/>
    </xf>
    <xf borderId="6" fillId="0" fontId="28" numFmtId="0" xfId="0" applyAlignment="1" applyBorder="1" applyFont="1">
      <alignment readingOrder="0"/>
    </xf>
    <xf borderId="0" fillId="6" fontId="11" numFmtId="0" xfId="0" applyAlignment="1" applyFont="1">
      <alignment horizontal="center" readingOrder="0"/>
    </xf>
    <xf borderId="6" fillId="0" fontId="11" numFmtId="0" xfId="0" applyAlignment="1" applyBorder="1" applyFont="1">
      <alignment horizontal="right"/>
    </xf>
    <xf borderId="6" fillId="3" fontId="11" numFmtId="0" xfId="0" applyAlignment="1" applyBorder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0" fontId="29" numFmtId="0" xfId="0" applyFont="1"/>
    <xf borderId="6" fillId="0" fontId="29" numFmtId="0" xfId="0" applyBorder="1" applyFont="1"/>
    <xf borderId="8" fillId="6" fontId="1" numFmtId="0" xfId="0" applyAlignment="1" applyBorder="1" applyFont="1">
      <alignment horizontal="center" readingOrder="0"/>
    </xf>
    <xf borderId="0" fillId="0" fontId="30" numFmtId="0" xfId="0" applyAlignment="1" applyFont="1">
      <alignment readingOrder="0"/>
    </xf>
    <xf borderId="0" fillId="0" fontId="1" numFmtId="0" xfId="0" applyAlignment="1" applyFont="1">
      <alignment horizontal="right"/>
    </xf>
    <xf borderId="6" fillId="0" fontId="31" numFmtId="0" xfId="0" applyBorder="1" applyFont="1"/>
    <xf borderId="0" fillId="0" fontId="1" numFmtId="0" xfId="0" applyAlignment="1" applyFont="1">
      <alignment horizontal="right" vertical="bottom"/>
    </xf>
    <xf borderId="6" fillId="0" fontId="1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vertical="bottom"/>
    </xf>
    <xf borderId="0" fillId="0" fontId="32" numFmtId="0" xfId="0" applyAlignment="1" applyFont="1">
      <alignment readingOrder="0"/>
    </xf>
    <xf borderId="6" fillId="0" fontId="32" numFmtId="0" xfId="0" applyAlignment="1" applyBorder="1" applyFont="1">
      <alignment horizontal="left" readingOrder="0"/>
    </xf>
    <xf borderId="6" fillId="2" fontId="1" numFmtId="0" xfId="0" applyBorder="1" applyFont="1"/>
    <xf borderId="0" fillId="6" fontId="32" numFmtId="0" xfId="0" applyAlignment="1" applyFont="1">
      <alignment readingOrder="0"/>
    </xf>
    <xf borderId="6" fillId="3" fontId="1" numFmtId="0" xfId="0" applyAlignment="1" applyBorder="1" applyFont="1">
      <alignment readingOrder="0" vertical="bottom"/>
    </xf>
    <xf borderId="6" fillId="6" fontId="1" numFmtId="0" xfId="0" applyBorder="1" applyFont="1"/>
    <xf borderId="6" fillId="0" fontId="1" numFmtId="0" xfId="0" applyAlignment="1" applyBorder="1" applyFont="1">
      <alignment readingOrder="0" shrinkToFit="0" wrapText="0"/>
    </xf>
    <xf borderId="6" fillId="3" fontId="1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2" fillId="0" fontId="17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6" fillId="0" fontId="34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6" fillId="0" fontId="35" numFmtId="0" xfId="0" applyAlignment="1" applyBorder="1" applyFont="1">
      <alignment horizontal="left" vertical="bottom"/>
    </xf>
    <xf borderId="0" fillId="6" fontId="1" numFmtId="0" xfId="0" applyAlignment="1" applyFont="1">
      <alignment horizontal="left" readingOrder="0" vertical="bottom"/>
    </xf>
    <xf borderId="0" fillId="0" fontId="8" numFmtId="0" xfId="0" applyAlignment="1" applyFont="1">
      <alignment readingOrder="0"/>
    </xf>
    <xf borderId="0" fillId="0" fontId="36" numFmtId="0" xfId="0" applyAlignment="1" applyFont="1">
      <alignment readingOrder="0"/>
    </xf>
    <xf borderId="7" fillId="0" fontId="9" numFmtId="0" xfId="0" applyAlignment="1" applyBorder="1" applyFont="1">
      <alignment horizontal="center" readingOrder="0"/>
    </xf>
    <xf borderId="7" fillId="3" fontId="1" numFmtId="0" xfId="0" applyAlignment="1" applyBorder="1" applyFont="1">
      <alignment vertical="bottom"/>
    </xf>
    <xf borderId="6" fillId="3" fontId="1" numFmtId="164" xfId="0" applyAlignment="1" applyBorder="1" applyFont="1" applyNumberFormat="1">
      <alignment horizontal="center" readingOrder="0"/>
    </xf>
    <xf borderId="7" fillId="3" fontId="1" numFmtId="0" xfId="0" applyAlignment="1" applyBorder="1" applyFont="1">
      <alignment readingOrder="0" vertical="bottom"/>
    </xf>
    <xf borderId="0" fillId="0" fontId="37" numFmtId="0" xfId="0" applyAlignment="1" applyFont="1">
      <alignment readingOrder="0"/>
    </xf>
    <xf borderId="6" fillId="2" fontId="1" numFmtId="0" xfId="0" applyAlignment="1" applyBorder="1" applyFont="1">
      <alignment horizontal="center"/>
    </xf>
    <xf borderId="0" fillId="2" fontId="1" numFmtId="0" xfId="0" applyFont="1"/>
    <xf borderId="7" fillId="0" fontId="36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2" fontId="36" numFmtId="0" xfId="0" applyAlignment="1" applyFont="1">
      <alignment readingOrder="0"/>
    </xf>
    <xf borderId="6" fillId="0" fontId="36" numFmtId="0" xfId="0" applyAlignment="1" applyBorder="1" applyFont="1">
      <alignment horizontal="center" readingOrder="0"/>
    </xf>
    <xf borderId="7" fillId="2" fontId="36" numFmtId="0" xfId="0" applyAlignment="1" applyBorder="1" applyFont="1">
      <alignment readingOrder="0" vertical="bottom"/>
    </xf>
    <xf borderId="6" fillId="0" fontId="38" numFmtId="0" xfId="0" applyAlignment="1" applyBorder="1" applyFont="1">
      <alignment readingOrder="0"/>
    </xf>
    <xf borderId="7" fillId="0" fontId="9" numFmtId="0" xfId="0" applyBorder="1" applyFont="1"/>
    <xf borderId="0" fillId="0" fontId="39" numFmtId="0" xfId="0" applyAlignment="1" applyFont="1">
      <alignment vertical="bottom"/>
    </xf>
    <xf borderId="6" fillId="3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0" fillId="0" fontId="17" numFmtId="0" xfId="0" applyFont="1"/>
    <xf borderId="7" fillId="3" fontId="11" numFmtId="0" xfId="0" applyAlignment="1" applyBorder="1" applyFont="1">
      <alignment readingOrder="0" vertical="bottom"/>
    </xf>
    <xf borderId="6" fillId="3" fontId="2" numFmtId="0" xfId="0" applyAlignment="1" applyBorder="1" applyFont="1">
      <alignment horizontal="center" readingOrder="0"/>
    </xf>
    <xf borderId="6" fillId="0" fontId="40" numFmtId="0" xfId="0" applyAlignment="1" applyBorder="1" applyFont="1">
      <alignment readingOrder="0"/>
    </xf>
    <xf borderId="7" fillId="3" fontId="25" numFmtId="0" xfId="0" applyAlignment="1" applyBorder="1" applyFont="1">
      <alignment horizontal="center" vertical="bottom"/>
    </xf>
    <xf borderId="0" fillId="3" fontId="1" numFmtId="0" xfId="0" applyFont="1"/>
    <xf borderId="6" fillId="3" fontId="17" numFmtId="0" xfId="0" applyAlignment="1" applyBorder="1" applyFont="1">
      <alignment readingOrder="0"/>
    </xf>
    <xf borderId="6" fillId="3" fontId="1" numFmtId="0" xfId="0" applyBorder="1" applyFont="1"/>
    <xf borderId="0" fillId="0" fontId="41" numFmtId="0" xfId="0" applyAlignment="1" applyFont="1">
      <alignment readingOrder="0"/>
    </xf>
    <xf borderId="6" fillId="0" fontId="42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17" numFmtId="0" xfId="0" applyAlignment="1" applyBorder="1" applyFont="1">
      <alignment horizontal="center" readingOrder="0"/>
    </xf>
    <xf borderId="7" fillId="3" fontId="36" numFmtId="0" xfId="0" applyAlignment="1" applyBorder="1" applyFont="1">
      <alignment vertical="bottom"/>
    </xf>
    <xf borderId="7" fillId="3" fontId="43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left" vertical="bottom"/>
    </xf>
    <xf borderId="7" fillId="3" fontId="36" numFmtId="0" xfId="0" applyAlignment="1" applyBorder="1" applyFont="1">
      <alignment horizontal="right" vertical="bottom"/>
    </xf>
    <xf borderId="6" fillId="3" fontId="17" numFmtId="0" xfId="0" applyAlignment="1" applyBorder="1" applyFont="1">
      <alignment horizontal="center" readingOrder="0"/>
    </xf>
    <xf borderId="8" fillId="7" fontId="17" numFmtId="0" xfId="0" applyAlignment="1" applyBorder="1" applyFill="1" applyFont="1">
      <alignment readingOrder="0"/>
    </xf>
    <xf borderId="7" fillId="0" fontId="36" numFmtId="0" xfId="0" applyAlignment="1" applyBorder="1" applyFont="1">
      <alignment horizontal="right" vertical="bottom"/>
    </xf>
    <xf borderId="8" fillId="7" fontId="1" numFmtId="0" xfId="0" applyAlignment="1" applyBorder="1" applyFont="1">
      <alignment readingOrder="0"/>
    </xf>
    <xf borderId="6" fillId="3" fontId="1" numFmtId="0" xfId="0" applyAlignment="1" applyBorder="1" applyFont="1">
      <alignment horizontal="left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left" vertical="bottom"/>
    </xf>
    <xf borderId="7" fillId="0" fontId="17" numFmtId="0" xfId="0" applyAlignment="1" applyBorder="1" applyFont="1">
      <alignment horizontal="right" readingOrder="0" vertical="bottom"/>
    </xf>
    <xf borderId="0" fillId="0" fontId="44" numFmtId="0" xfId="0" applyAlignment="1" applyFont="1">
      <alignment readingOrder="0"/>
    </xf>
    <xf borderId="7" fillId="3" fontId="17" numFmtId="0" xfId="0" applyAlignment="1" applyBorder="1" applyFont="1">
      <alignment horizontal="right" readingOrder="0" vertical="bottom"/>
    </xf>
    <xf borderId="6" fillId="3" fontId="45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readingOrder="0" vertical="bottom"/>
    </xf>
    <xf borderId="7" fillId="0" fontId="9" numFmtId="0" xfId="0" applyAlignment="1" applyBorder="1" applyFont="1">
      <alignment readingOrder="0"/>
    </xf>
    <xf borderId="0" fillId="3" fontId="17" numFmtId="0" xfId="0" applyAlignment="1" applyFont="1">
      <alignment readingOrder="0"/>
    </xf>
    <xf borderId="7" fillId="0" fontId="1" numFmtId="0" xfId="0" applyAlignment="1" applyBorder="1" applyFont="1">
      <alignment vertical="bottom"/>
    </xf>
    <xf borderId="0" fillId="3" fontId="46" numFmtId="0" xfId="0" applyAlignment="1" applyFont="1">
      <alignment readingOrder="0"/>
    </xf>
    <xf borderId="6" fillId="0" fontId="1" numFmtId="0" xfId="0" applyAlignment="1" applyBorder="1" applyFont="1">
      <alignment vertical="bottom"/>
    </xf>
    <xf borderId="7" fillId="3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a Lundgren" id="{9ca36152-4be7-4507-af62-537db54c6dc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2" dT="2022-10-07T08:03:08.00" personId="{9ca36152-4be7-4507-af62-537db54c6dc3}" id="{3a145223-123b-48d3-8bf1-ecbb412ce116}" done="0">
    <x18tc:text xml:space="preserve">out of this sum FIMM ST bill 10600,01e did not arrive yet</x18tc:text>
  </x18tc:threadedComment>
  <x18tc:threadedComment ref="D4" dT="2022-02-02T11:50:43.00" personId="{9ca36152-4be7-4507-af62-537db54c6dc3}" id="{ab85d8c6-2548-4c16-a071-09f7c82ca0ab}" done="0">
    <x18tc:text xml:space="preserve">WES, iCAN share</x18tc:text>
  </x18tc:threadedComment>
  <x18tc:threadedComment ref="A1" dT="2022-10-10T11:15:43.00" personId="{9ca36152-4be7-4507-af62-537db54c6dc3}" id="{fdd759d6-6536-491e-afa9-26403c850017}" done="0">
    <x18tc:text xml:space="preserve">asked, if possible</x18tc:text>
  </x18tc:threadedComment>
  <x18tc:threadedComment ref="C11" dT="2022-09-05T09:21:15.00" personId="{9ca36152-4be7-4507-af62-537db54c6dc3}" id="{6c820eae-f9e2-4525-9d8c-9adb2be7b20f}" done="0">
    <x18tc:text xml:space="preserve">Drug dispenser not yet paid!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1" dT="2022-10-10T10:52:50.00" personId="{9ca36152-4be7-4507-af62-537db54c6dc3}" id="{e0e8d3bb-e464-40cb-866d-748e3641396b}" done="0">
    <x18tc:text xml:space="preserve">asked, if possible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lleckchem.com/products/MK-1775.html" TargetMode="External"/><Relationship Id="rId2" Type="http://schemas.openxmlformats.org/officeDocument/2006/relationships/hyperlink" Target="https://www.apexbt.com/ve-822.htm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iagen.com/fi/products/qiaamp-fast-dna-tissue-kit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llsignal.com/products/primary-antibodies/il-2ra-cd25-e9w2j-xp-rabbit-mab/39475?site-search-type=Products&amp;N=4294956287&amp;Ntt=cd25&amp;fromPage=plp" TargetMode="External"/><Relationship Id="rId2" Type="http://schemas.openxmlformats.org/officeDocument/2006/relationships/hyperlink" Target="https://www.abcam.com/cd28-antibody-epr22076-ab243228.html" TargetMode="External"/><Relationship Id="rId3" Type="http://schemas.openxmlformats.org/officeDocument/2006/relationships/hyperlink" Target="https://www.biolegend.com/de-de/products/pe-anti-human-cd314-nkg2d-antibody-3016" TargetMode="External"/><Relationship Id="rId4" Type="http://schemas.openxmlformats.org/officeDocument/2006/relationships/hyperlink" Target="https://www.scbt.com/p/cd137-antibody-bbk-2?requestFrom=search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sheets.scbt.com/sc-58947.pdf" TargetMode="External"/><Relationship Id="rId11" Type="http://schemas.openxmlformats.org/officeDocument/2006/relationships/hyperlink" Target="https://www.verkkokauppa.com/fi/product/650302/LINQ-3-in-1-USB-C-Multiport-Hub-adapteri-tahtiharmaa" TargetMode="External"/><Relationship Id="rId10" Type="http://schemas.openxmlformats.org/officeDocument/2006/relationships/hyperlink" Target="http://verkkokauppa.com/" TargetMode="External"/><Relationship Id="rId21" Type="http://schemas.openxmlformats.org/officeDocument/2006/relationships/drawing" Target="../drawings/drawing7.xml"/><Relationship Id="rId13" Type="http://schemas.openxmlformats.org/officeDocument/2006/relationships/hyperlink" Target="http://verkkokauppa.com/" TargetMode="External"/><Relationship Id="rId12" Type="http://schemas.openxmlformats.org/officeDocument/2006/relationships/hyperlink" Target="https://www.verkkokauppa.com/fi/product/641041/Samsung-T7-ulkoinen-SSD-levy-2-Tt-sininen" TargetMode="External"/><Relationship Id="rId1" Type="http://schemas.openxmlformats.org/officeDocument/2006/relationships/hyperlink" Target="https://www.abcam.com/alexa-fluor-555-cytokeratin-7-antibody-epr17078-ab209601.html" TargetMode="External"/><Relationship Id="rId2" Type="http://schemas.openxmlformats.org/officeDocument/2006/relationships/hyperlink" Target="https://www.cellsignal.com/products/primary-antibodies/phospho-p53-ser15-16g8-mouse-mab/9286" TargetMode="External"/><Relationship Id="rId3" Type="http://schemas.openxmlformats.org/officeDocument/2006/relationships/hyperlink" Target="https://www.verkkokauppa.com/fi/product/709679/Fuj-tech-HDMI-2-1-8K-Certified-Ultra-High-Speed-kaapeli-1-m" TargetMode="External"/><Relationship Id="rId4" Type="http://schemas.openxmlformats.org/officeDocument/2006/relationships/hyperlink" Target="http://verkkokauppa.com/" TargetMode="External"/><Relationship Id="rId9" Type="http://schemas.openxmlformats.org/officeDocument/2006/relationships/hyperlink" Target="https://www.verkkokauppa.com/fi/product/650302/LINQ-3-in-1-USB-C-Multiport-Hub-adapteri-tahtiharmaa" TargetMode="External"/><Relationship Id="rId15" Type="http://schemas.openxmlformats.org/officeDocument/2006/relationships/hyperlink" Target="https://www.abcam.com/c-myc-antibody-y69-chip-grade-ab32072.html" TargetMode="External"/><Relationship Id="rId14" Type="http://schemas.openxmlformats.org/officeDocument/2006/relationships/hyperlink" Target="https://www.verkkokauppa.com/fi/product/641041/Samsung-T7-ulkoinen-SSD-levy-2-Tt-sininen" TargetMode="External"/><Relationship Id="rId17" Type="http://schemas.openxmlformats.org/officeDocument/2006/relationships/hyperlink" Target="https://www.abcam.com/sodium-potassium-atpase-antibody-ep1845y-rat-igg2a-ab283345.html" TargetMode="External"/><Relationship Id="rId16" Type="http://schemas.openxmlformats.org/officeDocument/2006/relationships/hyperlink" Target="https://www.fishersci.at/shop/products/pbs-phosphate-buffered-saline-10x-solution-fisher-bioreagents/10649743" TargetMode="External"/><Relationship Id="rId5" Type="http://schemas.openxmlformats.org/officeDocument/2006/relationships/hyperlink" Target="https://www.verkkokauppa.com/fi/product/709679/Fuj-tech-HDMI-2-1-8K-Certified-Ultra-High-Speed-kaapeli-1-m" TargetMode="External"/><Relationship Id="rId19" Type="http://schemas.openxmlformats.org/officeDocument/2006/relationships/hyperlink" Target="https://www.rndsystems.com/products/human-neutrophil-elastase-ela2-alexa-fluor-647-conjugated-antibody-950317_ic91671r" TargetMode="External"/><Relationship Id="rId6" Type="http://schemas.openxmlformats.org/officeDocument/2006/relationships/hyperlink" Target="https://www.verkkokauppa.com/fi/product/348755/Logitech-M330-Silent-Plus-hiiri-musta" TargetMode="External"/><Relationship Id="rId18" Type="http://schemas.openxmlformats.org/officeDocument/2006/relationships/hyperlink" Target="https://www.abcam.com/alexa-fluor-647-cd28-antibody-epr22076-ab288330.html" TargetMode="External"/><Relationship Id="rId7" Type="http://schemas.openxmlformats.org/officeDocument/2006/relationships/hyperlink" Target="http://verkkokauppa.com/" TargetMode="External"/><Relationship Id="rId8" Type="http://schemas.openxmlformats.org/officeDocument/2006/relationships/hyperlink" Target="https://www.verkkokauppa.com/fi/product/348755/Logitech-M330-Silent-Plus-hiiri-must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erkkokauppa.com/fi/product/418715/Beurer-TL30-kirkasvalolamppu" TargetMode="External"/><Relationship Id="rId2" Type="http://schemas.openxmlformats.org/officeDocument/2006/relationships/hyperlink" Target="http://verkkokauppa.com/" TargetMode="External"/><Relationship Id="rId3" Type="http://schemas.openxmlformats.org/officeDocument/2006/relationships/hyperlink" Target="https://www.thermofisher.com/order/catalog/product/Q32850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shersci.fi/shop/products/hydrogen-peroxide-30-w-v-100-volumes-extra-pure-slr-2/10687022" TargetMode="External"/><Relationship Id="rId2" Type="http://schemas.openxmlformats.org/officeDocument/2006/relationships/hyperlink" Target="https://www.fishersci.fi/shop/products/ept-i-p-s-384-reloads-eppendorf-quality/16222381" TargetMode="External"/><Relationship Id="rId3" Type="http://schemas.openxmlformats.org/officeDocument/2006/relationships/hyperlink" Target="https://www.dustin.fi/product/5011229426/2in1-kannettava-tietokoneteline-musta-matkapuhelintelineella" TargetMode="External"/><Relationship Id="rId4" Type="http://schemas.openxmlformats.org/officeDocument/2006/relationships/hyperlink" Target="https://www.abcam.com/sodium-potassium-atpase-antibody-ep1845y-rat-igg2a-ab283345.html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abcam.com/alexa-fluor-488-cd163-antibody-epr14643-36-c-terminal-ab218293.html" TargetMode="External"/><Relationship Id="rId6" Type="http://schemas.openxmlformats.org/officeDocument/2006/relationships/hyperlink" Target="https://www.abcam.com/alexa-fluor-555-cytokeratin-7-antibody-epr17078-ab209601.html" TargetMode="External"/><Relationship Id="rId7" Type="http://schemas.openxmlformats.org/officeDocument/2006/relationships/hyperlink" Target="https://www.verkkokauppa.com/fi/product/641041/Samsung-T7-ulkoinen-SSD-levy-2-Tt-sininen" TargetMode="External"/><Relationship Id="rId8" Type="http://schemas.openxmlformats.org/officeDocument/2006/relationships/hyperlink" Target="http://verkkokauppa.com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nordicbiosite.com/product/740379/LEGENDplextm-Vbottom-Plate-for-LEGENDplextm-Assay" TargetMode="External"/><Relationship Id="rId10" Type="http://schemas.openxmlformats.org/officeDocument/2006/relationships/hyperlink" Target="https://www.biolegend.com/en-us/search-results/legendplex-human-cd8-nk-panel-13-plex-with-v-bottom-plate-21512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www.fishersci.fi/shop/products/liquid-filled-total-immersion-thermometer-1/11597273?searchHijack=true&amp;searchTerm=11597273&amp;searchType=RAPID&amp;matchedCatNo=11597273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cellsignal.com/products/antibody-conjugates/e-cadherin-24e10-rabbit-mab-alexa-fluor-488-conjugate/3199" TargetMode="External"/><Relationship Id="rId9" Type="http://schemas.openxmlformats.org/officeDocument/2006/relationships/hyperlink" Target="https://www.abcam.com/alexa-fluor-488-cd86-antibody-epr21962-ab290990.html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www.abcam.com/alexa-fluor-555-cd3d-antibody-ep4426-ab208514.html" TargetMode="External"/><Relationship Id="rId6" Type="http://schemas.openxmlformats.org/officeDocument/2006/relationships/hyperlink" Target="https://www.abcam.com/alexa-fluor-647-pd1-antibody-epr48772-ab201825.html" TargetMode="External"/><Relationship Id="rId7" Type="http://schemas.openxmlformats.org/officeDocument/2006/relationships/hyperlink" Target="https://www.citeab.com/antibodies/4641417-ab206616-anti-cd11b-antibody-epr1344-alexa-fluor" TargetMode="External"/><Relationship Id="rId8" Type="http://schemas.openxmlformats.org/officeDocument/2006/relationships/hyperlink" Target="https://www.abcam.com/sodium-potassium-atpase-antibody-ep1845y-rat-igg2a-ab283345.html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://verkkokauppa.com/" TargetMode="External"/><Relationship Id="rId22" Type="http://schemas.openxmlformats.org/officeDocument/2006/relationships/hyperlink" Target="https://www.verkkokauppa.com/fi/product/641041/Samsung-T7-ulkoinen-SSD-levy-2-Tt-sininen" TargetMode="External"/><Relationship Id="rId21" Type="http://schemas.openxmlformats.org/officeDocument/2006/relationships/hyperlink" Target="https://www.verkkokauppa.com/fi/product/519326/Kingston-Nucleum-USB-Type-C-telakointiasema" TargetMode="External"/><Relationship Id="rId24" Type="http://schemas.openxmlformats.org/officeDocument/2006/relationships/hyperlink" Target="http://verkkokauppa.com/" TargetMode="External"/><Relationship Id="rId23" Type="http://schemas.openxmlformats.org/officeDocument/2006/relationships/hyperlink" Target="http://verkkokauppa.com/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verkkokauppa.com/fi/product/264058/DELTACO-3-osainen-jatkojohto-3-m" TargetMode="External"/><Relationship Id="rId3" Type="http://schemas.openxmlformats.org/officeDocument/2006/relationships/hyperlink" Target="http://verkkokauppa.com/" TargetMode="External"/><Relationship Id="rId4" Type="http://schemas.openxmlformats.org/officeDocument/2006/relationships/hyperlink" Target="http://verkkokauppa.com/" TargetMode="External"/><Relationship Id="rId9" Type="http://schemas.openxmlformats.org/officeDocument/2006/relationships/hyperlink" Target="https://www.verkkokauppa.com/fi/product/194915/Logitech-M280-hiiri-musta" TargetMode="External"/><Relationship Id="rId26" Type="http://schemas.openxmlformats.org/officeDocument/2006/relationships/hyperlink" Target="https://www.thermofisher.com/order/catalog/product/L23101" TargetMode="External"/><Relationship Id="rId25" Type="http://schemas.openxmlformats.org/officeDocument/2006/relationships/hyperlink" Target="https://www.verkkokauppa.com/fi/product/641041/Samsung-T7-ulkoinen-SSD-levy-2-Tt-sininen" TargetMode="External"/><Relationship Id="rId28" Type="http://schemas.openxmlformats.org/officeDocument/2006/relationships/drawing" Target="../drawings/drawing12.xml"/><Relationship Id="rId27" Type="http://schemas.openxmlformats.org/officeDocument/2006/relationships/hyperlink" Target="https://www.fishersci.com/shop/products/falcon-round-bottom-polystyrene-tubes-13/149591A" TargetMode="External"/><Relationship Id="rId5" Type="http://schemas.openxmlformats.org/officeDocument/2006/relationships/hyperlink" Target="https://www.verkkokauppa.com/fi/product/264058/DELTACO-3-osainen-jatkojohto-3-m" TargetMode="External"/><Relationship Id="rId6" Type="http://schemas.openxmlformats.org/officeDocument/2006/relationships/hyperlink" Target="https://www.verkkokauppa.com/fi/product/194915/Logitech-M280-hiiri-musta" TargetMode="External"/><Relationship Id="rId29" Type="http://schemas.openxmlformats.org/officeDocument/2006/relationships/vmlDrawing" Target="../drawings/vmlDrawing3.vml"/><Relationship Id="rId7" Type="http://schemas.openxmlformats.org/officeDocument/2006/relationships/hyperlink" Target="http://verkkokauppa.com/" TargetMode="External"/><Relationship Id="rId8" Type="http://schemas.openxmlformats.org/officeDocument/2006/relationships/hyperlink" Target="http://verkkokauppa.com/" TargetMode="External"/><Relationship Id="rId11" Type="http://schemas.openxmlformats.org/officeDocument/2006/relationships/hyperlink" Target="http://verkkokauppa.com/" TargetMode="External"/><Relationship Id="rId10" Type="http://schemas.openxmlformats.org/officeDocument/2006/relationships/hyperlink" Target="https://www.verkkokauppa.com/fi/product/93930/Logitech-M705-hiiri" TargetMode="External"/><Relationship Id="rId13" Type="http://schemas.openxmlformats.org/officeDocument/2006/relationships/hyperlink" Target="https://www.verkkokauppa.com/fi/product/93930/Logitech-M705-hiiri" TargetMode="External"/><Relationship Id="rId12" Type="http://schemas.openxmlformats.org/officeDocument/2006/relationships/hyperlink" Target="http://verkkokauppa.com/" TargetMode="External"/><Relationship Id="rId15" Type="http://schemas.openxmlformats.org/officeDocument/2006/relationships/hyperlink" Target="http://verkkokauppa.com/" TargetMode="External"/><Relationship Id="rId14" Type="http://schemas.openxmlformats.org/officeDocument/2006/relationships/hyperlink" Target="https://www.verkkokauppa.com/fi/product/395285/Lenovo-65-W-Standard-AC-Adapter-USB-Type-C-virtalahde" TargetMode="External"/><Relationship Id="rId17" Type="http://schemas.openxmlformats.org/officeDocument/2006/relationships/hyperlink" Target="https://www.verkkokauppa.com/fi/product/395285/Lenovo-65-W-Standard-AC-Adapter-USB-Type-C-virtalahde" TargetMode="External"/><Relationship Id="rId16" Type="http://schemas.openxmlformats.org/officeDocument/2006/relationships/hyperlink" Target="http://verkkokauppa.com/" TargetMode="External"/><Relationship Id="rId19" Type="http://schemas.openxmlformats.org/officeDocument/2006/relationships/hyperlink" Target="http://verkkokauppa.com/" TargetMode="External"/><Relationship Id="rId18" Type="http://schemas.openxmlformats.org/officeDocument/2006/relationships/hyperlink" Target="https://www.verkkokauppa.com/fi/product/519326/Kingston-Nucleum-USB-Type-C-telakointiasema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dbiosciences.com/en-fi/products/instruments/flow-cytometers/research-cell-analyzers/facscanto-ii/sheath-fluid.342003" TargetMode="External"/><Relationship Id="rId2" Type="http://schemas.openxmlformats.org/officeDocument/2006/relationships/hyperlink" Target="https://www.bdbiosciences.com/en-fi/products/reagents/flow-cytometry-reagents/research-reagents/single-color-antibodies-ruo/bv421-mouse-anti-human-cd45.563880" TargetMode="External"/><Relationship Id="rId3" Type="http://schemas.openxmlformats.org/officeDocument/2006/relationships/hyperlink" Target="https://www.bdbiosciences.com/en-us/products/reagents/flow-cytometry-reagents/research-reagents/buffers-and-supporting-reagents-ruo/brilliant-stain-buffer.563794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8.0"/>
    <col customWidth="1" min="4" max="4" width="15.88"/>
    <col customWidth="1" min="5" max="5" width="15.75"/>
    <col customWidth="1" min="6" max="6" width="16.75"/>
    <col customWidth="1" min="7" max="7" width="21.5"/>
    <col customWidth="1" min="9" max="9" width="29.88"/>
  </cols>
  <sheetData>
    <row r="1">
      <c r="A1" s="1"/>
      <c r="B1" s="1"/>
      <c r="C1" s="1"/>
      <c r="D1" s="1"/>
      <c r="E1" s="1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"/>
      <c r="B2" s="4" t="s">
        <v>0</v>
      </c>
      <c r="C2" s="5" t="s">
        <v>1</v>
      </c>
      <c r="D2" s="1"/>
      <c r="E2" s="1"/>
      <c r="F2" s="2"/>
      <c r="G2" s="2"/>
      <c r="H2" s="4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6" t="s">
        <v>3</v>
      </c>
      <c r="B3" s="6" t="s">
        <v>4</v>
      </c>
      <c r="C3" s="6" t="s">
        <v>5</v>
      </c>
      <c r="D3" s="7" t="s">
        <v>6</v>
      </c>
      <c r="E3" s="7" t="s">
        <v>7</v>
      </c>
      <c r="F3" s="8" t="s">
        <v>8</v>
      </c>
      <c r="G3" s="9" t="s">
        <v>9</v>
      </c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1" t="s">
        <v>10</v>
      </c>
      <c r="B4" s="10">
        <v>8766.1996</v>
      </c>
      <c r="C4" s="10">
        <v>314.4</v>
      </c>
      <c r="D4" s="11">
        <v>11708.83</v>
      </c>
      <c r="E4" s="12"/>
      <c r="F4" s="2"/>
      <c r="G4" s="2"/>
      <c r="H4" s="13">
        <f t="shared" ref="H4:H5" si="1">SUM(B4:D4)</f>
        <v>20789.4296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1" t="s">
        <v>11</v>
      </c>
      <c r="B5" s="10">
        <v>3680.77</v>
      </c>
      <c r="C5" s="10">
        <v>14.16</v>
      </c>
      <c r="D5" s="1"/>
      <c r="E5" s="1"/>
      <c r="F5" s="2"/>
      <c r="G5" s="2"/>
      <c r="H5" s="13">
        <f t="shared" si="1"/>
        <v>3694.93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" t="s">
        <v>12</v>
      </c>
      <c r="B6" s="13"/>
      <c r="C6" s="10">
        <v>1011.22</v>
      </c>
      <c r="D6" s="14">
        <v>220.78</v>
      </c>
      <c r="E6" s="14">
        <v>140.6</v>
      </c>
      <c r="F6" s="2"/>
      <c r="G6" s="2"/>
      <c r="H6" s="13">
        <f>SUM(B6:E6)</f>
        <v>1372.6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" t="s">
        <v>13</v>
      </c>
      <c r="B7" s="13"/>
      <c r="C7" s="10">
        <v>1827.25</v>
      </c>
      <c r="D7" s="14">
        <v>2130.0</v>
      </c>
      <c r="E7" s="1"/>
      <c r="F7" s="2"/>
      <c r="G7" s="2"/>
      <c r="H7" s="13">
        <f t="shared" ref="H7:H9" si="2">SUM(B7:D7)</f>
        <v>3957.25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" t="s">
        <v>14</v>
      </c>
      <c r="B8" s="13"/>
      <c r="C8" s="10">
        <v>712.9</v>
      </c>
      <c r="D8" s="13"/>
      <c r="E8" s="13"/>
      <c r="F8" s="2"/>
      <c r="G8" s="2"/>
      <c r="H8" s="13">
        <f t="shared" si="2"/>
        <v>712.9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1" t="s">
        <v>15</v>
      </c>
      <c r="B9" s="13"/>
      <c r="C9" s="10">
        <v>7516.47</v>
      </c>
      <c r="D9" s="1"/>
      <c r="E9" s="1"/>
      <c r="F9" s="2"/>
      <c r="G9" s="2"/>
      <c r="H9" s="13">
        <f t="shared" si="2"/>
        <v>7516.47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1" t="s">
        <v>16</v>
      </c>
      <c r="B10" s="1"/>
      <c r="C10" s="10">
        <v>1462.37</v>
      </c>
      <c r="D10" s="1"/>
      <c r="E10" s="14">
        <v>115.0</v>
      </c>
      <c r="F10" s="2"/>
      <c r="G10" s="2"/>
      <c r="H10" s="13">
        <f t="shared" ref="H10:H11" si="3">SUM(B10:E10)</f>
        <v>1577.37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1" t="s">
        <v>17</v>
      </c>
      <c r="B11" s="13"/>
      <c r="C11" s="10">
        <v>4478.71</v>
      </c>
      <c r="D11" s="10">
        <v>4138.35</v>
      </c>
      <c r="E11" s="10">
        <v>700.5</v>
      </c>
      <c r="F11" s="2"/>
      <c r="G11" s="2"/>
      <c r="H11" s="13">
        <f t="shared" si="3"/>
        <v>9317.56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" t="s">
        <v>18</v>
      </c>
      <c r="B12" s="13"/>
      <c r="C12" s="14">
        <v>10936.16</v>
      </c>
      <c r="D12" s="14">
        <v>852.0</v>
      </c>
      <c r="E12" s="14">
        <v>3604.99</v>
      </c>
      <c r="F12" s="11">
        <v>277.54</v>
      </c>
      <c r="G12" s="2"/>
      <c r="H12" s="13">
        <f>SUM(B12:F12)</f>
        <v>15670.69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1" t="s">
        <v>19</v>
      </c>
      <c r="B13" s="13"/>
      <c r="C13" s="10">
        <v>6015.95</v>
      </c>
      <c r="D13" s="14">
        <v>1889.4</v>
      </c>
      <c r="E13" s="14">
        <v>371.1</v>
      </c>
      <c r="F13" s="11">
        <v>379.57</v>
      </c>
      <c r="H13" s="13">
        <f t="shared" ref="H13:H15" si="4">SUM(B13:D13)</f>
        <v>7905.35</v>
      </c>
      <c r="I13" s="11" t="s">
        <v>20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1" t="s">
        <v>21</v>
      </c>
      <c r="B14" s="13"/>
      <c r="C14" s="10">
        <v>26141.75</v>
      </c>
      <c r="D14" s="10">
        <v>2796.06</v>
      </c>
      <c r="E14" s="13"/>
      <c r="F14" s="11">
        <v>672.92</v>
      </c>
      <c r="G14" s="11">
        <v>2119.5</v>
      </c>
      <c r="H14" s="13">
        <f t="shared" si="4"/>
        <v>28937.81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" t="s">
        <v>22</v>
      </c>
      <c r="B15" s="13"/>
      <c r="C15" s="13"/>
      <c r="D15" s="14">
        <v>992.46</v>
      </c>
      <c r="E15" s="1"/>
      <c r="F15" s="11">
        <v>75.0</v>
      </c>
      <c r="G15" s="11">
        <v>501.6</v>
      </c>
      <c r="H15" s="13">
        <f t="shared" si="4"/>
        <v>992.46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6" t="s">
        <v>2</v>
      </c>
      <c r="B16" s="15"/>
      <c r="C16" s="15"/>
      <c r="D16" s="15"/>
      <c r="E16" s="15"/>
      <c r="F16" s="2"/>
      <c r="G16" s="2"/>
      <c r="H16" s="15">
        <f>SUM(H4:H15)</f>
        <v>102444.8196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5" max="5" width="18.5"/>
    <col customWidth="1" min="6" max="6" width="20.13"/>
    <col customWidth="1" min="7" max="7" width="18.88"/>
    <col customWidth="1" min="8" max="8" width="13.88"/>
    <col customWidth="1" min="9" max="9" width="14.25"/>
    <col customWidth="1" min="13" max="13" width="30.5"/>
    <col customWidth="1" min="14" max="14" width="26.63"/>
    <col customWidth="1" min="15" max="15" width="44.25"/>
  </cols>
  <sheetData>
    <row r="1" ht="39.0" customHeight="1">
      <c r="A1" s="16" t="s">
        <v>23</v>
      </c>
      <c r="B1" s="17" t="s">
        <v>24</v>
      </c>
      <c r="C1" s="17" t="s">
        <v>25</v>
      </c>
      <c r="D1" s="18" t="s">
        <v>26</v>
      </c>
      <c r="E1" s="18" t="s">
        <v>27</v>
      </c>
      <c r="F1" s="18" t="s">
        <v>28</v>
      </c>
      <c r="G1" s="17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8886.43</v>
      </c>
      <c r="R1" s="23"/>
      <c r="S1" s="23"/>
      <c r="T1" s="23"/>
    </row>
    <row r="2">
      <c r="A2" s="24" t="s">
        <v>38</v>
      </c>
      <c r="B2" s="25">
        <v>324233.0</v>
      </c>
      <c r="C2" s="26" t="s">
        <v>39</v>
      </c>
      <c r="D2" s="27">
        <v>1.0</v>
      </c>
      <c r="E2" s="28" t="s">
        <v>40</v>
      </c>
      <c r="F2" s="29" t="s">
        <v>41</v>
      </c>
      <c r="G2" s="30">
        <v>126.0</v>
      </c>
      <c r="H2" s="3">
        <f t="shared" ref="H2:H27" si="1">G2*D2</f>
        <v>126</v>
      </c>
      <c r="I2" s="31" t="s">
        <v>42</v>
      </c>
      <c r="J2" s="27" t="s">
        <v>43</v>
      </c>
      <c r="K2" s="32" t="s">
        <v>44</v>
      </c>
      <c r="L2" s="33" t="s">
        <v>43</v>
      </c>
      <c r="M2" s="34" t="s">
        <v>4</v>
      </c>
      <c r="N2" s="12" t="s">
        <v>45</v>
      </c>
      <c r="O2" s="35" t="s">
        <v>46</v>
      </c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37" t="s">
        <v>47</v>
      </c>
      <c r="B3" s="38" t="s">
        <v>48</v>
      </c>
      <c r="C3" s="39" t="s">
        <v>49</v>
      </c>
      <c r="D3" s="27">
        <v>1.0</v>
      </c>
      <c r="E3" s="40" t="s">
        <v>50</v>
      </c>
      <c r="F3" s="40" t="s">
        <v>50</v>
      </c>
      <c r="G3" s="41">
        <v>184.5</v>
      </c>
      <c r="H3" s="3">
        <f t="shared" si="1"/>
        <v>184.5</v>
      </c>
      <c r="I3" s="31" t="s">
        <v>42</v>
      </c>
      <c r="J3" s="27" t="s">
        <v>43</v>
      </c>
      <c r="K3" s="32" t="s">
        <v>51</v>
      </c>
      <c r="L3" s="27" t="s">
        <v>43</v>
      </c>
      <c r="M3" s="34" t="s">
        <v>4</v>
      </c>
      <c r="N3" s="42" t="s">
        <v>52</v>
      </c>
      <c r="O3" s="43" t="s">
        <v>53</v>
      </c>
      <c r="Q3" s="44"/>
    </row>
    <row r="4">
      <c r="A4" s="45" t="s">
        <v>54</v>
      </c>
      <c r="B4" s="38" t="s">
        <v>55</v>
      </c>
      <c r="C4" s="46" t="s">
        <v>56</v>
      </c>
      <c r="D4" s="27">
        <v>1.0</v>
      </c>
      <c r="E4" s="47" t="s">
        <v>50</v>
      </c>
      <c r="F4" s="47" t="s">
        <v>50</v>
      </c>
      <c r="G4" s="41">
        <v>144.5</v>
      </c>
      <c r="H4" s="3">
        <f t="shared" si="1"/>
        <v>144.5</v>
      </c>
      <c r="I4" s="31" t="s">
        <v>42</v>
      </c>
      <c r="J4" s="27" t="s">
        <v>43</v>
      </c>
      <c r="K4" s="32" t="s">
        <v>51</v>
      </c>
      <c r="L4" s="27" t="s">
        <v>43</v>
      </c>
      <c r="M4" s="34" t="s">
        <v>4</v>
      </c>
      <c r="N4" s="44"/>
      <c r="O4" s="43" t="s">
        <v>53</v>
      </c>
      <c r="Q4" s="44"/>
    </row>
    <row r="5">
      <c r="A5" s="45" t="s">
        <v>57</v>
      </c>
      <c r="B5" s="38" t="s">
        <v>58</v>
      </c>
      <c r="C5" s="46" t="s">
        <v>59</v>
      </c>
      <c r="D5" s="27">
        <v>1.0</v>
      </c>
      <c r="E5" s="47" t="s">
        <v>50</v>
      </c>
      <c r="F5" s="47" t="s">
        <v>50</v>
      </c>
      <c r="G5" s="41">
        <v>157.25</v>
      </c>
      <c r="H5" s="3">
        <f t="shared" si="1"/>
        <v>157.25</v>
      </c>
      <c r="I5" s="31" t="s">
        <v>42</v>
      </c>
      <c r="J5" s="27" t="s">
        <v>43</v>
      </c>
      <c r="K5" s="32" t="s">
        <v>51</v>
      </c>
      <c r="L5" s="27" t="s">
        <v>43</v>
      </c>
      <c r="M5" s="34" t="s">
        <v>4</v>
      </c>
      <c r="N5" s="48"/>
      <c r="O5" s="43" t="s">
        <v>53</v>
      </c>
      <c r="Q5" s="44"/>
    </row>
    <row r="6">
      <c r="A6" s="12" t="s">
        <v>60</v>
      </c>
      <c r="B6" s="36"/>
      <c r="C6" s="3"/>
      <c r="D6" s="31">
        <v>1.0</v>
      </c>
      <c r="E6" s="27" t="s">
        <v>61</v>
      </c>
      <c r="F6" s="49" t="s">
        <v>61</v>
      </c>
      <c r="G6" s="31">
        <v>81.0</v>
      </c>
      <c r="H6" s="3">
        <f t="shared" si="1"/>
        <v>81</v>
      </c>
      <c r="I6" s="31" t="s">
        <v>42</v>
      </c>
      <c r="J6" s="27" t="s">
        <v>43</v>
      </c>
      <c r="K6" s="31" t="s">
        <v>42</v>
      </c>
      <c r="L6" s="27" t="s">
        <v>43</v>
      </c>
      <c r="M6" s="50" t="s">
        <v>62</v>
      </c>
      <c r="N6" s="3"/>
      <c r="O6" s="36"/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63</v>
      </c>
      <c r="B7" s="36"/>
      <c r="C7" s="3"/>
      <c r="D7" s="31">
        <v>1.0</v>
      </c>
      <c r="E7" s="27" t="s">
        <v>64</v>
      </c>
      <c r="F7" s="49" t="s">
        <v>64</v>
      </c>
      <c r="G7" s="31">
        <v>1080.85</v>
      </c>
      <c r="H7" s="3">
        <f t="shared" si="1"/>
        <v>1080.85</v>
      </c>
      <c r="I7" s="31" t="s">
        <v>51</v>
      </c>
      <c r="J7" s="27" t="s">
        <v>43</v>
      </c>
      <c r="K7" s="31" t="s">
        <v>51</v>
      </c>
      <c r="L7" s="27" t="s">
        <v>43</v>
      </c>
      <c r="M7" s="34" t="s">
        <v>4</v>
      </c>
      <c r="N7" s="3"/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65</v>
      </c>
      <c r="B8" s="51">
        <v>1.3210132E7</v>
      </c>
      <c r="C8" s="52" t="s">
        <v>66</v>
      </c>
      <c r="D8" s="53">
        <v>4.0</v>
      </c>
      <c r="E8" s="54" t="s">
        <v>67</v>
      </c>
      <c r="F8" s="55" t="s">
        <v>67</v>
      </c>
      <c r="G8" s="41">
        <v>16.42</v>
      </c>
      <c r="H8" s="56">
        <f t="shared" si="1"/>
        <v>65.68</v>
      </c>
      <c r="I8" s="57" t="s">
        <v>51</v>
      </c>
      <c r="J8" s="27" t="s">
        <v>43</v>
      </c>
      <c r="K8" s="32" t="s">
        <v>68</v>
      </c>
      <c r="L8" s="27" t="s">
        <v>43</v>
      </c>
      <c r="M8" s="58" t="s">
        <v>69</v>
      </c>
      <c r="N8" s="3"/>
      <c r="O8" s="36"/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59" t="s">
        <v>70</v>
      </c>
      <c r="B9" s="38" t="s">
        <v>71</v>
      </c>
      <c r="C9" s="46" t="s">
        <v>72</v>
      </c>
      <c r="D9" s="60">
        <v>2.0</v>
      </c>
      <c r="E9" s="61" t="s">
        <v>73</v>
      </c>
      <c r="F9" s="62" t="s">
        <v>74</v>
      </c>
      <c r="G9" s="41">
        <v>99.0</v>
      </c>
      <c r="H9" s="63">
        <f t="shared" si="1"/>
        <v>198</v>
      </c>
      <c r="I9" s="64" t="s">
        <v>75</v>
      </c>
      <c r="J9" s="27" t="s">
        <v>43</v>
      </c>
      <c r="K9" s="32" t="s">
        <v>76</v>
      </c>
      <c r="L9" s="27" t="s">
        <v>43</v>
      </c>
      <c r="M9" s="34" t="s">
        <v>4</v>
      </c>
      <c r="N9" s="12" t="s">
        <v>77</v>
      </c>
      <c r="O9" s="44"/>
      <c r="Q9" s="44"/>
    </row>
    <row r="10">
      <c r="A10" s="12" t="s">
        <v>78</v>
      </c>
      <c r="B10" s="36"/>
      <c r="C10" s="3"/>
      <c r="D10" s="31">
        <v>1.0</v>
      </c>
      <c r="E10" s="27" t="s">
        <v>79</v>
      </c>
      <c r="F10" s="49" t="s">
        <v>79</v>
      </c>
      <c r="G10" s="31">
        <v>5854.41</v>
      </c>
      <c r="H10" s="3">
        <f t="shared" si="1"/>
        <v>5854.41</v>
      </c>
      <c r="I10" s="32" t="s">
        <v>80</v>
      </c>
      <c r="J10" s="27" t="s">
        <v>43</v>
      </c>
      <c r="K10" s="32" t="s">
        <v>80</v>
      </c>
      <c r="L10" s="27" t="s">
        <v>43</v>
      </c>
      <c r="M10" s="34" t="s">
        <v>4</v>
      </c>
      <c r="N10" s="3"/>
      <c r="O10" s="58" t="s">
        <v>81</v>
      </c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A11" s="35" t="s">
        <v>82</v>
      </c>
      <c r="B11" s="65" t="s">
        <v>83</v>
      </c>
      <c r="C11" s="39" t="s">
        <v>84</v>
      </c>
      <c r="D11" s="27">
        <v>2.0</v>
      </c>
      <c r="E11" s="40" t="s">
        <v>85</v>
      </c>
      <c r="F11" s="54" t="s">
        <v>86</v>
      </c>
      <c r="G11" s="66">
        <v>83.6</v>
      </c>
      <c r="H11" s="3">
        <f t="shared" si="1"/>
        <v>167.2</v>
      </c>
      <c r="I11" s="32" t="s">
        <v>76</v>
      </c>
      <c r="J11" s="27" t="s">
        <v>43</v>
      </c>
      <c r="K11" s="67" t="s">
        <v>87</v>
      </c>
      <c r="L11" s="27" t="s">
        <v>43</v>
      </c>
      <c r="M11" s="50" t="s">
        <v>62</v>
      </c>
      <c r="N11" s="3"/>
      <c r="O11" s="36"/>
      <c r="P11" s="3"/>
      <c r="Q11" s="36"/>
      <c r="R11" s="3"/>
      <c r="S11" s="3"/>
      <c r="T11" s="3"/>
      <c r="U11" s="3"/>
      <c r="V11" s="3"/>
      <c r="W11" s="3"/>
      <c r="X11" s="3"/>
      <c r="Y11" s="3"/>
      <c r="Z11" s="3"/>
    </row>
    <row r="12">
      <c r="A12" s="68" t="s">
        <v>88</v>
      </c>
      <c r="B12" s="65">
        <v>790012.0</v>
      </c>
      <c r="C12" s="39" t="s">
        <v>84</v>
      </c>
      <c r="D12" s="60">
        <v>2.0</v>
      </c>
      <c r="E12" s="40" t="s">
        <v>85</v>
      </c>
      <c r="F12" s="40" t="s">
        <v>86</v>
      </c>
      <c r="G12" s="69">
        <v>37.57</v>
      </c>
      <c r="H12" s="70">
        <f t="shared" si="1"/>
        <v>75.14</v>
      </c>
      <c r="I12" s="32" t="s">
        <v>76</v>
      </c>
      <c r="J12" s="27" t="s">
        <v>43</v>
      </c>
      <c r="K12" s="32" t="s">
        <v>89</v>
      </c>
      <c r="L12" s="27" t="s">
        <v>43</v>
      </c>
      <c r="M12" s="34" t="s">
        <v>4</v>
      </c>
      <c r="O12" s="44"/>
      <c r="Q12" s="44"/>
    </row>
    <row r="13">
      <c r="A13" s="68" t="s">
        <v>90</v>
      </c>
      <c r="B13" s="71" t="s">
        <v>91</v>
      </c>
      <c r="C13" s="39" t="s">
        <v>84</v>
      </c>
      <c r="D13" s="60">
        <v>1.0</v>
      </c>
      <c r="E13" s="40" t="s">
        <v>85</v>
      </c>
      <c r="F13" s="40" t="s">
        <v>86</v>
      </c>
      <c r="G13" s="61">
        <v>70.5</v>
      </c>
      <c r="H13" s="70">
        <f t="shared" si="1"/>
        <v>70.5</v>
      </c>
      <c r="I13" s="32" t="s">
        <v>76</v>
      </c>
      <c r="J13" s="27" t="s">
        <v>43</v>
      </c>
      <c r="K13" s="32" t="s">
        <v>92</v>
      </c>
      <c r="L13" s="33" t="s">
        <v>43</v>
      </c>
      <c r="M13" s="34" t="s">
        <v>4</v>
      </c>
      <c r="O13" s="44"/>
      <c r="Q13" s="44"/>
    </row>
    <row r="14">
      <c r="A14" s="68" t="s">
        <v>93</v>
      </c>
      <c r="B14" s="71">
        <v>790202.0</v>
      </c>
      <c r="C14" s="39" t="s">
        <v>84</v>
      </c>
      <c r="D14" s="27">
        <v>2.0</v>
      </c>
      <c r="E14" s="40" t="s">
        <v>85</v>
      </c>
      <c r="F14" s="40" t="s">
        <v>86</v>
      </c>
      <c r="G14" s="54">
        <v>33.1</v>
      </c>
      <c r="H14" s="3">
        <f t="shared" si="1"/>
        <v>66.2</v>
      </c>
      <c r="I14" s="32" t="s">
        <v>76</v>
      </c>
      <c r="J14" s="27" t="s">
        <v>43</v>
      </c>
      <c r="K14" s="67" t="s">
        <v>94</v>
      </c>
      <c r="L14" s="33" t="s">
        <v>43</v>
      </c>
      <c r="M14" s="50" t="s">
        <v>62</v>
      </c>
      <c r="N14" s="3"/>
      <c r="O14" s="36"/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68" t="s">
        <v>95</v>
      </c>
      <c r="B15" s="71" t="s">
        <v>96</v>
      </c>
      <c r="C15" s="39" t="s">
        <v>84</v>
      </c>
      <c r="D15" s="60">
        <v>2.0</v>
      </c>
      <c r="E15" s="40" t="s">
        <v>85</v>
      </c>
      <c r="F15" s="40" t="s">
        <v>86</v>
      </c>
      <c r="G15" s="54">
        <v>83.6</v>
      </c>
      <c r="H15" s="70">
        <f t="shared" si="1"/>
        <v>167.2</v>
      </c>
      <c r="I15" s="32" t="s">
        <v>76</v>
      </c>
      <c r="J15" s="27" t="s">
        <v>43</v>
      </c>
      <c r="K15" s="67" t="s">
        <v>97</v>
      </c>
      <c r="L15" s="33" t="s">
        <v>43</v>
      </c>
      <c r="M15" s="50" t="s">
        <v>62</v>
      </c>
      <c r="O15" s="44"/>
      <c r="Q15" s="44"/>
    </row>
    <row r="16">
      <c r="A16" s="72" t="s">
        <v>98</v>
      </c>
      <c r="B16" s="71" t="s">
        <v>99</v>
      </c>
      <c r="C16" s="39" t="s">
        <v>84</v>
      </c>
      <c r="D16" s="60">
        <v>2.0</v>
      </c>
      <c r="E16" s="40" t="s">
        <v>85</v>
      </c>
      <c r="F16" s="40" t="s">
        <v>86</v>
      </c>
      <c r="G16" s="54">
        <v>70.5</v>
      </c>
      <c r="H16" s="70">
        <f t="shared" si="1"/>
        <v>141</v>
      </c>
      <c r="I16" s="32" t="s">
        <v>76</v>
      </c>
      <c r="J16" s="27" t="s">
        <v>43</v>
      </c>
      <c r="K16" s="32" t="s">
        <v>92</v>
      </c>
      <c r="L16" s="33" t="s">
        <v>43</v>
      </c>
      <c r="M16" s="34" t="s">
        <v>4</v>
      </c>
      <c r="O16" s="44"/>
      <c r="Q16" s="44"/>
    </row>
    <row r="17">
      <c r="A17" s="73" t="s">
        <v>100</v>
      </c>
      <c r="B17" s="74" t="s">
        <v>101</v>
      </c>
      <c r="C17" s="27" t="s">
        <v>102</v>
      </c>
      <c r="D17" s="31">
        <v>1.0</v>
      </c>
      <c r="E17" s="27" t="s">
        <v>103</v>
      </c>
      <c r="F17" s="49" t="s">
        <v>103</v>
      </c>
      <c r="G17" s="31">
        <v>167.0</v>
      </c>
      <c r="H17" s="3">
        <f t="shared" si="1"/>
        <v>167</v>
      </c>
      <c r="I17" s="31" t="s">
        <v>104</v>
      </c>
      <c r="J17" s="27" t="s">
        <v>43</v>
      </c>
      <c r="K17" s="67" t="s">
        <v>105</v>
      </c>
      <c r="L17" s="75" t="s">
        <v>43</v>
      </c>
      <c r="M17" s="34" t="s">
        <v>4</v>
      </c>
      <c r="N17" s="12" t="s">
        <v>106</v>
      </c>
      <c r="O17" s="76" t="s">
        <v>107</v>
      </c>
      <c r="P17" s="3"/>
      <c r="Q17" s="36"/>
      <c r="R17" s="77" t="s">
        <v>108</v>
      </c>
      <c r="S17" s="3"/>
      <c r="T17" s="3"/>
      <c r="U17" s="3"/>
      <c r="V17" s="3"/>
      <c r="W17" s="3"/>
      <c r="X17" s="3"/>
      <c r="Y17" s="3"/>
      <c r="Z17" s="3"/>
    </row>
    <row r="18">
      <c r="A18" s="78" t="s">
        <v>109</v>
      </c>
      <c r="B18" s="79" t="s">
        <v>110</v>
      </c>
      <c r="C18" s="80" t="s">
        <v>111</v>
      </c>
      <c r="D18" s="80">
        <v>1.0</v>
      </c>
      <c r="E18" s="81" t="s">
        <v>112</v>
      </c>
      <c r="F18" s="80" t="s">
        <v>41</v>
      </c>
      <c r="G18" s="80">
        <v>140.0</v>
      </c>
      <c r="H18" s="82">
        <f t="shared" si="1"/>
        <v>140</v>
      </c>
      <c r="I18" s="80" t="s">
        <v>104</v>
      </c>
      <c r="J18" s="81" t="s">
        <v>43</v>
      </c>
      <c r="K18" s="83" t="s">
        <v>113</v>
      </c>
      <c r="L18" s="84"/>
      <c r="M18" s="85" t="s">
        <v>4</v>
      </c>
      <c r="N18" s="82"/>
      <c r="O18" s="86" t="s">
        <v>114</v>
      </c>
      <c r="P18" s="82"/>
      <c r="Q18" s="87"/>
      <c r="R18" s="78" t="s">
        <v>115</v>
      </c>
      <c r="S18" s="88" t="s">
        <v>46</v>
      </c>
      <c r="T18" s="82"/>
      <c r="U18" s="82"/>
      <c r="V18" s="82"/>
      <c r="W18" s="82"/>
      <c r="X18" s="82"/>
      <c r="Y18" s="82"/>
      <c r="Z18" s="82"/>
    </row>
    <row r="19">
      <c r="B19" s="44"/>
      <c r="D19" s="44"/>
      <c r="F19" s="44"/>
      <c r="G19" s="44"/>
      <c r="H19" s="70">
        <f t="shared" si="1"/>
        <v>0</v>
      </c>
      <c r="I19" s="44"/>
      <c r="K19" s="44"/>
      <c r="M19" s="44"/>
      <c r="O19" s="44"/>
      <c r="Q19" s="44"/>
    </row>
    <row r="20">
      <c r="B20" s="44"/>
      <c r="D20" s="44"/>
      <c r="F20" s="44"/>
      <c r="G20" s="44"/>
      <c r="H20" s="70">
        <f t="shared" si="1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H21" s="70">
        <f t="shared" si="1"/>
        <v>0</v>
      </c>
      <c r="I21" s="44"/>
      <c r="K21" s="44"/>
      <c r="M21" s="44"/>
      <c r="O21" s="44"/>
      <c r="Q21" s="44"/>
    </row>
    <row r="22">
      <c r="B22" s="44"/>
      <c r="D22" s="44"/>
      <c r="F22" s="44"/>
      <c r="G22" s="44"/>
      <c r="H22" s="70">
        <f t="shared" si="1"/>
        <v>0</v>
      </c>
      <c r="I22" s="44"/>
      <c r="K22" s="44"/>
      <c r="M22" s="44"/>
      <c r="O22" s="44"/>
      <c r="Q22" s="44"/>
    </row>
    <row r="23">
      <c r="B23" s="44"/>
      <c r="D23" s="44"/>
      <c r="F23" s="44"/>
      <c r="G23" s="44"/>
      <c r="H23" s="70">
        <f t="shared" si="1"/>
        <v>0</v>
      </c>
      <c r="I23" s="44"/>
      <c r="K23" s="44"/>
      <c r="M23" s="44"/>
      <c r="O23" s="44"/>
      <c r="Q23" s="44"/>
    </row>
    <row r="24">
      <c r="B24" s="44"/>
      <c r="D24" s="44"/>
      <c r="F24" s="44"/>
      <c r="G24" s="44"/>
      <c r="H24" s="70">
        <f t="shared" si="1"/>
        <v>0</v>
      </c>
      <c r="I24" s="44"/>
      <c r="K24" s="44"/>
      <c r="M24" s="44"/>
      <c r="O24" s="44"/>
      <c r="Q24" s="44"/>
    </row>
    <row r="25">
      <c r="B25" s="44"/>
      <c r="D25" s="44"/>
      <c r="F25" s="44"/>
      <c r="G25" s="44"/>
      <c r="H25" s="70">
        <f t="shared" si="1"/>
        <v>0</v>
      </c>
      <c r="I25" s="44"/>
      <c r="K25" s="44"/>
      <c r="M25" s="44"/>
      <c r="O25" s="44"/>
      <c r="Q25" s="44"/>
    </row>
    <row r="26">
      <c r="B26" s="44"/>
      <c r="D26" s="44"/>
      <c r="F26" s="44"/>
      <c r="G26" s="44"/>
      <c r="H26" s="70">
        <f t="shared" si="1"/>
        <v>0</v>
      </c>
      <c r="I26" s="44"/>
      <c r="K26" s="44"/>
      <c r="M26" s="44"/>
      <c r="O26" s="44"/>
      <c r="Q26" s="44"/>
    </row>
    <row r="27">
      <c r="B27" s="44"/>
      <c r="D27" s="44"/>
      <c r="F27" s="44"/>
      <c r="G27" s="44"/>
      <c r="H27" s="70">
        <f t="shared" si="1"/>
        <v>0</v>
      </c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hyperlinks>
    <hyperlink r:id="rId1" ref="O17"/>
    <hyperlink r:id="rId2" ref="O1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4" max="4" width="15.38"/>
    <col customWidth="1" min="5" max="5" width="18.5"/>
    <col customWidth="1" min="7" max="7" width="12.13"/>
    <col customWidth="1" min="8" max="8" width="15.88"/>
    <col customWidth="1" min="13" max="13" width="46.63"/>
    <col customWidth="1" min="15" max="15" width="57.38"/>
  </cols>
  <sheetData>
    <row r="1" ht="39.0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6326.23</v>
      </c>
      <c r="R1" s="23"/>
      <c r="S1" s="23"/>
      <c r="T1" s="23"/>
    </row>
    <row r="2">
      <c r="A2" s="24" t="s">
        <v>116</v>
      </c>
      <c r="B2" s="28">
        <v>1.4175053E7</v>
      </c>
      <c r="C2" s="89" t="s">
        <v>117</v>
      </c>
      <c r="D2" s="90">
        <v>10.0</v>
      </c>
      <c r="E2" s="35" t="s">
        <v>118</v>
      </c>
      <c r="F2" s="91" t="s">
        <v>119</v>
      </c>
      <c r="G2" s="92">
        <v>14.77</v>
      </c>
      <c r="H2" s="3">
        <f t="shared" ref="H2:H26" si="1">G2*D2</f>
        <v>147.7</v>
      </c>
      <c r="I2" s="31" t="s">
        <v>120</v>
      </c>
      <c r="J2" s="27" t="s">
        <v>43</v>
      </c>
      <c r="K2" s="67" t="s">
        <v>121</v>
      </c>
      <c r="L2" s="27" t="s">
        <v>43</v>
      </c>
      <c r="M2" s="34" t="s">
        <v>4</v>
      </c>
      <c r="N2" s="12" t="s">
        <v>122</v>
      </c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123</v>
      </c>
      <c r="B3" s="93"/>
      <c r="C3" s="3"/>
      <c r="D3" s="31">
        <v>1.0</v>
      </c>
      <c r="E3" s="3"/>
      <c r="F3" s="36"/>
      <c r="G3" s="58">
        <v>582.77</v>
      </c>
      <c r="H3" s="3">
        <f t="shared" si="1"/>
        <v>582.77</v>
      </c>
      <c r="I3" s="31" t="s">
        <v>124</v>
      </c>
      <c r="J3" s="27" t="s">
        <v>43</v>
      </c>
      <c r="K3" s="31" t="s">
        <v>124</v>
      </c>
      <c r="L3" s="27" t="s">
        <v>43</v>
      </c>
      <c r="M3" s="34" t="s">
        <v>4</v>
      </c>
      <c r="N3" s="3"/>
      <c r="O3" s="58" t="s">
        <v>125</v>
      </c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126</v>
      </c>
      <c r="B4" s="93"/>
      <c r="C4" s="3"/>
      <c r="D4" s="31">
        <v>1.0</v>
      </c>
      <c r="E4" s="3"/>
      <c r="F4" s="36"/>
      <c r="G4" s="58">
        <v>4790.0</v>
      </c>
      <c r="H4" s="3">
        <f t="shared" si="1"/>
        <v>4790</v>
      </c>
      <c r="I4" s="31" t="s">
        <v>124</v>
      </c>
      <c r="J4" s="27" t="s">
        <v>43</v>
      </c>
      <c r="K4" s="31" t="s">
        <v>124</v>
      </c>
      <c r="L4" s="27" t="s">
        <v>43</v>
      </c>
      <c r="M4" s="58" t="s">
        <v>127</v>
      </c>
      <c r="N4" s="3"/>
      <c r="O4" s="58" t="s">
        <v>128</v>
      </c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129</v>
      </c>
      <c r="B5" s="93"/>
      <c r="C5" s="27" t="s">
        <v>130</v>
      </c>
      <c r="D5" s="31">
        <v>1.0</v>
      </c>
      <c r="E5" s="3"/>
      <c r="F5" s="36"/>
      <c r="G5" s="58">
        <v>170.1</v>
      </c>
      <c r="H5" s="3">
        <f t="shared" si="1"/>
        <v>170.1</v>
      </c>
      <c r="I5" s="31" t="s">
        <v>124</v>
      </c>
      <c r="J5" s="27" t="s">
        <v>43</v>
      </c>
      <c r="K5" s="31" t="s">
        <v>124</v>
      </c>
      <c r="L5" s="27" t="s">
        <v>43</v>
      </c>
      <c r="M5" s="34" t="s">
        <v>131</v>
      </c>
      <c r="N5" s="3"/>
      <c r="O5" s="58" t="s">
        <v>128</v>
      </c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132</v>
      </c>
      <c r="B6" s="93"/>
      <c r="C6" s="3"/>
      <c r="D6" s="31">
        <v>1.0</v>
      </c>
      <c r="E6" s="3"/>
      <c r="F6" s="36"/>
      <c r="G6" s="58">
        <v>51.5</v>
      </c>
      <c r="H6" s="3">
        <f t="shared" si="1"/>
        <v>51.5</v>
      </c>
      <c r="I6" s="31" t="s">
        <v>124</v>
      </c>
      <c r="J6" s="27" t="s">
        <v>43</v>
      </c>
      <c r="K6" s="31" t="s">
        <v>124</v>
      </c>
      <c r="L6" s="27" t="s">
        <v>43</v>
      </c>
      <c r="M6" s="34" t="s">
        <v>4</v>
      </c>
      <c r="N6" s="3"/>
      <c r="O6" s="58" t="s">
        <v>128</v>
      </c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45" t="s">
        <v>133</v>
      </c>
      <c r="B7" s="61">
        <v>1.4190094E7</v>
      </c>
      <c r="C7" s="46" t="s">
        <v>134</v>
      </c>
      <c r="D7" s="27">
        <v>1.0</v>
      </c>
      <c r="E7" s="59" t="s">
        <v>135</v>
      </c>
      <c r="F7" s="94" t="s">
        <v>86</v>
      </c>
      <c r="G7" s="95">
        <v>14.16</v>
      </c>
      <c r="H7" s="3">
        <f t="shared" si="1"/>
        <v>14.16</v>
      </c>
      <c r="I7" s="64" t="s">
        <v>136</v>
      </c>
      <c r="J7" s="27" t="s">
        <v>43</v>
      </c>
      <c r="K7" s="96" t="s">
        <v>137</v>
      </c>
      <c r="L7" s="27" t="s">
        <v>43</v>
      </c>
      <c r="M7" s="50" t="s">
        <v>62</v>
      </c>
      <c r="O7" s="44"/>
      <c r="Q7" s="44"/>
    </row>
    <row r="8">
      <c r="A8" s="12" t="s">
        <v>138</v>
      </c>
      <c r="B8" s="31" t="s">
        <v>139</v>
      </c>
      <c r="C8" s="27" t="s">
        <v>111</v>
      </c>
      <c r="D8" s="31">
        <v>1.0</v>
      </c>
      <c r="E8" s="12" t="s">
        <v>103</v>
      </c>
      <c r="F8" s="58" t="s">
        <v>140</v>
      </c>
      <c r="G8" s="58">
        <v>144.0</v>
      </c>
      <c r="H8" s="3">
        <f t="shared" si="1"/>
        <v>144</v>
      </c>
      <c r="I8" s="31" t="s">
        <v>136</v>
      </c>
      <c r="J8" s="27" t="s">
        <v>43</v>
      </c>
      <c r="K8" s="32" t="s">
        <v>141</v>
      </c>
      <c r="L8" s="27" t="s">
        <v>43</v>
      </c>
      <c r="M8" s="34" t="s">
        <v>4</v>
      </c>
      <c r="N8" s="3"/>
      <c r="O8" s="58" t="s">
        <v>142</v>
      </c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143</v>
      </c>
      <c r="B9" s="36"/>
      <c r="C9" s="3"/>
      <c r="D9" s="31">
        <v>1.0</v>
      </c>
      <c r="E9" s="3"/>
      <c r="F9" s="36"/>
      <c r="G9" s="58">
        <v>426.0</v>
      </c>
      <c r="H9" s="3">
        <f t="shared" si="1"/>
        <v>426</v>
      </c>
      <c r="I9" s="31" t="s">
        <v>144</v>
      </c>
      <c r="J9" s="27" t="s">
        <v>43</v>
      </c>
      <c r="K9" s="31" t="s">
        <v>144</v>
      </c>
      <c r="L9" s="27" t="s">
        <v>43</v>
      </c>
      <c r="M9" s="34" t="s">
        <v>4</v>
      </c>
      <c r="N9" s="3"/>
      <c r="O9" s="58" t="s">
        <v>145</v>
      </c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B10" s="44"/>
      <c r="D10" s="44"/>
      <c r="F10" s="44"/>
      <c r="G10" s="44"/>
      <c r="H10" s="3">
        <f t="shared" si="1"/>
        <v>0</v>
      </c>
      <c r="I10" s="44"/>
      <c r="K10" s="44"/>
      <c r="M10" s="44"/>
      <c r="O10" s="44"/>
      <c r="Q10" s="44"/>
    </row>
    <row r="11">
      <c r="B11" s="44"/>
      <c r="D11" s="44"/>
      <c r="F11" s="44"/>
      <c r="G11" s="44"/>
      <c r="H11" s="3">
        <f t="shared" si="1"/>
        <v>0</v>
      </c>
      <c r="I11" s="44"/>
      <c r="K11" s="44"/>
      <c r="M11" s="44"/>
      <c r="O11" s="44"/>
      <c r="Q11" s="44"/>
    </row>
    <row r="12">
      <c r="B12" s="44"/>
      <c r="D12" s="44"/>
      <c r="F12" s="44"/>
      <c r="G12" s="44"/>
      <c r="H12" s="3">
        <f t="shared" si="1"/>
        <v>0</v>
      </c>
      <c r="I12" s="44"/>
      <c r="K12" s="44"/>
      <c r="M12" s="44"/>
      <c r="O12" s="44"/>
      <c r="Q12" s="44"/>
    </row>
    <row r="13">
      <c r="B13" s="44"/>
      <c r="D13" s="44"/>
      <c r="F13" s="44"/>
      <c r="G13" s="44"/>
      <c r="H13" s="3">
        <f t="shared" si="1"/>
        <v>0</v>
      </c>
      <c r="I13" s="44"/>
      <c r="K13" s="44"/>
      <c r="M13" s="44"/>
      <c r="O13" s="44"/>
      <c r="Q13" s="44"/>
    </row>
    <row r="14">
      <c r="B14" s="44"/>
      <c r="D14" s="44"/>
      <c r="F14" s="44"/>
      <c r="G14" s="44"/>
      <c r="H14" s="3">
        <f t="shared" si="1"/>
        <v>0</v>
      </c>
      <c r="I14" s="44"/>
      <c r="K14" s="44"/>
      <c r="M14" s="44"/>
      <c r="O14" s="44"/>
      <c r="Q14" s="44"/>
    </row>
    <row r="15">
      <c r="B15" s="44"/>
      <c r="D15" s="44"/>
      <c r="F15" s="44"/>
      <c r="G15" s="44"/>
      <c r="H15" s="3">
        <f t="shared" si="1"/>
        <v>0</v>
      </c>
      <c r="I15" s="44"/>
      <c r="K15" s="44"/>
      <c r="M15" s="44"/>
      <c r="O15" s="44"/>
      <c r="Q15" s="44"/>
    </row>
    <row r="16">
      <c r="B16" s="44"/>
      <c r="D16" s="44"/>
      <c r="F16" s="44"/>
      <c r="G16" s="44"/>
      <c r="H16" s="3">
        <f t="shared" si="1"/>
        <v>0</v>
      </c>
      <c r="I16" s="44"/>
      <c r="K16" s="44"/>
      <c r="M16" s="44"/>
      <c r="O16" s="44"/>
      <c r="Q16" s="44"/>
    </row>
    <row r="17">
      <c r="B17" s="44"/>
      <c r="D17" s="44"/>
      <c r="F17" s="44"/>
      <c r="G17" s="44"/>
      <c r="H17" s="3">
        <f t="shared" si="1"/>
        <v>0</v>
      </c>
      <c r="I17" s="44"/>
      <c r="K17" s="44"/>
      <c r="M17" s="44"/>
      <c r="O17" s="44"/>
      <c r="Q17" s="44"/>
    </row>
    <row r="18">
      <c r="B18" s="44"/>
      <c r="D18" s="44"/>
      <c r="F18" s="44"/>
      <c r="G18" s="44"/>
      <c r="H18" s="3">
        <f t="shared" si="1"/>
        <v>0</v>
      </c>
      <c r="I18" s="44"/>
      <c r="K18" s="44"/>
      <c r="M18" s="44"/>
      <c r="O18" s="44"/>
      <c r="Q18" s="44"/>
    </row>
    <row r="19">
      <c r="B19" s="44"/>
      <c r="D19" s="44"/>
      <c r="F19" s="44"/>
      <c r="G19" s="44"/>
      <c r="H19" s="3">
        <f t="shared" si="1"/>
        <v>0</v>
      </c>
      <c r="I19" s="44"/>
      <c r="K19" s="44"/>
      <c r="M19" s="44"/>
      <c r="O19" s="44"/>
      <c r="Q19" s="44"/>
    </row>
    <row r="20">
      <c r="B20" s="44"/>
      <c r="D20" s="44"/>
      <c r="F20" s="44"/>
      <c r="G20" s="44"/>
      <c r="H20" s="3">
        <f t="shared" si="1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H21" s="3">
        <f t="shared" si="1"/>
        <v>0</v>
      </c>
      <c r="I21" s="44"/>
      <c r="K21" s="44"/>
      <c r="M21" s="44"/>
      <c r="O21" s="44"/>
      <c r="Q21" s="44"/>
    </row>
    <row r="22">
      <c r="B22" s="44"/>
      <c r="D22" s="44"/>
      <c r="F22" s="44"/>
      <c r="G22" s="44"/>
      <c r="H22" s="3">
        <f t="shared" si="1"/>
        <v>0</v>
      </c>
      <c r="I22" s="44"/>
      <c r="K22" s="44"/>
      <c r="M22" s="44"/>
      <c r="O22" s="44"/>
      <c r="Q22" s="44"/>
    </row>
    <row r="23">
      <c r="B23" s="44"/>
      <c r="D23" s="44"/>
      <c r="F23" s="44"/>
      <c r="G23" s="44"/>
      <c r="H23" s="3">
        <f t="shared" si="1"/>
        <v>0</v>
      </c>
      <c r="I23" s="44"/>
      <c r="K23" s="44"/>
      <c r="M23" s="44"/>
      <c r="O23" s="44"/>
      <c r="Q23" s="44"/>
    </row>
    <row r="24">
      <c r="B24" s="44"/>
      <c r="D24" s="44"/>
      <c r="F24" s="44"/>
      <c r="G24" s="44"/>
      <c r="H24" s="3">
        <f t="shared" si="1"/>
        <v>0</v>
      </c>
      <c r="I24" s="44"/>
      <c r="K24" s="44"/>
      <c r="M24" s="44"/>
      <c r="O24" s="44"/>
      <c r="Q24" s="44"/>
    </row>
    <row r="25">
      <c r="B25" s="44"/>
      <c r="D25" s="44"/>
      <c r="F25" s="44"/>
      <c r="G25" s="44"/>
      <c r="H25" s="3">
        <f t="shared" si="1"/>
        <v>0</v>
      </c>
      <c r="I25" s="44"/>
      <c r="K25" s="44"/>
      <c r="M25" s="44"/>
      <c r="O25" s="44"/>
      <c r="Q25" s="44"/>
    </row>
    <row r="26">
      <c r="B26" s="44"/>
      <c r="D26" s="44"/>
      <c r="F26" s="44"/>
      <c r="G26" s="44"/>
      <c r="H26" s="3">
        <f t="shared" si="1"/>
        <v>0</v>
      </c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8.5"/>
    <col customWidth="1" min="5" max="5" width="18.5"/>
    <col customWidth="1" min="6" max="6" width="17.75"/>
    <col customWidth="1" min="7" max="7" width="12.13"/>
    <col customWidth="1" min="8" max="8" width="20.88"/>
    <col customWidth="1" min="13" max="13" width="43.75"/>
    <col customWidth="1" min="15" max="15" width="33.0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1372.6</v>
      </c>
      <c r="R1" s="23"/>
      <c r="S1" s="23"/>
      <c r="T1" s="23"/>
    </row>
    <row r="2">
      <c r="A2" s="12" t="s">
        <v>146</v>
      </c>
      <c r="B2" s="31" t="s">
        <v>147</v>
      </c>
      <c r="C2" s="27" t="s">
        <v>148</v>
      </c>
      <c r="D2" s="31">
        <v>1.0</v>
      </c>
      <c r="E2" s="12" t="s">
        <v>149</v>
      </c>
      <c r="F2" s="58" t="s">
        <v>150</v>
      </c>
      <c r="G2" s="58">
        <v>278.0</v>
      </c>
      <c r="H2" s="3">
        <f t="shared" ref="H2:H4" si="1">G2*D2</f>
        <v>278</v>
      </c>
      <c r="I2" s="31" t="s">
        <v>151</v>
      </c>
      <c r="J2" s="27" t="s">
        <v>152</v>
      </c>
      <c r="K2" s="31" t="s">
        <v>151</v>
      </c>
      <c r="L2" s="27" t="s">
        <v>152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98" t="s">
        <v>153</v>
      </c>
      <c r="B3" s="54">
        <v>51404.0</v>
      </c>
      <c r="C3" s="62">
        <v>50.0</v>
      </c>
      <c r="D3" s="31">
        <v>1.0</v>
      </c>
      <c r="E3" s="45" t="s">
        <v>154</v>
      </c>
      <c r="F3" s="94" t="s">
        <v>154</v>
      </c>
      <c r="G3" s="99">
        <v>220.78</v>
      </c>
      <c r="H3" s="36">
        <f t="shared" si="1"/>
        <v>220.78</v>
      </c>
      <c r="I3" s="57" t="s">
        <v>87</v>
      </c>
      <c r="J3" s="27" t="s">
        <v>43</v>
      </c>
      <c r="K3" s="67" t="s">
        <v>155</v>
      </c>
      <c r="L3" s="75" t="s">
        <v>43</v>
      </c>
      <c r="M3" s="100" t="s">
        <v>156</v>
      </c>
      <c r="N3" s="3"/>
      <c r="O3" s="36"/>
      <c r="P3" s="3"/>
      <c r="Q3" s="36"/>
      <c r="R3" s="101" t="s">
        <v>157</v>
      </c>
      <c r="S3" s="3"/>
      <c r="T3" s="3"/>
      <c r="U3" s="3"/>
      <c r="V3" s="3"/>
      <c r="W3" s="3"/>
      <c r="X3" s="3"/>
      <c r="Y3" s="3"/>
      <c r="Z3" s="3"/>
    </row>
    <row r="4">
      <c r="A4" s="12" t="s">
        <v>158</v>
      </c>
      <c r="B4" s="31">
        <v>655051.0</v>
      </c>
      <c r="C4" s="3"/>
      <c r="D4" s="31">
        <v>1.0</v>
      </c>
      <c r="E4" s="12" t="s">
        <v>159</v>
      </c>
      <c r="F4" s="58" t="s">
        <v>159</v>
      </c>
      <c r="G4" s="58">
        <v>282.2</v>
      </c>
      <c r="H4" s="3">
        <f t="shared" si="1"/>
        <v>282.2</v>
      </c>
      <c r="I4" s="31" t="s">
        <v>155</v>
      </c>
      <c r="J4" s="27" t="s">
        <v>152</v>
      </c>
      <c r="K4" s="31" t="s">
        <v>155</v>
      </c>
      <c r="L4" s="27" t="s">
        <v>152</v>
      </c>
      <c r="M4" s="50" t="s">
        <v>62</v>
      </c>
      <c r="N4" s="3"/>
      <c r="O4" s="102" t="s">
        <v>160</v>
      </c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03" t="s">
        <v>161</v>
      </c>
      <c r="B5" s="104">
        <v>72.691</v>
      </c>
      <c r="C5" s="105" t="s">
        <v>162</v>
      </c>
      <c r="D5" s="106">
        <v>10.0</v>
      </c>
      <c r="E5" s="107" t="s">
        <v>163</v>
      </c>
      <c r="F5" s="108" t="s">
        <v>163</v>
      </c>
      <c r="G5" s="109">
        <v>4.8</v>
      </c>
      <c r="H5" s="110">
        <f t="shared" ref="H5:H6" si="2">D5*G5</f>
        <v>48</v>
      </c>
      <c r="I5" s="31" t="s">
        <v>164</v>
      </c>
      <c r="J5" s="27" t="s">
        <v>43</v>
      </c>
      <c r="K5" s="67" t="s">
        <v>165</v>
      </c>
      <c r="L5" s="75" t="s">
        <v>43</v>
      </c>
      <c r="M5" s="50" t="s">
        <v>62</v>
      </c>
      <c r="N5" s="3"/>
      <c r="O5" s="111" t="s">
        <v>166</v>
      </c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12" t="s">
        <v>167</v>
      </c>
      <c r="B6" s="38" t="s">
        <v>168</v>
      </c>
      <c r="C6" s="62" t="s">
        <v>162</v>
      </c>
      <c r="D6" s="31">
        <v>10.0</v>
      </c>
      <c r="E6" s="45" t="s">
        <v>163</v>
      </c>
      <c r="F6" s="59" t="s">
        <v>163</v>
      </c>
      <c r="G6" s="38">
        <v>3.7</v>
      </c>
      <c r="H6" s="113">
        <f t="shared" si="2"/>
        <v>37</v>
      </c>
      <c r="I6" s="31" t="s">
        <v>164</v>
      </c>
      <c r="J6" s="27" t="s">
        <v>43</v>
      </c>
      <c r="K6" s="32" t="s">
        <v>169</v>
      </c>
      <c r="L6" s="75" t="s">
        <v>43</v>
      </c>
      <c r="M6" s="50" t="s">
        <v>62</v>
      </c>
      <c r="N6" s="3"/>
      <c r="O6" s="114"/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68" t="s">
        <v>90</v>
      </c>
      <c r="B7" s="71" t="s">
        <v>91</v>
      </c>
      <c r="C7" s="39" t="s">
        <v>84</v>
      </c>
      <c r="D7" s="27">
        <v>2.0</v>
      </c>
      <c r="E7" s="115" t="s">
        <v>85</v>
      </c>
      <c r="F7" s="115" t="s">
        <v>86</v>
      </c>
      <c r="G7" s="116">
        <v>83.6</v>
      </c>
      <c r="H7" s="3">
        <f t="shared" ref="H7:H22" si="3">G7*D7</f>
        <v>167.2</v>
      </c>
      <c r="I7" s="31" t="s">
        <v>170</v>
      </c>
      <c r="J7" s="27" t="s">
        <v>43</v>
      </c>
      <c r="K7" s="67" t="s">
        <v>171</v>
      </c>
      <c r="L7" s="75" t="s">
        <v>43</v>
      </c>
      <c r="M7" s="50" t="s">
        <v>62</v>
      </c>
      <c r="N7" s="3"/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37" t="s">
        <v>172</v>
      </c>
      <c r="B8" s="65">
        <v>1.0190301101E11</v>
      </c>
      <c r="C8" s="27">
        <v>1.0</v>
      </c>
      <c r="D8" s="69">
        <v>4.0</v>
      </c>
      <c r="E8" s="37" t="s">
        <v>173</v>
      </c>
      <c r="F8" s="68" t="s">
        <v>86</v>
      </c>
      <c r="G8" s="117">
        <v>4.95</v>
      </c>
      <c r="H8" s="3">
        <f t="shared" si="3"/>
        <v>19.8</v>
      </c>
      <c r="I8" s="31" t="s">
        <v>170</v>
      </c>
      <c r="J8" s="27" t="s">
        <v>43</v>
      </c>
      <c r="K8" s="67" t="s">
        <v>174</v>
      </c>
      <c r="L8" s="75" t="s">
        <v>43</v>
      </c>
      <c r="M8" s="50" t="s">
        <v>62</v>
      </c>
      <c r="N8" s="3"/>
      <c r="O8" s="36"/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175</v>
      </c>
      <c r="B9" s="36"/>
      <c r="C9" s="27">
        <v>1.0</v>
      </c>
      <c r="D9" s="31">
        <v>1.0</v>
      </c>
      <c r="E9" s="58" t="s">
        <v>176</v>
      </c>
      <c r="F9" s="12" t="s">
        <v>176</v>
      </c>
      <c r="G9" s="58">
        <v>140.6</v>
      </c>
      <c r="H9" s="3">
        <f t="shared" si="3"/>
        <v>140.6</v>
      </c>
      <c r="I9" s="31" t="s">
        <v>177</v>
      </c>
      <c r="J9" s="27" t="s">
        <v>43</v>
      </c>
      <c r="K9" s="31" t="s">
        <v>177</v>
      </c>
      <c r="L9" s="27" t="s">
        <v>43</v>
      </c>
      <c r="M9" s="58" t="s">
        <v>178</v>
      </c>
      <c r="N9" s="3"/>
      <c r="O9" s="58" t="s">
        <v>179</v>
      </c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37" t="s">
        <v>180</v>
      </c>
      <c r="B10" s="65" t="s">
        <v>181</v>
      </c>
      <c r="C10" s="39" t="s">
        <v>84</v>
      </c>
      <c r="D10" s="27">
        <v>1.0</v>
      </c>
      <c r="E10" s="118" t="s">
        <v>85</v>
      </c>
      <c r="F10" s="68" t="s">
        <v>86</v>
      </c>
      <c r="G10" s="63">
        <v>83.6</v>
      </c>
      <c r="H10" s="3">
        <f t="shared" si="3"/>
        <v>83.6</v>
      </c>
      <c r="I10" s="31" t="s">
        <v>182</v>
      </c>
      <c r="J10" s="27" t="s">
        <v>43</v>
      </c>
      <c r="K10" s="67" t="s">
        <v>97</v>
      </c>
      <c r="L10" s="27" t="s">
        <v>43</v>
      </c>
      <c r="M10" s="50" t="s">
        <v>62</v>
      </c>
      <c r="N10" s="3"/>
      <c r="O10" s="36"/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A11" s="37" t="s">
        <v>183</v>
      </c>
      <c r="B11" s="65" t="s">
        <v>184</v>
      </c>
      <c r="C11" s="39">
        <v>36.0</v>
      </c>
      <c r="D11" s="27">
        <v>1.0</v>
      </c>
      <c r="E11" s="59" t="s">
        <v>173</v>
      </c>
      <c r="F11" s="94" t="s">
        <v>86</v>
      </c>
      <c r="G11" s="117">
        <v>95.42</v>
      </c>
      <c r="H11" s="3">
        <f t="shared" si="3"/>
        <v>95.42</v>
      </c>
      <c r="I11" s="31" t="s">
        <v>174</v>
      </c>
      <c r="J11" s="27" t="s">
        <v>43</v>
      </c>
      <c r="K11" s="67" t="s">
        <v>185</v>
      </c>
      <c r="L11" s="75" t="s">
        <v>43</v>
      </c>
      <c r="M11" s="50" t="s">
        <v>62</v>
      </c>
      <c r="N11" s="3"/>
      <c r="O11" s="36"/>
      <c r="P11" s="3"/>
      <c r="Q11" s="36"/>
      <c r="R11" s="3"/>
      <c r="S11" s="3"/>
      <c r="T11" s="3"/>
      <c r="U11" s="3"/>
      <c r="V11" s="3"/>
      <c r="W11" s="3"/>
      <c r="X11" s="3"/>
      <c r="Y11" s="3"/>
      <c r="Z11" s="3"/>
    </row>
    <row r="12">
      <c r="B12" s="44"/>
      <c r="D12" s="44"/>
      <c r="F12" s="44"/>
      <c r="G12" s="44"/>
      <c r="H12" s="3">
        <f t="shared" si="3"/>
        <v>0</v>
      </c>
      <c r="I12" s="44"/>
      <c r="K12" s="44"/>
      <c r="M12" s="44"/>
      <c r="O12" s="44"/>
      <c r="Q12" s="44"/>
    </row>
    <row r="13">
      <c r="B13" s="44"/>
      <c r="D13" s="44"/>
      <c r="F13" s="44"/>
      <c r="G13" s="44"/>
      <c r="H13" s="3">
        <f t="shared" si="3"/>
        <v>0</v>
      </c>
      <c r="I13" s="44"/>
      <c r="K13" s="44"/>
      <c r="M13" s="44"/>
      <c r="O13" s="44"/>
      <c r="Q13" s="44"/>
    </row>
    <row r="14">
      <c r="B14" s="44"/>
      <c r="D14" s="44"/>
      <c r="F14" s="44"/>
      <c r="G14" s="44"/>
      <c r="H14" s="3">
        <f t="shared" si="3"/>
        <v>0</v>
      </c>
      <c r="I14" s="44"/>
      <c r="K14" s="44"/>
      <c r="M14" s="44"/>
      <c r="O14" s="44"/>
      <c r="Q14" s="44"/>
    </row>
    <row r="15">
      <c r="B15" s="44"/>
      <c r="D15" s="44"/>
      <c r="F15" s="44"/>
      <c r="G15" s="44"/>
      <c r="H15" s="3">
        <f t="shared" si="3"/>
        <v>0</v>
      </c>
      <c r="I15" s="44"/>
      <c r="K15" s="44"/>
      <c r="M15" s="44"/>
      <c r="O15" s="44"/>
      <c r="Q15" s="44"/>
    </row>
    <row r="16">
      <c r="B16" s="44"/>
      <c r="D16" s="44"/>
      <c r="F16" s="44"/>
      <c r="G16" s="44"/>
      <c r="H16" s="3">
        <f t="shared" si="3"/>
        <v>0</v>
      </c>
      <c r="I16" s="44"/>
      <c r="K16" s="44"/>
      <c r="M16" s="44"/>
      <c r="O16" s="44"/>
      <c r="Q16" s="44"/>
    </row>
    <row r="17">
      <c r="B17" s="44"/>
      <c r="D17" s="44"/>
      <c r="F17" s="44"/>
      <c r="G17" s="44"/>
      <c r="H17" s="3">
        <f t="shared" si="3"/>
        <v>0</v>
      </c>
      <c r="I17" s="44"/>
      <c r="K17" s="44"/>
      <c r="M17" s="44"/>
      <c r="O17" s="44"/>
      <c r="Q17" s="44"/>
    </row>
    <row r="18">
      <c r="B18" s="44"/>
      <c r="D18" s="44"/>
      <c r="F18" s="44"/>
      <c r="G18" s="44"/>
      <c r="H18" s="3">
        <f t="shared" si="3"/>
        <v>0</v>
      </c>
      <c r="I18" s="44"/>
      <c r="K18" s="44"/>
      <c r="M18" s="44"/>
      <c r="O18" s="44"/>
      <c r="Q18" s="44"/>
    </row>
    <row r="19">
      <c r="B19" s="44"/>
      <c r="D19" s="44"/>
      <c r="F19" s="44"/>
      <c r="G19" s="44"/>
      <c r="H19" s="3">
        <f t="shared" si="3"/>
        <v>0</v>
      </c>
      <c r="I19" s="44"/>
      <c r="K19" s="44"/>
      <c r="M19" s="44"/>
      <c r="O19" s="44"/>
      <c r="Q19" s="44"/>
    </row>
    <row r="20">
      <c r="B20" s="44"/>
      <c r="D20" s="44"/>
      <c r="F20" s="44"/>
      <c r="G20" s="44"/>
      <c r="H20" s="3">
        <f t="shared" si="3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H21" s="3">
        <f t="shared" si="3"/>
        <v>0</v>
      </c>
      <c r="I21" s="44"/>
      <c r="K21" s="44"/>
      <c r="M21" s="44"/>
      <c r="O21" s="44"/>
      <c r="Q21" s="44"/>
    </row>
    <row r="22">
      <c r="B22" s="44"/>
      <c r="D22" s="44"/>
      <c r="F22" s="44"/>
      <c r="G22" s="44"/>
      <c r="H22" s="3">
        <f t="shared" si="3"/>
        <v>0</v>
      </c>
      <c r="I22" s="44"/>
      <c r="K22" s="44"/>
      <c r="M22" s="44"/>
      <c r="O22" s="44"/>
      <c r="Q22" s="44"/>
    </row>
    <row r="23">
      <c r="B23" s="44"/>
      <c r="D23" s="44"/>
      <c r="F23" s="44"/>
      <c r="G23" s="44"/>
      <c r="I23" s="44"/>
      <c r="K23" s="44"/>
      <c r="M23" s="44"/>
      <c r="O23" s="44"/>
      <c r="Q23" s="44"/>
    </row>
    <row r="24">
      <c r="B24" s="44"/>
      <c r="D24" s="44"/>
      <c r="F24" s="44"/>
      <c r="G24" s="44"/>
      <c r="I24" s="44"/>
      <c r="K24" s="44"/>
      <c r="M24" s="44"/>
      <c r="O24" s="44"/>
      <c r="Q24" s="44"/>
    </row>
    <row r="25">
      <c r="B25" s="44"/>
      <c r="D25" s="44"/>
      <c r="F25" s="44"/>
      <c r="G25" s="44"/>
      <c r="I25" s="44"/>
      <c r="K25" s="44"/>
      <c r="M25" s="44"/>
      <c r="O25" s="44"/>
      <c r="Q25" s="44"/>
    </row>
    <row r="26">
      <c r="B26" s="44"/>
      <c r="D26" s="44"/>
      <c r="F26" s="44"/>
      <c r="G26" s="44"/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5" max="5" width="18.5"/>
    <col customWidth="1" min="6" max="6" width="20.13"/>
    <col customWidth="1" min="7" max="7" width="12.13"/>
    <col customWidth="1" min="8" max="8" width="13.88"/>
    <col customWidth="1" min="11" max="11" width="19.75"/>
    <col customWidth="1" min="13" max="13" width="41.75"/>
    <col customWidth="1" min="14" max="14" width="18.88"/>
    <col customWidth="1" min="15" max="15" width="128.5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4383.25</v>
      </c>
      <c r="R1" s="23"/>
      <c r="S1" s="23"/>
      <c r="T1" s="23"/>
    </row>
    <row r="2">
      <c r="A2" s="12" t="s">
        <v>186</v>
      </c>
      <c r="B2" s="36"/>
      <c r="C2" s="3"/>
      <c r="D2" s="31">
        <v>1.0</v>
      </c>
      <c r="E2" s="3"/>
      <c r="F2" s="58" t="s">
        <v>187</v>
      </c>
      <c r="G2" s="58">
        <v>48.89</v>
      </c>
      <c r="H2" s="3">
        <f t="shared" ref="H2:H21" si="1">G2*D2</f>
        <v>48.89</v>
      </c>
      <c r="I2" s="31" t="s">
        <v>188</v>
      </c>
      <c r="J2" s="27" t="s">
        <v>43</v>
      </c>
      <c r="K2" s="31" t="s">
        <v>185</v>
      </c>
      <c r="L2" s="27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19" t="s">
        <v>189</v>
      </c>
      <c r="B3" s="44"/>
      <c r="D3" s="31">
        <v>1.0</v>
      </c>
      <c r="F3" s="120" t="s">
        <v>190</v>
      </c>
      <c r="G3" s="120">
        <v>739.36</v>
      </c>
      <c r="H3" s="3">
        <f t="shared" si="1"/>
        <v>739.36</v>
      </c>
      <c r="I3" s="64" t="s">
        <v>191</v>
      </c>
      <c r="J3" s="60" t="s">
        <v>43</v>
      </c>
      <c r="K3" s="64" t="s">
        <v>191</v>
      </c>
      <c r="L3" s="60" t="s">
        <v>43</v>
      </c>
      <c r="M3" s="50" t="s">
        <v>62</v>
      </c>
      <c r="O3" s="44"/>
      <c r="Q3" s="44"/>
    </row>
    <row r="4">
      <c r="A4" s="119" t="s">
        <v>192</v>
      </c>
      <c r="B4" s="44"/>
      <c r="D4" s="31">
        <v>1.0</v>
      </c>
      <c r="F4" s="44"/>
      <c r="G4" s="120">
        <v>93.0</v>
      </c>
      <c r="H4" s="3">
        <f t="shared" si="1"/>
        <v>93</v>
      </c>
      <c r="I4" s="40" t="s">
        <v>97</v>
      </c>
      <c r="J4" s="54" t="s">
        <v>43</v>
      </c>
      <c r="K4" s="55" t="s">
        <v>97</v>
      </c>
      <c r="L4" s="54" t="s">
        <v>43</v>
      </c>
      <c r="M4" s="121" t="s">
        <v>62</v>
      </c>
      <c r="O4" s="44"/>
      <c r="Q4" s="44"/>
    </row>
    <row r="5">
      <c r="A5" s="12" t="s">
        <v>193</v>
      </c>
      <c r="B5" s="36"/>
      <c r="C5" s="3"/>
      <c r="D5" s="31">
        <v>1.0</v>
      </c>
      <c r="E5" s="3"/>
      <c r="F5" s="58" t="s">
        <v>194</v>
      </c>
      <c r="G5" s="58">
        <v>1704.0</v>
      </c>
      <c r="H5" s="3">
        <f t="shared" si="1"/>
        <v>1704</v>
      </c>
      <c r="I5" s="31" t="s">
        <v>195</v>
      </c>
      <c r="J5" s="54" t="s">
        <v>43</v>
      </c>
      <c r="K5" s="31" t="s">
        <v>195</v>
      </c>
      <c r="L5" s="54" t="s">
        <v>43</v>
      </c>
      <c r="M5" s="100" t="s">
        <v>156</v>
      </c>
      <c r="N5" s="3"/>
      <c r="O5" s="58" t="s">
        <v>196</v>
      </c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73" t="s">
        <v>197</v>
      </c>
      <c r="B6" s="12">
        <v>39475.0</v>
      </c>
      <c r="C6" s="49" t="s">
        <v>198</v>
      </c>
      <c r="D6" s="31">
        <v>1.0</v>
      </c>
      <c r="E6" s="12" t="s">
        <v>199</v>
      </c>
      <c r="F6" s="58" t="s">
        <v>200</v>
      </c>
      <c r="G6" s="122">
        <v>225.0</v>
      </c>
      <c r="H6" s="3">
        <f t="shared" si="1"/>
        <v>225</v>
      </c>
      <c r="I6" s="31" t="s">
        <v>195</v>
      </c>
      <c r="J6" s="54" t="s">
        <v>43</v>
      </c>
      <c r="K6" s="67" t="s">
        <v>201</v>
      </c>
      <c r="L6" s="54" t="s">
        <v>43</v>
      </c>
      <c r="M6" s="50" t="s">
        <v>62</v>
      </c>
      <c r="N6" s="12" t="s">
        <v>202</v>
      </c>
      <c r="O6" s="76" t="s">
        <v>203</v>
      </c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204</v>
      </c>
      <c r="B7" s="74" t="s">
        <v>205</v>
      </c>
      <c r="C7" s="27" t="s">
        <v>206</v>
      </c>
      <c r="D7" s="31">
        <v>1.0</v>
      </c>
      <c r="E7" s="12" t="s">
        <v>207</v>
      </c>
      <c r="F7" s="58" t="s">
        <v>207</v>
      </c>
      <c r="G7" s="58">
        <v>545.0</v>
      </c>
      <c r="H7" s="3">
        <f t="shared" si="1"/>
        <v>545</v>
      </c>
      <c r="I7" s="31" t="s">
        <v>195</v>
      </c>
      <c r="J7" s="54" t="s">
        <v>43</v>
      </c>
      <c r="K7" s="67" t="s">
        <v>208</v>
      </c>
      <c r="L7" s="54" t="s">
        <v>43</v>
      </c>
      <c r="M7" s="50" t="s">
        <v>62</v>
      </c>
      <c r="N7" s="3"/>
      <c r="O7" s="123" t="s">
        <v>209</v>
      </c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210</v>
      </c>
      <c r="B8" s="58">
        <v>320806.0</v>
      </c>
      <c r="C8" s="27" t="s">
        <v>211</v>
      </c>
      <c r="D8" s="31">
        <v>1.0</v>
      </c>
      <c r="E8" s="12" t="s">
        <v>40</v>
      </c>
      <c r="F8" s="124" t="s">
        <v>41</v>
      </c>
      <c r="G8" s="58">
        <v>176.0</v>
      </c>
      <c r="H8" s="3">
        <f t="shared" si="1"/>
        <v>176</v>
      </c>
      <c r="I8" s="31" t="s">
        <v>195</v>
      </c>
      <c r="J8" s="54" t="s">
        <v>43</v>
      </c>
      <c r="K8" s="67" t="s">
        <v>212</v>
      </c>
      <c r="L8" s="54" t="s">
        <v>43</v>
      </c>
      <c r="M8" s="50" t="s">
        <v>62</v>
      </c>
      <c r="N8" s="12" t="s">
        <v>213</v>
      </c>
      <c r="O8" s="76" t="s">
        <v>214</v>
      </c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73" t="s">
        <v>215</v>
      </c>
      <c r="B9" s="31" t="s">
        <v>216</v>
      </c>
      <c r="C9" s="60" t="s">
        <v>217</v>
      </c>
      <c r="D9" s="31">
        <v>1.0</v>
      </c>
      <c r="E9" s="119" t="s">
        <v>218</v>
      </c>
      <c r="F9" s="68" t="s">
        <v>86</v>
      </c>
      <c r="G9" s="44"/>
      <c r="H9" s="3">
        <f t="shared" si="1"/>
        <v>0</v>
      </c>
      <c r="I9" s="31" t="s">
        <v>195</v>
      </c>
      <c r="J9" s="54" t="s">
        <v>43</v>
      </c>
      <c r="K9" s="67" t="s">
        <v>201</v>
      </c>
      <c r="L9" s="54" t="s">
        <v>43</v>
      </c>
      <c r="M9" s="50" t="s">
        <v>62</v>
      </c>
      <c r="O9" s="125" t="s">
        <v>219</v>
      </c>
      <c r="Q9" s="44"/>
    </row>
    <row r="10">
      <c r="A10" s="12" t="s">
        <v>220</v>
      </c>
      <c r="B10" s="36"/>
      <c r="C10" s="3"/>
      <c r="D10" s="31">
        <v>1.0</v>
      </c>
      <c r="E10" s="3"/>
      <c r="F10" s="58" t="s">
        <v>194</v>
      </c>
      <c r="G10" s="58">
        <v>852.0</v>
      </c>
      <c r="H10" s="3">
        <f t="shared" si="1"/>
        <v>852</v>
      </c>
      <c r="I10" s="31" t="s">
        <v>221</v>
      </c>
      <c r="J10" s="54" t="s">
        <v>43</v>
      </c>
      <c r="K10" s="31" t="s">
        <v>221</v>
      </c>
      <c r="L10" s="54" t="s">
        <v>43</v>
      </c>
      <c r="M10" s="100" t="s">
        <v>156</v>
      </c>
      <c r="N10" s="3"/>
      <c r="O10" s="36"/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B11" s="44"/>
      <c r="D11" s="44"/>
      <c r="F11" s="44"/>
      <c r="G11" s="44"/>
      <c r="H11" s="3">
        <f t="shared" si="1"/>
        <v>0</v>
      </c>
      <c r="I11" s="44"/>
      <c r="K11" s="44"/>
      <c r="M11" s="44"/>
      <c r="O11" s="44"/>
      <c r="Q11" s="44"/>
    </row>
    <row r="12">
      <c r="B12" s="44"/>
      <c r="D12" s="44"/>
      <c r="F12" s="44"/>
      <c r="G12" s="44"/>
      <c r="H12" s="3">
        <f t="shared" si="1"/>
        <v>0</v>
      </c>
      <c r="I12" s="44"/>
      <c r="K12" s="44"/>
      <c r="M12" s="44"/>
      <c r="O12" s="44"/>
      <c r="Q12" s="44"/>
    </row>
    <row r="13">
      <c r="B13" s="44"/>
      <c r="D13" s="44"/>
      <c r="F13" s="44"/>
      <c r="G13" s="44"/>
      <c r="H13" s="3">
        <f t="shared" si="1"/>
        <v>0</v>
      </c>
      <c r="I13" s="44"/>
      <c r="K13" s="44"/>
      <c r="M13" s="44"/>
      <c r="O13" s="44"/>
      <c r="Q13" s="44"/>
    </row>
    <row r="14">
      <c r="B14" s="44"/>
      <c r="D14" s="44"/>
      <c r="F14" s="44"/>
      <c r="G14" s="44"/>
      <c r="H14" s="3">
        <f t="shared" si="1"/>
        <v>0</v>
      </c>
      <c r="I14" s="44"/>
      <c r="K14" s="44"/>
      <c r="M14" s="44"/>
      <c r="O14" s="44"/>
      <c r="Q14" s="44"/>
    </row>
    <row r="15">
      <c r="B15" s="44"/>
      <c r="D15" s="44"/>
      <c r="F15" s="44"/>
      <c r="G15" s="44"/>
      <c r="H15" s="3">
        <f t="shared" si="1"/>
        <v>0</v>
      </c>
      <c r="I15" s="44"/>
      <c r="K15" s="44"/>
      <c r="M15" s="44"/>
      <c r="O15" s="44"/>
      <c r="Q15" s="44"/>
    </row>
    <row r="16">
      <c r="B16" s="44"/>
      <c r="D16" s="44"/>
      <c r="F16" s="44"/>
      <c r="G16" s="44"/>
      <c r="H16" s="3">
        <f t="shared" si="1"/>
        <v>0</v>
      </c>
      <c r="I16" s="44"/>
      <c r="K16" s="44"/>
      <c r="M16" s="44"/>
      <c r="O16" s="44"/>
      <c r="Q16" s="44"/>
    </row>
    <row r="17">
      <c r="B17" s="44"/>
      <c r="D17" s="44"/>
      <c r="F17" s="44"/>
      <c r="G17" s="44"/>
      <c r="H17" s="3">
        <f t="shared" si="1"/>
        <v>0</v>
      </c>
      <c r="I17" s="44"/>
      <c r="K17" s="44"/>
      <c r="M17" s="44"/>
      <c r="O17" s="44"/>
      <c r="Q17" s="44"/>
    </row>
    <row r="18">
      <c r="B18" s="44"/>
      <c r="D18" s="44"/>
      <c r="F18" s="44"/>
      <c r="G18" s="44"/>
      <c r="H18" s="3">
        <f t="shared" si="1"/>
        <v>0</v>
      </c>
      <c r="I18" s="44"/>
      <c r="K18" s="44"/>
      <c r="M18" s="44"/>
      <c r="O18" s="44"/>
      <c r="Q18" s="44"/>
    </row>
    <row r="19">
      <c r="B19" s="44"/>
      <c r="D19" s="44"/>
      <c r="F19" s="44"/>
      <c r="G19" s="44"/>
      <c r="H19" s="3">
        <f t="shared" si="1"/>
        <v>0</v>
      </c>
      <c r="I19" s="44"/>
      <c r="K19" s="44"/>
      <c r="M19" s="44"/>
      <c r="O19" s="44"/>
      <c r="Q19" s="44"/>
    </row>
    <row r="20">
      <c r="B20" s="44"/>
      <c r="D20" s="44"/>
      <c r="F20" s="44"/>
      <c r="G20" s="44"/>
      <c r="H20" s="3">
        <f t="shared" si="1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H21" s="3">
        <f t="shared" si="1"/>
        <v>0</v>
      </c>
      <c r="I21" s="44"/>
      <c r="K21" s="44"/>
      <c r="M21" s="44"/>
      <c r="O21" s="44"/>
      <c r="Q21" s="44"/>
    </row>
    <row r="22">
      <c r="B22" s="44"/>
      <c r="D22" s="44"/>
      <c r="F22" s="44"/>
      <c r="G22" s="44"/>
      <c r="I22" s="44"/>
      <c r="K22" s="44"/>
      <c r="M22" s="44"/>
      <c r="O22" s="44"/>
      <c r="Q22" s="44"/>
    </row>
    <row r="23">
      <c r="B23" s="44"/>
      <c r="D23" s="44"/>
      <c r="F23" s="44"/>
      <c r="G23" s="44"/>
      <c r="I23" s="44"/>
      <c r="K23" s="44"/>
      <c r="M23" s="44"/>
      <c r="O23" s="44"/>
      <c r="Q23" s="44"/>
    </row>
    <row r="24">
      <c r="B24" s="44"/>
      <c r="D24" s="44"/>
      <c r="F24" s="44"/>
      <c r="G24" s="44"/>
      <c r="I24" s="44"/>
      <c r="K24" s="44"/>
      <c r="M24" s="44"/>
      <c r="O24" s="44"/>
      <c r="Q24" s="44"/>
    </row>
    <row r="25">
      <c r="B25" s="44"/>
      <c r="D25" s="44"/>
      <c r="F25" s="44"/>
      <c r="G25" s="44"/>
      <c r="I25" s="44"/>
      <c r="K25" s="44"/>
      <c r="M25" s="44"/>
      <c r="O25" s="44"/>
      <c r="Q25" s="44"/>
    </row>
    <row r="26">
      <c r="B26" s="44"/>
      <c r="D26" s="44"/>
      <c r="F26" s="44"/>
      <c r="G26" s="44"/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hyperlinks>
    <hyperlink r:id="rId1" ref="O6"/>
    <hyperlink r:id="rId2" ref="O7"/>
    <hyperlink r:id="rId3" ref="O8"/>
    <hyperlink r:id="rId4" ref="O9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8.75"/>
    <col customWidth="1" min="5" max="5" width="18.5"/>
    <col customWidth="1" min="7" max="7" width="12.13"/>
    <col customWidth="1" min="8" max="8" width="13.88"/>
    <col customWidth="1" min="9" max="9" width="17.38"/>
    <col customWidth="1" min="11" max="11" width="17.0"/>
    <col customWidth="1" min="13" max="13" width="15.25"/>
    <col customWidth="1" min="14" max="14" width="17.63"/>
    <col customWidth="1" min="15" max="15" width="32.38"/>
  </cols>
  <sheetData>
    <row r="1" ht="39.0" customHeight="1">
      <c r="A1" s="16" t="s">
        <v>23</v>
      </c>
      <c r="B1" s="17" t="s">
        <v>24</v>
      </c>
      <c r="C1" s="17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712.9</v>
      </c>
      <c r="R1" s="23"/>
      <c r="S1" s="23"/>
      <c r="T1" s="23"/>
    </row>
    <row r="2">
      <c r="A2" s="91" t="s">
        <v>222</v>
      </c>
      <c r="B2" s="25" t="s">
        <v>223</v>
      </c>
      <c r="C2" s="126">
        <v>1.0</v>
      </c>
      <c r="D2" s="31">
        <v>4.0</v>
      </c>
      <c r="E2" s="127" t="s">
        <v>224</v>
      </c>
      <c r="F2" s="127" t="s">
        <v>119</v>
      </c>
      <c r="G2" s="92">
        <v>22.95</v>
      </c>
      <c r="H2" s="3">
        <f t="shared" ref="H2:H10" si="1">G2*D2</f>
        <v>91.8</v>
      </c>
      <c r="I2" s="31" t="s">
        <v>225</v>
      </c>
      <c r="J2" s="27" t="s">
        <v>43</v>
      </c>
      <c r="K2" s="32" t="s">
        <v>226</v>
      </c>
      <c r="L2" s="33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227</v>
      </c>
      <c r="B3" s="128"/>
      <c r="C3" s="61">
        <v>1.0</v>
      </c>
      <c r="D3" s="27">
        <v>1.0</v>
      </c>
      <c r="E3" s="128"/>
      <c r="F3" s="36"/>
      <c r="G3" s="73">
        <v>103.0</v>
      </c>
      <c r="H3" s="3">
        <f t="shared" si="1"/>
        <v>103</v>
      </c>
      <c r="I3" s="31" t="s">
        <v>228</v>
      </c>
      <c r="J3" s="27" t="s">
        <v>43</v>
      </c>
      <c r="K3" s="31" t="s">
        <v>228</v>
      </c>
      <c r="L3" s="27" t="s">
        <v>43</v>
      </c>
      <c r="M3" s="50" t="s">
        <v>62</v>
      </c>
      <c r="N3" s="3"/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29" t="s">
        <v>229</v>
      </c>
      <c r="B4" s="38" t="s">
        <v>230</v>
      </c>
      <c r="C4" s="39" t="s">
        <v>206</v>
      </c>
      <c r="D4" s="27">
        <v>1.0</v>
      </c>
      <c r="E4" s="118" t="s">
        <v>207</v>
      </c>
      <c r="F4" s="59" t="s">
        <v>207</v>
      </c>
      <c r="G4" s="130">
        <v>518.1</v>
      </c>
      <c r="H4" s="3">
        <f t="shared" si="1"/>
        <v>518.1</v>
      </c>
      <c r="I4" s="69" t="s">
        <v>231</v>
      </c>
      <c r="J4" s="27" t="s">
        <v>43</v>
      </c>
      <c r="K4" s="131" t="s">
        <v>232</v>
      </c>
      <c r="L4" s="132" t="s">
        <v>233</v>
      </c>
      <c r="M4" s="50" t="s">
        <v>62</v>
      </c>
      <c r="O4" s="133" t="s">
        <v>234</v>
      </c>
      <c r="P4" s="37"/>
      <c r="Q4" s="44"/>
    </row>
    <row r="5">
      <c r="B5" s="44"/>
      <c r="D5" s="44"/>
      <c r="F5" s="44"/>
      <c r="G5" s="44"/>
      <c r="H5" s="3">
        <f t="shared" si="1"/>
        <v>0</v>
      </c>
      <c r="I5" s="44"/>
      <c r="K5" s="44"/>
      <c r="M5" s="44"/>
      <c r="O5" s="44"/>
      <c r="Q5" s="44"/>
    </row>
    <row r="6">
      <c r="B6" s="44"/>
      <c r="D6" s="44"/>
      <c r="F6" s="44"/>
      <c r="G6" s="44"/>
      <c r="H6" s="3">
        <f t="shared" si="1"/>
        <v>0</v>
      </c>
      <c r="I6" s="44"/>
      <c r="K6" s="44"/>
      <c r="M6" s="44"/>
      <c r="O6" s="44"/>
      <c r="Q6" s="44"/>
    </row>
    <row r="7">
      <c r="B7" s="44"/>
      <c r="D7" s="44"/>
      <c r="F7" s="44"/>
      <c r="G7" s="44"/>
      <c r="H7" s="3">
        <f t="shared" si="1"/>
        <v>0</v>
      </c>
      <c r="I7" s="44"/>
      <c r="K7" s="44"/>
      <c r="M7" s="44"/>
      <c r="O7" s="44"/>
      <c r="Q7" s="44"/>
    </row>
    <row r="8">
      <c r="B8" s="44"/>
      <c r="D8" s="44"/>
      <c r="F8" s="44"/>
      <c r="G8" s="44"/>
      <c r="H8" s="3">
        <f t="shared" si="1"/>
        <v>0</v>
      </c>
      <c r="I8" s="44"/>
      <c r="K8" s="44"/>
      <c r="M8" s="44"/>
      <c r="O8" s="44"/>
      <c r="Q8" s="44"/>
    </row>
    <row r="9">
      <c r="B9" s="44"/>
      <c r="D9" s="44"/>
      <c r="F9" s="44"/>
      <c r="G9" s="44"/>
      <c r="H9" s="3">
        <f t="shared" si="1"/>
        <v>0</v>
      </c>
      <c r="I9" s="44"/>
      <c r="K9" s="44"/>
      <c r="M9" s="44"/>
      <c r="O9" s="44"/>
      <c r="Q9" s="44"/>
    </row>
    <row r="10">
      <c r="B10" s="44"/>
      <c r="D10" s="44"/>
      <c r="F10" s="44"/>
      <c r="G10" s="44"/>
      <c r="H10" s="3">
        <f t="shared" si="1"/>
        <v>0</v>
      </c>
      <c r="I10" s="44"/>
      <c r="K10" s="44"/>
      <c r="M10" s="44"/>
      <c r="O10" s="44"/>
      <c r="Q10" s="44"/>
    </row>
    <row r="11">
      <c r="B11" s="44"/>
      <c r="D11" s="44"/>
      <c r="F11" s="44"/>
      <c r="G11" s="44"/>
      <c r="I11" s="44"/>
      <c r="K11" s="44"/>
      <c r="M11" s="44"/>
      <c r="O11" s="44"/>
      <c r="Q11" s="44"/>
    </row>
    <row r="12">
      <c r="B12" s="44"/>
      <c r="D12" s="44"/>
      <c r="F12" s="44"/>
      <c r="G12" s="44"/>
      <c r="I12" s="44"/>
      <c r="K12" s="44"/>
      <c r="M12" s="44"/>
      <c r="O12" s="44"/>
      <c r="Q12" s="44"/>
    </row>
    <row r="13">
      <c r="B13" s="44"/>
      <c r="D13" s="44"/>
      <c r="F13" s="44"/>
      <c r="G13" s="44"/>
      <c r="I13" s="44"/>
      <c r="K13" s="44"/>
      <c r="M13" s="44"/>
      <c r="O13" s="44"/>
      <c r="Q13" s="44"/>
    </row>
    <row r="14">
      <c r="B14" s="44"/>
      <c r="D14" s="44"/>
      <c r="F14" s="44"/>
      <c r="G14" s="44"/>
      <c r="I14" s="44"/>
      <c r="K14" s="44"/>
      <c r="M14" s="44"/>
      <c r="O14" s="44"/>
      <c r="Q14" s="44"/>
    </row>
    <row r="15">
      <c r="B15" s="44"/>
      <c r="D15" s="44"/>
      <c r="F15" s="44"/>
      <c r="G15" s="44"/>
      <c r="I15" s="44"/>
      <c r="K15" s="44"/>
      <c r="M15" s="44"/>
      <c r="O15" s="44"/>
      <c r="Q15" s="44"/>
    </row>
    <row r="16">
      <c r="B16" s="44"/>
      <c r="D16" s="44"/>
      <c r="F16" s="44"/>
      <c r="G16" s="44"/>
      <c r="I16" s="44"/>
      <c r="K16" s="44"/>
      <c r="M16" s="44"/>
      <c r="O16" s="44"/>
      <c r="Q16" s="44"/>
    </row>
    <row r="17">
      <c r="B17" s="44"/>
      <c r="D17" s="44"/>
      <c r="F17" s="44"/>
      <c r="G17" s="44"/>
      <c r="I17" s="44"/>
      <c r="K17" s="44"/>
      <c r="M17" s="44"/>
      <c r="O17" s="44"/>
      <c r="Q17" s="44"/>
    </row>
    <row r="18">
      <c r="B18" s="44"/>
      <c r="D18" s="44"/>
      <c r="F18" s="44"/>
      <c r="G18" s="44"/>
      <c r="I18" s="44"/>
      <c r="K18" s="44"/>
      <c r="M18" s="44"/>
      <c r="O18" s="44"/>
      <c r="Q18" s="44"/>
    </row>
    <row r="19">
      <c r="B19" s="44"/>
      <c r="D19" s="44"/>
      <c r="F19" s="44"/>
      <c r="G19" s="44"/>
      <c r="I19" s="44"/>
      <c r="K19" s="44"/>
      <c r="M19" s="44"/>
      <c r="O19" s="44"/>
      <c r="Q19" s="44"/>
    </row>
    <row r="20">
      <c r="B20" s="44"/>
      <c r="D20" s="44"/>
      <c r="F20" s="44"/>
      <c r="G20" s="44"/>
      <c r="I20" s="44"/>
      <c r="K20" s="44"/>
      <c r="M20" s="44"/>
      <c r="O20" s="44"/>
      <c r="Q20" s="44"/>
    </row>
    <row r="21">
      <c r="B21" s="44"/>
      <c r="D21" s="44"/>
      <c r="F21" s="44"/>
      <c r="G21" s="44"/>
      <c r="I21" s="44"/>
      <c r="K21" s="44"/>
      <c r="M21" s="44"/>
      <c r="O21" s="44"/>
      <c r="Q21" s="44"/>
    </row>
    <row r="22">
      <c r="B22" s="44"/>
      <c r="D22" s="44"/>
      <c r="F22" s="44"/>
      <c r="G22" s="44"/>
      <c r="I22" s="44"/>
      <c r="K22" s="44"/>
      <c r="M22" s="44"/>
      <c r="O22" s="44"/>
      <c r="Q22" s="44"/>
    </row>
    <row r="23">
      <c r="B23" s="44"/>
      <c r="D23" s="44"/>
      <c r="F23" s="44"/>
      <c r="G23" s="44"/>
      <c r="I23" s="44"/>
      <c r="K23" s="44"/>
      <c r="M23" s="44"/>
      <c r="O23" s="44"/>
      <c r="Q23" s="44"/>
    </row>
    <row r="24">
      <c r="B24" s="44"/>
      <c r="D24" s="44"/>
      <c r="F24" s="44"/>
      <c r="G24" s="44"/>
      <c r="I24" s="44"/>
      <c r="K24" s="44"/>
      <c r="M24" s="44"/>
      <c r="O24" s="44"/>
      <c r="Q24" s="44"/>
    </row>
    <row r="25">
      <c r="B25" s="44"/>
      <c r="D25" s="44"/>
      <c r="F25" s="44"/>
      <c r="G25" s="44"/>
      <c r="I25" s="44"/>
      <c r="K25" s="44"/>
      <c r="M25" s="44"/>
      <c r="O25" s="44"/>
      <c r="Q25" s="44"/>
    </row>
    <row r="26">
      <c r="B26" s="44"/>
      <c r="D26" s="44"/>
      <c r="F26" s="44"/>
      <c r="G26" s="44"/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21.13"/>
    <col customWidth="1" min="3" max="3" width="25.0"/>
    <col customWidth="1" min="5" max="5" width="19.75"/>
    <col customWidth="1" min="6" max="6" width="21.25"/>
    <col customWidth="1" min="7" max="7" width="12.13"/>
    <col customWidth="1" min="8" max="8" width="13.88"/>
    <col customWidth="1" min="11" max="11" width="25.88"/>
    <col customWidth="1" min="13" max="13" width="30.63"/>
    <col customWidth="1" min="14" max="14" width="38.25"/>
    <col customWidth="1" min="15" max="15" width="100.25"/>
    <col customWidth="1" min="18" max="18" width="54.63"/>
    <col customWidth="1" min="19" max="19" width="54.38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SUM(H2:H24)</f>
        <v>6855.47</v>
      </c>
      <c r="R1" s="23"/>
      <c r="S1" s="23"/>
      <c r="T1" s="23"/>
    </row>
    <row r="2">
      <c r="A2" s="12" t="s">
        <v>123</v>
      </c>
      <c r="B2" s="36"/>
      <c r="C2" s="27">
        <v>1.0</v>
      </c>
      <c r="D2" s="31">
        <v>1.0</v>
      </c>
      <c r="E2" s="3"/>
      <c r="F2" s="36"/>
      <c r="G2" s="58">
        <v>112.6</v>
      </c>
      <c r="H2" s="3">
        <f t="shared" ref="H2:H29" si="1">G2*D2</f>
        <v>112.6</v>
      </c>
      <c r="I2" s="31" t="s">
        <v>235</v>
      </c>
      <c r="J2" s="27" t="s">
        <v>43</v>
      </c>
      <c r="K2" s="31" t="s">
        <v>235</v>
      </c>
      <c r="L2" s="27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236</v>
      </c>
      <c r="B3" s="58" t="s">
        <v>237</v>
      </c>
      <c r="C3" s="27" t="s">
        <v>206</v>
      </c>
      <c r="D3" s="31">
        <v>1.0</v>
      </c>
      <c r="E3" s="12" t="s">
        <v>207</v>
      </c>
      <c r="F3" s="58" t="s">
        <v>207</v>
      </c>
      <c r="G3" s="58">
        <v>522.0</v>
      </c>
      <c r="H3" s="3">
        <f t="shared" si="1"/>
        <v>522</v>
      </c>
      <c r="I3" s="31" t="s">
        <v>238</v>
      </c>
      <c r="J3" s="27" t="s">
        <v>43</v>
      </c>
      <c r="K3" s="67" t="s">
        <v>239</v>
      </c>
      <c r="L3" s="27" t="s">
        <v>43</v>
      </c>
      <c r="M3" s="50" t="s">
        <v>62</v>
      </c>
      <c r="N3" s="12" t="s">
        <v>240</v>
      </c>
      <c r="O3" s="125" t="s">
        <v>241</v>
      </c>
      <c r="P3" s="3"/>
      <c r="Q3" s="36"/>
      <c r="R3" s="12" t="s">
        <v>242</v>
      </c>
      <c r="S3" s="3"/>
      <c r="T3" s="3"/>
      <c r="U3" s="3"/>
      <c r="V3" s="3"/>
      <c r="W3" s="3"/>
      <c r="X3" s="3"/>
      <c r="Y3" s="3"/>
      <c r="Z3" s="3"/>
    </row>
    <row r="4">
      <c r="A4" s="12" t="s">
        <v>243</v>
      </c>
      <c r="B4" s="134" t="s">
        <v>244</v>
      </c>
      <c r="C4" s="27" t="s">
        <v>206</v>
      </c>
      <c r="D4" s="31">
        <v>1.0</v>
      </c>
      <c r="E4" s="12" t="s">
        <v>199</v>
      </c>
      <c r="F4" s="58" t="s">
        <v>200</v>
      </c>
      <c r="G4" s="122">
        <v>508.0</v>
      </c>
      <c r="H4" s="3">
        <f t="shared" si="1"/>
        <v>508</v>
      </c>
      <c r="I4" s="31" t="s">
        <v>245</v>
      </c>
      <c r="J4" s="27" t="s">
        <v>43</v>
      </c>
      <c r="K4" s="67" t="s">
        <v>246</v>
      </c>
      <c r="L4" s="27" t="s">
        <v>43</v>
      </c>
      <c r="M4" s="50" t="s">
        <v>62</v>
      </c>
      <c r="N4" s="3"/>
      <c r="O4" s="125" t="s">
        <v>247</v>
      </c>
      <c r="P4" s="3"/>
      <c r="Q4" s="36"/>
      <c r="R4" s="12" t="s">
        <v>248</v>
      </c>
      <c r="S4" s="3"/>
      <c r="T4" s="3"/>
      <c r="U4" s="3"/>
      <c r="V4" s="3"/>
      <c r="W4" s="3"/>
      <c r="X4" s="3"/>
      <c r="Y4" s="3"/>
      <c r="Z4" s="56"/>
    </row>
    <row r="5">
      <c r="A5" s="111" t="s">
        <v>249</v>
      </c>
      <c r="B5" s="135">
        <v>709679.0</v>
      </c>
      <c r="C5" s="27">
        <v>1.0</v>
      </c>
      <c r="D5" s="31">
        <v>2.0</v>
      </c>
      <c r="E5" s="12" t="s">
        <v>250</v>
      </c>
      <c r="F5" s="123" t="s">
        <v>251</v>
      </c>
      <c r="G5" s="58">
        <v>15.99</v>
      </c>
      <c r="H5" s="3">
        <f t="shared" si="1"/>
        <v>31.98</v>
      </c>
      <c r="I5" s="31" t="s">
        <v>245</v>
      </c>
      <c r="J5" s="27" t="s">
        <v>43</v>
      </c>
      <c r="K5" s="32" t="s">
        <v>252</v>
      </c>
      <c r="L5" s="33" t="s">
        <v>43</v>
      </c>
      <c r="M5" s="136" t="s">
        <v>253</v>
      </c>
      <c r="N5" s="3"/>
      <c r="O5" s="76" t="s">
        <v>254</v>
      </c>
      <c r="P5" s="3"/>
      <c r="Q5" s="36"/>
      <c r="R5" s="137"/>
      <c r="S5" s="3"/>
      <c r="T5" s="3"/>
      <c r="U5" s="3"/>
      <c r="V5" s="3"/>
      <c r="W5" s="3"/>
      <c r="X5" s="3"/>
      <c r="Y5" s="3"/>
      <c r="Z5" s="3"/>
    </row>
    <row r="6">
      <c r="A6" s="58" t="s">
        <v>255</v>
      </c>
      <c r="B6" s="135">
        <v>348755.0</v>
      </c>
      <c r="C6" s="27">
        <v>1.0</v>
      </c>
      <c r="D6" s="31">
        <v>3.0</v>
      </c>
      <c r="E6" s="12" t="s">
        <v>256</v>
      </c>
      <c r="F6" s="123" t="s">
        <v>251</v>
      </c>
      <c r="G6" s="58">
        <v>23.9</v>
      </c>
      <c r="H6" s="3">
        <f t="shared" si="1"/>
        <v>71.7</v>
      </c>
      <c r="I6" s="31" t="s">
        <v>245</v>
      </c>
      <c r="J6" s="27" t="s">
        <v>43</v>
      </c>
      <c r="K6" s="32" t="s">
        <v>252</v>
      </c>
      <c r="L6" s="33" t="s">
        <v>43</v>
      </c>
      <c r="M6" s="136" t="s">
        <v>253</v>
      </c>
      <c r="N6" s="3"/>
      <c r="O6" s="76" t="s">
        <v>257</v>
      </c>
      <c r="P6" s="3"/>
      <c r="Q6" s="36"/>
      <c r="R6" s="58" t="s">
        <v>258</v>
      </c>
      <c r="S6" s="3"/>
      <c r="T6" s="3"/>
      <c r="U6" s="3"/>
      <c r="V6" s="3"/>
      <c r="W6" s="3"/>
      <c r="X6" s="3"/>
      <c r="Y6" s="3"/>
      <c r="Z6" s="3"/>
    </row>
    <row r="7">
      <c r="A7" s="138" t="s">
        <v>259</v>
      </c>
      <c r="B7" s="135">
        <v>650302.0</v>
      </c>
      <c r="C7" s="27">
        <v>1.0</v>
      </c>
      <c r="D7" s="31">
        <v>1.0</v>
      </c>
      <c r="E7" s="12" t="s">
        <v>260</v>
      </c>
      <c r="F7" s="123" t="s">
        <v>251</v>
      </c>
      <c r="G7" s="58">
        <v>39.9</v>
      </c>
      <c r="H7" s="3">
        <f t="shared" si="1"/>
        <v>39.9</v>
      </c>
      <c r="I7" s="31" t="s">
        <v>245</v>
      </c>
      <c r="J7" s="27" t="s">
        <v>43</v>
      </c>
      <c r="K7" s="32" t="s">
        <v>252</v>
      </c>
      <c r="L7" s="33" t="s">
        <v>43</v>
      </c>
      <c r="M7" s="136" t="s">
        <v>253</v>
      </c>
      <c r="N7" s="3"/>
      <c r="O7" s="76" t="s">
        <v>261</v>
      </c>
      <c r="P7" s="3"/>
      <c r="Q7" s="36"/>
      <c r="R7" s="114"/>
      <c r="S7" s="3"/>
      <c r="T7" s="3"/>
      <c r="U7" s="3"/>
      <c r="V7" s="3"/>
      <c r="W7" s="3"/>
      <c r="X7" s="3"/>
      <c r="Y7" s="3"/>
      <c r="Z7" s="3"/>
    </row>
    <row r="8">
      <c r="A8" s="12" t="s">
        <v>262</v>
      </c>
      <c r="B8" s="58" t="s">
        <v>263</v>
      </c>
      <c r="C8" s="27" t="s">
        <v>264</v>
      </c>
      <c r="D8" s="31">
        <v>1.0</v>
      </c>
      <c r="E8" s="12" t="s">
        <v>265</v>
      </c>
      <c r="F8" s="134" t="s">
        <v>266</v>
      </c>
      <c r="G8" s="58">
        <v>130.0</v>
      </c>
      <c r="H8" s="3">
        <f t="shared" si="1"/>
        <v>130</v>
      </c>
      <c r="I8" s="31" t="s">
        <v>245</v>
      </c>
      <c r="J8" s="27" t="s">
        <v>43</v>
      </c>
      <c r="K8" s="67" t="s">
        <v>267</v>
      </c>
      <c r="L8" s="33" t="s">
        <v>43</v>
      </c>
      <c r="M8" s="58" t="s">
        <v>69</v>
      </c>
      <c r="N8" s="3"/>
      <c r="O8" s="120" t="s">
        <v>268</v>
      </c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139" t="s">
        <v>269</v>
      </c>
      <c r="B9" s="140">
        <v>9006371.0</v>
      </c>
      <c r="C9" s="55" t="s">
        <v>270</v>
      </c>
      <c r="D9" s="54">
        <v>5.0</v>
      </c>
      <c r="E9" s="37" t="s">
        <v>271</v>
      </c>
      <c r="F9" s="68" t="s">
        <v>272</v>
      </c>
      <c r="G9" s="65">
        <v>29.5</v>
      </c>
      <c r="H9" s="71">
        <f t="shared" si="1"/>
        <v>147.5</v>
      </c>
      <c r="I9" s="57" t="s">
        <v>273</v>
      </c>
      <c r="J9" s="27" t="s">
        <v>43</v>
      </c>
      <c r="K9" s="31" t="s">
        <v>273</v>
      </c>
      <c r="L9" s="27" t="s">
        <v>43</v>
      </c>
      <c r="M9" s="58" t="s">
        <v>69</v>
      </c>
      <c r="N9" s="3"/>
      <c r="O9" s="36"/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139" t="s">
        <v>274</v>
      </c>
      <c r="B10" s="134">
        <v>9006370.0</v>
      </c>
      <c r="C10" s="55" t="s">
        <v>270</v>
      </c>
      <c r="D10" s="54">
        <v>5.0</v>
      </c>
      <c r="E10" s="37" t="s">
        <v>271</v>
      </c>
      <c r="F10" s="68" t="s">
        <v>272</v>
      </c>
      <c r="G10" s="65">
        <v>29.5</v>
      </c>
      <c r="H10" s="71">
        <f t="shared" si="1"/>
        <v>147.5</v>
      </c>
      <c r="I10" s="57" t="s">
        <v>273</v>
      </c>
      <c r="J10" s="27" t="s">
        <v>43</v>
      </c>
      <c r="K10" s="67" t="s">
        <v>246</v>
      </c>
      <c r="L10" s="27" t="s">
        <v>43</v>
      </c>
      <c r="M10" s="58" t="s">
        <v>69</v>
      </c>
      <c r="N10" s="3"/>
      <c r="O10" s="36"/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 t="s">
        <v>275</v>
      </c>
      <c r="B11" s="135">
        <v>641041.0</v>
      </c>
      <c r="C11" s="27">
        <v>1.0</v>
      </c>
      <c r="D11" s="31">
        <v>2.0</v>
      </c>
      <c r="E11" s="12" t="s">
        <v>276</v>
      </c>
      <c r="F11" s="123" t="s">
        <v>251</v>
      </c>
      <c r="G11" s="58">
        <v>299.9</v>
      </c>
      <c r="H11" s="56">
        <f t="shared" si="1"/>
        <v>599.8</v>
      </c>
      <c r="I11" s="57" t="s">
        <v>273</v>
      </c>
      <c r="J11" s="27" t="s">
        <v>43</v>
      </c>
      <c r="K11" s="67" t="s">
        <v>246</v>
      </c>
      <c r="L11" s="27" t="s">
        <v>43</v>
      </c>
      <c r="M11" s="136" t="s">
        <v>253</v>
      </c>
      <c r="N11" s="3"/>
      <c r="O11" s="76" t="s">
        <v>277</v>
      </c>
      <c r="P11" s="3"/>
      <c r="Q11" s="36"/>
      <c r="R11" s="58" t="s">
        <v>258</v>
      </c>
      <c r="S11" s="12" t="s">
        <v>278</v>
      </c>
      <c r="T11" s="3"/>
      <c r="U11" s="3"/>
      <c r="V11" s="3"/>
      <c r="W11" s="3"/>
      <c r="X11" s="3"/>
      <c r="Y11" s="3"/>
      <c r="Z11" s="3"/>
    </row>
    <row r="12">
      <c r="A12" s="12" t="s">
        <v>279</v>
      </c>
      <c r="B12" s="58" t="s">
        <v>280</v>
      </c>
      <c r="C12" s="27" t="s">
        <v>206</v>
      </c>
      <c r="D12" s="31">
        <v>1.0</v>
      </c>
      <c r="E12" s="12" t="s">
        <v>207</v>
      </c>
      <c r="F12" s="58" t="s">
        <v>207</v>
      </c>
      <c r="G12" s="58">
        <v>570.0</v>
      </c>
      <c r="H12" s="36">
        <f t="shared" si="1"/>
        <v>570</v>
      </c>
      <c r="I12" s="57" t="s">
        <v>273</v>
      </c>
      <c r="J12" s="27" t="s">
        <v>43</v>
      </c>
      <c r="K12" s="32" t="s">
        <v>252</v>
      </c>
      <c r="L12" s="33" t="s">
        <v>43</v>
      </c>
      <c r="M12" s="50" t="s">
        <v>62</v>
      </c>
      <c r="N12" s="12" t="s">
        <v>281</v>
      </c>
      <c r="O12" s="36"/>
      <c r="P12" s="3"/>
      <c r="Q12" s="36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 t="s">
        <v>282</v>
      </c>
      <c r="B13" s="58" t="s">
        <v>283</v>
      </c>
      <c r="C13" s="27" t="s">
        <v>206</v>
      </c>
      <c r="D13" s="31">
        <v>1.0</v>
      </c>
      <c r="E13" s="12" t="s">
        <v>207</v>
      </c>
      <c r="F13" s="58" t="s">
        <v>207</v>
      </c>
      <c r="G13" s="58">
        <v>570.0</v>
      </c>
      <c r="H13" s="36">
        <f t="shared" si="1"/>
        <v>570</v>
      </c>
      <c r="I13" s="57" t="s">
        <v>273</v>
      </c>
      <c r="J13" s="27" t="s">
        <v>43</v>
      </c>
      <c r="K13" s="67" t="s">
        <v>284</v>
      </c>
      <c r="L13" s="33" t="s">
        <v>43</v>
      </c>
      <c r="M13" s="50" t="s">
        <v>62</v>
      </c>
      <c r="N13" s="3"/>
      <c r="O13" s="36"/>
      <c r="P13" s="3"/>
      <c r="Q13" s="36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 t="s">
        <v>285</v>
      </c>
      <c r="B14" s="58" t="s">
        <v>286</v>
      </c>
      <c r="C14" s="27" t="s">
        <v>206</v>
      </c>
      <c r="D14" s="31">
        <v>1.0</v>
      </c>
      <c r="E14" s="12" t="s">
        <v>207</v>
      </c>
      <c r="F14" s="58" t="s">
        <v>207</v>
      </c>
      <c r="G14" s="58">
        <v>575.0</v>
      </c>
      <c r="H14" s="36">
        <f t="shared" si="1"/>
        <v>575</v>
      </c>
      <c r="I14" s="57" t="s">
        <v>273</v>
      </c>
      <c r="J14" s="27" t="s">
        <v>43</v>
      </c>
      <c r="K14" s="32" t="s">
        <v>252</v>
      </c>
      <c r="L14" s="33" t="s">
        <v>43</v>
      </c>
      <c r="M14" s="50" t="s">
        <v>62</v>
      </c>
      <c r="N14" s="12" t="s">
        <v>281</v>
      </c>
      <c r="O14" s="76" t="s">
        <v>287</v>
      </c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288</v>
      </c>
      <c r="B15" s="58" t="s">
        <v>289</v>
      </c>
      <c r="C15" s="27" t="s">
        <v>290</v>
      </c>
      <c r="D15" s="31">
        <v>1.0</v>
      </c>
      <c r="E15" s="12" t="s">
        <v>291</v>
      </c>
      <c r="F15" s="58" t="s">
        <v>86</v>
      </c>
      <c r="G15" s="58">
        <v>221.0</v>
      </c>
      <c r="H15" s="36">
        <f t="shared" si="1"/>
        <v>221</v>
      </c>
      <c r="I15" s="57" t="s">
        <v>273</v>
      </c>
      <c r="J15" s="27" t="s">
        <v>43</v>
      </c>
      <c r="K15" s="67" t="s">
        <v>284</v>
      </c>
      <c r="L15" s="33" t="s">
        <v>43</v>
      </c>
      <c r="M15" s="50" t="s">
        <v>62</v>
      </c>
      <c r="N15" s="12" t="s">
        <v>292</v>
      </c>
      <c r="O15" s="36"/>
      <c r="P15" s="3"/>
      <c r="Q15" s="36"/>
      <c r="R15" s="3"/>
      <c r="S15" s="3"/>
      <c r="T15" s="3"/>
      <c r="U15" s="3"/>
      <c r="V15" s="3"/>
      <c r="W15" s="3"/>
      <c r="X15" s="3"/>
      <c r="Y15" s="3"/>
      <c r="Z15" s="3"/>
    </row>
    <row r="16">
      <c r="A16" s="141" t="s">
        <v>293</v>
      </c>
      <c r="B16" s="78" t="s">
        <v>294</v>
      </c>
      <c r="C16" s="80" t="s">
        <v>117</v>
      </c>
      <c r="D16" s="80">
        <v>1.0</v>
      </c>
      <c r="E16" s="78" t="s">
        <v>295</v>
      </c>
      <c r="F16" s="142" t="s">
        <v>86</v>
      </c>
      <c r="G16" s="143">
        <v>17.94</v>
      </c>
      <c r="H16" s="87">
        <f t="shared" si="1"/>
        <v>17.94</v>
      </c>
      <c r="I16" s="144" t="s">
        <v>273</v>
      </c>
      <c r="J16" s="81" t="s">
        <v>43</v>
      </c>
      <c r="K16" s="145" t="s">
        <v>296</v>
      </c>
      <c r="L16" s="146"/>
      <c r="M16" s="50" t="s">
        <v>62</v>
      </c>
      <c r="N16" s="3"/>
      <c r="O16" s="147" t="s">
        <v>297</v>
      </c>
      <c r="P16" s="3"/>
      <c r="Q16" s="36"/>
      <c r="R16" s="3"/>
      <c r="S16" s="3"/>
      <c r="T16" s="3"/>
      <c r="U16" s="3"/>
      <c r="V16" s="3"/>
      <c r="W16" s="3"/>
      <c r="X16" s="3"/>
      <c r="Y16" s="3"/>
      <c r="Z16" s="3"/>
    </row>
    <row r="17">
      <c r="A17" s="148" t="s">
        <v>298</v>
      </c>
      <c r="B17" s="149" t="s">
        <v>299</v>
      </c>
      <c r="C17" s="150" t="s">
        <v>300</v>
      </c>
      <c r="D17" s="81">
        <v>1.0</v>
      </c>
      <c r="E17" s="151" t="s">
        <v>301</v>
      </c>
      <c r="F17" s="152" t="s">
        <v>200</v>
      </c>
      <c r="G17" s="153">
        <v>216.0</v>
      </c>
      <c r="H17" s="87">
        <f t="shared" si="1"/>
        <v>216</v>
      </c>
      <c r="I17" s="80" t="s">
        <v>302</v>
      </c>
      <c r="J17" s="81" t="s">
        <v>43</v>
      </c>
      <c r="K17" s="154" t="s">
        <v>303</v>
      </c>
      <c r="L17" s="155"/>
      <c r="M17" s="156" t="s">
        <v>62</v>
      </c>
      <c r="N17" s="82"/>
      <c r="O17" s="87"/>
      <c r="P17" s="82"/>
      <c r="Q17" s="87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37" t="s">
        <v>304</v>
      </c>
      <c r="B18" s="140" t="s">
        <v>305</v>
      </c>
      <c r="C18" s="39" t="s">
        <v>306</v>
      </c>
      <c r="D18" s="27">
        <v>1.0</v>
      </c>
      <c r="E18" s="115" t="s">
        <v>173</v>
      </c>
      <c r="F18" s="68" t="s">
        <v>119</v>
      </c>
      <c r="G18" s="117">
        <v>128.14</v>
      </c>
      <c r="H18" s="36">
        <f t="shared" si="1"/>
        <v>128.14</v>
      </c>
      <c r="I18" s="32" t="s">
        <v>252</v>
      </c>
      <c r="J18" s="33" t="s">
        <v>43</v>
      </c>
      <c r="K18" s="67" t="s">
        <v>307</v>
      </c>
      <c r="L18" s="33" t="s">
        <v>43</v>
      </c>
      <c r="M18" s="50" t="s">
        <v>62</v>
      </c>
      <c r="N18" s="73" t="s">
        <v>308</v>
      </c>
      <c r="O18" s="157" t="s">
        <v>309</v>
      </c>
      <c r="P18" s="3"/>
      <c r="Q18" s="36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 t="s">
        <v>310</v>
      </c>
      <c r="B19" s="134">
        <v>3.009737E7</v>
      </c>
      <c r="C19" s="31" t="s">
        <v>311</v>
      </c>
      <c r="D19" s="27">
        <v>1.0</v>
      </c>
      <c r="E19" s="158" t="s">
        <v>312</v>
      </c>
      <c r="F19" s="58" t="s">
        <v>313</v>
      </c>
      <c r="G19" s="122">
        <v>1607.3</v>
      </c>
      <c r="H19" s="36">
        <f t="shared" si="1"/>
        <v>1607.3</v>
      </c>
      <c r="I19" s="31" t="s">
        <v>307</v>
      </c>
      <c r="J19" s="33" t="s">
        <v>43</v>
      </c>
      <c r="K19" s="67" t="s">
        <v>314</v>
      </c>
      <c r="L19" s="33" t="s">
        <v>43</v>
      </c>
      <c r="M19" s="159" t="s">
        <v>7</v>
      </c>
      <c r="N19" s="77" t="s">
        <v>315</v>
      </c>
      <c r="O19" s="160" t="s">
        <v>316</v>
      </c>
      <c r="P19" s="3"/>
      <c r="Q19" s="36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 t="s">
        <v>317</v>
      </c>
      <c r="B20" s="36"/>
      <c r="C20" s="161"/>
      <c r="D20" s="31">
        <v>1.0</v>
      </c>
      <c r="E20" s="12" t="s">
        <v>318</v>
      </c>
      <c r="F20" s="158" t="s">
        <v>318</v>
      </c>
      <c r="G20" s="58">
        <v>106.0</v>
      </c>
      <c r="H20" s="36">
        <f t="shared" si="1"/>
        <v>106</v>
      </c>
      <c r="I20" s="31" t="s">
        <v>319</v>
      </c>
      <c r="J20" s="33" t="s">
        <v>43</v>
      </c>
      <c r="K20" s="31" t="s">
        <v>319</v>
      </c>
      <c r="L20" s="33" t="s">
        <v>43</v>
      </c>
      <c r="M20" s="50" t="s">
        <v>62</v>
      </c>
      <c r="N20" s="3"/>
      <c r="O20" s="36"/>
      <c r="P20" s="3"/>
      <c r="Q20" s="36"/>
      <c r="R20" s="3"/>
      <c r="S20" s="3"/>
      <c r="T20" s="3"/>
      <c r="U20" s="3"/>
      <c r="V20" s="3"/>
      <c r="W20" s="3"/>
      <c r="X20" s="3"/>
      <c r="Y20" s="3"/>
      <c r="Z20" s="3"/>
    </row>
    <row r="21">
      <c r="A21" s="37" t="s">
        <v>320</v>
      </c>
      <c r="B21" s="162" t="s">
        <v>321</v>
      </c>
      <c r="C21" s="39" t="s">
        <v>322</v>
      </c>
      <c r="D21" s="60">
        <v>10.0</v>
      </c>
      <c r="E21" s="118" t="s">
        <v>173</v>
      </c>
      <c r="F21" s="68" t="s">
        <v>86</v>
      </c>
      <c r="G21" s="117">
        <v>5.26</v>
      </c>
      <c r="H21" s="36">
        <f t="shared" si="1"/>
        <v>52.6</v>
      </c>
      <c r="I21" s="31" t="s">
        <v>319</v>
      </c>
      <c r="J21" s="33" t="s">
        <v>43</v>
      </c>
      <c r="K21" s="67" t="s">
        <v>323</v>
      </c>
      <c r="L21" s="33" t="s">
        <v>43</v>
      </c>
      <c r="M21" s="50" t="s">
        <v>62</v>
      </c>
      <c r="O21" s="44"/>
      <c r="Q21" s="44"/>
    </row>
    <row r="22">
      <c r="A22" s="45" t="s">
        <v>324</v>
      </c>
      <c r="B22" s="115" t="s">
        <v>325</v>
      </c>
      <c r="C22" s="54" t="s">
        <v>326</v>
      </c>
      <c r="D22" s="27">
        <v>1.0</v>
      </c>
      <c r="E22" s="118" t="s">
        <v>327</v>
      </c>
      <c r="F22" s="94" t="s">
        <v>119</v>
      </c>
      <c r="G22" s="117">
        <v>48.51</v>
      </c>
      <c r="H22" s="36">
        <f t="shared" si="1"/>
        <v>48.51</v>
      </c>
      <c r="I22" s="31" t="s">
        <v>319</v>
      </c>
      <c r="J22" s="33" t="s">
        <v>43</v>
      </c>
      <c r="K22" s="67" t="s">
        <v>323</v>
      </c>
      <c r="L22" s="33" t="s">
        <v>43</v>
      </c>
      <c r="M22" s="50" t="s">
        <v>62</v>
      </c>
      <c r="O22" s="44"/>
      <c r="Q22" s="44"/>
    </row>
    <row r="23">
      <c r="A23" s="12" t="s">
        <v>328</v>
      </c>
      <c r="B23" s="163" t="s">
        <v>329</v>
      </c>
      <c r="C23" s="27" t="s">
        <v>330</v>
      </c>
      <c r="D23" s="31">
        <v>1.0</v>
      </c>
      <c r="E23" s="119" t="s">
        <v>331</v>
      </c>
      <c r="F23" s="58" t="s">
        <v>332</v>
      </c>
      <c r="G23" s="58">
        <v>252.0</v>
      </c>
      <c r="H23" s="3">
        <f t="shared" si="1"/>
        <v>252</v>
      </c>
      <c r="I23" s="31" t="s">
        <v>333</v>
      </c>
      <c r="J23" s="33" t="s">
        <v>43</v>
      </c>
      <c r="K23" s="67" t="s">
        <v>334</v>
      </c>
      <c r="L23" s="33" t="s">
        <v>43</v>
      </c>
      <c r="M23" s="50" t="s">
        <v>62</v>
      </c>
      <c r="N23" s="3"/>
      <c r="O23" s="58" t="s">
        <v>335</v>
      </c>
      <c r="P23" s="3"/>
      <c r="Q23" s="36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336</v>
      </c>
      <c r="B24" s="58" t="s">
        <v>337</v>
      </c>
      <c r="C24" s="27" t="s">
        <v>338</v>
      </c>
      <c r="D24" s="31">
        <v>1.0</v>
      </c>
      <c r="E24" s="12" t="s">
        <v>207</v>
      </c>
      <c r="F24" s="158" t="s">
        <v>207</v>
      </c>
      <c r="G24" s="58">
        <v>180.0</v>
      </c>
      <c r="H24" s="3">
        <f t="shared" si="1"/>
        <v>180</v>
      </c>
      <c r="I24" s="31" t="s">
        <v>319</v>
      </c>
      <c r="J24" s="33" t="s">
        <v>43</v>
      </c>
      <c r="K24" s="67" t="s">
        <v>334</v>
      </c>
      <c r="L24" s="33" t="s">
        <v>43</v>
      </c>
      <c r="M24" s="50" t="s">
        <v>62</v>
      </c>
      <c r="N24" s="3"/>
      <c r="O24" s="76" t="s">
        <v>339</v>
      </c>
      <c r="P24" s="3"/>
      <c r="Q24" s="36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 t="s">
        <v>340</v>
      </c>
      <c r="B25" s="58" t="s">
        <v>341</v>
      </c>
      <c r="C25" s="27" t="s">
        <v>206</v>
      </c>
      <c r="D25" s="31">
        <v>1.0</v>
      </c>
      <c r="E25" s="12" t="s">
        <v>207</v>
      </c>
      <c r="F25" s="158" t="s">
        <v>207</v>
      </c>
      <c r="G25" s="58">
        <v>575.0</v>
      </c>
      <c r="H25" s="3">
        <f t="shared" si="1"/>
        <v>575</v>
      </c>
      <c r="I25" s="31" t="s">
        <v>319</v>
      </c>
      <c r="J25" s="33" t="s">
        <v>43</v>
      </c>
      <c r="K25" s="67" t="s">
        <v>334</v>
      </c>
      <c r="L25" s="33" t="s">
        <v>43</v>
      </c>
      <c r="M25" s="50" t="s">
        <v>62</v>
      </c>
      <c r="N25" s="3"/>
      <c r="O25" s="76" t="s">
        <v>342</v>
      </c>
      <c r="P25" s="3"/>
      <c r="Q25" s="36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343</v>
      </c>
      <c r="B26" s="58" t="s">
        <v>344</v>
      </c>
      <c r="C26" s="27" t="s">
        <v>345</v>
      </c>
      <c r="D26" s="31">
        <v>1.0</v>
      </c>
      <c r="E26" s="12" t="s">
        <v>346</v>
      </c>
      <c r="F26" s="58" t="s">
        <v>347</v>
      </c>
      <c r="G26" s="122">
        <v>339.98</v>
      </c>
      <c r="H26" s="3">
        <f t="shared" si="1"/>
        <v>339.98</v>
      </c>
      <c r="I26" s="31" t="s">
        <v>319</v>
      </c>
      <c r="J26" s="33" t="s">
        <v>43</v>
      </c>
      <c r="K26" s="67" t="s">
        <v>334</v>
      </c>
      <c r="L26" s="33" t="s">
        <v>43</v>
      </c>
      <c r="M26" s="50" t="s">
        <v>62</v>
      </c>
      <c r="N26" s="12" t="s">
        <v>348</v>
      </c>
      <c r="O26" s="76" t="s">
        <v>349</v>
      </c>
      <c r="P26" s="3"/>
      <c r="Q26" s="36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 t="s">
        <v>350</v>
      </c>
      <c r="B27" s="58" t="s">
        <v>216</v>
      </c>
      <c r="C27" s="75" t="s">
        <v>351</v>
      </c>
      <c r="D27" s="31">
        <v>1.0</v>
      </c>
      <c r="E27" s="12" t="s">
        <v>218</v>
      </c>
      <c r="F27" s="58" t="s">
        <v>272</v>
      </c>
      <c r="G27" s="122">
        <v>345.0</v>
      </c>
      <c r="H27" s="3">
        <f t="shared" si="1"/>
        <v>345</v>
      </c>
      <c r="I27" s="31" t="s">
        <v>319</v>
      </c>
      <c r="J27" s="33" t="s">
        <v>43</v>
      </c>
      <c r="K27" s="67" t="s">
        <v>352</v>
      </c>
      <c r="L27" s="33" t="s">
        <v>43</v>
      </c>
      <c r="M27" s="50" t="s">
        <v>62</v>
      </c>
      <c r="N27" s="12" t="s">
        <v>353</v>
      </c>
      <c r="O27" s="76" t="s">
        <v>354</v>
      </c>
      <c r="P27" s="3"/>
      <c r="Q27" s="36"/>
      <c r="R27" s="3"/>
      <c r="S27" s="3"/>
      <c r="T27" s="3"/>
      <c r="U27" s="3"/>
      <c r="V27" s="3"/>
      <c r="W27" s="3"/>
      <c r="X27" s="3"/>
      <c r="Y27" s="3"/>
      <c r="Z27" s="3"/>
    </row>
    <row r="28">
      <c r="B28" s="44"/>
      <c r="C28" s="164"/>
      <c r="D28" s="165"/>
      <c r="F28" s="44"/>
      <c r="G28" s="44"/>
      <c r="H28" s="70">
        <f t="shared" si="1"/>
        <v>0</v>
      </c>
      <c r="I28" s="44"/>
      <c r="K28" s="44"/>
      <c r="M28" s="44"/>
      <c r="O28" s="44"/>
      <c r="Q28" s="44"/>
    </row>
    <row r="29">
      <c r="B29" s="44"/>
      <c r="C29" s="164"/>
      <c r="D29" s="165"/>
      <c r="F29" s="44"/>
      <c r="G29" s="44"/>
      <c r="H29" s="70">
        <f t="shared" si="1"/>
        <v>0</v>
      </c>
      <c r="I29" s="44"/>
      <c r="K29" s="44"/>
      <c r="M29" s="44"/>
      <c r="O29" s="44"/>
      <c r="Q29" s="44"/>
    </row>
    <row r="30">
      <c r="B30" s="44"/>
      <c r="C30" s="164"/>
      <c r="D30" s="165"/>
      <c r="F30" s="44"/>
      <c r="G30" s="44"/>
      <c r="I30" s="44"/>
      <c r="K30" s="44"/>
      <c r="M30" s="44"/>
      <c r="O30" s="44"/>
      <c r="Q30" s="44"/>
    </row>
    <row r="31">
      <c r="B31" s="44"/>
      <c r="C31" s="164"/>
      <c r="D31" s="165"/>
      <c r="F31" s="44"/>
      <c r="G31" s="44"/>
      <c r="I31" s="44"/>
      <c r="K31" s="44"/>
      <c r="M31" s="44"/>
      <c r="O31" s="44"/>
      <c r="Q31" s="44"/>
    </row>
    <row r="32">
      <c r="B32" s="44"/>
      <c r="C32" s="164"/>
      <c r="D32" s="165"/>
      <c r="F32" s="44"/>
      <c r="G32" s="44"/>
      <c r="I32" s="44"/>
      <c r="K32" s="44"/>
      <c r="M32" s="44"/>
      <c r="O32" s="44"/>
      <c r="Q32" s="44"/>
    </row>
    <row r="33">
      <c r="B33" s="44"/>
      <c r="C33" s="164"/>
      <c r="D33" s="165"/>
      <c r="F33" s="44"/>
      <c r="G33" s="44"/>
      <c r="I33" s="44"/>
      <c r="K33" s="44"/>
      <c r="M33" s="44"/>
      <c r="O33" s="44"/>
      <c r="Q33" s="44"/>
    </row>
    <row r="34">
      <c r="B34" s="44"/>
      <c r="C34" s="164"/>
      <c r="D34" s="165"/>
      <c r="F34" s="44"/>
      <c r="G34" s="44"/>
      <c r="I34" s="44"/>
      <c r="K34" s="44"/>
      <c r="M34" s="44"/>
      <c r="O34" s="44"/>
      <c r="Q34" s="44"/>
    </row>
    <row r="35">
      <c r="B35" s="44"/>
      <c r="C35" s="164"/>
      <c r="D35" s="165"/>
      <c r="F35" s="44"/>
      <c r="G35" s="44"/>
      <c r="I35" s="44"/>
      <c r="K35" s="44"/>
      <c r="M35" s="44"/>
      <c r="O35" s="44"/>
      <c r="Q35" s="44"/>
    </row>
    <row r="36">
      <c r="B36" s="44"/>
      <c r="C36" s="164"/>
      <c r="D36" s="165"/>
      <c r="F36" s="44"/>
      <c r="G36" s="44"/>
      <c r="I36" s="44"/>
      <c r="K36" s="44"/>
      <c r="M36" s="44"/>
      <c r="O36" s="44"/>
      <c r="Q36" s="44"/>
    </row>
    <row r="37">
      <c r="B37" s="44"/>
      <c r="C37" s="164"/>
      <c r="D37" s="165"/>
      <c r="F37" s="44"/>
      <c r="G37" s="44"/>
      <c r="I37" s="44"/>
      <c r="K37" s="44"/>
      <c r="M37" s="44"/>
      <c r="O37" s="44"/>
      <c r="Q37" s="44"/>
    </row>
    <row r="38">
      <c r="B38" s="44"/>
      <c r="C38" s="164"/>
      <c r="D38" s="165"/>
      <c r="F38" s="44"/>
      <c r="G38" s="44"/>
      <c r="I38" s="44"/>
      <c r="K38" s="44"/>
      <c r="M38" s="44"/>
      <c r="O38" s="44"/>
      <c r="Q38" s="44"/>
    </row>
    <row r="39">
      <c r="B39" s="44"/>
      <c r="C39" s="164"/>
      <c r="D39" s="165"/>
      <c r="F39" s="44"/>
      <c r="G39" s="44"/>
      <c r="I39" s="44"/>
      <c r="K39" s="44"/>
      <c r="M39" s="44"/>
      <c r="O39" s="44"/>
      <c r="Q39" s="44"/>
    </row>
    <row r="40">
      <c r="B40" s="44"/>
      <c r="C40" s="164"/>
      <c r="D40" s="165"/>
      <c r="F40" s="44"/>
      <c r="G40" s="44"/>
      <c r="I40" s="44"/>
      <c r="K40" s="44"/>
      <c r="M40" s="44"/>
      <c r="O40" s="44"/>
      <c r="Q40" s="44"/>
    </row>
    <row r="41">
      <c r="B41" s="44"/>
      <c r="C41" s="164"/>
      <c r="D41" s="165"/>
      <c r="F41" s="44"/>
      <c r="G41" s="44"/>
      <c r="I41" s="44"/>
      <c r="K41" s="44"/>
      <c r="M41" s="44"/>
      <c r="O41" s="44"/>
      <c r="Q41" s="44"/>
    </row>
    <row r="42">
      <c r="B42" s="44"/>
      <c r="C42" s="164"/>
      <c r="D42" s="165"/>
      <c r="F42" s="44"/>
      <c r="G42" s="44"/>
      <c r="I42" s="44"/>
      <c r="K42" s="44"/>
      <c r="M42" s="44"/>
      <c r="O42" s="44"/>
      <c r="Q42" s="44"/>
    </row>
    <row r="43">
      <c r="B43" s="44"/>
      <c r="C43" s="164"/>
      <c r="D43" s="165"/>
      <c r="F43" s="44"/>
      <c r="G43" s="44"/>
      <c r="I43" s="44"/>
      <c r="K43" s="44"/>
      <c r="M43" s="44"/>
      <c r="O43" s="44"/>
      <c r="Q43" s="44"/>
    </row>
    <row r="44">
      <c r="B44" s="44"/>
      <c r="C44" s="164"/>
      <c r="D44" s="165"/>
      <c r="F44" s="44"/>
      <c r="G44" s="44"/>
      <c r="I44" s="44"/>
      <c r="K44" s="44"/>
      <c r="M44" s="44"/>
      <c r="O44" s="44"/>
      <c r="Q44" s="44"/>
    </row>
    <row r="45">
      <c r="B45" s="44"/>
      <c r="C45" s="164"/>
      <c r="D45" s="165"/>
      <c r="F45" s="44"/>
      <c r="G45" s="44"/>
      <c r="I45" s="44"/>
      <c r="K45" s="44"/>
      <c r="M45" s="44"/>
      <c r="O45" s="44"/>
      <c r="Q45" s="44"/>
    </row>
    <row r="46">
      <c r="B46" s="44"/>
      <c r="C46" s="164"/>
      <c r="D46" s="165"/>
      <c r="F46" s="44"/>
      <c r="G46" s="44"/>
      <c r="I46" s="44"/>
      <c r="K46" s="44"/>
      <c r="M46" s="44"/>
      <c r="O46" s="44"/>
      <c r="Q46" s="44"/>
    </row>
    <row r="47">
      <c r="B47" s="44"/>
      <c r="C47" s="164"/>
      <c r="D47" s="165"/>
      <c r="F47" s="44"/>
      <c r="G47" s="44"/>
      <c r="I47" s="44"/>
      <c r="K47" s="44"/>
      <c r="M47" s="44"/>
      <c r="O47" s="44"/>
      <c r="Q47" s="44"/>
    </row>
    <row r="48">
      <c r="B48" s="44"/>
      <c r="C48" s="164"/>
      <c r="D48" s="165"/>
      <c r="F48" s="44"/>
      <c r="G48" s="44"/>
      <c r="I48" s="44"/>
      <c r="K48" s="44"/>
      <c r="M48" s="44"/>
      <c r="O48" s="44"/>
      <c r="Q48" s="44"/>
    </row>
    <row r="49">
      <c r="B49" s="44"/>
      <c r="C49" s="164"/>
      <c r="D49" s="165"/>
      <c r="F49" s="44"/>
      <c r="G49" s="44"/>
      <c r="I49" s="44"/>
      <c r="K49" s="44"/>
      <c r="M49" s="44"/>
      <c r="O49" s="44"/>
      <c r="Q49" s="44"/>
    </row>
    <row r="50">
      <c r="B50" s="44"/>
      <c r="C50" s="164"/>
      <c r="D50" s="165"/>
      <c r="F50" s="44"/>
      <c r="G50" s="44"/>
      <c r="I50" s="44"/>
      <c r="K50" s="44"/>
      <c r="M50" s="44"/>
      <c r="O50" s="44"/>
      <c r="Q50" s="44"/>
    </row>
    <row r="51">
      <c r="B51" s="44"/>
      <c r="C51" s="164"/>
      <c r="D51" s="165"/>
      <c r="F51" s="44"/>
      <c r="G51" s="44"/>
      <c r="I51" s="44"/>
      <c r="K51" s="44"/>
      <c r="M51" s="44"/>
      <c r="O51" s="44"/>
      <c r="Q51" s="44"/>
    </row>
    <row r="52">
      <c r="B52" s="44"/>
      <c r="C52" s="164"/>
      <c r="D52" s="165"/>
      <c r="F52" s="44"/>
      <c r="G52" s="44"/>
      <c r="I52" s="44"/>
      <c r="K52" s="44"/>
      <c r="M52" s="44"/>
      <c r="O52" s="44"/>
      <c r="Q52" s="44"/>
    </row>
    <row r="53">
      <c r="B53" s="44"/>
      <c r="C53" s="164"/>
      <c r="D53" s="165"/>
      <c r="F53" s="44"/>
      <c r="G53" s="44"/>
      <c r="I53" s="44"/>
      <c r="K53" s="44"/>
      <c r="M53" s="44"/>
      <c r="O53" s="44"/>
      <c r="Q53" s="44"/>
    </row>
    <row r="54">
      <c r="B54" s="44"/>
      <c r="C54" s="164"/>
      <c r="D54" s="165"/>
      <c r="F54" s="44"/>
      <c r="G54" s="44"/>
      <c r="I54" s="44"/>
      <c r="K54" s="44"/>
      <c r="M54" s="44"/>
      <c r="O54" s="44"/>
      <c r="Q54" s="44"/>
    </row>
    <row r="55">
      <c r="B55" s="44"/>
      <c r="C55" s="164"/>
      <c r="D55" s="165"/>
      <c r="F55" s="44"/>
      <c r="G55" s="44"/>
      <c r="I55" s="44"/>
      <c r="K55" s="44"/>
      <c r="M55" s="44"/>
      <c r="O55" s="44"/>
      <c r="Q55" s="44"/>
    </row>
    <row r="56">
      <c r="B56" s="44"/>
      <c r="C56" s="164"/>
      <c r="D56" s="165"/>
      <c r="F56" s="44"/>
      <c r="G56" s="44"/>
      <c r="I56" s="44"/>
      <c r="K56" s="44"/>
      <c r="M56" s="44"/>
      <c r="O56" s="44"/>
      <c r="Q56" s="44"/>
    </row>
    <row r="57">
      <c r="B57" s="44"/>
      <c r="C57" s="164"/>
      <c r="D57" s="165"/>
      <c r="F57" s="44"/>
      <c r="G57" s="44"/>
      <c r="I57" s="44"/>
      <c r="K57" s="44"/>
      <c r="M57" s="44"/>
      <c r="O57" s="44"/>
      <c r="Q57" s="44"/>
    </row>
    <row r="58">
      <c r="B58" s="44"/>
      <c r="C58" s="164"/>
      <c r="D58" s="165"/>
      <c r="F58" s="44"/>
      <c r="G58" s="44"/>
      <c r="I58" s="44"/>
      <c r="K58" s="44"/>
      <c r="M58" s="44"/>
      <c r="O58" s="44"/>
      <c r="Q58" s="44"/>
    </row>
    <row r="59">
      <c r="B59" s="44"/>
      <c r="C59" s="164"/>
      <c r="D59" s="165"/>
      <c r="F59" s="44"/>
      <c r="G59" s="44"/>
      <c r="I59" s="44"/>
      <c r="K59" s="44"/>
      <c r="M59" s="44"/>
      <c r="O59" s="44"/>
      <c r="Q59" s="44"/>
    </row>
    <row r="60">
      <c r="B60" s="44"/>
      <c r="C60" s="164"/>
      <c r="D60" s="165"/>
      <c r="F60" s="44"/>
      <c r="G60" s="44"/>
      <c r="I60" s="44"/>
      <c r="K60" s="44"/>
      <c r="M60" s="44"/>
      <c r="O60" s="44"/>
      <c r="Q60" s="44"/>
    </row>
    <row r="61">
      <c r="B61" s="44"/>
      <c r="C61" s="164"/>
      <c r="D61" s="165"/>
      <c r="F61" s="44"/>
      <c r="G61" s="44"/>
      <c r="I61" s="44"/>
      <c r="K61" s="44"/>
      <c r="M61" s="44"/>
      <c r="O61" s="44"/>
      <c r="Q61" s="44"/>
    </row>
    <row r="62">
      <c r="B62" s="44"/>
      <c r="C62" s="164"/>
      <c r="D62" s="165"/>
      <c r="F62" s="44"/>
      <c r="G62" s="44"/>
      <c r="I62" s="44"/>
      <c r="K62" s="44"/>
      <c r="M62" s="44"/>
      <c r="O62" s="44"/>
      <c r="Q62" s="44"/>
    </row>
    <row r="63">
      <c r="B63" s="44"/>
      <c r="C63" s="164"/>
      <c r="D63" s="165"/>
      <c r="F63" s="44"/>
      <c r="G63" s="44"/>
      <c r="I63" s="44"/>
      <c r="K63" s="44"/>
      <c r="M63" s="44"/>
      <c r="O63" s="44"/>
      <c r="Q63" s="44"/>
    </row>
    <row r="64">
      <c r="B64" s="44"/>
      <c r="C64" s="164"/>
      <c r="D64" s="165"/>
      <c r="F64" s="44"/>
      <c r="G64" s="44"/>
      <c r="I64" s="44"/>
      <c r="K64" s="44"/>
      <c r="M64" s="44"/>
      <c r="O64" s="44"/>
      <c r="Q64" s="44"/>
    </row>
    <row r="65">
      <c r="B65" s="44"/>
      <c r="C65" s="164"/>
      <c r="D65" s="165"/>
      <c r="F65" s="44"/>
      <c r="G65" s="44"/>
      <c r="I65" s="44"/>
      <c r="K65" s="44"/>
      <c r="M65" s="44"/>
      <c r="O65" s="44"/>
      <c r="Q65" s="44"/>
    </row>
    <row r="66">
      <c r="B66" s="44"/>
      <c r="C66" s="164"/>
      <c r="D66" s="165"/>
      <c r="F66" s="44"/>
      <c r="G66" s="44"/>
      <c r="I66" s="44"/>
      <c r="K66" s="44"/>
      <c r="M66" s="44"/>
      <c r="O66" s="44"/>
      <c r="Q66" s="44"/>
    </row>
    <row r="67">
      <c r="B67" s="44"/>
      <c r="C67" s="164"/>
      <c r="D67" s="165"/>
      <c r="F67" s="44"/>
      <c r="G67" s="44"/>
      <c r="I67" s="44"/>
      <c r="K67" s="44"/>
      <c r="M67" s="44"/>
      <c r="O67" s="44"/>
      <c r="Q67" s="44"/>
    </row>
    <row r="68">
      <c r="B68" s="44"/>
      <c r="C68" s="164"/>
      <c r="D68" s="165"/>
      <c r="F68" s="44"/>
      <c r="G68" s="44"/>
      <c r="I68" s="44"/>
      <c r="K68" s="44"/>
      <c r="M68" s="44"/>
      <c r="O68" s="44"/>
      <c r="Q68" s="44"/>
    </row>
    <row r="69">
      <c r="B69" s="44"/>
      <c r="C69" s="164"/>
      <c r="D69" s="165"/>
      <c r="F69" s="44"/>
      <c r="G69" s="44"/>
      <c r="I69" s="44"/>
      <c r="K69" s="44"/>
      <c r="M69" s="44"/>
      <c r="O69" s="44"/>
      <c r="Q69" s="44"/>
    </row>
    <row r="70">
      <c r="B70" s="44"/>
      <c r="C70" s="164"/>
      <c r="D70" s="165"/>
      <c r="F70" s="44"/>
      <c r="G70" s="44"/>
      <c r="I70" s="44"/>
      <c r="K70" s="44"/>
      <c r="M70" s="44"/>
      <c r="O70" s="44"/>
      <c r="Q70" s="44"/>
    </row>
    <row r="71">
      <c r="B71" s="44"/>
      <c r="C71" s="164"/>
      <c r="D71" s="165"/>
      <c r="F71" s="44"/>
      <c r="G71" s="44"/>
      <c r="I71" s="44"/>
      <c r="K71" s="44"/>
      <c r="M71" s="44"/>
      <c r="O71" s="44"/>
      <c r="Q71" s="44"/>
    </row>
    <row r="72">
      <c r="B72" s="44"/>
      <c r="C72" s="164"/>
      <c r="D72" s="165"/>
      <c r="F72" s="44"/>
      <c r="G72" s="44"/>
      <c r="I72" s="44"/>
      <c r="K72" s="44"/>
      <c r="M72" s="44"/>
      <c r="O72" s="44"/>
      <c r="Q72" s="44"/>
    </row>
    <row r="73">
      <c r="B73" s="44"/>
      <c r="C73" s="164"/>
      <c r="D73" s="165"/>
      <c r="F73" s="44"/>
      <c r="G73" s="44"/>
      <c r="I73" s="44"/>
      <c r="K73" s="44"/>
      <c r="M73" s="44"/>
      <c r="O73" s="44"/>
      <c r="Q73" s="44"/>
    </row>
    <row r="74">
      <c r="B74" s="44"/>
      <c r="C74" s="164"/>
      <c r="D74" s="165"/>
      <c r="F74" s="44"/>
      <c r="G74" s="44"/>
      <c r="I74" s="44"/>
      <c r="K74" s="44"/>
      <c r="M74" s="44"/>
      <c r="O74" s="44"/>
      <c r="Q74" s="44"/>
    </row>
    <row r="75">
      <c r="B75" s="44"/>
      <c r="C75" s="164"/>
      <c r="D75" s="165"/>
      <c r="F75" s="44"/>
      <c r="G75" s="44"/>
      <c r="I75" s="44"/>
      <c r="K75" s="44"/>
      <c r="M75" s="44"/>
      <c r="O75" s="44"/>
      <c r="Q75" s="44"/>
    </row>
    <row r="76">
      <c r="B76" s="44"/>
      <c r="C76" s="164"/>
      <c r="D76" s="165"/>
      <c r="F76" s="44"/>
      <c r="G76" s="44"/>
      <c r="I76" s="44"/>
      <c r="K76" s="44"/>
      <c r="M76" s="44"/>
      <c r="O76" s="44"/>
      <c r="Q76" s="44"/>
    </row>
    <row r="77">
      <c r="B77" s="44"/>
      <c r="C77" s="164"/>
      <c r="D77" s="165"/>
      <c r="F77" s="44"/>
      <c r="G77" s="44"/>
      <c r="I77" s="44"/>
      <c r="K77" s="44"/>
      <c r="M77" s="44"/>
      <c r="O77" s="44"/>
      <c r="Q77" s="44"/>
    </row>
    <row r="78">
      <c r="B78" s="44"/>
      <c r="C78" s="164"/>
      <c r="D78" s="165"/>
      <c r="F78" s="44"/>
      <c r="G78" s="44"/>
      <c r="I78" s="44"/>
      <c r="K78" s="44"/>
      <c r="M78" s="44"/>
      <c r="O78" s="44"/>
      <c r="Q78" s="44"/>
    </row>
    <row r="79">
      <c r="B79" s="44"/>
      <c r="C79" s="164"/>
      <c r="D79" s="165"/>
      <c r="F79" s="44"/>
      <c r="G79" s="44"/>
      <c r="I79" s="44"/>
      <c r="K79" s="44"/>
      <c r="M79" s="44"/>
      <c r="O79" s="44"/>
      <c r="Q79" s="44"/>
    </row>
    <row r="80">
      <c r="B80" s="44"/>
      <c r="C80" s="164"/>
      <c r="D80" s="165"/>
      <c r="F80" s="44"/>
      <c r="G80" s="44"/>
      <c r="I80" s="44"/>
      <c r="K80" s="44"/>
      <c r="M80" s="44"/>
      <c r="O80" s="44"/>
      <c r="Q80" s="44"/>
    </row>
    <row r="81">
      <c r="B81" s="44"/>
      <c r="C81" s="164"/>
      <c r="D81" s="165"/>
      <c r="F81" s="44"/>
      <c r="G81" s="44"/>
      <c r="I81" s="44"/>
      <c r="K81" s="44"/>
      <c r="M81" s="44"/>
      <c r="O81" s="44"/>
      <c r="Q81" s="44"/>
    </row>
    <row r="82">
      <c r="B82" s="44"/>
      <c r="C82" s="164"/>
      <c r="D82" s="165"/>
      <c r="F82" s="44"/>
      <c r="G82" s="44"/>
      <c r="I82" s="44"/>
      <c r="K82" s="44"/>
      <c r="M82" s="44"/>
      <c r="O82" s="44"/>
      <c r="Q82" s="44"/>
    </row>
    <row r="83">
      <c r="B83" s="44"/>
      <c r="C83" s="164"/>
      <c r="D83" s="165"/>
      <c r="F83" s="44"/>
      <c r="G83" s="44"/>
      <c r="I83" s="44"/>
      <c r="K83" s="44"/>
      <c r="M83" s="44"/>
      <c r="O83" s="44"/>
      <c r="Q83" s="44"/>
    </row>
    <row r="84">
      <c r="B84" s="44"/>
      <c r="C84" s="164"/>
      <c r="D84" s="165"/>
      <c r="F84" s="44"/>
      <c r="G84" s="44"/>
      <c r="I84" s="44"/>
      <c r="K84" s="44"/>
      <c r="M84" s="44"/>
      <c r="O84" s="44"/>
      <c r="Q84" s="44"/>
    </row>
    <row r="85">
      <c r="B85" s="44"/>
      <c r="C85" s="164"/>
      <c r="D85" s="165"/>
      <c r="F85" s="44"/>
      <c r="G85" s="44"/>
      <c r="I85" s="44"/>
      <c r="K85" s="44"/>
      <c r="M85" s="44"/>
      <c r="O85" s="44"/>
      <c r="Q85" s="44"/>
    </row>
    <row r="86">
      <c r="B86" s="44"/>
      <c r="C86" s="164"/>
      <c r="D86" s="165"/>
      <c r="F86" s="44"/>
      <c r="G86" s="44"/>
      <c r="I86" s="44"/>
      <c r="K86" s="44"/>
      <c r="M86" s="44"/>
      <c r="O86" s="44"/>
      <c r="Q86" s="44"/>
    </row>
    <row r="87">
      <c r="B87" s="44"/>
      <c r="C87" s="164"/>
      <c r="D87" s="165"/>
      <c r="F87" s="44"/>
      <c r="G87" s="44"/>
      <c r="I87" s="44"/>
      <c r="K87" s="44"/>
      <c r="M87" s="44"/>
      <c r="O87" s="44"/>
      <c r="Q87" s="44"/>
    </row>
    <row r="88">
      <c r="B88" s="44"/>
      <c r="C88" s="164"/>
      <c r="D88" s="165"/>
      <c r="F88" s="44"/>
      <c r="G88" s="44"/>
      <c r="I88" s="44"/>
      <c r="K88" s="44"/>
      <c r="M88" s="44"/>
      <c r="O88" s="44"/>
      <c r="Q88" s="44"/>
    </row>
    <row r="89">
      <c r="B89" s="44"/>
      <c r="C89" s="164"/>
      <c r="D89" s="165"/>
      <c r="F89" s="44"/>
      <c r="G89" s="44"/>
      <c r="I89" s="44"/>
      <c r="K89" s="44"/>
      <c r="M89" s="44"/>
      <c r="O89" s="44"/>
      <c r="Q89" s="44"/>
    </row>
    <row r="90">
      <c r="B90" s="44"/>
      <c r="C90" s="164"/>
      <c r="D90" s="165"/>
      <c r="F90" s="44"/>
      <c r="G90" s="44"/>
      <c r="I90" s="44"/>
      <c r="K90" s="44"/>
      <c r="M90" s="44"/>
      <c r="O90" s="44"/>
      <c r="Q90" s="44"/>
    </row>
    <row r="91">
      <c r="B91" s="44"/>
      <c r="C91" s="164"/>
      <c r="D91" s="165"/>
      <c r="F91" s="44"/>
      <c r="G91" s="44"/>
      <c r="I91" s="44"/>
      <c r="K91" s="44"/>
      <c r="M91" s="44"/>
      <c r="O91" s="44"/>
      <c r="Q91" s="44"/>
    </row>
    <row r="92">
      <c r="B92" s="44"/>
      <c r="C92" s="164"/>
      <c r="D92" s="165"/>
      <c r="F92" s="44"/>
      <c r="G92" s="44"/>
      <c r="I92" s="44"/>
      <c r="K92" s="44"/>
      <c r="M92" s="44"/>
      <c r="O92" s="44"/>
      <c r="Q92" s="44"/>
    </row>
    <row r="93">
      <c r="B93" s="44"/>
      <c r="C93" s="164"/>
      <c r="D93" s="165"/>
      <c r="F93" s="44"/>
      <c r="G93" s="44"/>
      <c r="I93" s="44"/>
      <c r="K93" s="44"/>
      <c r="M93" s="44"/>
      <c r="O93" s="44"/>
      <c r="Q93" s="44"/>
    </row>
    <row r="94">
      <c r="B94" s="44"/>
      <c r="C94" s="164"/>
      <c r="D94" s="165"/>
      <c r="F94" s="44"/>
      <c r="G94" s="44"/>
      <c r="I94" s="44"/>
      <c r="K94" s="44"/>
      <c r="M94" s="44"/>
      <c r="O94" s="44"/>
      <c r="Q94" s="44"/>
    </row>
    <row r="95">
      <c r="B95" s="44"/>
      <c r="C95" s="164"/>
      <c r="D95" s="165"/>
      <c r="F95" s="44"/>
      <c r="G95" s="44"/>
      <c r="I95" s="44"/>
      <c r="K95" s="44"/>
      <c r="M95" s="44"/>
      <c r="O95" s="44"/>
      <c r="Q95" s="44"/>
    </row>
    <row r="96">
      <c r="B96" s="44"/>
      <c r="C96" s="164"/>
      <c r="D96" s="165"/>
      <c r="F96" s="44"/>
      <c r="G96" s="44"/>
      <c r="I96" s="44"/>
      <c r="K96" s="44"/>
      <c r="M96" s="44"/>
      <c r="O96" s="44"/>
      <c r="Q96" s="44"/>
    </row>
    <row r="97">
      <c r="B97" s="44"/>
      <c r="C97" s="164"/>
      <c r="D97" s="165"/>
      <c r="F97" s="44"/>
      <c r="G97" s="44"/>
      <c r="I97" s="44"/>
      <c r="K97" s="44"/>
      <c r="M97" s="44"/>
      <c r="O97" s="44"/>
      <c r="Q97" s="44"/>
    </row>
    <row r="98">
      <c r="B98" s="44"/>
      <c r="C98" s="164"/>
      <c r="D98" s="165"/>
      <c r="F98" s="44"/>
      <c r="G98" s="44"/>
      <c r="I98" s="44"/>
      <c r="K98" s="44"/>
      <c r="M98" s="44"/>
      <c r="O98" s="44"/>
      <c r="Q98" s="44"/>
    </row>
    <row r="99">
      <c r="B99" s="44"/>
      <c r="C99" s="164"/>
      <c r="D99" s="165"/>
      <c r="F99" s="44"/>
      <c r="G99" s="44"/>
      <c r="I99" s="44"/>
      <c r="K99" s="44"/>
      <c r="M99" s="44"/>
      <c r="O99" s="44"/>
      <c r="Q99" s="44"/>
    </row>
    <row r="100">
      <c r="B100" s="44"/>
      <c r="C100" s="164"/>
      <c r="D100" s="165"/>
      <c r="F100" s="44"/>
      <c r="G100" s="44"/>
      <c r="I100" s="44"/>
      <c r="K100" s="44"/>
      <c r="M100" s="44"/>
      <c r="O100" s="44"/>
      <c r="Q100" s="44"/>
    </row>
    <row r="101">
      <c r="B101" s="44"/>
      <c r="C101" s="164"/>
      <c r="D101" s="165"/>
      <c r="F101" s="44"/>
      <c r="G101" s="44"/>
      <c r="I101" s="44"/>
      <c r="K101" s="44"/>
      <c r="M101" s="44"/>
      <c r="O101" s="44"/>
      <c r="Q101" s="44"/>
    </row>
    <row r="102">
      <c r="B102" s="44"/>
      <c r="C102" s="164"/>
      <c r="D102" s="165"/>
      <c r="F102" s="44"/>
      <c r="G102" s="44"/>
      <c r="I102" s="44"/>
      <c r="K102" s="44"/>
      <c r="M102" s="44"/>
      <c r="O102" s="44"/>
      <c r="Q102" s="44"/>
    </row>
    <row r="103">
      <c r="B103" s="44"/>
      <c r="C103" s="164"/>
      <c r="D103" s="165"/>
      <c r="F103" s="44"/>
      <c r="G103" s="44"/>
      <c r="I103" s="44"/>
      <c r="K103" s="44"/>
      <c r="M103" s="44"/>
      <c r="O103" s="44"/>
      <c r="Q103" s="44"/>
    </row>
    <row r="104">
      <c r="B104" s="44"/>
      <c r="C104" s="164"/>
      <c r="D104" s="165"/>
      <c r="F104" s="44"/>
      <c r="G104" s="44"/>
      <c r="I104" s="44"/>
      <c r="K104" s="44"/>
      <c r="M104" s="44"/>
      <c r="O104" s="44"/>
      <c r="Q104" s="44"/>
    </row>
    <row r="105">
      <c r="B105" s="44"/>
      <c r="C105" s="164"/>
      <c r="D105" s="165"/>
      <c r="F105" s="44"/>
      <c r="G105" s="44"/>
      <c r="I105" s="44"/>
      <c r="K105" s="44"/>
      <c r="M105" s="44"/>
      <c r="O105" s="44"/>
      <c r="Q105" s="44"/>
    </row>
    <row r="106">
      <c r="B106" s="44"/>
      <c r="C106" s="164"/>
      <c r="D106" s="165"/>
      <c r="F106" s="44"/>
      <c r="G106" s="44"/>
      <c r="I106" s="44"/>
      <c r="K106" s="44"/>
      <c r="M106" s="44"/>
      <c r="O106" s="44"/>
      <c r="Q106" s="44"/>
    </row>
    <row r="107">
      <c r="B107" s="44"/>
      <c r="C107" s="164"/>
      <c r="D107" s="165"/>
      <c r="F107" s="44"/>
      <c r="G107" s="44"/>
      <c r="I107" s="44"/>
      <c r="K107" s="44"/>
      <c r="M107" s="44"/>
      <c r="O107" s="44"/>
      <c r="Q107" s="44"/>
    </row>
    <row r="108">
      <c r="B108" s="44"/>
      <c r="C108" s="164"/>
      <c r="D108" s="165"/>
      <c r="F108" s="44"/>
      <c r="G108" s="44"/>
      <c r="I108" s="44"/>
      <c r="K108" s="44"/>
      <c r="M108" s="44"/>
      <c r="O108" s="44"/>
      <c r="Q108" s="44"/>
    </row>
    <row r="109">
      <c r="B109" s="44"/>
      <c r="C109" s="164"/>
      <c r="D109" s="165"/>
      <c r="F109" s="44"/>
      <c r="G109" s="44"/>
      <c r="I109" s="44"/>
      <c r="K109" s="44"/>
      <c r="M109" s="44"/>
      <c r="O109" s="44"/>
      <c r="Q109" s="44"/>
    </row>
    <row r="110">
      <c r="B110" s="44"/>
      <c r="C110" s="164"/>
      <c r="D110" s="165"/>
      <c r="F110" s="44"/>
      <c r="G110" s="44"/>
      <c r="I110" s="44"/>
      <c r="K110" s="44"/>
      <c r="M110" s="44"/>
      <c r="O110" s="44"/>
      <c r="Q110" s="44"/>
    </row>
    <row r="111">
      <c r="B111" s="44"/>
      <c r="C111" s="164"/>
      <c r="D111" s="165"/>
      <c r="F111" s="44"/>
      <c r="G111" s="44"/>
      <c r="I111" s="44"/>
      <c r="K111" s="44"/>
      <c r="M111" s="44"/>
      <c r="O111" s="44"/>
      <c r="Q111" s="44"/>
    </row>
    <row r="112">
      <c r="B112" s="44"/>
      <c r="C112" s="164"/>
      <c r="D112" s="165"/>
      <c r="F112" s="44"/>
      <c r="G112" s="44"/>
      <c r="I112" s="44"/>
      <c r="K112" s="44"/>
      <c r="M112" s="44"/>
      <c r="O112" s="44"/>
      <c r="Q112" s="44"/>
    </row>
    <row r="113">
      <c r="B113" s="44"/>
      <c r="C113" s="164"/>
      <c r="D113" s="165"/>
      <c r="F113" s="44"/>
      <c r="G113" s="44"/>
      <c r="I113" s="44"/>
      <c r="K113" s="44"/>
      <c r="M113" s="44"/>
      <c r="O113" s="44"/>
      <c r="Q113" s="44"/>
    </row>
    <row r="114">
      <c r="B114" s="44"/>
      <c r="C114" s="164"/>
      <c r="D114" s="165"/>
      <c r="F114" s="44"/>
      <c r="G114" s="44"/>
      <c r="I114" s="44"/>
      <c r="K114" s="44"/>
      <c r="M114" s="44"/>
      <c r="O114" s="44"/>
      <c r="Q114" s="44"/>
    </row>
    <row r="115">
      <c r="B115" s="44"/>
      <c r="C115" s="164"/>
      <c r="D115" s="165"/>
      <c r="F115" s="44"/>
      <c r="G115" s="44"/>
      <c r="I115" s="44"/>
      <c r="K115" s="44"/>
      <c r="M115" s="44"/>
      <c r="O115" s="44"/>
      <c r="Q115" s="44"/>
    </row>
    <row r="116">
      <c r="B116" s="44"/>
      <c r="C116" s="164"/>
      <c r="D116" s="165"/>
      <c r="F116" s="44"/>
      <c r="G116" s="44"/>
      <c r="I116" s="44"/>
      <c r="K116" s="44"/>
      <c r="M116" s="44"/>
      <c r="O116" s="44"/>
      <c r="Q116" s="44"/>
    </row>
    <row r="117">
      <c r="B117" s="44"/>
      <c r="C117" s="164"/>
      <c r="D117" s="165"/>
      <c r="F117" s="44"/>
      <c r="G117" s="44"/>
      <c r="I117" s="44"/>
      <c r="K117" s="44"/>
      <c r="M117" s="44"/>
      <c r="O117" s="44"/>
      <c r="Q117" s="44"/>
    </row>
    <row r="118">
      <c r="B118" s="44"/>
      <c r="C118" s="164"/>
      <c r="D118" s="165"/>
      <c r="F118" s="44"/>
      <c r="G118" s="44"/>
      <c r="I118" s="44"/>
      <c r="K118" s="44"/>
      <c r="M118" s="44"/>
      <c r="O118" s="44"/>
      <c r="Q118" s="44"/>
    </row>
    <row r="119">
      <c r="B119" s="44"/>
      <c r="C119" s="164"/>
      <c r="D119" s="165"/>
      <c r="F119" s="44"/>
      <c r="G119" s="44"/>
      <c r="I119" s="44"/>
      <c r="K119" s="44"/>
      <c r="M119" s="44"/>
      <c r="O119" s="44"/>
      <c r="Q119" s="44"/>
    </row>
    <row r="120">
      <c r="B120" s="44"/>
      <c r="C120" s="164"/>
      <c r="D120" s="165"/>
      <c r="F120" s="44"/>
      <c r="G120" s="44"/>
      <c r="I120" s="44"/>
      <c r="K120" s="44"/>
      <c r="M120" s="44"/>
      <c r="O120" s="44"/>
      <c r="Q120" s="44"/>
    </row>
    <row r="121">
      <c r="B121" s="44"/>
      <c r="C121" s="164"/>
      <c r="D121" s="165"/>
      <c r="F121" s="44"/>
      <c r="G121" s="44"/>
      <c r="I121" s="44"/>
      <c r="K121" s="44"/>
      <c r="M121" s="44"/>
      <c r="O121" s="44"/>
      <c r="Q121" s="44"/>
    </row>
    <row r="122">
      <c r="B122" s="44"/>
      <c r="C122" s="164"/>
      <c r="D122" s="165"/>
      <c r="F122" s="44"/>
      <c r="G122" s="44"/>
      <c r="I122" s="44"/>
      <c r="K122" s="44"/>
      <c r="M122" s="44"/>
      <c r="O122" s="44"/>
      <c r="Q122" s="44"/>
    </row>
    <row r="123">
      <c r="B123" s="44"/>
      <c r="C123" s="164"/>
      <c r="D123" s="165"/>
      <c r="F123" s="44"/>
      <c r="G123" s="44"/>
      <c r="I123" s="44"/>
      <c r="K123" s="44"/>
      <c r="M123" s="44"/>
      <c r="O123" s="44"/>
      <c r="Q123" s="44"/>
    </row>
    <row r="124">
      <c r="B124" s="44"/>
      <c r="C124" s="164"/>
      <c r="D124" s="165"/>
      <c r="F124" s="44"/>
      <c r="G124" s="44"/>
      <c r="I124" s="44"/>
      <c r="K124" s="44"/>
      <c r="M124" s="44"/>
      <c r="O124" s="44"/>
      <c r="Q124" s="44"/>
    </row>
    <row r="125">
      <c r="B125" s="44"/>
      <c r="C125" s="164"/>
      <c r="D125" s="165"/>
      <c r="F125" s="44"/>
      <c r="G125" s="44"/>
      <c r="I125" s="44"/>
      <c r="K125" s="44"/>
      <c r="M125" s="44"/>
      <c r="O125" s="44"/>
      <c r="Q125" s="44"/>
    </row>
    <row r="126">
      <c r="B126" s="44"/>
      <c r="C126" s="164"/>
      <c r="D126" s="165"/>
      <c r="F126" s="44"/>
      <c r="G126" s="44"/>
      <c r="I126" s="44"/>
      <c r="K126" s="44"/>
      <c r="M126" s="44"/>
      <c r="O126" s="44"/>
      <c r="Q126" s="44"/>
    </row>
    <row r="127">
      <c r="B127" s="44"/>
      <c r="C127" s="164"/>
      <c r="D127" s="165"/>
      <c r="F127" s="44"/>
      <c r="G127" s="44"/>
      <c r="I127" s="44"/>
      <c r="K127" s="44"/>
      <c r="M127" s="44"/>
      <c r="O127" s="44"/>
      <c r="Q127" s="44"/>
    </row>
    <row r="128">
      <c r="B128" s="44"/>
      <c r="C128" s="164"/>
      <c r="D128" s="165"/>
      <c r="F128" s="44"/>
      <c r="G128" s="44"/>
      <c r="I128" s="44"/>
      <c r="K128" s="44"/>
      <c r="M128" s="44"/>
      <c r="O128" s="44"/>
      <c r="Q128" s="44"/>
    </row>
    <row r="129">
      <c r="B129" s="44"/>
      <c r="C129" s="164"/>
      <c r="D129" s="165"/>
      <c r="F129" s="44"/>
      <c r="G129" s="44"/>
      <c r="I129" s="44"/>
      <c r="K129" s="44"/>
      <c r="M129" s="44"/>
      <c r="O129" s="44"/>
      <c r="Q129" s="44"/>
    </row>
    <row r="130">
      <c r="B130" s="44"/>
      <c r="C130" s="164"/>
      <c r="D130" s="165"/>
      <c r="F130" s="44"/>
      <c r="G130" s="44"/>
      <c r="I130" s="44"/>
      <c r="K130" s="44"/>
      <c r="M130" s="44"/>
      <c r="O130" s="44"/>
      <c r="Q130" s="44"/>
    </row>
    <row r="131">
      <c r="B131" s="44"/>
      <c r="C131" s="164"/>
      <c r="D131" s="165"/>
      <c r="F131" s="44"/>
      <c r="G131" s="44"/>
      <c r="I131" s="44"/>
      <c r="K131" s="44"/>
      <c r="M131" s="44"/>
      <c r="O131" s="44"/>
      <c r="Q131" s="44"/>
    </row>
    <row r="132">
      <c r="B132" s="44"/>
      <c r="C132" s="164"/>
      <c r="D132" s="165"/>
      <c r="F132" s="44"/>
      <c r="G132" s="44"/>
      <c r="I132" s="44"/>
      <c r="K132" s="44"/>
      <c r="M132" s="44"/>
      <c r="O132" s="44"/>
      <c r="Q132" s="44"/>
    </row>
    <row r="133">
      <c r="B133" s="44"/>
      <c r="C133" s="164"/>
      <c r="D133" s="165"/>
      <c r="F133" s="44"/>
      <c r="G133" s="44"/>
      <c r="I133" s="44"/>
      <c r="K133" s="44"/>
      <c r="M133" s="44"/>
      <c r="O133" s="44"/>
      <c r="Q133" s="44"/>
    </row>
    <row r="134">
      <c r="B134" s="44"/>
      <c r="C134" s="164"/>
      <c r="D134" s="165"/>
      <c r="F134" s="44"/>
      <c r="G134" s="44"/>
      <c r="I134" s="44"/>
      <c r="K134" s="44"/>
      <c r="M134" s="44"/>
      <c r="O134" s="44"/>
      <c r="Q134" s="44"/>
    </row>
    <row r="135">
      <c r="B135" s="44"/>
      <c r="C135" s="164"/>
      <c r="D135" s="165"/>
      <c r="F135" s="44"/>
      <c r="G135" s="44"/>
      <c r="I135" s="44"/>
      <c r="K135" s="44"/>
      <c r="M135" s="44"/>
      <c r="O135" s="44"/>
      <c r="Q135" s="44"/>
    </row>
    <row r="136">
      <c r="B136" s="44"/>
      <c r="C136" s="164"/>
      <c r="D136" s="165"/>
      <c r="F136" s="44"/>
      <c r="G136" s="44"/>
      <c r="I136" s="44"/>
      <c r="K136" s="44"/>
      <c r="M136" s="44"/>
      <c r="O136" s="44"/>
      <c r="Q136" s="44"/>
    </row>
    <row r="137">
      <c r="B137" s="44"/>
      <c r="C137" s="164"/>
      <c r="D137" s="165"/>
      <c r="F137" s="44"/>
      <c r="G137" s="44"/>
      <c r="I137" s="44"/>
      <c r="K137" s="44"/>
      <c r="M137" s="44"/>
      <c r="O137" s="44"/>
      <c r="Q137" s="44"/>
    </row>
    <row r="138">
      <c r="B138" s="44"/>
      <c r="C138" s="164"/>
      <c r="D138" s="165"/>
      <c r="F138" s="44"/>
      <c r="G138" s="44"/>
      <c r="I138" s="44"/>
      <c r="K138" s="44"/>
      <c r="M138" s="44"/>
      <c r="O138" s="44"/>
      <c r="Q138" s="44"/>
    </row>
    <row r="139">
      <c r="B139" s="44"/>
      <c r="C139" s="164"/>
      <c r="D139" s="165"/>
      <c r="F139" s="44"/>
      <c r="G139" s="44"/>
      <c r="I139" s="44"/>
      <c r="K139" s="44"/>
      <c r="M139" s="44"/>
      <c r="O139" s="44"/>
      <c r="Q139" s="44"/>
    </row>
    <row r="140">
      <c r="B140" s="44"/>
      <c r="C140" s="164"/>
      <c r="D140" s="165"/>
      <c r="F140" s="44"/>
      <c r="G140" s="44"/>
      <c r="I140" s="44"/>
      <c r="K140" s="44"/>
      <c r="M140" s="44"/>
      <c r="O140" s="44"/>
      <c r="Q140" s="44"/>
    </row>
    <row r="141">
      <c r="B141" s="44"/>
      <c r="C141" s="164"/>
      <c r="D141" s="165"/>
      <c r="F141" s="44"/>
      <c r="G141" s="44"/>
      <c r="I141" s="44"/>
      <c r="K141" s="44"/>
      <c r="M141" s="44"/>
      <c r="O141" s="44"/>
      <c r="Q141" s="44"/>
    </row>
    <row r="142">
      <c r="B142" s="44"/>
      <c r="C142" s="164"/>
      <c r="D142" s="165"/>
      <c r="F142" s="44"/>
      <c r="G142" s="44"/>
      <c r="I142" s="44"/>
      <c r="K142" s="44"/>
      <c r="M142" s="44"/>
      <c r="O142" s="44"/>
      <c r="Q142" s="44"/>
    </row>
    <row r="143">
      <c r="B143" s="44"/>
      <c r="C143" s="164"/>
      <c r="D143" s="165"/>
      <c r="F143" s="44"/>
      <c r="G143" s="44"/>
      <c r="I143" s="44"/>
      <c r="K143" s="44"/>
      <c r="M143" s="44"/>
      <c r="O143" s="44"/>
      <c r="Q143" s="44"/>
    </row>
    <row r="144">
      <c r="B144" s="44"/>
      <c r="C144" s="164"/>
      <c r="D144" s="165"/>
      <c r="F144" s="44"/>
      <c r="G144" s="44"/>
      <c r="I144" s="44"/>
      <c r="K144" s="44"/>
      <c r="M144" s="44"/>
      <c r="O144" s="44"/>
      <c r="Q144" s="44"/>
    </row>
    <row r="145">
      <c r="B145" s="44"/>
      <c r="C145" s="164"/>
      <c r="D145" s="165"/>
      <c r="F145" s="44"/>
      <c r="G145" s="44"/>
      <c r="I145" s="44"/>
      <c r="K145" s="44"/>
      <c r="M145" s="44"/>
      <c r="O145" s="44"/>
      <c r="Q145" s="44"/>
    </row>
    <row r="146">
      <c r="B146" s="44"/>
      <c r="C146" s="164"/>
      <c r="D146" s="165"/>
      <c r="F146" s="44"/>
      <c r="G146" s="44"/>
      <c r="I146" s="44"/>
      <c r="K146" s="44"/>
      <c r="M146" s="44"/>
      <c r="O146" s="44"/>
      <c r="Q146" s="44"/>
    </row>
    <row r="147">
      <c r="B147" s="44"/>
      <c r="C147" s="164"/>
      <c r="D147" s="165"/>
      <c r="F147" s="44"/>
      <c r="G147" s="44"/>
      <c r="I147" s="44"/>
      <c r="K147" s="44"/>
      <c r="M147" s="44"/>
      <c r="O147" s="44"/>
      <c r="Q147" s="44"/>
    </row>
    <row r="148">
      <c r="B148" s="44"/>
      <c r="C148" s="164"/>
      <c r="D148" s="165"/>
      <c r="F148" s="44"/>
      <c r="G148" s="44"/>
      <c r="I148" s="44"/>
      <c r="K148" s="44"/>
      <c r="M148" s="44"/>
      <c r="O148" s="44"/>
      <c r="Q148" s="44"/>
    </row>
    <row r="149">
      <c r="B149" s="44"/>
      <c r="C149" s="164"/>
      <c r="D149" s="165"/>
      <c r="F149" s="44"/>
      <c r="G149" s="44"/>
      <c r="I149" s="44"/>
      <c r="K149" s="44"/>
      <c r="M149" s="44"/>
      <c r="O149" s="44"/>
      <c r="Q149" s="44"/>
    </row>
    <row r="150">
      <c r="B150" s="44"/>
      <c r="C150" s="164"/>
      <c r="D150" s="165"/>
      <c r="F150" s="44"/>
      <c r="G150" s="44"/>
      <c r="I150" s="44"/>
      <c r="K150" s="44"/>
      <c r="M150" s="44"/>
      <c r="O150" s="44"/>
      <c r="Q150" s="44"/>
    </row>
    <row r="151">
      <c r="B151" s="44"/>
      <c r="C151" s="164"/>
      <c r="D151" s="165"/>
      <c r="F151" s="44"/>
      <c r="G151" s="44"/>
      <c r="I151" s="44"/>
      <c r="K151" s="44"/>
      <c r="M151" s="44"/>
      <c r="O151" s="44"/>
      <c r="Q151" s="44"/>
    </row>
    <row r="152">
      <c r="B152" s="44"/>
      <c r="C152" s="164"/>
      <c r="D152" s="165"/>
      <c r="F152" s="44"/>
      <c r="G152" s="44"/>
      <c r="I152" s="44"/>
      <c r="K152" s="44"/>
      <c r="M152" s="44"/>
      <c r="O152" s="44"/>
      <c r="Q152" s="44"/>
    </row>
    <row r="153">
      <c r="B153" s="44"/>
      <c r="C153" s="164"/>
      <c r="D153" s="165"/>
      <c r="F153" s="44"/>
      <c r="G153" s="44"/>
      <c r="I153" s="44"/>
      <c r="K153" s="44"/>
      <c r="M153" s="44"/>
      <c r="O153" s="44"/>
      <c r="Q153" s="44"/>
    </row>
    <row r="154">
      <c r="B154" s="44"/>
      <c r="C154" s="164"/>
      <c r="D154" s="165"/>
      <c r="F154" s="44"/>
      <c r="G154" s="44"/>
      <c r="I154" s="44"/>
      <c r="K154" s="44"/>
      <c r="M154" s="44"/>
      <c r="O154" s="44"/>
      <c r="Q154" s="44"/>
    </row>
    <row r="155">
      <c r="B155" s="44"/>
      <c r="C155" s="164"/>
      <c r="D155" s="165"/>
      <c r="F155" s="44"/>
      <c r="G155" s="44"/>
      <c r="I155" s="44"/>
      <c r="K155" s="44"/>
      <c r="M155" s="44"/>
      <c r="O155" s="44"/>
      <c r="Q155" s="44"/>
    </row>
    <row r="156">
      <c r="B156" s="44"/>
      <c r="C156" s="164"/>
      <c r="D156" s="165"/>
      <c r="F156" s="44"/>
      <c r="G156" s="44"/>
      <c r="I156" s="44"/>
      <c r="K156" s="44"/>
      <c r="M156" s="44"/>
      <c r="O156" s="44"/>
      <c r="Q156" s="44"/>
    </row>
    <row r="157">
      <c r="B157" s="44"/>
      <c r="C157" s="164"/>
      <c r="D157" s="165"/>
      <c r="F157" s="44"/>
      <c r="G157" s="44"/>
      <c r="I157" s="44"/>
      <c r="K157" s="44"/>
      <c r="M157" s="44"/>
      <c r="O157" s="44"/>
      <c r="Q157" s="44"/>
    </row>
    <row r="158">
      <c r="B158" s="44"/>
      <c r="C158" s="164"/>
      <c r="D158" s="165"/>
      <c r="F158" s="44"/>
      <c r="G158" s="44"/>
      <c r="I158" s="44"/>
      <c r="K158" s="44"/>
      <c r="M158" s="44"/>
      <c r="O158" s="44"/>
      <c r="Q158" s="44"/>
    </row>
    <row r="159">
      <c r="B159" s="44"/>
      <c r="C159" s="164"/>
      <c r="D159" s="165"/>
      <c r="F159" s="44"/>
      <c r="G159" s="44"/>
      <c r="I159" s="44"/>
      <c r="K159" s="44"/>
      <c r="M159" s="44"/>
      <c r="O159" s="44"/>
      <c r="Q159" s="44"/>
    </row>
    <row r="160">
      <c r="B160" s="44"/>
      <c r="C160" s="164"/>
      <c r="D160" s="165"/>
      <c r="F160" s="44"/>
      <c r="G160" s="44"/>
      <c r="I160" s="44"/>
      <c r="K160" s="44"/>
      <c r="M160" s="44"/>
      <c r="O160" s="44"/>
      <c r="Q160" s="44"/>
    </row>
    <row r="161">
      <c r="B161" s="44"/>
      <c r="C161" s="164"/>
      <c r="D161" s="165"/>
      <c r="F161" s="44"/>
      <c r="G161" s="44"/>
      <c r="I161" s="44"/>
      <c r="K161" s="44"/>
      <c r="M161" s="44"/>
      <c r="O161" s="44"/>
      <c r="Q161" s="44"/>
    </row>
    <row r="162">
      <c r="B162" s="44"/>
      <c r="C162" s="164"/>
      <c r="D162" s="165"/>
      <c r="F162" s="44"/>
      <c r="G162" s="44"/>
      <c r="I162" s="44"/>
      <c r="K162" s="44"/>
      <c r="M162" s="44"/>
      <c r="O162" s="44"/>
      <c r="Q162" s="44"/>
    </row>
    <row r="163">
      <c r="B163" s="44"/>
      <c r="C163" s="164"/>
      <c r="D163" s="165"/>
      <c r="F163" s="44"/>
      <c r="G163" s="44"/>
      <c r="I163" s="44"/>
      <c r="K163" s="44"/>
      <c r="M163" s="44"/>
      <c r="O163" s="44"/>
      <c r="Q163" s="44"/>
    </row>
    <row r="164">
      <c r="B164" s="44"/>
      <c r="C164" s="164"/>
      <c r="D164" s="165"/>
      <c r="F164" s="44"/>
      <c r="G164" s="44"/>
      <c r="I164" s="44"/>
      <c r="K164" s="44"/>
      <c r="M164" s="44"/>
      <c r="O164" s="44"/>
      <c r="Q164" s="44"/>
    </row>
    <row r="165">
      <c r="B165" s="44"/>
      <c r="C165" s="164"/>
      <c r="D165" s="165"/>
      <c r="F165" s="44"/>
      <c r="G165" s="44"/>
      <c r="I165" s="44"/>
      <c r="K165" s="44"/>
      <c r="M165" s="44"/>
      <c r="O165" s="44"/>
      <c r="Q165" s="44"/>
    </row>
    <row r="166">
      <c r="B166" s="44"/>
      <c r="C166" s="164"/>
      <c r="D166" s="165"/>
      <c r="F166" s="44"/>
      <c r="G166" s="44"/>
      <c r="I166" s="44"/>
      <c r="K166" s="44"/>
      <c r="M166" s="44"/>
      <c r="O166" s="44"/>
      <c r="Q166" s="44"/>
    </row>
    <row r="167">
      <c r="B167" s="44"/>
      <c r="C167" s="164"/>
      <c r="D167" s="165"/>
      <c r="F167" s="44"/>
      <c r="G167" s="44"/>
      <c r="I167" s="44"/>
      <c r="K167" s="44"/>
      <c r="M167" s="44"/>
      <c r="O167" s="44"/>
      <c r="Q167" s="44"/>
    </row>
    <row r="168">
      <c r="B168" s="44"/>
      <c r="C168" s="164"/>
      <c r="D168" s="165"/>
      <c r="F168" s="44"/>
      <c r="G168" s="44"/>
      <c r="I168" s="44"/>
      <c r="K168" s="44"/>
      <c r="M168" s="44"/>
      <c r="O168" s="44"/>
      <c r="Q168" s="44"/>
    </row>
    <row r="169">
      <c r="B169" s="44"/>
      <c r="C169" s="164"/>
      <c r="D169" s="165"/>
      <c r="F169" s="44"/>
      <c r="G169" s="44"/>
      <c r="I169" s="44"/>
      <c r="K169" s="44"/>
      <c r="M169" s="44"/>
      <c r="O169" s="44"/>
      <c r="Q169" s="44"/>
    </row>
    <row r="170">
      <c r="B170" s="44"/>
      <c r="C170" s="164"/>
      <c r="D170" s="165"/>
      <c r="F170" s="44"/>
      <c r="G170" s="44"/>
      <c r="I170" s="44"/>
      <c r="K170" s="44"/>
      <c r="M170" s="44"/>
      <c r="O170" s="44"/>
      <c r="Q170" s="44"/>
    </row>
    <row r="171">
      <c r="B171" s="44"/>
      <c r="C171" s="164"/>
      <c r="D171" s="165"/>
      <c r="F171" s="44"/>
      <c r="G171" s="44"/>
      <c r="I171" s="44"/>
      <c r="K171" s="44"/>
      <c r="M171" s="44"/>
      <c r="O171" s="44"/>
      <c r="Q171" s="44"/>
    </row>
    <row r="172">
      <c r="B172" s="44"/>
      <c r="C172" s="164"/>
      <c r="D172" s="165"/>
      <c r="F172" s="44"/>
      <c r="G172" s="44"/>
      <c r="I172" s="44"/>
      <c r="K172" s="44"/>
      <c r="M172" s="44"/>
      <c r="O172" s="44"/>
      <c r="Q172" s="44"/>
    </row>
    <row r="173">
      <c r="B173" s="44"/>
      <c r="C173" s="164"/>
      <c r="D173" s="165"/>
      <c r="F173" s="44"/>
      <c r="G173" s="44"/>
      <c r="I173" s="44"/>
      <c r="K173" s="44"/>
      <c r="M173" s="44"/>
      <c r="O173" s="44"/>
      <c r="Q173" s="44"/>
    </row>
    <row r="174">
      <c r="B174" s="44"/>
      <c r="C174" s="164"/>
      <c r="D174" s="165"/>
      <c r="F174" s="44"/>
      <c r="G174" s="44"/>
      <c r="I174" s="44"/>
      <c r="K174" s="44"/>
      <c r="M174" s="44"/>
      <c r="O174" s="44"/>
      <c r="Q174" s="44"/>
    </row>
    <row r="175">
      <c r="B175" s="44"/>
      <c r="C175" s="164"/>
      <c r="D175" s="165"/>
      <c r="F175" s="44"/>
      <c r="G175" s="44"/>
      <c r="I175" s="44"/>
      <c r="K175" s="44"/>
      <c r="M175" s="44"/>
      <c r="O175" s="44"/>
      <c r="Q175" s="44"/>
    </row>
    <row r="176">
      <c r="B176" s="44"/>
      <c r="C176" s="164"/>
      <c r="D176" s="165"/>
      <c r="F176" s="44"/>
      <c r="G176" s="44"/>
      <c r="I176" s="44"/>
      <c r="K176" s="44"/>
      <c r="M176" s="44"/>
      <c r="O176" s="44"/>
      <c r="Q176" s="44"/>
    </row>
    <row r="177">
      <c r="B177" s="44"/>
      <c r="C177" s="164"/>
      <c r="D177" s="165"/>
      <c r="F177" s="44"/>
      <c r="G177" s="44"/>
      <c r="I177" s="44"/>
      <c r="K177" s="44"/>
      <c r="M177" s="44"/>
      <c r="O177" s="44"/>
      <c r="Q177" s="44"/>
    </row>
    <row r="178">
      <c r="B178" s="44"/>
      <c r="C178" s="164"/>
      <c r="D178" s="165"/>
      <c r="F178" s="44"/>
      <c r="G178" s="44"/>
      <c r="I178" s="44"/>
      <c r="K178" s="44"/>
      <c r="M178" s="44"/>
      <c r="O178" s="44"/>
      <c r="Q178" s="44"/>
    </row>
    <row r="179">
      <c r="B179" s="44"/>
      <c r="C179" s="164"/>
      <c r="D179" s="165"/>
      <c r="F179" s="44"/>
      <c r="G179" s="44"/>
      <c r="I179" s="44"/>
      <c r="K179" s="44"/>
      <c r="M179" s="44"/>
      <c r="O179" s="44"/>
      <c r="Q179" s="44"/>
    </row>
    <row r="180">
      <c r="B180" s="44"/>
      <c r="C180" s="164"/>
      <c r="D180" s="165"/>
      <c r="F180" s="44"/>
      <c r="G180" s="44"/>
      <c r="I180" s="44"/>
      <c r="K180" s="44"/>
      <c r="M180" s="44"/>
      <c r="O180" s="44"/>
      <c r="Q180" s="44"/>
    </row>
    <row r="181">
      <c r="B181" s="44"/>
      <c r="C181" s="164"/>
      <c r="D181" s="165"/>
      <c r="F181" s="44"/>
      <c r="G181" s="44"/>
      <c r="I181" s="44"/>
      <c r="K181" s="44"/>
      <c r="M181" s="44"/>
      <c r="O181" s="44"/>
      <c r="Q181" s="44"/>
    </row>
    <row r="182">
      <c r="B182" s="44"/>
      <c r="C182" s="164"/>
      <c r="D182" s="165"/>
      <c r="F182" s="44"/>
      <c r="G182" s="44"/>
      <c r="I182" s="44"/>
      <c r="K182" s="44"/>
      <c r="M182" s="44"/>
      <c r="O182" s="44"/>
      <c r="Q182" s="44"/>
    </row>
    <row r="183">
      <c r="B183" s="44"/>
      <c r="C183" s="164"/>
      <c r="D183" s="165"/>
      <c r="F183" s="44"/>
      <c r="G183" s="44"/>
      <c r="I183" s="44"/>
      <c r="K183" s="44"/>
      <c r="M183" s="44"/>
      <c r="O183" s="44"/>
      <c r="Q183" s="44"/>
    </row>
    <row r="184">
      <c r="B184" s="44"/>
      <c r="C184" s="164"/>
      <c r="D184" s="165"/>
      <c r="F184" s="44"/>
      <c r="G184" s="44"/>
      <c r="I184" s="44"/>
      <c r="K184" s="44"/>
      <c r="M184" s="44"/>
      <c r="O184" s="44"/>
      <c r="Q184" s="44"/>
    </row>
    <row r="185">
      <c r="B185" s="44"/>
      <c r="C185" s="164"/>
      <c r="D185" s="165"/>
      <c r="F185" s="44"/>
      <c r="G185" s="44"/>
      <c r="I185" s="44"/>
      <c r="K185" s="44"/>
      <c r="M185" s="44"/>
      <c r="O185" s="44"/>
      <c r="Q185" s="44"/>
    </row>
    <row r="186">
      <c r="B186" s="44"/>
      <c r="C186" s="164"/>
      <c r="D186" s="165"/>
      <c r="F186" s="44"/>
      <c r="G186" s="44"/>
      <c r="I186" s="44"/>
      <c r="K186" s="44"/>
      <c r="M186" s="44"/>
      <c r="O186" s="44"/>
      <c r="Q186" s="44"/>
    </row>
    <row r="187">
      <c r="B187" s="44"/>
      <c r="C187" s="164"/>
      <c r="D187" s="165"/>
      <c r="F187" s="44"/>
      <c r="G187" s="44"/>
      <c r="I187" s="44"/>
      <c r="K187" s="44"/>
      <c r="M187" s="44"/>
      <c r="O187" s="44"/>
      <c r="Q187" s="44"/>
    </row>
    <row r="188">
      <c r="B188" s="44"/>
      <c r="C188" s="164"/>
      <c r="D188" s="165"/>
      <c r="F188" s="44"/>
      <c r="G188" s="44"/>
      <c r="I188" s="44"/>
      <c r="K188" s="44"/>
      <c r="M188" s="44"/>
      <c r="O188" s="44"/>
      <c r="Q188" s="44"/>
    </row>
    <row r="189">
      <c r="B189" s="44"/>
      <c r="C189" s="164"/>
      <c r="D189" s="165"/>
      <c r="F189" s="44"/>
      <c r="G189" s="44"/>
      <c r="I189" s="44"/>
      <c r="K189" s="44"/>
      <c r="M189" s="44"/>
      <c r="O189" s="44"/>
      <c r="Q189" s="44"/>
    </row>
    <row r="190">
      <c r="B190" s="44"/>
      <c r="C190" s="164"/>
      <c r="D190" s="165"/>
      <c r="F190" s="44"/>
      <c r="G190" s="44"/>
      <c r="I190" s="44"/>
      <c r="K190" s="44"/>
      <c r="M190" s="44"/>
      <c r="O190" s="44"/>
      <c r="Q190" s="44"/>
    </row>
    <row r="191">
      <c r="B191" s="44"/>
      <c r="C191" s="164"/>
      <c r="D191" s="165"/>
      <c r="F191" s="44"/>
      <c r="G191" s="44"/>
      <c r="I191" s="44"/>
      <c r="K191" s="44"/>
      <c r="M191" s="44"/>
      <c r="O191" s="44"/>
      <c r="Q191" s="44"/>
    </row>
    <row r="192">
      <c r="B192" s="44"/>
      <c r="C192" s="164"/>
      <c r="D192" s="165"/>
      <c r="F192" s="44"/>
      <c r="G192" s="44"/>
      <c r="I192" s="44"/>
      <c r="K192" s="44"/>
      <c r="M192" s="44"/>
      <c r="O192" s="44"/>
      <c r="Q192" s="44"/>
    </row>
    <row r="193">
      <c r="B193" s="44"/>
      <c r="C193" s="164"/>
      <c r="D193" s="165"/>
      <c r="F193" s="44"/>
      <c r="G193" s="44"/>
      <c r="I193" s="44"/>
      <c r="K193" s="44"/>
      <c r="M193" s="44"/>
      <c r="O193" s="44"/>
      <c r="Q193" s="44"/>
    </row>
    <row r="194">
      <c r="B194" s="44"/>
      <c r="C194" s="164"/>
      <c r="D194" s="165"/>
      <c r="F194" s="44"/>
      <c r="G194" s="44"/>
      <c r="I194" s="44"/>
      <c r="K194" s="44"/>
      <c r="M194" s="44"/>
      <c r="O194" s="44"/>
      <c r="Q194" s="44"/>
    </row>
    <row r="195">
      <c r="B195" s="44"/>
      <c r="C195" s="164"/>
      <c r="D195" s="165"/>
      <c r="F195" s="44"/>
      <c r="G195" s="44"/>
      <c r="I195" s="44"/>
      <c r="K195" s="44"/>
      <c r="M195" s="44"/>
      <c r="O195" s="44"/>
      <c r="Q195" s="44"/>
    </row>
    <row r="196">
      <c r="B196" s="44"/>
      <c r="C196" s="164"/>
      <c r="D196" s="165"/>
      <c r="F196" s="44"/>
      <c r="G196" s="44"/>
      <c r="I196" s="44"/>
      <c r="K196" s="44"/>
      <c r="M196" s="44"/>
      <c r="O196" s="44"/>
      <c r="Q196" s="44"/>
    </row>
    <row r="197">
      <c r="B197" s="44"/>
      <c r="C197" s="164"/>
      <c r="D197" s="165"/>
      <c r="F197" s="44"/>
      <c r="G197" s="44"/>
      <c r="I197" s="44"/>
      <c r="K197" s="44"/>
      <c r="M197" s="44"/>
      <c r="O197" s="44"/>
      <c r="Q197" s="44"/>
    </row>
    <row r="198">
      <c r="B198" s="44"/>
      <c r="C198" s="164"/>
      <c r="D198" s="165"/>
      <c r="F198" s="44"/>
      <c r="G198" s="44"/>
      <c r="I198" s="44"/>
      <c r="K198" s="44"/>
      <c r="M198" s="44"/>
      <c r="O198" s="44"/>
      <c r="Q198" s="44"/>
    </row>
    <row r="199">
      <c r="B199" s="44"/>
      <c r="C199" s="164"/>
      <c r="D199" s="165"/>
      <c r="F199" s="44"/>
      <c r="G199" s="44"/>
      <c r="I199" s="44"/>
      <c r="K199" s="44"/>
      <c r="M199" s="44"/>
      <c r="O199" s="44"/>
      <c r="Q199" s="44"/>
    </row>
    <row r="200">
      <c r="B200" s="44"/>
      <c r="C200" s="164"/>
      <c r="D200" s="165"/>
      <c r="F200" s="44"/>
      <c r="G200" s="44"/>
      <c r="I200" s="44"/>
      <c r="K200" s="44"/>
      <c r="M200" s="44"/>
      <c r="O200" s="44"/>
      <c r="Q200" s="44"/>
    </row>
    <row r="201">
      <c r="B201" s="44"/>
      <c r="C201" s="164"/>
      <c r="D201" s="165"/>
      <c r="F201" s="44"/>
      <c r="G201" s="44"/>
      <c r="I201" s="44"/>
      <c r="K201" s="44"/>
      <c r="M201" s="44"/>
      <c r="O201" s="44"/>
      <c r="Q201" s="44"/>
    </row>
    <row r="202">
      <c r="B202" s="44"/>
      <c r="C202" s="164"/>
      <c r="D202" s="165"/>
      <c r="F202" s="44"/>
      <c r="G202" s="44"/>
      <c r="I202" s="44"/>
      <c r="K202" s="44"/>
      <c r="M202" s="44"/>
      <c r="O202" s="44"/>
      <c r="Q202" s="44"/>
    </row>
    <row r="203">
      <c r="B203" s="44"/>
      <c r="C203" s="164"/>
      <c r="D203" s="165"/>
      <c r="F203" s="44"/>
      <c r="G203" s="44"/>
      <c r="I203" s="44"/>
      <c r="K203" s="44"/>
      <c r="M203" s="44"/>
      <c r="O203" s="44"/>
      <c r="Q203" s="44"/>
    </row>
    <row r="204">
      <c r="B204" s="44"/>
      <c r="C204" s="164"/>
      <c r="D204" s="165"/>
      <c r="F204" s="44"/>
      <c r="G204" s="44"/>
      <c r="I204" s="44"/>
      <c r="K204" s="44"/>
      <c r="M204" s="44"/>
      <c r="O204" s="44"/>
      <c r="Q204" s="44"/>
    </row>
    <row r="205">
      <c r="B205" s="44"/>
      <c r="C205" s="164"/>
      <c r="D205" s="165"/>
      <c r="F205" s="44"/>
      <c r="G205" s="44"/>
      <c r="I205" s="44"/>
      <c r="K205" s="44"/>
      <c r="M205" s="44"/>
      <c r="O205" s="44"/>
      <c r="Q205" s="44"/>
    </row>
    <row r="206">
      <c r="B206" s="44"/>
      <c r="C206" s="164"/>
      <c r="D206" s="165"/>
      <c r="F206" s="44"/>
      <c r="G206" s="44"/>
      <c r="I206" s="44"/>
      <c r="K206" s="44"/>
      <c r="M206" s="44"/>
      <c r="O206" s="44"/>
      <c r="Q206" s="44"/>
    </row>
    <row r="207">
      <c r="B207" s="44"/>
      <c r="C207" s="164"/>
      <c r="D207" s="165"/>
      <c r="F207" s="44"/>
      <c r="G207" s="44"/>
      <c r="I207" s="44"/>
      <c r="K207" s="44"/>
      <c r="M207" s="44"/>
      <c r="O207" s="44"/>
      <c r="Q207" s="44"/>
    </row>
    <row r="208">
      <c r="B208" s="44"/>
      <c r="C208" s="164"/>
      <c r="D208" s="165"/>
      <c r="F208" s="44"/>
      <c r="G208" s="44"/>
      <c r="I208" s="44"/>
      <c r="K208" s="44"/>
      <c r="M208" s="44"/>
      <c r="O208" s="44"/>
      <c r="Q208" s="44"/>
    </row>
    <row r="209">
      <c r="B209" s="44"/>
      <c r="C209" s="164"/>
      <c r="D209" s="165"/>
      <c r="F209" s="44"/>
      <c r="G209" s="44"/>
      <c r="I209" s="44"/>
      <c r="K209" s="44"/>
      <c r="M209" s="44"/>
      <c r="O209" s="44"/>
      <c r="Q209" s="44"/>
    </row>
    <row r="210">
      <c r="B210" s="44"/>
      <c r="C210" s="164"/>
      <c r="D210" s="165"/>
      <c r="F210" s="44"/>
      <c r="G210" s="44"/>
      <c r="I210" s="44"/>
      <c r="K210" s="44"/>
      <c r="M210" s="44"/>
      <c r="O210" s="44"/>
      <c r="Q210" s="44"/>
    </row>
    <row r="211">
      <c r="B211" s="44"/>
      <c r="C211" s="164"/>
      <c r="D211" s="165"/>
      <c r="F211" s="44"/>
      <c r="G211" s="44"/>
      <c r="I211" s="44"/>
      <c r="K211" s="44"/>
      <c r="M211" s="44"/>
      <c r="O211" s="44"/>
      <c r="Q211" s="44"/>
    </row>
    <row r="212">
      <c r="B212" s="44"/>
      <c r="C212" s="164"/>
      <c r="D212" s="165"/>
      <c r="F212" s="44"/>
      <c r="G212" s="44"/>
      <c r="I212" s="44"/>
      <c r="K212" s="44"/>
      <c r="M212" s="44"/>
      <c r="O212" s="44"/>
      <c r="Q212" s="44"/>
    </row>
    <row r="213">
      <c r="B213" s="44"/>
      <c r="C213" s="164"/>
      <c r="D213" s="165"/>
      <c r="F213" s="44"/>
      <c r="G213" s="44"/>
      <c r="I213" s="44"/>
      <c r="K213" s="44"/>
      <c r="M213" s="44"/>
      <c r="O213" s="44"/>
      <c r="Q213" s="44"/>
    </row>
    <row r="214">
      <c r="B214" s="44"/>
      <c r="C214" s="164"/>
      <c r="D214" s="165"/>
      <c r="F214" s="44"/>
      <c r="G214" s="44"/>
      <c r="I214" s="44"/>
      <c r="K214" s="44"/>
      <c r="M214" s="44"/>
      <c r="O214" s="44"/>
      <c r="Q214" s="44"/>
    </row>
    <row r="215">
      <c r="B215" s="44"/>
      <c r="C215" s="164"/>
      <c r="D215" s="165"/>
      <c r="F215" s="44"/>
      <c r="G215" s="44"/>
      <c r="I215" s="44"/>
      <c r="K215" s="44"/>
      <c r="M215" s="44"/>
      <c r="O215" s="44"/>
      <c r="Q215" s="44"/>
    </row>
    <row r="216">
      <c r="B216" s="44"/>
      <c r="C216" s="164"/>
      <c r="D216" s="165"/>
      <c r="F216" s="44"/>
      <c r="G216" s="44"/>
      <c r="I216" s="44"/>
      <c r="K216" s="44"/>
      <c r="M216" s="44"/>
      <c r="O216" s="44"/>
      <c r="Q216" s="44"/>
    </row>
    <row r="217">
      <c r="B217" s="44"/>
      <c r="C217" s="164"/>
      <c r="D217" s="165"/>
      <c r="F217" s="44"/>
      <c r="G217" s="44"/>
      <c r="I217" s="44"/>
      <c r="K217" s="44"/>
      <c r="M217" s="44"/>
      <c r="O217" s="44"/>
      <c r="Q217" s="44"/>
    </row>
    <row r="218">
      <c r="B218" s="44"/>
      <c r="C218" s="164"/>
      <c r="D218" s="165"/>
      <c r="F218" s="44"/>
      <c r="G218" s="44"/>
      <c r="I218" s="44"/>
      <c r="K218" s="44"/>
      <c r="M218" s="44"/>
      <c r="O218" s="44"/>
      <c r="Q218" s="44"/>
    </row>
    <row r="219">
      <c r="B219" s="44"/>
      <c r="C219" s="164"/>
      <c r="D219" s="165"/>
      <c r="F219" s="44"/>
      <c r="G219" s="44"/>
      <c r="I219" s="44"/>
      <c r="K219" s="44"/>
      <c r="M219" s="44"/>
      <c r="O219" s="44"/>
      <c r="Q219" s="44"/>
    </row>
    <row r="220">
      <c r="B220" s="44"/>
      <c r="C220" s="164"/>
      <c r="D220" s="165"/>
      <c r="F220" s="44"/>
      <c r="G220" s="44"/>
      <c r="I220" s="44"/>
      <c r="K220" s="44"/>
      <c r="M220" s="44"/>
      <c r="O220" s="44"/>
      <c r="Q220" s="44"/>
    </row>
    <row r="221">
      <c r="B221" s="44"/>
      <c r="C221" s="164"/>
      <c r="D221" s="165"/>
      <c r="F221" s="44"/>
      <c r="G221" s="44"/>
      <c r="I221" s="44"/>
      <c r="K221" s="44"/>
      <c r="M221" s="44"/>
      <c r="O221" s="44"/>
      <c r="Q221" s="44"/>
    </row>
    <row r="222">
      <c r="B222" s="44"/>
      <c r="C222" s="164"/>
      <c r="D222" s="165"/>
      <c r="F222" s="44"/>
      <c r="G222" s="44"/>
      <c r="I222" s="44"/>
      <c r="K222" s="44"/>
      <c r="M222" s="44"/>
      <c r="O222" s="44"/>
      <c r="Q222" s="44"/>
    </row>
    <row r="223">
      <c r="B223" s="44"/>
      <c r="C223" s="164"/>
      <c r="D223" s="165"/>
      <c r="F223" s="44"/>
      <c r="G223" s="44"/>
      <c r="I223" s="44"/>
      <c r="K223" s="44"/>
      <c r="M223" s="44"/>
      <c r="O223" s="44"/>
      <c r="Q223" s="44"/>
    </row>
    <row r="224">
      <c r="B224" s="44"/>
      <c r="C224" s="164"/>
      <c r="D224" s="165"/>
      <c r="F224" s="44"/>
      <c r="G224" s="44"/>
      <c r="I224" s="44"/>
      <c r="K224" s="44"/>
      <c r="M224" s="44"/>
      <c r="O224" s="44"/>
      <c r="Q224" s="44"/>
    </row>
    <row r="225">
      <c r="B225" s="44"/>
      <c r="C225" s="164"/>
      <c r="D225" s="165"/>
      <c r="F225" s="44"/>
      <c r="G225" s="44"/>
      <c r="I225" s="44"/>
      <c r="K225" s="44"/>
      <c r="M225" s="44"/>
      <c r="O225" s="44"/>
      <c r="Q225" s="44"/>
    </row>
    <row r="226">
      <c r="B226" s="44"/>
      <c r="C226" s="164"/>
      <c r="D226" s="165"/>
      <c r="F226" s="44"/>
      <c r="G226" s="44"/>
      <c r="I226" s="44"/>
      <c r="K226" s="44"/>
      <c r="M226" s="44"/>
      <c r="O226" s="44"/>
      <c r="Q226" s="44"/>
    </row>
    <row r="227">
      <c r="B227" s="44"/>
      <c r="C227" s="164"/>
      <c r="D227" s="165"/>
      <c r="F227" s="44"/>
      <c r="G227" s="44"/>
      <c r="I227" s="44"/>
      <c r="K227" s="44"/>
      <c r="M227" s="44"/>
      <c r="O227" s="44"/>
      <c r="Q227" s="44"/>
    </row>
    <row r="228">
      <c r="B228" s="44"/>
      <c r="C228" s="164"/>
      <c r="D228" s="165"/>
      <c r="F228" s="44"/>
      <c r="G228" s="44"/>
      <c r="I228" s="44"/>
      <c r="K228" s="44"/>
      <c r="M228" s="44"/>
      <c r="O228" s="44"/>
      <c r="Q228" s="44"/>
    </row>
    <row r="229">
      <c r="B229" s="44"/>
      <c r="C229" s="164"/>
      <c r="D229" s="165"/>
      <c r="F229" s="44"/>
      <c r="G229" s="44"/>
      <c r="I229" s="44"/>
      <c r="K229" s="44"/>
      <c r="M229" s="44"/>
      <c r="O229" s="44"/>
      <c r="Q229" s="44"/>
    </row>
    <row r="230">
      <c r="B230" s="44"/>
      <c r="C230" s="164"/>
      <c r="D230" s="165"/>
      <c r="F230" s="44"/>
      <c r="G230" s="44"/>
      <c r="I230" s="44"/>
      <c r="K230" s="44"/>
      <c r="M230" s="44"/>
      <c r="O230" s="44"/>
      <c r="Q230" s="44"/>
    </row>
    <row r="231">
      <c r="B231" s="44"/>
      <c r="C231" s="164"/>
      <c r="D231" s="165"/>
      <c r="F231" s="44"/>
      <c r="G231" s="44"/>
      <c r="I231" s="44"/>
      <c r="K231" s="44"/>
      <c r="M231" s="44"/>
      <c r="O231" s="44"/>
      <c r="Q231" s="44"/>
    </row>
    <row r="232">
      <c r="B232" s="44"/>
      <c r="C232" s="164"/>
      <c r="D232" s="165"/>
      <c r="F232" s="44"/>
      <c r="G232" s="44"/>
      <c r="I232" s="44"/>
      <c r="K232" s="44"/>
      <c r="M232" s="44"/>
      <c r="O232" s="44"/>
      <c r="Q232" s="44"/>
    </row>
    <row r="233">
      <c r="B233" s="44"/>
      <c r="C233" s="164"/>
      <c r="D233" s="165"/>
      <c r="F233" s="44"/>
      <c r="G233" s="44"/>
      <c r="I233" s="44"/>
      <c r="K233" s="44"/>
      <c r="M233" s="44"/>
      <c r="O233" s="44"/>
      <c r="Q233" s="44"/>
    </row>
    <row r="234">
      <c r="B234" s="44"/>
      <c r="C234" s="164"/>
      <c r="D234" s="165"/>
      <c r="F234" s="44"/>
      <c r="G234" s="44"/>
      <c r="I234" s="44"/>
      <c r="K234" s="44"/>
      <c r="M234" s="44"/>
      <c r="O234" s="44"/>
      <c r="Q234" s="44"/>
    </row>
    <row r="235">
      <c r="B235" s="44"/>
      <c r="C235" s="164"/>
      <c r="D235" s="165"/>
      <c r="F235" s="44"/>
      <c r="G235" s="44"/>
      <c r="I235" s="44"/>
      <c r="K235" s="44"/>
      <c r="M235" s="44"/>
      <c r="O235" s="44"/>
      <c r="Q235" s="44"/>
    </row>
    <row r="236">
      <c r="B236" s="44"/>
      <c r="C236" s="164"/>
      <c r="D236" s="165"/>
      <c r="F236" s="44"/>
      <c r="G236" s="44"/>
      <c r="I236" s="44"/>
      <c r="K236" s="44"/>
      <c r="M236" s="44"/>
      <c r="O236" s="44"/>
      <c r="Q236" s="44"/>
    </row>
    <row r="237">
      <c r="B237" s="44"/>
      <c r="C237" s="164"/>
      <c r="D237" s="165"/>
      <c r="F237" s="44"/>
      <c r="G237" s="44"/>
      <c r="I237" s="44"/>
      <c r="K237" s="44"/>
      <c r="M237" s="44"/>
      <c r="O237" s="44"/>
      <c r="Q237" s="44"/>
    </row>
    <row r="238">
      <c r="B238" s="44"/>
      <c r="C238" s="164"/>
      <c r="D238" s="165"/>
      <c r="F238" s="44"/>
      <c r="G238" s="44"/>
      <c r="I238" s="44"/>
      <c r="K238" s="44"/>
      <c r="M238" s="44"/>
      <c r="O238" s="44"/>
      <c r="Q238" s="44"/>
    </row>
    <row r="239">
      <c r="B239" s="44"/>
      <c r="C239" s="164"/>
      <c r="D239" s="165"/>
      <c r="F239" s="44"/>
      <c r="G239" s="44"/>
      <c r="I239" s="44"/>
      <c r="K239" s="44"/>
      <c r="M239" s="44"/>
      <c r="O239" s="44"/>
      <c r="Q239" s="44"/>
    </row>
    <row r="240">
      <c r="B240" s="44"/>
      <c r="C240" s="164"/>
      <c r="D240" s="165"/>
      <c r="F240" s="44"/>
      <c r="G240" s="44"/>
      <c r="I240" s="44"/>
      <c r="K240" s="44"/>
      <c r="M240" s="44"/>
      <c r="O240" s="44"/>
      <c r="Q240" s="44"/>
    </row>
    <row r="241">
      <c r="B241" s="44"/>
      <c r="C241" s="164"/>
      <c r="D241" s="165"/>
      <c r="F241" s="44"/>
      <c r="G241" s="44"/>
      <c r="I241" s="44"/>
      <c r="K241" s="44"/>
      <c r="M241" s="44"/>
      <c r="O241" s="44"/>
      <c r="Q241" s="44"/>
    </row>
    <row r="242">
      <c r="B242" s="44"/>
      <c r="C242" s="164"/>
      <c r="D242" s="165"/>
      <c r="F242" s="44"/>
      <c r="G242" s="44"/>
      <c r="I242" s="44"/>
      <c r="K242" s="44"/>
      <c r="M242" s="44"/>
      <c r="O242" s="44"/>
      <c r="Q242" s="44"/>
    </row>
    <row r="243">
      <c r="B243" s="44"/>
      <c r="C243" s="164"/>
      <c r="D243" s="165"/>
      <c r="F243" s="44"/>
      <c r="G243" s="44"/>
      <c r="I243" s="44"/>
      <c r="K243" s="44"/>
      <c r="M243" s="44"/>
      <c r="O243" s="44"/>
      <c r="Q243" s="44"/>
    </row>
    <row r="244">
      <c r="B244" s="44"/>
      <c r="C244" s="164"/>
      <c r="D244" s="165"/>
      <c r="F244" s="44"/>
      <c r="G244" s="44"/>
      <c r="I244" s="44"/>
      <c r="K244" s="44"/>
      <c r="M244" s="44"/>
      <c r="O244" s="44"/>
      <c r="Q244" s="44"/>
    </row>
    <row r="245">
      <c r="B245" s="44"/>
      <c r="C245" s="164"/>
      <c r="D245" s="165"/>
      <c r="F245" s="44"/>
      <c r="G245" s="44"/>
      <c r="I245" s="44"/>
      <c r="K245" s="44"/>
      <c r="M245" s="44"/>
      <c r="O245" s="44"/>
      <c r="Q245" s="44"/>
    </row>
    <row r="246">
      <c r="B246" s="44"/>
      <c r="C246" s="164"/>
      <c r="D246" s="165"/>
      <c r="F246" s="44"/>
      <c r="G246" s="44"/>
      <c r="I246" s="44"/>
      <c r="K246" s="44"/>
      <c r="M246" s="44"/>
      <c r="O246" s="44"/>
      <c r="Q246" s="44"/>
    </row>
    <row r="247">
      <c r="B247" s="44"/>
      <c r="C247" s="164"/>
      <c r="D247" s="165"/>
      <c r="F247" s="44"/>
      <c r="G247" s="44"/>
      <c r="I247" s="44"/>
      <c r="K247" s="44"/>
      <c r="M247" s="44"/>
      <c r="O247" s="44"/>
      <c r="Q247" s="44"/>
    </row>
    <row r="248">
      <c r="B248" s="44"/>
      <c r="C248" s="164"/>
      <c r="D248" s="165"/>
      <c r="F248" s="44"/>
      <c r="G248" s="44"/>
      <c r="I248" s="44"/>
      <c r="K248" s="44"/>
      <c r="M248" s="44"/>
      <c r="O248" s="44"/>
      <c r="Q248" s="44"/>
    </row>
    <row r="249">
      <c r="B249" s="44"/>
      <c r="C249" s="164"/>
      <c r="D249" s="165"/>
      <c r="F249" s="44"/>
      <c r="G249" s="44"/>
      <c r="I249" s="44"/>
      <c r="K249" s="44"/>
      <c r="M249" s="44"/>
      <c r="O249" s="44"/>
      <c r="Q249" s="44"/>
    </row>
    <row r="250">
      <c r="B250" s="44"/>
      <c r="C250" s="164"/>
      <c r="D250" s="165"/>
      <c r="F250" s="44"/>
      <c r="G250" s="44"/>
      <c r="I250" s="44"/>
      <c r="K250" s="44"/>
      <c r="M250" s="44"/>
      <c r="O250" s="44"/>
      <c r="Q250" s="44"/>
    </row>
    <row r="251">
      <c r="B251" s="44"/>
      <c r="C251" s="164"/>
      <c r="D251" s="165"/>
      <c r="F251" s="44"/>
      <c r="G251" s="44"/>
      <c r="I251" s="44"/>
      <c r="K251" s="44"/>
      <c r="M251" s="44"/>
      <c r="O251" s="44"/>
      <c r="Q251" s="44"/>
    </row>
    <row r="252">
      <c r="B252" s="44"/>
      <c r="C252" s="164"/>
      <c r="D252" s="165"/>
      <c r="F252" s="44"/>
      <c r="G252" s="44"/>
      <c r="I252" s="44"/>
      <c r="K252" s="44"/>
      <c r="M252" s="44"/>
      <c r="O252" s="44"/>
      <c r="Q252" s="44"/>
    </row>
    <row r="253">
      <c r="B253" s="44"/>
      <c r="C253" s="164"/>
      <c r="D253" s="165"/>
      <c r="F253" s="44"/>
      <c r="G253" s="44"/>
      <c r="I253" s="44"/>
      <c r="K253" s="44"/>
      <c r="M253" s="44"/>
      <c r="O253" s="44"/>
      <c r="Q253" s="44"/>
    </row>
    <row r="254">
      <c r="B254" s="44"/>
      <c r="C254" s="164"/>
      <c r="D254" s="165"/>
      <c r="F254" s="44"/>
      <c r="G254" s="44"/>
      <c r="I254" s="44"/>
      <c r="K254" s="44"/>
      <c r="M254" s="44"/>
      <c r="O254" s="44"/>
      <c r="Q254" s="44"/>
    </row>
    <row r="255">
      <c r="B255" s="44"/>
      <c r="C255" s="164"/>
      <c r="D255" s="165"/>
      <c r="F255" s="44"/>
      <c r="G255" s="44"/>
      <c r="I255" s="44"/>
      <c r="K255" s="44"/>
      <c r="M255" s="44"/>
      <c r="O255" s="44"/>
      <c r="Q255" s="44"/>
    </row>
    <row r="256">
      <c r="B256" s="44"/>
      <c r="C256" s="164"/>
      <c r="D256" s="165"/>
      <c r="F256" s="44"/>
      <c r="G256" s="44"/>
      <c r="I256" s="44"/>
      <c r="K256" s="44"/>
      <c r="M256" s="44"/>
      <c r="O256" s="44"/>
      <c r="Q256" s="44"/>
    </row>
    <row r="257">
      <c r="B257" s="44"/>
      <c r="C257" s="164"/>
      <c r="D257" s="165"/>
      <c r="F257" s="44"/>
      <c r="G257" s="44"/>
      <c r="I257" s="44"/>
      <c r="K257" s="44"/>
      <c r="M257" s="44"/>
      <c r="O257" s="44"/>
      <c r="Q257" s="44"/>
    </row>
    <row r="258">
      <c r="B258" s="44"/>
      <c r="C258" s="164"/>
      <c r="D258" s="165"/>
      <c r="F258" s="44"/>
      <c r="G258" s="44"/>
      <c r="I258" s="44"/>
      <c r="K258" s="44"/>
      <c r="M258" s="44"/>
      <c r="O258" s="44"/>
      <c r="Q258" s="44"/>
    </row>
    <row r="259">
      <c r="B259" s="44"/>
      <c r="C259" s="164"/>
      <c r="D259" s="165"/>
      <c r="F259" s="44"/>
      <c r="G259" s="44"/>
      <c r="I259" s="44"/>
      <c r="K259" s="44"/>
      <c r="M259" s="44"/>
      <c r="O259" s="44"/>
      <c r="Q259" s="44"/>
    </row>
    <row r="260">
      <c r="B260" s="44"/>
      <c r="C260" s="164"/>
      <c r="D260" s="165"/>
      <c r="F260" s="44"/>
      <c r="G260" s="44"/>
      <c r="I260" s="44"/>
      <c r="K260" s="44"/>
      <c r="M260" s="44"/>
      <c r="O260" s="44"/>
      <c r="Q260" s="44"/>
    </row>
    <row r="261">
      <c r="B261" s="44"/>
      <c r="C261" s="164"/>
      <c r="D261" s="165"/>
      <c r="F261" s="44"/>
      <c r="G261" s="44"/>
      <c r="I261" s="44"/>
      <c r="K261" s="44"/>
      <c r="M261" s="44"/>
      <c r="O261" s="44"/>
      <c r="Q261" s="44"/>
    </row>
    <row r="262">
      <c r="B262" s="44"/>
      <c r="C262" s="164"/>
      <c r="D262" s="165"/>
      <c r="F262" s="44"/>
      <c r="G262" s="44"/>
      <c r="I262" s="44"/>
      <c r="K262" s="44"/>
      <c r="M262" s="44"/>
      <c r="O262" s="44"/>
      <c r="Q262" s="44"/>
    </row>
    <row r="263">
      <c r="B263" s="44"/>
      <c r="C263" s="164"/>
      <c r="D263" s="165"/>
      <c r="F263" s="44"/>
      <c r="G263" s="44"/>
      <c r="I263" s="44"/>
      <c r="K263" s="44"/>
      <c r="M263" s="44"/>
      <c r="O263" s="44"/>
      <c r="Q263" s="44"/>
    </row>
    <row r="264">
      <c r="B264" s="44"/>
      <c r="C264" s="164"/>
      <c r="D264" s="165"/>
      <c r="F264" s="44"/>
      <c r="G264" s="44"/>
      <c r="I264" s="44"/>
      <c r="K264" s="44"/>
      <c r="M264" s="44"/>
      <c r="O264" s="44"/>
      <c r="Q264" s="44"/>
    </row>
    <row r="265">
      <c r="B265" s="44"/>
      <c r="C265" s="164"/>
      <c r="D265" s="165"/>
      <c r="F265" s="44"/>
      <c r="G265" s="44"/>
      <c r="I265" s="44"/>
      <c r="K265" s="44"/>
      <c r="M265" s="44"/>
      <c r="O265" s="44"/>
      <c r="Q265" s="44"/>
    </row>
    <row r="266">
      <c r="B266" s="44"/>
      <c r="C266" s="164"/>
      <c r="D266" s="165"/>
      <c r="F266" s="44"/>
      <c r="G266" s="44"/>
      <c r="I266" s="44"/>
      <c r="K266" s="44"/>
      <c r="M266" s="44"/>
      <c r="O266" s="44"/>
      <c r="Q266" s="44"/>
    </row>
    <row r="267">
      <c r="B267" s="44"/>
      <c r="C267" s="164"/>
      <c r="D267" s="165"/>
      <c r="F267" s="44"/>
      <c r="G267" s="44"/>
      <c r="I267" s="44"/>
      <c r="K267" s="44"/>
      <c r="M267" s="44"/>
      <c r="O267" s="44"/>
      <c r="Q267" s="44"/>
    </row>
    <row r="268">
      <c r="B268" s="44"/>
      <c r="C268" s="164"/>
      <c r="D268" s="165"/>
      <c r="F268" s="44"/>
      <c r="G268" s="44"/>
      <c r="I268" s="44"/>
      <c r="K268" s="44"/>
      <c r="M268" s="44"/>
      <c r="O268" s="44"/>
      <c r="Q268" s="44"/>
    </row>
    <row r="269">
      <c r="B269" s="44"/>
      <c r="C269" s="164"/>
      <c r="D269" s="165"/>
      <c r="F269" s="44"/>
      <c r="G269" s="44"/>
      <c r="I269" s="44"/>
      <c r="K269" s="44"/>
      <c r="M269" s="44"/>
      <c r="O269" s="44"/>
      <c r="Q269" s="44"/>
    </row>
    <row r="270">
      <c r="B270" s="44"/>
      <c r="C270" s="164"/>
      <c r="D270" s="165"/>
      <c r="F270" s="44"/>
      <c r="G270" s="44"/>
      <c r="I270" s="44"/>
      <c r="K270" s="44"/>
      <c r="M270" s="44"/>
      <c r="O270" s="44"/>
      <c r="Q270" s="44"/>
    </row>
    <row r="271">
      <c r="B271" s="44"/>
      <c r="C271" s="164"/>
      <c r="D271" s="165"/>
      <c r="F271" s="44"/>
      <c r="G271" s="44"/>
      <c r="I271" s="44"/>
      <c r="K271" s="44"/>
      <c r="M271" s="44"/>
      <c r="O271" s="44"/>
      <c r="Q271" s="44"/>
    </row>
    <row r="272">
      <c r="B272" s="44"/>
      <c r="C272" s="164"/>
      <c r="D272" s="165"/>
      <c r="F272" s="44"/>
      <c r="G272" s="44"/>
      <c r="I272" s="44"/>
      <c r="K272" s="44"/>
      <c r="M272" s="44"/>
      <c r="O272" s="44"/>
      <c r="Q272" s="44"/>
    </row>
    <row r="273">
      <c r="B273" s="44"/>
      <c r="C273" s="164"/>
      <c r="D273" s="165"/>
      <c r="F273" s="44"/>
      <c r="G273" s="44"/>
      <c r="I273" s="44"/>
      <c r="K273" s="44"/>
      <c r="M273" s="44"/>
      <c r="O273" s="44"/>
      <c r="Q273" s="44"/>
    </row>
    <row r="274">
      <c r="B274" s="44"/>
      <c r="C274" s="164"/>
      <c r="D274" s="165"/>
      <c r="F274" s="44"/>
      <c r="G274" s="44"/>
      <c r="I274" s="44"/>
      <c r="K274" s="44"/>
      <c r="M274" s="44"/>
      <c r="O274" s="44"/>
      <c r="Q274" s="44"/>
    </row>
    <row r="275">
      <c r="B275" s="44"/>
      <c r="C275" s="164"/>
      <c r="D275" s="165"/>
      <c r="F275" s="44"/>
      <c r="G275" s="44"/>
      <c r="I275" s="44"/>
      <c r="K275" s="44"/>
      <c r="M275" s="44"/>
      <c r="O275" s="44"/>
      <c r="Q275" s="44"/>
    </row>
    <row r="276">
      <c r="B276" s="44"/>
      <c r="C276" s="164"/>
      <c r="D276" s="165"/>
      <c r="F276" s="44"/>
      <c r="G276" s="44"/>
      <c r="I276" s="44"/>
      <c r="K276" s="44"/>
      <c r="M276" s="44"/>
      <c r="O276" s="44"/>
      <c r="Q276" s="44"/>
    </row>
    <row r="277">
      <c r="B277" s="44"/>
      <c r="C277" s="164"/>
      <c r="D277" s="165"/>
      <c r="F277" s="44"/>
      <c r="G277" s="44"/>
      <c r="I277" s="44"/>
      <c r="K277" s="44"/>
      <c r="M277" s="44"/>
      <c r="O277" s="44"/>
      <c r="Q277" s="44"/>
    </row>
    <row r="278">
      <c r="B278" s="44"/>
      <c r="C278" s="164"/>
      <c r="D278" s="165"/>
      <c r="F278" s="44"/>
      <c r="G278" s="44"/>
      <c r="I278" s="44"/>
      <c r="K278" s="44"/>
      <c r="M278" s="44"/>
      <c r="O278" s="44"/>
      <c r="Q278" s="44"/>
    </row>
    <row r="279">
      <c r="B279" s="44"/>
      <c r="C279" s="164"/>
      <c r="D279" s="165"/>
      <c r="F279" s="44"/>
      <c r="G279" s="44"/>
      <c r="I279" s="44"/>
      <c r="K279" s="44"/>
      <c r="M279" s="44"/>
      <c r="O279" s="44"/>
      <c r="Q279" s="44"/>
    </row>
    <row r="280">
      <c r="B280" s="44"/>
      <c r="C280" s="164"/>
      <c r="D280" s="165"/>
      <c r="F280" s="44"/>
      <c r="G280" s="44"/>
      <c r="I280" s="44"/>
      <c r="K280" s="44"/>
      <c r="M280" s="44"/>
      <c r="O280" s="44"/>
      <c r="Q280" s="44"/>
    </row>
    <row r="281">
      <c r="B281" s="44"/>
      <c r="C281" s="164"/>
      <c r="D281" s="165"/>
      <c r="F281" s="44"/>
      <c r="G281" s="44"/>
      <c r="I281" s="44"/>
      <c r="K281" s="44"/>
      <c r="M281" s="44"/>
      <c r="O281" s="44"/>
      <c r="Q281" s="44"/>
    </row>
    <row r="282">
      <c r="B282" s="44"/>
      <c r="C282" s="164"/>
      <c r="D282" s="165"/>
      <c r="F282" s="44"/>
      <c r="G282" s="44"/>
      <c r="I282" s="44"/>
      <c r="K282" s="44"/>
      <c r="M282" s="44"/>
      <c r="O282" s="44"/>
      <c r="Q282" s="44"/>
    </row>
    <row r="283">
      <c r="B283" s="44"/>
      <c r="C283" s="164"/>
      <c r="D283" s="165"/>
      <c r="F283" s="44"/>
      <c r="G283" s="44"/>
      <c r="I283" s="44"/>
      <c r="K283" s="44"/>
      <c r="M283" s="44"/>
      <c r="O283" s="44"/>
      <c r="Q283" s="44"/>
    </row>
    <row r="284">
      <c r="B284" s="44"/>
      <c r="C284" s="164"/>
      <c r="D284" s="165"/>
      <c r="F284" s="44"/>
      <c r="G284" s="44"/>
      <c r="I284" s="44"/>
      <c r="K284" s="44"/>
      <c r="M284" s="44"/>
      <c r="O284" s="44"/>
      <c r="Q284" s="44"/>
    </row>
    <row r="285">
      <c r="B285" s="44"/>
      <c r="C285" s="164"/>
      <c r="D285" s="165"/>
      <c r="F285" s="44"/>
      <c r="G285" s="44"/>
      <c r="I285" s="44"/>
      <c r="K285" s="44"/>
      <c r="M285" s="44"/>
      <c r="O285" s="44"/>
      <c r="Q285" s="44"/>
    </row>
    <row r="286">
      <c r="B286" s="44"/>
      <c r="C286" s="164"/>
      <c r="D286" s="165"/>
      <c r="F286" s="44"/>
      <c r="G286" s="44"/>
      <c r="I286" s="44"/>
      <c r="K286" s="44"/>
      <c r="M286" s="44"/>
      <c r="O286" s="44"/>
      <c r="Q286" s="44"/>
    </row>
    <row r="287">
      <c r="B287" s="44"/>
      <c r="C287" s="164"/>
      <c r="D287" s="165"/>
      <c r="F287" s="44"/>
      <c r="G287" s="44"/>
      <c r="I287" s="44"/>
      <c r="K287" s="44"/>
      <c r="M287" s="44"/>
      <c r="O287" s="44"/>
      <c r="Q287" s="44"/>
    </row>
    <row r="288">
      <c r="B288" s="44"/>
      <c r="C288" s="164"/>
      <c r="D288" s="165"/>
      <c r="F288" s="44"/>
      <c r="G288" s="44"/>
      <c r="I288" s="44"/>
      <c r="K288" s="44"/>
      <c r="M288" s="44"/>
      <c r="O288" s="44"/>
      <c r="Q288" s="44"/>
    </row>
    <row r="289">
      <c r="B289" s="44"/>
      <c r="C289" s="164"/>
      <c r="D289" s="165"/>
      <c r="F289" s="44"/>
      <c r="G289" s="44"/>
      <c r="I289" s="44"/>
      <c r="K289" s="44"/>
      <c r="M289" s="44"/>
      <c r="O289" s="44"/>
      <c r="Q289" s="44"/>
    </row>
    <row r="290">
      <c r="B290" s="44"/>
      <c r="C290" s="164"/>
      <c r="D290" s="165"/>
      <c r="F290" s="44"/>
      <c r="G290" s="44"/>
      <c r="I290" s="44"/>
      <c r="K290" s="44"/>
      <c r="M290" s="44"/>
      <c r="O290" s="44"/>
      <c r="Q290" s="44"/>
    </row>
    <row r="291">
      <c r="B291" s="44"/>
      <c r="C291" s="164"/>
      <c r="D291" s="165"/>
      <c r="F291" s="44"/>
      <c r="G291" s="44"/>
      <c r="I291" s="44"/>
      <c r="K291" s="44"/>
      <c r="M291" s="44"/>
      <c r="O291" s="44"/>
      <c r="Q291" s="44"/>
    </row>
    <row r="292">
      <c r="B292" s="44"/>
      <c r="C292" s="164"/>
      <c r="D292" s="165"/>
      <c r="F292" s="44"/>
      <c r="G292" s="44"/>
      <c r="I292" s="44"/>
      <c r="K292" s="44"/>
      <c r="M292" s="44"/>
      <c r="O292" s="44"/>
      <c r="Q292" s="44"/>
    </row>
    <row r="293">
      <c r="B293" s="44"/>
      <c r="C293" s="164"/>
      <c r="D293" s="165"/>
      <c r="F293" s="44"/>
      <c r="G293" s="44"/>
      <c r="I293" s="44"/>
      <c r="K293" s="44"/>
      <c r="M293" s="44"/>
      <c r="O293" s="44"/>
      <c r="Q293" s="44"/>
    </row>
    <row r="294">
      <c r="B294" s="44"/>
      <c r="C294" s="164"/>
      <c r="D294" s="165"/>
      <c r="F294" s="44"/>
      <c r="G294" s="44"/>
      <c r="I294" s="44"/>
      <c r="K294" s="44"/>
      <c r="M294" s="44"/>
      <c r="O294" s="44"/>
      <c r="Q294" s="44"/>
    </row>
    <row r="295">
      <c r="B295" s="44"/>
      <c r="C295" s="164"/>
      <c r="D295" s="165"/>
      <c r="F295" s="44"/>
      <c r="G295" s="44"/>
      <c r="I295" s="44"/>
      <c r="K295" s="44"/>
      <c r="M295" s="44"/>
      <c r="O295" s="44"/>
      <c r="Q295" s="44"/>
    </row>
    <row r="296">
      <c r="B296" s="44"/>
      <c r="C296" s="164"/>
      <c r="D296" s="165"/>
      <c r="F296" s="44"/>
      <c r="G296" s="44"/>
      <c r="I296" s="44"/>
      <c r="K296" s="44"/>
      <c r="M296" s="44"/>
      <c r="O296" s="44"/>
      <c r="Q296" s="44"/>
    </row>
    <row r="297">
      <c r="B297" s="44"/>
      <c r="C297" s="164"/>
      <c r="D297" s="165"/>
      <c r="F297" s="44"/>
      <c r="G297" s="44"/>
      <c r="I297" s="44"/>
      <c r="K297" s="44"/>
      <c r="M297" s="44"/>
      <c r="O297" s="44"/>
      <c r="Q297" s="44"/>
    </row>
    <row r="298">
      <c r="B298" s="44"/>
      <c r="C298" s="164"/>
      <c r="D298" s="165"/>
      <c r="F298" s="44"/>
      <c r="G298" s="44"/>
      <c r="I298" s="44"/>
      <c r="K298" s="44"/>
      <c r="M298" s="44"/>
      <c r="O298" s="44"/>
      <c r="Q298" s="44"/>
    </row>
    <row r="299">
      <c r="B299" s="44"/>
      <c r="C299" s="164"/>
      <c r="D299" s="165"/>
      <c r="F299" s="44"/>
      <c r="G299" s="44"/>
      <c r="I299" s="44"/>
      <c r="K299" s="44"/>
      <c r="M299" s="44"/>
      <c r="O299" s="44"/>
      <c r="Q299" s="44"/>
    </row>
    <row r="300">
      <c r="B300" s="44"/>
      <c r="C300" s="164"/>
      <c r="D300" s="165"/>
      <c r="F300" s="44"/>
      <c r="G300" s="44"/>
      <c r="I300" s="44"/>
      <c r="K300" s="44"/>
      <c r="M300" s="44"/>
      <c r="O300" s="44"/>
      <c r="Q300" s="44"/>
    </row>
    <row r="301">
      <c r="B301" s="44"/>
      <c r="C301" s="164"/>
      <c r="D301" s="165"/>
      <c r="F301" s="44"/>
      <c r="G301" s="44"/>
      <c r="I301" s="44"/>
      <c r="K301" s="44"/>
      <c r="M301" s="44"/>
      <c r="O301" s="44"/>
      <c r="Q301" s="44"/>
    </row>
    <row r="302">
      <c r="B302" s="44"/>
      <c r="C302" s="164"/>
      <c r="D302" s="165"/>
      <c r="F302" s="44"/>
      <c r="G302" s="44"/>
      <c r="I302" s="44"/>
      <c r="K302" s="44"/>
      <c r="M302" s="44"/>
      <c r="O302" s="44"/>
      <c r="Q302" s="44"/>
    </row>
    <row r="303">
      <c r="B303" s="44"/>
      <c r="C303" s="164"/>
      <c r="D303" s="165"/>
      <c r="F303" s="44"/>
      <c r="G303" s="44"/>
      <c r="I303" s="44"/>
      <c r="K303" s="44"/>
      <c r="M303" s="44"/>
      <c r="O303" s="44"/>
      <c r="Q303" s="44"/>
    </row>
    <row r="304">
      <c r="B304" s="44"/>
      <c r="C304" s="164"/>
      <c r="D304" s="165"/>
      <c r="F304" s="44"/>
      <c r="G304" s="44"/>
      <c r="I304" s="44"/>
      <c r="K304" s="44"/>
      <c r="M304" s="44"/>
      <c r="O304" s="44"/>
      <c r="Q304" s="44"/>
    </row>
    <row r="305">
      <c r="B305" s="44"/>
      <c r="C305" s="164"/>
      <c r="D305" s="165"/>
      <c r="F305" s="44"/>
      <c r="G305" s="44"/>
      <c r="I305" s="44"/>
      <c r="K305" s="44"/>
      <c r="M305" s="44"/>
      <c r="O305" s="44"/>
      <c r="Q305" s="44"/>
    </row>
    <row r="306">
      <c r="B306" s="44"/>
      <c r="C306" s="164"/>
      <c r="D306" s="165"/>
      <c r="F306" s="44"/>
      <c r="G306" s="44"/>
      <c r="I306" s="44"/>
      <c r="K306" s="44"/>
      <c r="M306" s="44"/>
      <c r="O306" s="44"/>
      <c r="Q306" s="44"/>
    </row>
    <row r="307">
      <c r="B307" s="44"/>
      <c r="C307" s="164"/>
      <c r="D307" s="165"/>
      <c r="F307" s="44"/>
      <c r="G307" s="44"/>
      <c r="I307" s="44"/>
      <c r="K307" s="44"/>
      <c r="M307" s="44"/>
      <c r="O307" s="44"/>
      <c r="Q307" s="44"/>
    </row>
    <row r="308">
      <c r="B308" s="44"/>
      <c r="C308" s="164"/>
      <c r="D308" s="165"/>
      <c r="F308" s="44"/>
      <c r="G308" s="44"/>
      <c r="I308" s="44"/>
      <c r="K308" s="44"/>
      <c r="M308" s="44"/>
      <c r="O308" s="44"/>
      <c r="Q308" s="44"/>
    </row>
    <row r="309">
      <c r="B309" s="44"/>
      <c r="C309" s="164"/>
      <c r="D309" s="165"/>
      <c r="F309" s="44"/>
      <c r="G309" s="44"/>
      <c r="I309" s="44"/>
      <c r="K309" s="44"/>
      <c r="M309" s="44"/>
      <c r="O309" s="44"/>
      <c r="Q309" s="44"/>
    </row>
    <row r="310">
      <c r="B310" s="44"/>
      <c r="C310" s="164"/>
      <c r="D310" s="165"/>
      <c r="F310" s="44"/>
      <c r="G310" s="44"/>
      <c r="I310" s="44"/>
      <c r="K310" s="44"/>
      <c r="M310" s="44"/>
      <c r="O310" s="44"/>
      <c r="Q310" s="44"/>
    </row>
    <row r="311">
      <c r="B311" s="44"/>
      <c r="C311" s="164"/>
      <c r="D311" s="165"/>
      <c r="F311" s="44"/>
      <c r="G311" s="44"/>
      <c r="I311" s="44"/>
      <c r="K311" s="44"/>
      <c r="M311" s="44"/>
      <c r="O311" s="44"/>
      <c r="Q311" s="44"/>
    </row>
    <row r="312">
      <c r="B312" s="44"/>
      <c r="C312" s="164"/>
      <c r="D312" s="165"/>
      <c r="F312" s="44"/>
      <c r="G312" s="44"/>
      <c r="I312" s="44"/>
      <c r="K312" s="44"/>
      <c r="M312" s="44"/>
      <c r="O312" s="44"/>
      <c r="Q312" s="44"/>
    </row>
    <row r="313">
      <c r="B313" s="44"/>
      <c r="C313" s="164"/>
      <c r="D313" s="165"/>
      <c r="F313" s="44"/>
      <c r="G313" s="44"/>
      <c r="I313" s="44"/>
      <c r="K313" s="44"/>
      <c r="M313" s="44"/>
      <c r="O313" s="44"/>
      <c r="Q313" s="44"/>
    </row>
    <row r="314">
      <c r="B314" s="44"/>
      <c r="C314" s="164"/>
      <c r="D314" s="165"/>
      <c r="F314" s="44"/>
      <c r="G314" s="44"/>
      <c r="I314" s="44"/>
      <c r="K314" s="44"/>
      <c r="M314" s="44"/>
      <c r="O314" s="44"/>
      <c r="Q314" s="44"/>
    </row>
    <row r="315">
      <c r="B315" s="44"/>
      <c r="C315" s="164"/>
      <c r="D315" s="165"/>
      <c r="F315" s="44"/>
      <c r="G315" s="44"/>
      <c r="I315" s="44"/>
      <c r="K315" s="44"/>
      <c r="M315" s="44"/>
      <c r="O315" s="44"/>
      <c r="Q315" s="44"/>
    </row>
    <row r="316">
      <c r="B316" s="44"/>
      <c r="C316" s="164"/>
      <c r="D316" s="165"/>
      <c r="F316" s="44"/>
      <c r="G316" s="44"/>
      <c r="I316" s="44"/>
      <c r="K316" s="44"/>
      <c r="M316" s="44"/>
      <c r="O316" s="44"/>
      <c r="Q316" s="44"/>
    </row>
    <row r="317">
      <c r="B317" s="44"/>
      <c r="C317" s="164"/>
      <c r="D317" s="165"/>
      <c r="F317" s="44"/>
      <c r="G317" s="44"/>
      <c r="I317" s="44"/>
      <c r="K317" s="44"/>
      <c r="M317" s="44"/>
      <c r="O317" s="44"/>
      <c r="Q317" s="44"/>
    </row>
    <row r="318">
      <c r="B318" s="44"/>
      <c r="C318" s="164"/>
      <c r="D318" s="165"/>
      <c r="F318" s="44"/>
      <c r="G318" s="44"/>
      <c r="I318" s="44"/>
      <c r="K318" s="44"/>
      <c r="M318" s="44"/>
      <c r="O318" s="44"/>
      <c r="Q318" s="44"/>
    </row>
    <row r="319">
      <c r="B319" s="44"/>
      <c r="C319" s="164"/>
      <c r="D319" s="165"/>
      <c r="F319" s="44"/>
      <c r="G319" s="44"/>
      <c r="I319" s="44"/>
      <c r="K319" s="44"/>
      <c r="M319" s="44"/>
      <c r="O319" s="44"/>
      <c r="Q319" s="44"/>
    </row>
    <row r="320">
      <c r="B320" s="44"/>
      <c r="C320" s="164"/>
      <c r="D320" s="165"/>
      <c r="F320" s="44"/>
      <c r="G320" s="44"/>
      <c r="I320" s="44"/>
      <c r="K320" s="44"/>
      <c r="M320" s="44"/>
      <c r="O320" s="44"/>
      <c r="Q320" s="44"/>
    </row>
    <row r="321">
      <c r="B321" s="44"/>
      <c r="C321" s="164"/>
      <c r="D321" s="165"/>
      <c r="F321" s="44"/>
      <c r="G321" s="44"/>
      <c r="I321" s="44"/>
      <c r="K321" s="44"/>
      <c r="M321" s="44"/>
      <c r="O321" s="44"/>
      <c r="Q321" s="44"/>
    </row>
    <row r="322">
      <c r="B322" s="44"/>
      <c r="C322" s="164"/>
      <c r="D322" s="165"/>
      <c r="F322" s="44"/>
      <c r="G322" s="44"/>
      <c r="I322" s="44"/>
      <c r="K322" s="44"/>
      <c r="M322" s="44"/>
      <c r="O322" s="44"/>
      <c r="Q322" s="44"/>
    </row>
    <row r="323">
      <c r="B323" s="44"/>
      <c r="C323" s="164"/>
      <c r="D323" s="165"/>
      <c r="F323" s="44"/>
      <c r="G323" s="44"/>
      <c r="I323" s="44"/>
      <c r="K323" s="44"/>
      <c r="M323" s="44"/>
      <c r="O323" s="44"/>
      <c r="Q323" s="44"/>
    </row>
    <row r="324">
      <c r="B324" s="44"/>
      <c r="C324" s="164"/>
      <c r="D324" s="165"/>
      <c r="F324" s="44"/>
      <c r="G324" s="44"/>
      <c r="I324" s="44"/>
      <c r="K324" s="44"/>
      <c r="M324" s="44"/>
      <c r="O324" s="44"/>
      <c r="Q324" s="44"/>
    </row>
    <row r="325">
      <c r="B325" s="44"/>
      <c r="C325" s="164"/>
      <c r="D325" s="165"/>
      <c r="F325" s="44"/>
      <c r="G325" s="44"/>
      <c r="I325" s="44"/>
      <c r="K325" s="44"/>
      <c r="M325" s="44"/>
      <c r="O325" s="44"/>
      <c r="Q325" s="44"/>
    </row>
    <row r="326">
      <c r="B326" s="44"/>
      <c r="C326" s="164"/>
      <c r="D326" s="165"/>
      <c r="F326" s="44"/>
      <c r="G326" s="44"/>
      <c r="I326" s="44"/>
      <c r="K326" s="44"/>
      <c r="M326" s="44"/>
      <c r="O326" s="44"/>
      <c r="Q326" s="44"/>
    </row>
    <row r="327">
      <c r="B327" s="44"/>
      <c r="C327" s="164"/>
      <c r="D327" s="165"/>
      <c r="F327" s="44"/>
      <c r="G327" s="44"/>
      <c r="I327" s="44"/>
      <c r="K327" s="44"/>
      <c r="M327" s="44"/>
      <c r="O327" s="44"/>
      <c r="Q327" s="44"/>
    </row>
    <row r="328">
      <c r="B328" s="44"/>
      <c r="C328" s="164"/>
      <c r="D328" s="165"/>
      <c r="F328" s="44"/>
      <c r="G328" s="44"/>
      <c r="I328" s="44"/>
      <c r="K328" s="44"/>
      <c r="M328" s="44"/>
      <c r="O328" s="44"/>
      <c r="Q328" s="44"/>
    </row>
    <row r="329">
      <c r="B329" s="44"/>
      <c r="C329" s="164"/>
      <c r="D329" s="165"/>
      <c r="F329" s="44"/>
      <c r="G329" s="44"/>
      <c r="I329" s="44"/>
      <c r="K329" s="44"/>
      <c r="M329" s="44"/>
      <c r="O329" s="44"/>
      <c r="Q329" s="44"/>
    </row>
    <row r="330">
      <c r="B330" s="44"/>
      <c r="C330" s="164"/>
      <c r="D330" s="165"/>
      <c r="F330" s="44"/>
      <c r="G330" s="44"/>
      <c r="I330" s="44"/>
      <c r="K330" s="44"/>
      <c r="M330" s="44"/>
      <c r="O330" s="44"/>
      <c r="Q330" s="44"/>
    </row>
    <row r="331">
      <c r="B331" s="44"/>
      <c r="C331" s="164"/>
      <c r="D331" s="165"/>
      <c r="F331" s="44"/>
      <c r="G331" s="44"/>
      <c r="I331" s="44"/>
      <c r="K331" s="44"/>
      <c r="M331" s="44"/>
      <c r="O331" s="44"/>
      <c r="Q331" s="44"/>
    </row>
    <row r="332">
      <c r="B332" s="44"/>
      <c r="C332" s="164"/>
      <c r="D332" s="165"/>
      <c r="F332" s="44"/>
      <c r="G332" s="44"/>
      <c r="I332" s="44"/>
      <c r="K332" s="44"/>
      <c r="M332" s="44"/>
      <c r="O332" s="44"/>
      <c r="Q332" s="44"/>
    </row>
    <row r="333">
      <c r="B333" s="44"/>
      <c r="C333" s="164"/>
      <c r="D333" s="165"/>
      <c r="F333" s="44"/>
      <c r="G333" s="44"/>
      <c r="I333" s="44"/>
      <c r="K333" s="44"/>
      <c r="M333" s="44"/>
      <c r="O333" s="44"/>
      <c r="Q333" s="44"/>
    </row>
    <row r="334">
      <c r="B334" s="44"/>
      <c r="C334" s="164"/>
      <c r="D334" s="165"/>
      <c r="F334" s="44"/>
      <c r="G334" s="44"/>
      <c r="I334" s="44"/>
      <c r="K334" s="44"/>
      <c r="M334" s="44"/>
      <c r="O334" s="44"/>
      <c r="Q334" s="44"/>
    </row>
    <row r="335">
      <c r="B335" s="44"/>
      <c r="C335" s="164"/>
      <c r="D335" s="165"/>
      <c r="F335" s="44"/>
      <c r="G335" s="44"/>
      <c r="I335" s="44"/>
      <c r="K335" s="44"/>
      <c r="M335" s="44"/>
      <c r="O335" s="44"/>
      <c r="Q335" s="44"/>
    </row>
    <row r="336">
      <c r="B336" s="44"/>
      <c r="C336" s="164"/>
      <c r="D336" s="165"/>
      <c r="F336" s="44"/>
      <c r="G336" s="44"/>
      <c r="I336" s="44"/>
      <c r="K336" s="44"/>
      <c r="M336" s="44"/>
      <c r="O336" s="44"/>
      <c r="Q336" s="44"/>
    </row>
    <row r="337">
      <c r="B337" s="44"/>
      <c r="C337" s="164"/>
      <c r="D337" s="165"/>
      <c r="F337" s="44"/>
      <c r="G337" s="44"/>
      <c r="I337" s="44"/>
      <c r="K337" s="44"/>
      <c r="M337" s="44"/>
      <c r="O337" s="44"/>
      <c r="Q337" s="44"/>
    </row>
    <row r="338">
      <c r="B338" s="44"/>
      <c r="C338" s="164"/>
      <c r="D338" s="165"/>
      <c r="F338" s="44"/>
      <c r="G338" s="44"/>
      <c r="I338" s="44"/>
      <c r="K338" s="44"/>
      <c r="M338" s="44"/>
      <c r="O338" s="44"/>
      <c r="Q338" s="44"/>
    </row>
    <row r="339">
      <c r="B339" s="44"/>
      <c r="C339" s="164"/>
      <c r="D339" s="165"/>
      <c r="F339" s="44"/>
      <c r="G339" s="44"/>
      <c r="I339" s="44"/>
      <c r="K339" s="44"/>
      <c r="M339" s="44"/>
      <c r="O339" s="44"/>
      <c r="Q339" s="44"/>
    </row>
    <row r="340">
      <c r="B340" s="44"/>
      <c r="C340" s="164"/>
      <c r="D340" s="165"/>
      <c r="F340" s="44"/>
      <c r="G340" s="44"/>
      <c r="I340" s="44"/>
      <c r="K340" s="44"/>
      <c r="M340" s="44"/>
      <c r="O340" s="44"/>
      <c r="Q340" s="44"/>
    </row>
    <row r="341">
      <c r="B341" s="44"/>
      <c r="C341" s="164"/>
      <c r="D341" s="165"/>
      <c r="F341" s="44"/>
      <c r="G341" s="44"/>
      <c r="I341" s="44"/>
      <c r="K341" s="44"/>
      <c r="M341" s="44"/>
      <c r="O341" s="44"/>
      <c r="Q341" s="44"/>
    </row>
    <row r="342">
      <c r="B342" s="44"/>
      <c r="C342" s="164"/>
      <c r="D342" s="165"/>
      <c r="F342" s="44"/>
      <c r="G342" s="44"/>
      <c r="I342" s="44"/>
      <c r="K342" s="44"/>
      <c r="M342" s="44"/>
      <c r="O342" s="44"/>
      <c r="Q342" s="44"/>
    </row>
    <row r="343">
      <c r="B343" s="44"/>
      <c r="C343" s="164"/>
      <c r="D343" s="165"/>
      <c r="F343" s="44"/>
      <c r="G343" s="44"/>
      <c r="I343" s="44"/>
      <c r="K343" s="44"/>
      <c r="M343" s="44"/>
      <c r="O343" s="44"/>
      <c r="Q343" s="44"/>
    </row>
    <row r="344">
      <c r="B344" s="44"/>
      <c r="C344" s="164"/>
      <c r="D344" s="165"/>
      <c r="F344" s="44"/>
      <c r="G344" s="44"/>
      <c r="I344" s="44"/>
      <c r="K344" s="44"/>
      <c r="M344" s="44"/>
      <c r="O344" s="44"/>
      <c r="Q344" s="44"/>
    </row>
    <row r="345">
      <c r="B345" s="44"/>
      <c r="C345" s="164"/>
      <c r="D345" s="165"/>
      <c r="F345" s="44"/>
      <c r="G345" s="44"/>
      <c r="I345" s="44"/>
      <c r="K345" s="44"/>
      <c r="M345" s="44"/>
      <c r="O345" s="44"/>
      <c r="Q345" s="44"/>
    </row>
    <row r="346">
      <c r="B346" s="44"/>
      <c r="C346" s="164"/>
      <c r="D346" s="165"/>
      <c r="F346" s="44"/>
      <c r="G346" s="44"/>
      <c r="I346" s="44"/>
      <c r="K346" s="44"/>
      <c r="M346" s="44"/>
      <c r="O346" s="44"/>
      <c r="Q346" s="44"/>
    </row>
    <row r="347">
      <c r="B347" s="44"/>
      <c r="C347" s="164"/>
      <c r="D347" s="165"/>
      <c r="F347" s="44"/>
      <c r="G347" s="44"/>
      <c r="I347" s="44"/>
      <c r="K347" s="44"/>
      <c r="M347" s="44"/>
      <c r="O347" s="44"/>
      <c r="Q347" s="44"/>
    </row>
    <row r="348">
      <c r="B348" s="44"/>
      <c r="C348" s="164"/>
      <c r="D348" s="165"/>
      <c r="F348" s="44"/>
      <c r="G348" s="44"/>
      <c r="I348" s="44"/>
      <c r="K348" s="44"/>
      <c r="M348" s="44"/>
      <c r="O348" s="44"/>
      <c r="Q348" s="44"/>
    </row>
    <row r="349">
      <c r="B349" s="44"/>
      <c r="C349" s="164"/>
      <c r="D349" s="165"/>
      <c r="F349" s="44"/>
      <c r="G349" s="44"/>
      <c r="I349" s="44"/>
      <c r="K349" s="44"/>
      <c r="M349" s="44"/>
      <c r="O349" s="44"/>
      <c r="Q349" s="44"/>
    </row>
    <row r="350">
      <c r="B350" s="44"/>
      <c r="C350" s="164"/>
      <c r="D350" s="165"/>
      <c r="F350" s="44"/>
      <c r="G350" s="44"/>
      <c r="I350" s="44"/>
      <c r="K350" s="44"/>
      <c r="M350" s="44"/>
      <c r="O350" s="44"/>
      <c r="Q350" s="44"/>
    </row>
    <row r="351">
      <c r="B351" s="44"/>
      <c r="C351" s="164"/>
      <c r="D351" s="165"/>
      <c r="F351" s="44"/>
      <c r="G351" s="44"/>
      <c r="I351" s="44"/>
      <c r="K351" s="44"/>
      <c r="M351" s="44"/>
      <c r="O351" s="44"/>
      <c r="Q351" s="44"/>
    </row>
    <row r="352">
      <c r="B352" s="44"/>
      <c r="C352" s="164"/>
      <c r="D352" s="165"/>
      <c r="F352" s="44"/>
      <c r="G352" s="44"/>
      <c r="I352" s="44"/>
      <c r="K352" s="44"/>
      <c r="M352" s="44"/>
      <c r="O352" s="44"/>
      <c r="Q352" s="44"/>
    </row>
    <row r="353">
      <c r="B353" s="44"/>
      <c r="C353" s="164"/>
      <c r="D353" s="165"/>
      <c r="F353" s="44"/>
      <c r="G353" s="44"/>
      <c r="I353" s="44"/>
      <c r="K353" s="44"/>
      <c r="M353" s="44"/>
      <c r="O353" s="44"/>
      <c r="Q353" s="44"/>
    </row>
    <row r="354">
      <c r="B354" s="44"/>
      <c r="C354" s="164"/>
      <c r="D354" s="165"/>
      <c r="F354" s="44"/>
      <c r="G354" s="44"/>
      <c r="I354" s="44"/>
      <c r="K354" s="44"/>
      <c r="M354" s="44"/>
      <c r="O354" s="44"/>
      <c r="Q354" s="44"/>
    </row>
    <row r="355">
      <c r="B355" s="44"/>
      <c r="C355" s="164"/>
      <c r="D355" s="165"/>
      <c r="F355" s="44"/>
      <c r="G355" s="44"/>
      <c r="I355" s="44"/>
      <c r="K355" s="44"/>
      <c r="M355" s="44"/>
      <c r="O355" s="44"/>
      <c r="Q355" s="44"/>
    </row>
    <row r="356">
      <c r="B356" s="44"/>
      <c r="C356" s="164"/>
      <c r="D356" s="165"/>
      <c r="F356" s="44"/>
      <c r="G356" s="44"/>
      <c r="I356" s="44"/>
      <c r="K356" s="44"/>
      <c r="M356" s="44"/>
      <c r="O356" s="44"/>
      <c r="Q356" s="44"/>
    </row>
    <row r="357">
      <c r="B357" s="44"/>
      <c r="C357" s="164"/>
      <c r="D357" s="165"/>
      <c r="F357" s="44"/>
      <c r="G357" s="44"/>
      <c r="I357" s="44"/>
      <c r="K357" s="44"/>
      <c r="M357" s="44"/>
      <c r="O357" s="44"/>
      <c r="Q357" s="44"/>
    </row>
    <row r="358">
      <c r="B358" s="44"/>
      <c r="C358" s="164"/>
      <c r="D358" s="165"/>
      <c r="F358" s="44"/>
      <c r="G358" s="44"/>
      <c r="I358" s="44"/>
      <c r="K358" s="44"/>
      <c r="M358" s="44"/>
      <c r="O358" s="44"/>
      <c r="Q358" s="44"/>
    </row>
    <row r="359">
      <c r="B359" s="44"/>
      <c r="C359" s="164"/>
      <c r="D359" s="165"/>
      <c r="F359" s="44"/>
      <c r="G359" s="44"/>
      <c r="I359" s="44"/>
      <c r="K359" s="44"/>
      <c r="M359" s="44"/>
      <c r="O359" s="44"/>
      <c r="Q359" s="44"/>
    </row>
    <row r="360">
      <c r="B360" s="44"/>
      <c r="C360" s="164"/>
      <c r="D360" s="165"/>
      <c r="F360" s="44"/>
      <c r="G360" s="44"/>
      <c r="I360" s="44"/>
      <c r="K360" s="44"/>
      <c r="M360" s="44"/>
      <c r="O360" s="44"/>
      <c r="Q360" s="44"/>
    </row>
    <row r="361">
      <c r="B361" s="44"/>
      <c r="C361" s="164"/>
      <c r="D361" s="165"/>
      <c r="F361" s="44"/>
      <c r="G361" s="44"/>
      <c r="I361" s="44"/>
      <c r="K361" s="44"/>
      <c r="M361" s="44"/>
      <c r="O361" s="44"/>
      <c r="Q361" s="44"/>
    </row>
    <row r="362">
      <c r="B362" s="44"/>
      <c r="C362" s="164"/>
      <c r="D362" s="165"/>
      <c r="F362" s="44"/>
      <c r="G362" s="44"/>
      <c r="I362" s="44"/>
      <c r="K362" s="44"/>
      <c r="M362" s="44"/>
      <c r="O362" s="44"/>
      <c r="Q362" s="44"/>
    </row>
    <row r="363">
      <c r="B363" s="44"/>
      <c r="C363" s="164"/>
      <c r="D363" s="165"/>
      <c r="F363" s="44"/>
      <c r="G363" s="44"/>
      <c r="I363" s="44"/>
      <c r="K363" s="44"/>
      <c r="M363" s="44"/>
      <c r="O363" s="44"/>
      <c r="Q363" s="44"/>
    </row>
    <row r="364">
      <c r="B364" s="44"/>
      <c r="C364" s="164"/>
      <c r="D364" s="165"/>
      <c r="F364" s="44"/>
      <c r="G364" s="44"/>
      <c r="I364" s="44"/>
      <c r="K364" s="44"/>
      <c r="M364" s="44"/>
      <c r="O364" s="44"/>
      <c r="Q364" s="44"/>
    </row>
    <row r="365">
      <c r="B365" s="44"/>
      <c r="C365" s="164"/>
      <c r="D365" s="165"/>
      <c r="F365" s="44"/>
      <c r="G365" s="44"/>
      <c r="I365" s="44"/>
      <c r="K365" s="44"/>
      <c r="M365" s="44"/>
      <c r="O365" s="44"/>
      <c r="Q365" s="44"/>
    </row>
    <row r="366">
      <c r="B366" s="44"/>
      <c r="C366" s="164"/>
      <c r="D366" s="165"/>
      <c r="F366" s="44"/>
      <c r="G366" s="44"/>
      <c r="I366" s="44"/>
      <c r="K366" s="44"/>
      <c r="M366" s="44"/>
      <c r="O366" s="44"/>
      <c r="Q366" s="44"/>
    </row>
    <row r="367">
      <c r="B367" s="44"/>
      <c r="C367" s="164"/>
      <c r="D367" s="165"/>
      <c r="F367" s="44"/>
      <c r="G367" s="44"/>
      <c r="I367" s="44"/>
      <c r="K367" s="44"/>
      <c r="M367" s="44"/>
      <c r="O367" s="44"/>
      <c r="Q367" s="44"/>
    </row>
    <row r="368">
      <c r="B368" s="44"/>
      <c r="C368" s="164"/>
      <c r="D368" s="165"/>
      <c r="F368" s="44"/>
      <c r="G368" s="44"/>
      <c r="I368" s="44"/>
      <c r="K368" s="44"/>
      <c r="M368" s="44"/>
      <c r="O368" s="44"/>
      <c r="Q368" s="44"/>
    </row>
    <row r="369">
      <c r="B369" s="44"/>
      <c r="C369" s="164"/>
      <c r="D369" s="165"/>
      <c r="F369" s="44"/>
      <c r="G369" s="44"/>
      <c r="I369" s="44"/>
      <c r="K369" s="44"/>
      <c r="M369" s="44"/>
      <c r="O369" s="44"/>
      <c r="Q369" s="44"/>
    </row>
    <row r="370">
      <c r="B370" s="44"/>
      <c r="C370" s="164"/>
      <c r="D370" s="165"/>
      <c r="F370" s="44"/>
      <c r="G370" s="44"/>
      <c r="I370" s="44"/>
      <c r="K370" s="44"/>
      <c r="M370" s="44"/>
      <c r="O370" s="44"/>
      <c r="Q370" s="44"/>
    </row>
    <row r="371">
      <c r="B371" s="44"/>
      <c r="C371" s="164"/>
      <c r="D371" s="165"/>
      <c r="F371" s="44"/>
      <c r="G371" s="44"/>
      <c r="I371" s="44"/>
      <c r="K371" s="44"/>
      <c r="M371" s="44"/>
      <c r="O371" s="44"/>
      <c r="Q371" s="44"/>
    </row>
    <row r="372">
      <c r="B372" s="44"/>
      <c r="C372" s="164"/>
      <c r="D372" s="165"/>
      <c r="F372" s="44"/>
      <c r="G372" s="44"/>
      <c r="I372" s="44"/>
      <c r="K372" s="44"/>
      <c r="M372" s="44"/>
      <c r="O372" s="44"/>
      <c r="Q372" s="44"/>
    </row>
    <row r="373">
      <c r="B373" s="44"/>
      <c r="C373" s="164"/>
      <c r="D373" s="165"/>
      <c r="F373" s="44"/>
      <c r="G373" s="44"/>
      <c r="I373" s="44"/>
      <c r="K373" s="44"/>
      <c r="M373" s="44"/>
      <c r="O373" s="44"/>
      <c r="Q373" s="44"/>
    </row>
    <row r="374">
      <c r="B374" s="44"/>
      <c r="C374" s="164"/>
      <c r="D374" s="165"/>
      <c r="F374" s="44"/>
      <c r="G374" s="44"/>
      <c r="I374" s="44"/>
      <c r="K374" s="44"/>
      <c r="M374" s="44"/>
      <c r="O374" s="44"/>
      <c r="Q374" s="44"/>
    </row>
    <row r="375">
      <c r="B375" s="44"/>
      <c r="C375" s="164"/>
      <c r="D375" s="165"/>
      <c r="F375" s="44"/>
      <c r="G375" s="44"/>
      <c r="I375" s="44"/>
      <c r="K375" s="44"/>
      <c r="M375" s="44"/>
      <c r="O375" s="44"/>
      <c r="Q375" s="44"/>
    </row>
    <row r="376">
      <c r="B376" s="44"/>
      <c r="C376" s="164"/>
      <c r="D376" s="165"/>
      <c r="F376" s="44"/>
      <c r="G376" s="44"/>
      <c r="I376" s="44"/>
      <c r="K376" s="44"/>
      <c r="M376" s="44"/>
      <c r="O376" s="44"/>
      <c r="Q376" s="44"/>
    </row>
    <row r="377">
      <c r="B377" s="44"/>
      <c r="C377" s="164"/>
      <c r="D377" s="165"/>
      <c r="F377" s="44"/>
      <c r="G377" s="44"/>
      <c r="I377" s="44"/>
      <c r="K377" s="44"/>
      <c r="M377" s="44"/>
      <c r="O377" s="44"/>
      <c r="Q377" s="44"/>
    </row>
    <row r="378">
      <c r="B378" s="44"/>
      <c r="C378" s="164"/>
      <c r="D378" s="165"/>
      <c r="F378" s="44"/>
      <c r="G378" s="44"/>
      <c r="I378" s="44"/>
      <c r="K378" s="44"/>
      <c r="M378" s="44"/>
      <c r="O378" s="44"/>
      <c r="Q378" s="44"/>
    </row>
    <row r="379">
      <c r="B379" s="44"/>
      <c r="C379" s="164"/>
      <c r="D379" s="165"/>
      <c r="F379" s="44"/>
      <c r="G379" s="44"/>
      <c r="I379" s="44"/>
      <c r="K379" s="44"/>
      <c r="M379" s="44"/>
      <c r="O379" s="44"/>
      <c r="Q379" s="44"/>
    </row>
    <row r="380">
      <c r="B380" s="44"/>
      <c r="C380" s="164"/>
      <c r="D380" s="165"/>
      <c r="F380" s="44"/>
      <c r="G380" s="44"/>
      <c r="I380" s="44"/>
      <c r="K380" s="44"/>
      <c r="M380" s="44"/>
      <c r="O380" s="44"/>
      <c r="Q380" s="44"/>
    </row>
    <row r="381">
      <c r="B381" s="44"/>
      <c r="C381" s="164"/>
      <c r="D381" s="165"/>
      <c r="F381" s="44"/>
      <c r="G381" s="44"/>
      <c r="I381" s="44"/>
      <c r="K381" s="44"/>
      <c r="M381" s="44"/>
      <c r="O381" s="44"/>
      <c r="Q381" s="44"/>
    </row>
    <row r="382">
      <c r="B382" s="44"/>
      <c r="C382" s="164"/>
      <c r="D382" s="165"/>
      <c r="F382" s="44"/>
      <c r="G382" s="44"/>
      <c r="I382" s="44"/>
      <c r="K382" s="44"/>
      <c r="M382" s="44"/>
      <c r="O382" s="44"/>
      <c r="Q382" s="44"/>
    </row>
    <row r="383">
      <c r="B383" s="44"/>
      <c r="C383" s="164"/>
      <c r="D383" s="165"/>
      <c r="F383" s="44"/>
      <c r="G383" s="44"/>
      <c r="I383" s="44"/>
      <c r="K383" s="44"/>
      <c r="M383" s="44"/>
      <c r="O383" s="44"/>
      <c r="Q383" s="44"/>
    </row>
    <row r="384">
      <c r="B384" s="44"/>
      <c r="C384" s="164"/>
      <c r="D384" s="165"/>
      <c r="F384" s="44"/>
      <c r="G384" s="44"/>
      <c r="I384" s="44"/>
      <c r="K384" s="44"/>
      <c r="M384" s="44"/>
      <c r="O384" s="44"/>
      <c r="Q384" s="44"/>
    </row>
    <row r="385">
      <c r="B385" s="44"/>
      <c r="C385" s="164"/>
      <c r="D385" s="165"/>
      <c r="F385" s="44"/>
      <c r="G385" s="44"/>
      <c r="I385" s="44"/>
      <c r="K385" s="44"/>
      <c r="M385" s="44"/>
      <c r="O385" s="44"/>
      <c r="Q385" s="44"/>
    </row>
    <row r="386">
      <c r="B386" s="44"/>
      <c r="C386" s="164"/>
      <c r="D386" s="165"/>
      <c r="F386" s="44"/>
      <c r="G386" s="44"/>
      <c r="I386" s="44"/>
      <c r="K386" s="44"/>
      <c r="M386" s="44"/>
      <c r="O386" s="44"/>
      <c r="Q386" s="44"/>
    </row>
    <row r="387">
      <c r="B387" s="44"/>
      <c r="C387" s="164"/>
      <c r="D387" s="165"/>
      <c r="F387" s="44"/>
      <c r="G387" s="44"/>
      <c r="I387" s="44"/>
      <c r="K387" s="44"/>
      <c r="M387" s="44"/>
      <c r="O387" s="44"/>
      <c r="Q387" s="44"/>
    </row>
    <row r="388">
      <c r="B388" s="44"/>
      <c r="C388" s="164"/>
      <c r="D388" s="165"/>
      <c r="F388" s="44"/>
      <c r="G388" s="44"/>
      <c r="I388" s="44"/>
      <c r="K388" s="44"/>
      <c r="M388" s="44"/>
      <c r="O388" s="44"/>
      <c r="Q388" s="44"/>
    </row>
    <row r="389">
      <c r="B389" s="44"/>
      <c r="C389" s="164"/>
      <c r="D389" s="165"/>
      <c r="F389" s="44"/>
      <c r="G389" s="44"/>
      <c r="I389" s="44"/>
      <c r="K389" s="44"/>
      <c r="M389" s="44"/>
      <c r="O389" s="44"/>
      <c r="Q389" s="44"/>
    </row>
    <row r="390">
      <c r="B390" s="44"/>
      <c r="C390" s="164"/>
      <c r="D390" s="165"/>
      <c r="F390" s="44"/>
      <c r="G390" s="44"/>
      <c r="I390" s="44"/>
      <c r="K390" s="44"/>
      <c r="M390" s="44"/>
      <c r="O390" s="44"/>
      <c r="Q390" s="44"/>
    </row>
    <row r="391">
      <c r="B391" s="44"/>
      <c r="C391" s="164"/>
      <c r="D391" s="165"/>
      <c r="F391" s="44"/>
      <c r="G391" s="44"/>
      <c r="I391" s="44"/>
      <c r="K391" s="44"/>
      <c r="M391" s="44"/>
      <c r="O391" s="44"/>
      <c r="Q391" s="44"/>
    </row>
    <row r="392">
      <c r="B392" s="44"/>
      <c r="C392" s="164"/>
      <c r="D392" s="165"/>
      <c r="F392" s="44"/>
      <c r="G392" s="44"/>
      <c r="I392" s="44"/>
      <c r="K392" s="44"/>
      <c r="M392" s="44"/>
      <c r="O392" s="44"/>
      <c r="Q392" s="44"/>
    </row>
    <row r="393">
      <c r="B393" s="44"/>
      <c r="C393" s="164"/>
      <c r="D393" s="165"/>
      <c r="F393" s="44"/>
      <c r="G393" s="44"/>
      <c r="I393" s="44"/>
      <c r="K393" s="44"/>
      <c r="M393" s="44"/>
      <c r="O393" s="44"/>
      <c r="Q393" s="44"/>
    </row>
    <row r="394">
      <c r="B394" s="44"/>
      <c r="C394" s="164"/>
      <c r="D394" s="165"/>
      <c r="F394" s="44"/>
      <c r="G394" s="44"/>
      <c r="I394" s="44"/>
      <c r="K394" s="44"/>
      <c r="M394" s="44"/>
      <c r="O394" s="44"/>
      <c r="Q394" s="44"/>
    </row>
    <row r="395">
      <c r="B395" s="44"/>
      <c r="C395" s="164"/>
      <c r="D395" s="165"/>
      <c r="F395" s="44"/>
      <c r="G395" s="44"/>
      <c r="I395" s="44"/>
      <c r="K395" s="44"/>
      <c r="M395" s="44"/>
      <c r="O395" s="44"/>
      <c r="Q395" s="44"/>
    </row>
    <row r="396">
      <c r="B396" s="44"/>
      <c r="C396" s="164"/>
      <c r="D396" s="165"/>
      <c r="F396" s="44"/>
      <c r="G396" s="44"/>
      <c r="I396" s="44"/>
      <c r="K396" s="44"/>
      <c r="M396" s="44"/>
      <c r="O396" s="44"/>
      <c r="Q396" s="44"/>
    </row>
    <row r="397">
      <c r="B397" s="44"/>
      <c r="C397" s="164"/>
      <c r="D397" s="165"/>
      <c r="F397" s="44"/>
      <c r="G397" s="44"/>
      <c r="I397" s="44"/>
      <c r="K397" s="44"/>
      <c r="M397" s="44"/>
      <c r="O397" s="44"/>
      <c r="Q397" s="44"/>
    </row>
    <row r="398">
      <c r="B398" s="44"/>
      <c r="C398" s="164"/>
      <c r="D398" s="165"/>
      <c r="F398" s="44"/>
      <c r="G398" s="44"/>
      <c r="I398" s="44"/>
      <c r="K398" s="44"/>
      <c r="M398" s="44"/>
      <c r="O398" s="44"/>
      <c r="Q398" s="44"/>
    </row>
    <row r="399">
      <c r="B399" s="44"/>
      <c r="C399" s="164"/>
      <c r="D399" s="165"/>
      <c r="F399" s="44"/>
      <c r="G399" s="44"/>
      <c r="I399" s="44"/>
      <c r="K399" s="44"/>
      <c r="M399" s="44"/>
      <c r="O399" s="44"/>
      <c r="Q399" s="44"/>
    </row>
    <row r="400">
      <c r="B400" s="44"/>
      <c r="C400" s="164"/>
      <c r="D400" s="165"/>
      <c r="F400" s="44"/>
      <c r="G400" s="44"/>
      <c r="I400" s="44"/>
      <c r="K400" s="44"/>
      <c r="M400" s="44"/>
      <c r="O400" s="44"/>
      <c r="Q400" s="44"/>
    </row>
    <row r="401">
      <c r="B401" s="44"/>
      <c r="C401" s="164"/>
      <c r="D401" s="165"/>
      <c r="F401" s="44"/>
      <c r="G401" s="44"/>
      <c r="I401" s="44"/>
      <c r="K401" s="44"/>
      <c r="M401" s="44"/>
      <c r="O401" s="44"/>
      <c r="Q401" s="44"/>
    </row>
    <row r="402">
      <c r="B402" s="44"/>
      <c r="C402" s="164"/>
      <c r="D402" s="165"/>
      <c r="F402" s="44"/>
      <c r="G402" s="44"/>
      <c r="I402" s="44"/>
      <c r="K402" s="44"/>
      <c r="M402" s="44"/>
      <c r="O402" s="44"/>
      <c r="Q402" s="44"/>
    </row>
    <row r="403">
      <c r="B403" s="44"/>
      <c r="C403" s="164"/>
      <c r="D403" s="165"/>
      <c r="F403" s="44"/>
      <c r="G403" s="44"/>
      <c r="I403" s="44"/>
      <c r="K403" s="44"/>
      <c r="M403" s="44"/>
      <c r="O403" s="44"/>
      <c r="Q403" s="44"/>
    </row>
    <row r="404">
      <c r="B404" s="44"/>
      <c r="C404" s="164"/>
      <c r="D404" s="165"/>
      <c r="F404" s="44"/>
      <c r="G404" s="44"/>
      <c r="I404" s="44"/>
      <c r="K404" s="44"/>
      <c r="M404" s="44"/>
      <c r="O404" s="44"/>
      <c r="Q404" s="44"/>
    </row>
    <row r="405">
      <c r="B405" s="44"/>
      <c r="C405" s="164"/>
      <c r="D405" s="165"/>
      <c r="F405" s="44"/>
      <c r="G405" s="44"/>
      <c r="I405" s="44"/>
      <c r="K405" s="44"/>
      <c r="M405" s="44"/>
      <c r="O405" s="44"/>
      <c r="Q405" s="44"/>
    </row>
    <row r="406">
      <c r="B406" s="44"/>
      <c r="C406" s="164"/>
      <c r="D406" s="165"/>
      <c r="F406" s="44"/>
      <c r="G406" s="44"/>
      <c r="I406" s="44"/>
      <c r="K406" s="44"/>
      <c r="M406" s="44"/>
      <c r="O406" s="44"/>
      <c r="Q406" s="44"/>
    </row>
    <row r="407">
      <c r="B407" s="44"/>
      <c r="C407" s="164"/>
      <c r="D407" s="165"/>
      <c r="F407" s="44"/>
      <c r="G407" s="44"/>
      <c r="I407" s="44"/>
      <c r="K407" s="44"/>
      <c r="M407" s="44"/>
      <c r="O407" s="44"/>
      <c r="Q407" s="44"/>
    </row>
    <row r="408">
      <c r="B408" s="44"/>
      <c r="C408" s="164"/>
      <c r="D408" s="165"/>
      <c r="F408" s="44"/>
      <c r="G408" s="44"/>
      <c r="I408" s="44"/>
      <c r="K408" s="44"/>
      <c r="M408" s="44"/>
      <c r="O408" s="44"/>
      <c r="Q408" s="44"/>
    </row>
    <row r="409">
      <c r="B409" s="44"/>
      <c r="C409" s="164"/>
      <c r="D409" s="165"/>
      <c r="F409" s="44"/>
      <c r="G409" s="44"/>
      <c r="I409" s="44"/>
      <c r="K409" s="44"/>
      <c r="M409" s="44"/>
      <c r="O409" s="44"/>
      <c r="Q409" s="44"/>
    </row>
    <row r="410">
      <c r="B410" s="44"/>
      <c r="C410" s="164"/>
      <c r="D410" s="165"/>
      <c r="F410" s="44"/>
      <c r="G410" s="44"/>
      <c r="I410" s="44"/>
      <c r="K410" s="44"/>
      <c r="M410" s="44"/>
      <c r="O410" s="44"/>
      <c r="Q410" s="44"/>
    </row>
    <row r="411">
      <c r="B411" s="44"/>
      <c r="C411" s="164"/>
      <c r="D411" s="165"/>
      <c r="F411" s="44"/>
      <c r="G411" s="44"/>
      <c r="I411" s="44"/>
      <c r="K411" s="44"/>
      <c r="M411" s="44"/>
      <c r="O411" s="44"/>
      <c r="Q411" s="44"/>
    </row>
    <row r="412">
      <c r="B412" s="44"/>
      <c r="C412" s="164"/>
      <c r="D412" s="165"/>
      <c r="F412" s="44"/>
      <c r="G412" s="44"/>
      <c r="I412" s="44"/>
      <c r="K412" s="44"/>
      <c r="M412" s="44"/>
      <c r="O412" s="44"/>
      <c r="Q412" s="44"/>
    </row>
    <row r="413">
      <c r="B413" s="44"/>
      <c r="C413" s="164"/>
      <c r="D413" s="165"/>
      <c r="F413" s="44"/>
      <c r="G413" s="44"/>
      <c r="I413" s="44"/>
      <c r="K413" s="44"/>
      <c r="M413" s="44"/>
      <c r="O413" s="44"/>
      <c r="Q413" s="44"/>
    </row>
    <row r="414">
      <c r="B414" s="44"/>
      <c r="C414" s="164"/>
      <c r="D414" s="165"/>
      <c r="F414" s="44"/>
      <c r="G414" s="44"/>
      <c r="I414" s="44"/>
      <c r="K414" s="44"/>
      <c r="M414" s="44"/>
      <c r="O414" s="44"/>
      <c r="Q414" s="44"/>
    </row>
    <row r="415">
      <c r="B415" s="44"/>
      <c r="C415" s="164"/>
      <c r="D415" s="165"/>
      <c r="F415" s="44"/>
      <c r="G415" s="44"/>
      <c r="I415" s="44"/>
      <c r="K415" s="44"/>
      <c r="M415" s="44"/>
      <c r="O415" s="44"/>
      <c r="Q415" s="44"/>
    </row>
    <row r="416">
      <c r="B416" s="44"/>
      <c r="C416" s="164"/>
      <c r="D416" s="165"/>
      <c r="F416" s="44"/>
      <c r="G416" s="44"/>
      <c r="I416" s="44"/>
      <c r="K416" s="44"/>
      <c r="M416" s="44"/>
      <c r="O416" s="44"/>
      <c r="Q416" s="44"/>
    </row>
    <row r="417">
      <c r="B417" s="44"/>
      <c r="C417" s="164"/>
      <c r="D417" s="165"/>
      <c r="F417" s="44"/>
      <c r="G417" s="44"/>
      <c r="I417" s="44"/>
      <c r="K417" s="44"/>
      <c r="M417" s="44"/>
      <c r="O417" s="44"/>
      <c r="Q417" s="44"/>
    </row>
    <row r="418">
      <c r="B418" s="44"/>
      <c r="C418" s="164"/>
      <c r="D418" s="165"/>
      <c r="F418" s="44"/>
      <c r="G418" s="44"/>
      <c r="I418" s="44"/>
      <c r="K418" s="44"/>
      <c r="M418" s="44"/>
      <c r="O418" s="44"/>
      <c r="Q418" s="44"/>
    </row>
    <row r="419">
      <c r="B419" s="44"/>
      <c r="C419" s="164"/>
      <c r="D419" s="165"/>
      <c r="F419" s="44"/>
      <c r="G419" s="44"/>
      <c r="I419" s="44"/>
      <c r="K419" s="44"/>
      <c r="M419" s="44"/>
      <c r="O419" s="44"/>
      <c r="Q419" s="44"/>
    </row>
    <row r="420">
      <c r="B420" s="44"/>
      <c r="C420" s="164"/>
      <c r="D420" s="165"/>
      <c r="F420" s="44"/>
      <c r="G420" s="44"/>
      <c r="I420" s="44"/>
      <c r="K420" s="44"/>
      <c r="M420" s="44"/>
      <c r="O420" s="44"/>
      <c r="Q420" s="44"/>
    </row>
    <row r="421">
      <c r="B421" s="44"/>
      <c r="C421" s="164"/>
      <c r="D421" s="165"/>
      <c r="F421" s="44"/>
      <c r="G421" s="44"/>
      <c r="I421" s="44"/>
      <c r="K421" s="44"/>
      <c r="M421" s="44"/>
      <c r="O421" s="44"/>
      <c r="Q421" s="44"/>
    </row>
    <row r="422">
      <c r="B422" s="44"/>
      <c r="C422" s="164"/>
      <c r="D422" s="165"/>
      <c r="F422" s="44"/>
      <c r="G422" s="44"/>
      <c r="I422" s="44"/>
      <c r="K422" s="44"/>
      <c r="M422" s="44"/>
      <c r="O422" s="44"/>
      <c r="Q422" s="44"/>
    </row>
    <row r="423">
      <c r="B423" s="44"/>
      <c r="C423" s="164"/>
      <c r="D423" s="165"/>
      <c r="F423" s="44"/>
      <c r="G423" s="44"/>
      <c r="I423" s="44"/>
      <c r="K423" s="44"/>
      <c r="M423" s="44"/>
      <c r="O423" s="44"/>
      <c r="Q423" s="44"/>
    </row>
    <row r="424">
      <c r="B424" s="44"/>
      <c r="C424" s="164"/>
      <c r="D424" s="165"/>
      <c r="F424" s="44"/>
      <c r="G424" s="44"/>
      <c r="I424" s="44"/>
      <c r="K424" s="44"/>
      <c r="M424" s="44"/>
      <c r="O424" s="44"/>
      <c r="Q424" s="44"/>
    </row>
    <row r="425">
      <c r="B425" s="44"/>
      <c r="C425" s="164"/>
      <c r="D425" s="165"/>
      <c r="F425" s="44"/>
      <c r="G425" s="44"/>
      <c r="I425" s="44"/>
      <c r="K425" s="44"/>
      <c r="M425" s="44"/>
      <c r="O425" s="44"/>
      <c r="Q425" s="44"/>
    </row>
    <row r="426">
      <c r="B426" s="44"/>
      <c r="C426" s="164"/>
      <c r="D426" s="165"/>
      <c r="F426" s="44"/>
      <c r="G426" s="44"/>
      <c r="I426" s="44"/>
      <c r="K426" s="44"/>
      <c r="M426" s="44"/>
      <c r="O426" s="44"/>
      <c r="Q426" s="44"/>
    </row>
    <row r="427">
      <c r="B427" s="44"/>
      <c r="C427" s="164"/>
      <c r="D427" s="165"/>
      <c r="F427" s="44"/>
      <c r="G427" s="44"/>
      <c r="I427" s="44"/>
      <c r="K427" s="44"/>
      <c r="M427" s="44"/>
      <c r="O427" s="44"/>
      <c r="Q427" s="44"/>
    </row>
    <row r="428">
      <c r="B428" s="44"/>
      <c r="C428" s="164"/>
      <c r="D428" s="165"/>
      <c r="F428" s="44"/>
      <c r="G428" s="44"/>
      <c r="I428" s="44"/>
      <c r="K428" s="44"/>
      <c r="M428" s="44"/>
      <c r="O428" s="44"/>
      <c r="Q428" s="44"/>
    </row>
    <row r="429">
      <c r="B429" s="44"/>
      <c r="C429" s="164"/>
      <c r="D429" s="165"/>
      <c r="F429" s="44"/>
      <c r="G429" s="44"/>
      <c r="I429" s="44"/>
      <c r="K429" s="44"/>
      <c r="M429" s="44"/>
      <c r="O429" s="44"/>
      <c r="Q429" s="44"/>
    </row>
    <row r="430">
      <c r="B430" s="44"/>
      <c r="C430" s="164"/>
      <c r="D430" s="165"/>
      <c r="F430" s="44"/>
      <c r="G430" s="44"/>
      <c r="I430" s="44"/>
      <c r="K430" s="44"/>
      <c r="M430" s="44"/>
      <c r="O430" s="44"/>
      <c r="Q430" s="44"/>
    </row>
    <row r="431">
      <c r="B431" s="44"/>
      <c r="C431" s="164"/>
      <c r="D431" s="165"/>
      <c r="F431" s="44"/>
      <c r="G431" s="44"/>
      <c r="I431" s="44"/>
      <c r="K431" s="44"/>
      <c r="M431" s="44"/>
      <c r="O431" s="44"/>
      <c r="Q431" s="44"/>
    </row>
    <row r="432">
      <c r="B432" s="44"/>
      <c r="C432" s="164"/>
      <c r="D432" s="165"/>
      <c r="F432" s="44"/>
      <c r="G432" s="44"/>
      <c r="I432" s="44"/>
      <c r="K432" s="44"/>
      <c r="M432" s="44"/>
      <c r="O432" s="44"/>
      <c r="Q432" s="44"/>
    </row>
    <row r="433">
      <c r="B433" s="44"/>
      <c r="C433" s="164"/>
      <c r="D433" s="165"/>
      <c r="F433" s="44"/>
      <c r="G433" s="44"/>
      <c r="I433" s="44"/>
      <c r="K433" s="44"/>
      <c r="M433" s="44"/>
      <c r="O433" s="44"/>
      <c r="Q433" s="44"/>
    </row>
    <row r="434">
      <c r="B434" s="44"/>
      <c r="C434" s="164"/>
      <c r="D434" s="165"/>
      <c r="F434" s="44"/>
      <c r="G434" s="44"/>
      <c r="I434" s="44"/>
      <c r="K434" s="44"/>
      <c r="M434" s="44"/>
      <c r="O434" s="44"/>
      <c r="Q434" s="44"/>
    </row>
    <row r="435">
      <c r="B435" s="44"/>
      <c r="C435" s="164"/>
      <c r="D435" s="165"/>
      <c r="F435" s="44"/>
      <c r="G435" s="44"/>
      <c r="I435" s="44"/>
      <c r="K435" s="44"/>
      <c r="M435" s="44"/>
      <c r="O435" s="44"/>
      <c r="Q435" s="44"/>
    </row>
    <row r="436">
      <c r="B436" s="44"/>
      <c r="C436" s="164"/>
      <c r="D436" s="165"/>
      <c r="F436" s="44"/>
      <c r="G436" s="44"/>
      <c r="I436" s="44"/>
      <c r="K436" s="44"/>
      <c r="M436" s="44"/>
      <c r="O436" s="44"/>
      <c r="Q436" s="44"/>
    </row>
    <row r="437">
      <c r="B437" s="44"/>
      <c r="C437" s="164"/>
      <c r="D437" s="165"/>
      <c r="F437" s="44"/>
      <c r="G437" s="44"/>
      <c r="I437" s="44"/>
      <c r="K437" s="44"/>
      <c r="M437" s="44"/>
      <c r="O437" s="44"/>
      <c r="Q437" s="44"/>
    </row>
    <row r="438">
      <c r="B438" s="44"/>
      <c r="C438" s="164"/>
      <c r="D438" s="165"/>
      <c r="F438" s="44"/>
      <c r="G438" s="44"/>
      <c r="I438" s="44"/>
      <c r="K438" s="44"/>
      <c r="M438" s="44"/>
      <c r="O438" s="44"/>
      <c r="Q438" s="44"/>
    </row>
    <row r="439">
      <c r="B439" s="44"/>
      <c r="C439" s="164"/>
      <c r="D439" s="165"/>
      <c r="F439" s="44"/>
      <c r="G439" s="44"/>
      <c r="I439" s="44"/>
      <c r="K439" s="44"/>
      <c r="M439" s="44"/>
      <c r="O439" s="44"/>
      <c r="Q439" s="44"/>
    </row>
    <row r="440">
      <c r="B440" s="44"/>
      <c r="C440" s="164"/>
      <c r="D440" s="165"/>
      <c r="F440" s="44"/>
      <c r="G440" s="44"/>
      <c r="I440" s="44"/>
      <c r="K440" s="44"/>
      <c r="M440" s="44"/>
      <c r="O440" s="44"/>
      <c r="Q440" s="44"/>
    </row>
    <row r="441">
      <c r="B441" s="44"/>
      <c r="C441" s="164"/>
      <c r="D441" s="165"/>
      <c r="F441" s="44"/>
      <c r="G441" s="44"/>
      <c r="I441" s="44"/>
      <c r="K441" s="44"/>
      <c r="M441" s="44"/>
      <c r="O441" s="44"/>
      <c r="Q441" s="44"/>
    </row>
    <row r="442">
      <c r="B442" s="44"/>
      <c r="C442" s="164"/>
      <c r="D442" s="165"/>
      <c r="F442" s="44"/>
      <c r="G442" s="44"/>
      <c r="I442" s="44"/>
      <c r="K442" s="44"/>
      <c r="M442" s="44"/>
      <c r="O442" s="44"/>
      <c r="Q442" s="44"/>
    </row>
    <row r="443">
      <c r="B443" s="44"/>
      <c r="C443" s="164"/>
      <c r="D443" s="165"/>
      <c r="F443" s="44"/>
      <c r="G443" s="44"/>
      <c r="I443" s="44"/>
      <c r="K443" s="44"/>
      <c r="M443" s="44"/>
      <c r="O443" s="44"/>
      <c r="Q443" s="44"/>
    </row>
    <row r="444">
      <c r="B444" s="44"/>
      <c r="C444" s="164"/>
      <c r="D444" s="165"/>
      <c r="F444" s="44"/>
      <c r="G444" s="44"/>
      <c r="I444" s="44"/>
      <c r="K444" s="44"/>
      <c r="M444" s="44"/>
      <c r="O444" s="44"/>
      <c r="Q444" s="44"/>
    </row>
    <row r="445">
      <c r="B445" s="44"/>
      <c r="C445" s="164"/>
      <c r="D445" s="165"/>
      <c r="F445" s="44"/>
      <c r="G445" s="44"/>
      <c r="I445" s="44"/>
      <c r="K445" s="44"/>
      <c r="M445" s="44"/>
      <c r="O445" s="44"/>
      <c r="Q445" s="44"/>
    </row>
    <row r="446">
      <c r="B446" s="44"/>
      <c r="C446" s="164"/>
      <c r="D446" s="165"/>
      <c r="F446" s="44"/>
      <c r="G446" s="44"/>
      <c r="I446" s="44"/>
      <c r="K446" s="44"/>
      <c r="M446" s="44"/>
      <c r="O446" s="44"/>
      <c r="Q446" s="44"/>
    </row>
    <row r="447">
      <c r="B447" s="44"/>
      <c r="C447" s="164"/>
      <c r="D447" s="165"/>
      <c r="F447" s="44"/>
      <c r="G447" s="44"/>
      <c r="I447" s="44"/>
      <c r="K447" s="44"/>
      <c r="M447" s="44"/>
      <c r="O447" s="44"/>
      <c r="Q447" s="44"/>
    </row>
    <row r="448">
      <c r="B448" s="44"/>
      <c r="C448" s="164"/>
      <c r="D448" s="165"/>
      <c r="F448" s="44"/>
      <c r="G448" s="44"/>
      <c r="I448" s="44"/>
      <c r="K448" s="44"/>
      <c r="M448" s="44"/>
      <c r="O448" s="44"/>
      <c r="Q448" s="44"/>
    </row>
    <row r="449">
      <c r="B449" s="44"/>
      <c r="C449" s="164"/>
      <c r="D449" s="165"/>
      <c r="F449" s="44"/>
      <c r="G449" s="44"/>
      <c r="I449" s="44"/>
      <c r="K449" s="44"/>
      <c r="M449" s="44"/>
      <c r="O449" s="44"/>
      <c r="Q449" s="44"/>
    </row>
    <row r="450">
      <c r="B450" s="44"/>
      <c r="C450" s="164"/>
      <c r="D450" s="165"/>
      <c r="F450" s="44"/>
      <c r="G450" s="44"/>
      <c r="I450" s="44"/>
      <c r="K450" s="44"/>
      <c r="M450" s="44"/>
      <c r="O450" s="44"/>
      <c r="Q450" s="44"/>
    </row>
    <row r="451">
      <c r="B451" s="44"/>
      <c r="C451" s="164"/>
      <c r="D451" s="165"/>
      <c r="F451" s="44"/>
      <c r="G451" s="44"/>
      <c r="I451" s="44"/>
      <c r="K451" s="44"/>
      <c r="M451" s="44"/>
      <c r="O451" s="44"/>
      <c r="Q451" s="44"/>
    </row>
    <row r="452">
      <c r="B452" s="44"/>
      <c r="C452" s="164"/>
      <c r="D452" s="165"/>
      <c r="F452" s="44"/>
      <c r="G452" s="44"/>
      <c r="I452" s="44"/>
      <c r="K452" s="44"/>
      <c r="M452" s="44"/>
      <c r="O452" s="44"/>
      <c r="Q452" s="44"/>
    </row>
    <row r="453">
      <c r="B453" s="44"/>
      <c r="C453" s="164"/>
      <c r="D453" s="165"/>
      <c r="F453" s="44"/>
      <c r="G453" s="44"/>
      <c r="I453" s="44"/>
      <c r="K453" s="44"/>
      <c r="M453" s="44"/>
      <c r="O453" s="44"/>
      <c r="Q453" s="44"/>
    </row>
    <row r="454">
      <c r="B454" s="44"/>
      <c r="C454" s="164"/>
      <c r="D454" s="165"/>
      <c r="F454" s="44"/>
      <c r="G454" s="44"/>
      <c r="I454" s="44"/>
      <c r="K454" s="44"/>
      <c r="M454" s="44"/>
      <c r="O454" s="44"/>
      <c r="Q454" s="44"/>
    </row>
    <row r="455">
      <c r="B455" s="44"/>
      <c r="C455" s="164"/>
      <c r="D455" s="165"/>
      <c r="F455" s="44"/>
      <c r="G455" s="44"/>
      <c r="I455" s="44"/>
      <c r="K455" s="44"/>
      <c r="M455" s="44"/>
      <c r="O455" s="44"/>
      <c r="Q455" s="44"/>
    </row>
    <row r="456">
      <c r="B456" s="44"/>
      <c r="C456" s="164"/>
      <c r="D456" s="165"/>
      <c r="F456" s="44"/>
      <c r="G456" s="44"/>
      <c r="I456" s="44"/>
      <c r="K456" s="44"/>
      <c r="M456" s="44"/>
      <c r="O456" s="44"/>
      <c r="Q456" s="44"/>
    </row>
    <row r="457">
      <c r="B457" s="44"/>
      <c r="C457" s="164"/>
      <c r="D457" s="165"/>
      <c r="F457" s="44"/>
      <c r="G457" s="44"/>
      <c r="I457" s="44"/>
      <c r="K457" s="44"/>
      <c r="M457" s="44"/>
      <c r="O457" s="44"/>
      <c r="Q457" s="44"/>
    </row>
    <row r="458">
      <c r="B458" s="44"/>
      <c r="C458" s="164"/>
      <c r="D458" s="165"/>
      <c r="F458" s="44"/>
      <c r="G458" s="44"/>
      <c r="I458" s="44"/>
      <c r="K458" s="44"/>
      <c r="M458" s="44"/>
      <c r="O458" s="44"/>
      <c r="Q458" s="44"/>
    </row>
    <row r="459">
      <c r="B459" s="44"/>
      <c r="C459" s="164"/>
      <c r="D459" s="165"/>
      <c r="F459" s="44"/>
      <c r="G459" s="44"/>
      <c r="I459" s="44"/>
      <c r="K459" s="44"/>
      <c r="M459" s="44"/>
      <c r="O459" s="44"/>
      <c r="Q459" s="44"/>
    </row>
    <row r="460">
      <c r="B460" s="44"/>
      <c r="C460" s="164"/>
      <c r="D460" s="165"/>
      <c r="F460" s="44"/>
      <c r="G460" s="44"/>
      <c r="I460" s="44"/>
      <c r="K460" s="44"/>
      <c r="M460" s="44"/>
      <c r="O460" s="44"/>
      <c r="Q460" s="44"/>
    </row>
    <row r="461">
      <c r="B461" s="44"/>
      <c r="C461" s="164"/>
      <c r="D461" s="165"/>
      <c r="F461" s="44"/>
      <c r="G461" s="44"/>
      <c r="I461" s="44"/>
      <c r="K461" s="44"/>
      <c r="M461" s="44"/>
      <c r="O461" s="44"/>
      <c r="Q461" s="44"/>
    </row>
    <row r="462">
      <c r="B462" s="44"/>
      <c r="C462" s="164"/>
      <c r="D462" s="165"/>
      <c r="F462" s="44"/>
      <c r="G462" s="44"/>
      <c r="I462" s="44"/>
      <c r="K462" s="44"/>
      <c r="M462" s="44"/>
      <c r="O462" s="44"/>
      <c r="Q462" s="44"/>
    </row>
    <row r="463">
      <c r="B463" s="44"/>
      <c r="C463" s="164"/>
      <c r="D463" s="165"/>
      <c r="F463" s="44"/>
      <c r="G463" s="44"/>
      <c r="I463" s="44"/>
      <c r="K463" s="44"/>
      <c r="M463" s="44"/>
      <c r="O463" s="44"/>
      <c r="Q463" s="44"/>
    </row>
    <row r="464">
      <c r="B464" s="44"/>
      <c r="C464" s="164"/>
      <c r="D464" s="165"/>
      <c r="F464" s="44"/>
      <c r="G464" s="44"/>
      <c r="I464" s="44"/>
      <c r="K464" s="44"/>
      <c r="M464" s="44"/>
      <c r="O464" s="44"/>
      <c r="Q464" s="44"/>
    </row>
    <row r="465">
      <c r="B465" s="44"/>
      <c r="C465" s="164"/>
      <c r="D465" s="165"/>
      <c r="F465" s="44"/>
      <c r="G465" s="44"/>
      <c r="I465" s="44"/>
      <c r="K465" s="44"/>
      <c r="M465" s="44"/>
      <c r="O465" s="44"/>
      <c r="Q465" s="44"/>
    </row>
    <row r="466">
      <c r="B466" s="44"/>
      <c r="C466" s="164"/>
      <c r="D466" s="165"/>
      <c r="F466" s="44"/>
      <c r="G466" s="44"/>
      <c r="I466" s="44"/>
      <c r="K466" s="44"/>
      <c r="M466" s="44"/>
      <c r="O466" s="44"/>
      <c r="Q466" s="44"/>
    </row>
    <row r="467">
      <c r="B467" s="44"/>
      <c r="C467" s="164"/>
      <c r="D467" s="165"/>
      <c r="F467" s="44"/>
      <c r="G467" s="44"/>
      <c r="I467" s="44"/>
      <c r="K467" s="44"/>
      <c r="M467" s="44"/>
      <c r="O467" s="44"/>
      <c r="Q467" s="44"/>
    </row>
    <row r="468">
      <c r="B468" s="44"/>
      <c r="C468" s="164"/>
      <c r="D468" s="165"/>
      <c r="F468" s="44"/>
      <c r="G468" s="44"/>
      <c r="I468" s="44"/>
      <c r="K468" s="44"/>
      <c r="M468" s="44"/>
      <c r="O468" s="44"/>
      <c r="Q468" s="44"/>
    </row>
    <row r="469">
      <c r="B469" s="44"/>
      <c r="C469" s="164"/>
      <c r="D469" s="165"/>
      <c r="F469" s="44"/>
      <c r="G469" s="44"/>
      <c r="I469" s="44"/>
      <c r="K469" s="44"/>
      <c r="M469" s="44"/>
      <c r="O469" s="44"/>
      <c r="Q469" s="44"/>
    </row>
    <row r="470">
      <c r="B470" s="44"/>
      <c r="C470" s="164"/>
      <c r="D470" s="165"/>
      <c r="F470" s="44"/>
      <c r="G470" s="44"/>
      <c r="I470" s="44"/>
      <c r="K470" s="44"/>
      <c r="M470" s="44"/>
      <c r="O470" s="44"/>
      <c r="Q470" s="44"/>
    </row>
    <row r="471">
      <c r="B471" s="44"/>
      <c r="C471" s="164"/>
      <c r="D471" s="165"/>
      <c r="F471" s="44"/>
      <c r="G471" s="44"/>
      <c r="I471" s="44"/>
      <c r="K471" s="44"/>
      <c r="M471" s="44"/>
      <c r="O471" s="44"/>
      <c r="Q471" s="44"/>
    </row>
    <row r="472">
      <c r="B472" s="44"/>
      <c r="C472" s="164"/>
      <c r="D472" s="165"/>
      <c r="F472" s="44"/>
      <c r="G472" s="44"/>
      <c r="I472" s="44"/>
      <c r="K472" s="44"/>
      <c r="M472" s="44"/>
      <c r="O472" s="44"/>
      <c r="Q472" s="44"/>
    </row>
    <row r="473">
      <c r="B473" s="44"/>
      <c r="C473" s="164"/>
      <c r="D473" s="165"/>
      <c r="F473" s="44"/>
      <c r="G473" s="44"/>
      <c r="I473" s="44"/>
      <c r="K473" s="44"/>
      <c r="M473" s="44"/>
      <c r="O473" s="44"/>
      <c r="Q473" s="44"/>
    </row>
    <row r="474">
      <c r="B474" s="44"/>
      <c r="C474" s="164"/>
      <c r="D474" s="165"/>
      <c r="F474" s="44"/>
      <c r="G474" s="44"/>
      <c r="I474" s="44"/>
      <c r="K474" s="44"/>
      <c r="M474" s="44"/>
      <c r="O474" s="44"/>
      <c r="Q474" s="44"/>
    </row>
    <row r="475">
      <c r="B475" s="44"/>
      <c r="C475" s="164"/>
      <c r="D475" s="165"/>
      <c r="F475" s="44"/>
      <c r="G475" s="44"/>
      <c r="I475" s="44"/>
      <c r="K475" s="44"/>
      <c r="M475" s="44"/>
      <c r="O475" s="44"/>
      <c r="Q475" s="44"/>
    </row>
    <row r="476">
      <c r="B476" s="44"/>
      <c r="C476" s="164"/>
      <c r="D476" s="165"/>
      <c r="F476" s="44"/>
      <c r="G476" s="44"/>
      <c r="I476" s="44"/>
      <c r="K476" s="44"/>
      <c r="M476" s="44"/>
      <c r="O476" s="44"/>
      <c r="Q476" s="44"/>
    </row>
    <row r="477">
      <c r="B477" s="44"/>
      <c r="C477" s="164"/>
      <c r="D477" s="165"/>
      <c r="F477" s="44"/>
      <c r="G477" s="44"/>
      <c r="I477" s="44"/>
      <c r="K477" s="44"/>
      <c r="M477" s="44"/>
      <c r="O477" s="44"/>
      <c r="Q477" s="44"/>
    </row>
    <row r="478">
      <c r="B478" s="44"/>
      <c r="C478" s="164"/>
      <c r="D478" s="165"/>
      <c r="F478" s="44"/>
      <c r="G478" s="44"/>
      <c r="I478" s="44"/>
      <c r="K478" s="44"/>
      <c r="M478" s="44"/>
      <c r="O478" s="44"/>
      <c r="Q478" s="44"/>
    </row>
    <row r="479">
      <c r="B479" s="44"/>
      <c r="C479" s="164"/>
      <c r="D479" s="165"/>
      <c r="F479" s="44"/>
      <c r="G479" s="44"/>
      <c r="I479" s="44"/>
      <c r="K479" s="44"/>
      <c r="M479" s="44"/>
      <c r="O479" s="44"/>
      <c r="Q479" s="44"/>
    </row>
    <row r="480">
      <c r="B480" s="44"/>
      <c r="C480" s="164"/>
      <c r="D480" s="165"/>
      <c r="F480" s="44"/>
      <c r="G480" s="44"/>
      <c r="I480" s="44"/>
      <c r="K480" s="44"/>
      <c r="M480" s="44"/>
      <c r="O480" s="44"/>
      <c r="Q480" s="44"/>
    </row>
    <row r="481">
      <c r="B481" s="44"/>
      <c r="C481" s="164"/>
      <c r="D481" s="165"/>
      <c r="F481" s="44"/>
      <c r="G481" s="44"/>
      <c r="I481" s="44"/>
      <c r="K481" s="44"/>
      <c r="M481" s="44"/>
      <c r="O481" s="44"/>
      <c r="Q481" s="44"/>
    </row>
    <row r="482">
      <c r="B482" s="44"/>
      <c r="C482" s="164"/>
      <c r="D482" s="165"/>
      <c r="F482" s="44"/>
      <c r="G482" s="44"/>
      <c r="I482" s="44"/>
      <c r="K482" s="44"/>
      <c r="M482" s="44"/>
      <c r="O482" s="44"/>
      <c r="Q482" s="44"/>
    </row>
    <row r="483">
      <c r="B483" s="44"/>
      <c r="C483" s="164"/>
      <c r="D483" s="165"/>
      <c r="F483" s="44"/>
      <c r="G483" s="44"/>
      <c r="I483" s="44"/>
      <c r="K483" s="44"/>
      <c r="M483" s="44"/>
      <c r="O483" s="44"/>
      <c r="Q483" s="44"/>
    </row>
    <row r="484">
      <c r="B484" s="44"/>
      <c r="C484" s="164"/>
      <c r="D484" s="165"/>
      <c r="F484" s="44"/>
      <c r="G484" s="44"/>
      <c r="I484" s="44"/>
      <c r="K484" s="44"/>
      <c r="M484" s="44"/>
      <c r="O484" s="44"/>
      <c r="Q484" s="44"/>
    </row>
    <row r="485">
      <c r="B485" s="44"/>
      <c r="C485" s="164"/>
      <c r="D485" s="165"/>
      <c r="F485" s="44"/>
      <c r="G485" s="44"/>
      <c r="I485" s="44"/>
      <c r="K485" s="44"/>
      <c r="M485" s="44"/>
      <c r="O485" s="44"/>
      <c r="Q485" s="44"/>
    </row>
    <row r="486">
      <c r="B486" s="44"/>
      <c r="C486" s="164"/>
      <c r="D486" s="165"/>
      <c r="F486" s="44"/>
      <c r="G486" s="44"/>
      <c r="I486" s="44"/>
      <c r="K486" s="44"/>
      <c r="M486" s="44"/>
      <c r="O486" s="44"/>
      <c r="Q486" s="44"/>
    </row>
    <row r="487">
      <c r="B487" s="44"/>
      <c r="C487" s="164"/>
      <c r="D487" s="165"/>
      <c r="F487" s="44"/>
      <c r="G487" s="44"/>
      <c r="I487" s="44"/>
      <c r="K487" s="44"/>
      <c r="M487" s="44"/>
      <c r="O487" s="44"/>
      <c r="Q487" s="44"/>
    </row>
    <row r="488">
      <c r="B488" s="44"/>
      <c r="C488" s="164"/>
      <c r="D488" s="165"/>
      <c r="F488" s="44"/>
      <c r="G488" s="44"/>
      <c r="I488" s="44"/>
      <c r="K488" s="44"/>
      <c r="M488" s="44"/>
      <c r="O488" s="44"/>
      <c r="Q488" s="44"/>
    </row>
    <row r="489">
      <c r="B489" s="44"/>
      <c r="C489" s="164"/>
      <c r="D489" s="165"/>
      <c r="F489" s="44"/>
      <c r="G489" s="44"/>
      <c r="I489" s="44"/>
      <c r="K489" s="44"/>
      <c r="M489" s="44"/>
      <c r="O489" s="44"/>
      <c r="Q489" s="44"/>
    </row>
    <row r="490">
      <c r="B490" s="44"/>
      <c r="C490" s="164"/>
      <c r="D490" s="165"/>
      <c r="F490" s="44"/>
      <c r="G490" s="44"/>
      <c r="I490" s="44"/>
      <c r="K490" s="44"/>
      <c r="M490" s="44"/>
      <c r="O490" s="44"/>
      <c r="Q490" s="44"/>
    </row>
    <row r="491">
      <c r="B491" s="44"/>
      <c r="C491" s="164"/>
      <c r="D491" s="165"/>
      <c r="F491" s="44"/>
      <c r="G491" s="44"/>
      <c r="I491" s="44"/>
      <c r="K491" s="44"/>
      <c r="M491" s="44"/>
      <c r="O491" s="44"/>
      <c r="Q491" s="44"/>
    </row>
    <row r="492">
      <c r="B492" s="44"/>
      <c r="C492" s="164"/>
      <c r="D492" s="165"/>
      <c r="F492" s="44"/>
      <c r="G492" s="44"/>
      <c r="I492" s="44"/>
      <c r="K492" s="44"/>
      <c r="M492" s="44"/>
      <c r="O492" s="44"/>
      <c r="Q492" s="44"/>
    </row>
    <row r="493">
      <c r="B493" s="44"/>
      <c r="C493" s="164"/>
      <c r="D493" s="165"/>
      <c r="F493" s="44"/>
      <c r="G493" s="44"/>
      <c r="I493" s="44"/>
      <c r="K493" s="44"/>
      <c r="M493" s="44"/>
      <c r="O493" s="44"/>
      <c r="Q493" s="44"/>
    </row>
    <row r="494">
      <c r="B494" s="44"/>
      <c r="C494" s="164"/>
      <c r="D494" s="165"/>
      <c r="F494" s="44"/>
      <c r="G494" s="44"/>
      <c r="I494" s="44"/>
      <c r="K494" s="44"/>
      <c r="M494" s="44"/>
      <c r="O494" s="44"/>
      <c r="Q494" s="44"/>
    </row>
    <row r="495">
      <c r="B495" s="44"/>
      <c r="C495" s="164"/>
      <c r="D495" s="165"/>
      <c r="F495" s="44"/>
      <c r="G495" s="44"/>
      <c r="I495" s="44"/>
      <c r="K495" s="44"/>
      <c r="M495" s="44"/>
      <c r="O495" s="44"/>
      <c r="Q495" s="44"/>
    </row>
    <row r="496">
      <c r="B496" s="44"/>
      <c r="C496" s="164"/>
      <c r="D496" s="165"/>
      <c r="F496" s="44"/>
      <c r="G496" s="44"/>
      <c r="I496" s="44"/>
      <c r="K496" s="44"/>
      <c r="M496" s="44"/>
      <c r="O496" s="44"/>
      <c r="Q496" s="44"/>
    </row>
    <row r="497">
      <c r="B497" s="44"/>
      <c r="C497" s="164"/>
      <c r="D497" s="165"/>
      <c r="F497" s="44"/>
      <c r="G497" s="44"/>
      <c r="I497" s="44"/>
      <c r="K497" s="44"/>
      <c r="M497" s="44"/>
      <c r="O497" s="44"/>
      <c r="Q497" s="44"/>
    </row>
    <row r="498">
      <c r="B498" s="44"/>
      <c r="C498" s="164"/>
      <c r="D498" s="165"/>
      <c r="F498" s="44"/>
      <c r="G498" s="44"/>
      <c r="I498" s="44"/>
      <c r="K498" s="44"/>
      <c r="M498" s="44"/>
      <c r="O498" s="44"/>
      <c r="Q498" s="44"/>
    </row>
    <row r="499">
      <c r="B499" s="44"/>
      <c r="C499" s="164"/>
      <c r="D499" s="165"/>
      <c r="F499" s="44"/>
      <c r="G499" s="44"/>
      <c r="I499" s="44"/>
      <c r="K499" s="44"/>
      <c r="M499" s="44"/>
      <c r="O499" s="44"/>
      <c r="Q499" s="44"/>
    </row>
    <row r="500">
      <c r="B500" s="44"/>
      <c r="C500" s="164"/>
      <c r="D500" s="165"/>
      <c r="F500" s="44"/>
      <c r="G500" s="44"/>
      <c r="I500" s="44"/>
      <c r="K500" s="44"/>
      <c r="M500" s="44"/>
      <c r="O500" s="44"/>
      <c r="Q500" s="44"/>
    </row>
    <row r="501">
      <c r="B501" s="44"/>
      <c r="C501" s="164"/>
      <c r="D501" s="165"/>
      <c r="F501" s="44"/>
      <c r="G501" s="44"/>
      <c r="I501" s="44"/>
      <c r="K501" s="44"/>
      <c r="M501" s="44"/>
      <c r="O501" s="44"/>
      <c r="Q501" s="44"/>
    </row>
    <row r="502">
      <c r="B502" s="44"/>
      <c r="C502" s="164"/>
      <c r="D502" s="165"/>
      <c r="F502" s="44"/>
      <c r="G502" s="44"/>
      <c r="I502" s="44"/>
      <c r="K502" s="44"/>
      <c r="M502" s="44"/>
      <c r="O502" s="44"/>
      <c r="Q502" s="44"/>
    </row>
    <row r="503">
      <c r="B503" s="44"/>
      <c r="C503" s="164"/>
      <c r="D503" s="165"/>
      <c r="F503" s="44"/>
      <c r="G503" s="44"/>
      <c r="I503" s="44"/>
      <c r="K503" s="44"/>
      <c r="M503" s="44"/>
      <c r="O503" s="44"/>
      <c r="Q503" s="44"/>
    </row>
    <row r="504">
      <c r="B504" s="44"/>
      <c r="C504" s="164"/>
      <c r="D504" s="165"/>
      <c r="F504" s="44"/>
      <c r="G504" s="44"/>
      <c r="I504" s="44"/>
      <c r="K504" s="44"/>
      <c r="M504" s="44"/>
      <c r="O504" s="44"/>
      <c r="Q504" s="44"/>
    </row>
    <row r="505">
      <c r="B505" s="44"/>
      <c r="C505" s="164"/>
      <c r="D505" s="165"/>
      <c r="F505" s="44"/>
      <c r="G505" s="44"/>
      <c r="I505" s="44"/>
      <c r="K505" s="44"/>
      <c r="M505" s="44"/>
      <c r="O505" s="44"/>
      <c r="Q505" s="44"/>
    </row>
    <row r="506">
      <c r="B506" s="44"/>
      <c r="C506" s="164"/>
      <c r="D506" s="165"/>
      <c r="F506" s="44"/>
      <c r="G506" s="44"/>
      <c r="I506" s="44"/>
      <c r="K506" s="44"/>
      <c r="M506" s="44"/>
      <c r="O506" s="44"/>
      <c r="Q506" s="44"/>
    </row>
    <row r="507">
      <c r="B507" s="44"/>
      <c r="C507" s="164"/>
      <c r="D507" s="165"/>
      <c r="F507" s="44"/>
      <c r="G507" s="44"/>
      <c r="I507" s="44"/>
      <c r="K507" s="44"/>
      <c r="M507" s="44"/>
      <c r="O507" s="44"/>
      <c r="Q507" s="44"/>
    </row>
    <row r="508">
      <c r="B508" s="44"/>
      <c r="C508" s="164"/>
      <c r="D508" s="165"/>
      <c r="F508" s="44"/>
      <c r="G508" s="44"/>
      <c r="I508" s="44"/>
      <c r="K508" s="44"/>
      <c r="M508" s="44"/>
      <c r="O508" s="44"/>
      <c r="Q508" s="44"/>
    </row>
    <row r="509">
      <c r="B509" s="44"/>
      <c r="C509" s="164"/>
      <c r="D509" s="165"/>
      <c r="F509" s="44"/>
      <c r="G509" s="44"/>
      <c r="I509" s="44"/>
      <c r="K509" s="44"/>
      <c r="M509" s="44"/>
      <c r="O509" s="44"/>
      <c r="Q509" s="44"/>
    </row>
    <row r="510">
      <c r="B510" s="44"/>
      <c r="C510" s="164"/>
      <c r="D510" s="165"/>
      <c r="F510" s="44"/>
      <c r="G510" s="44"/>
      <c r="I510" s="44"/>
      <c r="K510" s="44"/>
      <c r="M510" s="44"/>
      <c r="O510" s="44"/>
      <c r="Q510" s="44"/>
    </row>
    <row r="511">
      <c r="B511" s="44"/>
      <c r="C511" s="164"/>
      <c r="D511" s="165"/>
      <c r="F511" s="44"/>
      <c r="G511" s="44"/>
      <c r="I511" s="44"/>
      <c r="K511" s="44"/>
      <c r="M511" s="44"/>
      <c r="O511" s="44"/>
      <c r="Q511" s="44"/>
    </row>
    <row r="512">
      <c r="B512" s="44"/>
      <c r="C512" s="164"/>
      <c r="D512" s="165"/>
      <c r="F512" s="44"/>
      <c r="G512" s="44"/>
      <c r="I512" s="44"/>
      <c r="K512" s="44"/>
      <c r="M512" s="44"/>
      <c r="O512" s="44"/>
      <c r="Q512" s="44"/>
    </row>
    <row r="513">
      <c r="B513" s="44"/>
      <c r="C513" s="164"/>
      <c r="D513" s="165"/>
      <c r="F513" s="44"/>
      <c r="G513" s="44"/>
      <c r="I513" s="44"/>
      <c r="K513" s="44"/>
      <c r="M513" s="44"/>
      <c r="O513" s="44"/>
      <c r="Q513" s="44"/>
    </row>
    <row r="514">
      <c r="B514" s="44"/>
      <c r="C514" s="164"/>
      <c r="D514" s="165"/>
      <c r="F514" s="44"/>
      <c r="G514" s="44"/>
      <c r="I514" s="44"/>
      <c r="K514" s="44"/>
      <c r="M514" s="44"/>
      <c r="O514" s="44"/>
      <c r="Q514" s="44"/>
    </row>
    <row r="515">
      <c r="B515" s="44"/>
      <c r="C515" s="164"/>
      <c r="D515" s="165"/>
      <c r="F515" s="44"/>
      <c r="G515" s="44"/>
      <c r="I515" s="44"/>
      <c r="K515" s="44"/>
      <c r="M515" s="44"/>
      <c r="O515" s="44"/>
      <c r="Q515" s="44"/>
    </row>
    <row r="516">
      <c r="B516" s="44"/>
      <c r="C516" s="164"/>
      <c r="D516" s="165"/>
      <c r="F516" s="44"/>
      <c r="G516" s="44"/>
      <c r="I516" s="44"/>
      <c r="K516" s="44"/>
      <c r="M516" s="44"/>
      <c r="O516" s="44"/>
      <c r="Q516" s="44"/>
    </row>
    <row r="517">
      <c r="B517" s="44"/>
      <c r="C517" s="164"/>
      <c r="D517" s="165"/>
      <c r="F517" s="44"/>
      <c r="G517" s="44"/>
      <c r="I517" s="44"/>
      <c r="K517" s="44"/>
      <c r="M517" s="44"/>
      <c r="O517" s="44"/>
      <c r="Q517" s="44"/>
    </row>
    <row r="518">
      <c r="B518" s="44"/>
      <c r="C518" s="164"/>
      <c r="D518" s="165"/>
      <c r="F518" s="44"/>
      <c r="G518" s="44"/>
      <c r="I518" s="44"/>
      <c r="K518" s="44"/>
      <c r="M518" s="44"/>
      <c r="O518" s="44"/>
      <c r="Q518" s="44"/>
    </row>
    <row r="519">
      <c r="B519" s="44"/>
      <c r="C519" s="164"/>
      <c r="D519" s="165"/>
      <c r="F519" s="44"/>
      <c r="G519" s="44"/>
      <c r="I519" s="44"/>
      <c r="K519" s="44"/>
      <c r="M519" s="44"/>
      <c r="O519" s="44"/>
      <c r="Q519" s="44"/>
    </row>
    <row r="520">
      <c r="B520" s="44"/>
      <c r="C520" s="164"/>
      <c r="D520" s="165"/>
      <c r="F520" s="44"/>
      <c r="G520" s="44"/>
      <c r="I520" s="44"/>
      <c r="K520" s="44"/>
      <c r="M520" s="44"/>
      <c r="O520" s="44"/>
      <c r="Q520" s="44"/>
    </row>
    <row r="521">
      <c r="B521" s="44"/>
      <c r="C521" s="164"/>
      <c r="D521" s="165"/>
      <c r="F521" s="44"/>
      <c r="G521" s="44"/>
      <c r="I521" s="44"/>
      <c r="K521" s="44"/>
      <c r="M521" s="44"/>
      <c r="O521" s="44"/>
      <c r="Q521" s="44"/>
    </row>
    <row r="522">
      <c r="B522" s="44"/>
      <c r="C522" s="164"/>
      <c r="D522" s="165"/>
      <c r="F522" s="44"/>
      <c r="G522" s="44"/>
      <c r="I522" s="44"/>
      <c r="K522" s="44"/>
      <c r="M522" s="44"/>
      <c r="O522" s="44"/>
      <c r="Q522" s="44"/>
    </row>
    <row r="523">
      <c r="B523" s="44"/>
      <c r="C523" s="164"/>
      <c r="D523" s="165"/>
      <c r="F523" s="44"/>
      <c r="G523" s="44"/>
      <c r="I523" s="44"/>
      <c r="K523" s="44"/>
      <c r="M523" s="44"/>
      <c r="O523" s="44"/>
      <c r="Q523" s="44"/>
    </row>
    <row r="524">
      <c r="B524" s="44"/>
      <c r="C524" s="164"/>
      <c r="D524" s="165"/>
      <c r="F524" s="44"/>
      <c r="G524" s="44"/>
      <c r="I524" s="44"/>
      <c r="K524" s="44"/>
      <c r="M524" s="44"/>
      <c r="O524" s="44"/>
      <c r="Q524" s="44"/>
    </row>
    <row r="525">
      <c r="B525" s="44"/>
      <c r="C525" s="164"/>
      <c r="D525" s="165"/>
      <c r="F525" s="44"/>
      <c r="G525" s="44"/>
      <c r="I525" s="44"/>
      <c r="K525" s="44"/>
      <c r="M525" s="44"/>
      <c r="O525" s="44"/>
      <c r="Q525" s="44"/>
    </row>
    <row r="526">
      <c r="B526" s="44"/>
      <c r="C526" s="164"/>
      <c r="D526" s="165"/>
      <c r="F526" s="44"/>
      <c r="G526" s="44"/>
      <c r="I526" s="44"/>
      <c r="K526" s="44"/>
      <c r="M526" s="44"/>
      <c r="O526" s="44"/>
      <c r="Q526" s="44"/>
    </row>
    <row r="527">
      <c r="B527" s="44"/>
      <c r="C527" s="164"/>
      <c r="D527" s="165"/>
      <c r="F527" s="44"/>
      <c r="G527" s="44"/>
      <c r="I527" s="44"/>
      <c r="K527" s="44"/>
      <c r="M527" s="44"/>
      <c r="O527" s="44"/>
      <c r="Q527" s="44"/>
    </row>
    <row r="528">
      <c r="B528" s="44"/>
      <c r="C528" s="164"/>
      <c r="D528" s="165"/>
      <c r="F528" s="44"/>
      <c r="G528" s="44"/>
      <c r="I528" s="44"/>
      <c r="K528" s="44"/>
      <c r="M528" s="44"/>
      <c r="O528" s="44"/>
      <c r="Q528" s="44"/>
    </row>
    <row r="529">
      <c r="B529" s="44"/>
      <c r="C529" s="164"/>
      <c r="D529" s="165"/>
      <c r="F529" s="44"/>
      <c r="G529" s="44"/>
      <c r="I529" s="44"/>
      <c r="K529" s="44"/>
      <c r="M529" s="44"/>
      <c r="O529" s="44"/>
      <c r="Q529" s="44"/>
    </row>
    <row r="530">
      <c r="B530" s="44"/>
      <c r="C530" s="164"/>
      <c r="D530" s="165"/>
      <c r="F530" s="44"/>
      <c r="G530" s="44"/>
      <c r="I530" s="44"/>
      <c r="K530" s="44"/>
      <c r="M530" s="44"/>
      <c r="O530" s="44"/>
      <c r="Q530" s="44"/>
    </row>
    <row r="531">
      <c r="B531" s="44"/>
      <c r="C531" s="164"/>
      <c r="D531" s="165"/>
      <c r="F531" s="44"/>
      <c r="G531" s="44"/>
      <c r="I531" s="44"/>
      <c r="K531" s="44"/>
      <c r="M531" s="44"/>
      <c r="O531" s="44"/>
      <c r="Q531" s="44"/>
    </row>
    <row r="532">
      <c r="B532" s="44"/>
      <c r="C532" s="164"/>
      <c r="D532" s="165"/>
      <c r="F532" s="44"/>
      <c r="G532" s="44"/>
      <c r="I532" s="44"/>
      <c r="K532" s="44"/>
      <c r="M532" s="44"/>
      <c r="O532" s="44"/>
      <c r="Q532" s="44"/>
    </row>
    <row r="533">
      <c r="B533" s="44"/>
      <c r="C533" s="164"/>
      <c r="D533" s="165"/>
      <c r="F533" s="44"/>
      <c r="G533" s="44"/>
      <c r="I533" s="44"/>
      <c r="K533" s="44"/>
      <c r="M533" s="44"/>
      <c r="O533" s="44"/>
      <c r="Q533" s="44"/>
    </row>
    <row r="534">
      <c r="B534" s="44"/>
      <c r="C534" s="164"/>
      <c r="D534" s="165"/>
      <c r="F534" s="44"/>
      <c r="G534" s="44"/>
      <c r="I534" s="44"/>
      <c r="K534" s="44"/>
      <c r="M534" s="44"/>
      <c r="O534" s="44"/>
      <c r="Q534" s="44"/>
    </row>
    <row r="535">
      <c r="B535" s="44"/>
      <c r="C535" s="164"/>
      <c r="D535" s="165"/>
      <c r="F535" s="44"/>
      <c r="G535" s="44"/>
      <c r="I535" s="44"/>
      <c r="K535" s="44"/>
      <c r="M535" s="44"/>
      <c r="O535" s="44"/>
      <c r="Q535" s="44"/>
    </row>
    <row r="536">
      <c r="B536" s="44"/>
      <c r="C536" s="164"/>
      <c r="D536" s="165"/>
      <c r="F536" s="44"/>
      <c r="G536" s="44"/>
      <c r="I536" s="44"/>
      <c r="K536" s="44"/>
      <c r="M536" s="44"/>
      <c r="O536" s="44"/>
      <c r="Q536" s="44"/>
    </row>
    <row r="537">
      <c r="B537" s="44"/>
      <c r="C537" s="164"/>
      <c r="D537" s="165"/>
      <c r="F537" s="44"/>
      <c r="G537" s="44"/>
      <c r="I537" s="44"/>
      <c r="K537" s="44"/>
      <c r="M537" s="44"/>
      <c r="O537" s="44"/>
      <c r="Q537" s="44"/>
    </row>
    <row r="538">
      <c r="B538" s="44"/>
      <c r="C538" s="164"/>
      <c r="D538" s="165"/>
      <c r="F538" s="44"/>
      <c r="G538" s="44"/>
      <c r="I538" s="44"/>
      <c r="K538" s="44"/>
      <c r="M538" s="44"/>
      <c r="O538" s="44"/>
      <c r="Q538" s="44"/>
    </row>
    <row r="539">
      <c r="B539" s="44"/>
      <c r="C539" s="164"/>
      <c r="D539" s="165"/>
      <c r="F539" s="44"/>
      <c r="G539" s="44"/>
      <c r="I539" s="44"/>
      <c r="K539" s="44"/>
      <c r="M539" s="44"/>
      <c r="O539" s="44"/>
      <c r="Q539" s="44"/>
    </row>
    <row r="540">
      <c r="B540" s="44"/>
      <c r="C540" s="164"/>
      <c r="D540" s="165"/>
      <c r="F540" s="44"/>
      <c r="G540" s="44"/>
      <c r="I540" s="44"/>
      <c r="K540" s="44"/>
      <c r="M540" s="44"/>
      <c r="O540" s="44"/>
      <c r="Q540" s="44"/>
    </row>
    <row r="541">
      <c r="B541" s="44"/>
      <c r="C541" s="164"/>
      <c r="D541" s="165"/>
      <c r="F541" s="44"/>
      <c r="G541" s="44"/>
      <c r="I541" s="44"/>
      <c r="K541" s="44"/>
      <c r="M541" s="44"/>
      <c r="O541" s="44"/>
      <c r="Q541" s="44"/>
    </row>
    <row r="542">
      <c r="B542" s="44"/>
      <c r="C542" s="164"/>
      <c r="D542" s="165"/>
      <c r="F542" s="44"/>
      <c r="G542" s="44"/>
      <c r="I542" s="44"/>
      <c r="K542" s="44"/>
      <c r="M542" s="44"/>
      <c r="O542" s="44"/>
      <c r="Q542" s="44"/>
    </row>
    <row r="543">
      <c r="B543" s="44"/>
      <c r="C543" s="164"/>
      <c r="D543" s="165"/>
      <c r="F543" s="44"/>
      <c r="G543" s="44"/>
      <c r="I543" s="44"/>
      <c r="K543" s="44"/>
      <c r="M543" s="44"/>
      <c r="O543" s="44"/>
      <c r="Q543" s="44"/>
    </row>
    <row r="544">
      <c r="B544" s="44"/>
      <c r="C544" s="164"/>
      <c r="D544" s="165"/>
      <c r="F544" s="44"/>
      <c r="G544" s="44"/>
      <c r="I544" s="44"/>
      <c r="K544" s="44"/>
      <c r="M544" s="44"/>
      <c r="O544" s="44"/>
      <c r="Q544" s="44"/>
    </row>
    <row r="545">
      <c r="B545" s="44"/>
      <c r="C545" s="164"/>
      <c r="D545" s="165"/>
      <c r="F545" s="44"/>
      <c r="G545" s="44"/>
      <c r="I545" s="44"/>
      <c r="K545" s="44"/>
      <c r="M545" s="44"/>
      <c r="O545" s="44"/>
      <c r="Q545" s="44"/>
    </row>
    <row r="546">
      <c r="B546" s="44"/>
      <c r="C546" s="164"/>
      <c r="D546" s="165"/>
      <c r="F546" s="44"/>
      <c r="G546" s="44"/>
      <c r="I546" s="44"/>
      <c r="K546" s="44"/>
      <c r="M546" s="44"/>
      <c r="O546" s="44"/>
      <c r="Q546" s="44"/>
    </row>
    <row r="547">
      <c r="B547" s="44"/>
      <c r="C547" s="164"/>
      <c r="D547" s="165"/>
      <c r="F547" s="44"/>
      <c r="G547" s="44"/>
      <c r="I547" s="44"/>
      <c r="K547" s="44"/>
      <c r="M547" s="44"/>
      <c r="O547" s="44"/>
      <c r="Q547" s="44"/>
    </row>
    <row r="548">
      <c r="B548" s="44"/>
      <c r="C548" s="164"/>
      <c r="D548" s="165"/>
      <c r="F548" s="44"/>
      <c r="G548" s="44"/>
      <c r="I548" s="44"/>
      <c r="K548" s="44"/>
      <c r="M548" s="44"/>
      <c r="O548" s="44"/>
      <c r="Q548" s="44"/>
    </row>
    <row r="549">
      <c r="B549" s="44"/>
      <c r="C549" s="164"/>
      <c r="D549" s="165"/>
      <c r="F549" s="44"/>
      <c r="G549" s="44"/>
      <c r="I549" s="44"/>
      <c r="K549" s="44"/>
      <c r="M549" s="44"/>
      <c r="O549" s="44"/>
      <c r="Q549" s="44"/>
    </row>
    <row r="550">
      <c r="B550" s="44"/>
      <c r="C550" s="164"/>
      <c r="D550" s="165"/>
      <c r="F550" s="44"/>
      <c r="G550" s="44"/>
      <c r="I550" s="44"/>
      <c r="K550" s="44"/>
      <c r="M550" s="44"/>
      <c r="O550" s="44"/>
      <c r="Q550" s="44"/>
    </row>
    <row r="551">
      <c r="B551" s="44"/>
      <c r="C551" s="164"/>
      <c r="D551" s="165"/>
      <c r="F551" s="44"/>
      <c r="G551" s="44"/>
      <c r="I551" s="44"/>
      <c r="K551" s="44"/>
      <c r="M551" s="44"/>
      <c r="O551" s="44"/>
      <c r="Q551" s="44"/>
    </row>
    <row r="552">
      <c r="B552" s="44"/>
      <c r="C552" s="164"/>
      <c r="D552" s="165"/>
      <c r="F552" s="44"/>
      <c r="G552" s="44"/>
      <c r="I552" s="44"/>
      <c r="K552" s="44"/>
      <c r="M552" s="44"/>
      <c r="O552" s="44"/>
      <c r="Q552" s="44"/>
    </row>
    <row r="553">
      <c r="B553" s="44"/>
      <c r="C553" s="164"/>
      <c r="D553" s="165"/>
      <c r="F553" s="44"/>
      <c r="G553" s="44"/>
      <c r="I553" s="44"/>
      <c r="K553" s="44"/>
      <c r="M553" s="44"/>
      <c r="O553" s="44"/>
      <c r="Q553" s="44"/>
    </row>
    <row r="554">
      <c r="B554" s="44"/>
      <c r="C554" s="164"/>
      <c r="D554" s="165"/>
      <c r="F554" s="44"/>
      <c r="G554" s="44"/>
      <c r="I554" s="44"/>
      <c r="K554" s="44"/>
      <c r="M554" s="44"/>
      <c r="O554" s="44"/>
      <c r="Q554" s="44"/>
    </row>
    <row r="555">
      <c r="B555" s="44"/>
      <c r="C555" s="164"/>
      <c r="D555" s="165"/>
      <c r="F555" s="44"/>
      <c r="G555" s="44"/>
      <c r="I555" s="44"/>
      <c r="K555" s="44"/>
      <c r="M555" s="44"/>
      <c r="O555" s="44"/>
      <c r="Q555" s="44"/>
    </row>
    <row r="556">
      <c r="B556" s="44"/>
      <c r="C556" s="164"/>
      <c r="D556" s="165"/>
      <c r="F556" s="44"/>
      <c r="G556" s="44"/>
      <c r="I556" s="44"/>
      <c r="K556" s="44"/>
      <c r="M556" s="44"/>
      <c r="O556" s="44"/>
      <c r="Q556" s="44"/>
    </row>
    <row r="557">
      <c r="B557" s="44"/>
      <c r="C557" s="164"/>
      <c r="D557" s="165"/>
      <c r="F557" s="44"/>
      <c r="G557" s="44"/>
      <c r="I557" s="44"/>
      <c r="K557" s="44"/>
      <c r="M557" s="44"/>
      <c r="O557" s="44"/>
      <c r="Q557" s="44"/>
    </row>
    <row r="558">
      <c r="B558" s="44"/>
      <c r="C558" s="164"/>
      <c r="D558" s="165"/>
      <c r="F558" s="44"/>
      <c r="G558" s="44"/>
      <c r="I558" s="44"/>
      <c r="K558" s="44"/>
      <c r="M558" s="44"/>
      <c r="O558" s="44"/>
      <c r="Q558" s="44"/>
    </row>
    <row r="559">
      <c r="B559" s="44"/>
      <c r="C559" s="164"/>
      <c r="D559" s="165"/>
      <c r="F559" s="44"/>
      <c r="G559" s="44"/>
      <c r="I559" s="44"/>
      <c r="K559" s="44"/>
      <c r="M559" s="44"/>
      <c r="O559" s="44"/>
      <c r="Q559" s="44"/>
    </row>
    <row r="560">
      <c r="B560" s="44"/>
      <c r="C560" s="164"/>
      <c r="D560" s="165"/>
      <c r="F560" s="44"/>
      <c r="G560" s="44"/>
      <c r="I560" s="44"/>
      <c r="K560" s="44"/>
      <c r="M560" s="44"/>
      <c r="O560" s="44"/>
      <c r="Q560" s="44"/>
    </row>
    <row r="561">
      <c r="B561" s="44"/>
      <c r="C561" s="164"/>
      <c r="D561" s="165"/>
      <c r="F561" s="44"/>
      <c r="G561" s="44"/>
      <c r="I561" s="44"/>
      <c r="K561" s="44"/>
      <c r="M561" s="44"/>
      <c r="O561" s="44"/>
      <c r="Q561" s="44"/>
    </row>
    <row r="562">
      <c r="B562" s="44"/>
      <c r="C562" s="164"/>
      <c r="D562" s="165"/>
      <c r="F562" s="44"/>
      <c r="G562" s="44"/>
      <c r="I562" s="44"/>
      <c r="K562" s="44"/>
      <c r="M562" s="44"/>
      <c r="O562" s="44"/>
      <c r="Q562" s="44"/>
    </row>
    <row r="563">
      <c r="B563" s="44"/>
      <c r="C563" s="164"/>
      <c r="D563" s="165"/>
      <c r="F563" s="44"/>
      <c r="G563" s="44"/>
      <c r="I563" s="44"/>
      <c r="K563" s="44"/>
      <c r="M563" s="44"/>
      <c r="O563" s="44"/>
      <c r="Q563" s="44"/>
    </row>
    <row r="564">
      <c r="B564" s="44"/>
      <c r="C564" s="164"/>
      <c r="D564" s="165"/>
      <c r="F564" s="44"/>
      <c r="G564" s="44"/>
      <c r="I564" s="44"/>
      <c r="K564" s="44"/>
      <c r="M564" s="44"/>
      <c r="O564" s="44"/>
      <c r="Q564" s="44"/>
    </row>
    <row r="565">
      <c r="B565" s="44"/>
      <c r="C565" s="164"/>
      <c r="D565" s="165"/>
      <c r="F565" s="44"/>
      <c r="G565" s="44"/>
      <c r="I565" s="44"/>
      <c r="K565" s="44"/>
      <c r="M565" s="44"/>
      <c r="O565" s="44"/>
      <c r="Q565" s="44"/>
    </row>
    <row r="566">
      <c r="B566" s="44"/>
      <c r="C566" s="164"/>
      <c r="D566" s="165"/>
      <c r="F566" s="44"/>
      <c r="G566" s="44"/>
      <c r="I566" s="44"/>
      <c r="K566" s="44"/>
      <c r="M566" s="44"/>
      <c r="O566" s="44"/>
      <c r="Q566" s="44"/>
    </row>
    <row r="567">
      <c r="B567" s="44"/>
      <c r="C567" s="164"/>
      <c r="D567" s="165"/>
      <c r="F567" s="44"/>
      <c r="G567" s="44"/>
      <c r="I567" s="44"/>
      <c r="K567" s="44"/>
      <c r="M567" s="44"/>
      <c r="O567" s="44"/>
      <c r="Q567" s="44"/>
    </row>
    <row r="568">
      <c r="B568" s="44"/>
      <c r="C568" s="164"/>
      <c r="D568" s="165"/>
      <c r="F568" s="44"/>
      <c r="G568" s="44"/>
      <c r="I568" s="44"/>
      <c r="K568" s="44"/>
      <c r="M568" s="44"/>
      <c r="O568" s="44"/>
      <c r="Q568" s="44"/>
    </row>
    <row r="569">
      <c r="B569" s="44"/>
      <c r="C569" s="164"/>
      <c r="D569" s="165"/>
      <c r="F569" s="44"/>
      <c r="G569" s="44"/>
      <c r="I569" s="44"/>
      <c r="K569" s="44"/>
      <c r="M569" s="44"/>
      <c r="O569" s="44"/>
      <c r="Q569" s="44"/>
    </row>
    <row r="570">
      <c r="B570" s="44"/>
      <c r="C570" s="164"/>
      <c r="D570" s="165"/>
      <c r="F570" s="44"/>
      <c r="G570" s="44"/>
      <c r="I570" s="44"/>
      <c r="K570" s="44"/>
      <c r="M570" s="44"/>
      <c r="O570" s="44"/>
      <c r="Q570" s="44"/>
    </row>
    <row r="571">
      <c r="B571" s="44"/>
      <c r="C571" s="164"/>
      <c r="D571" s="165"/>
      <c r="F571" s="44"/>
      <c r="G571" s="44"/>
      <c r="I571" s="44"/>
      <c r="K571" s="44"/>
      <c r="M571" s="44"/>
      <c r="O571" s="44"/>
      <c r="Q571" s="44"/>
    </row>
    <row r="572">
      <c r="B572" s="44"/>
      <c r="C572" s="164"/>
      <c r="D572" s="165"/>
      <c r="F572" s="44"/>
      <c r="G572" s="44"/>
      <c r="I572" s="44"/>
      <c r="K572" s="44"/>
      <c r="M572" s="44"/>
      <c r="O572" s="44"/>
      <c r="Q572" s="44"/>
    </row>
    <row r="573">
      <c r="B573" s="44"/>
      <c r="C573" s="164"/>
      <c r="D573" s="165"/>
      <c r="F573" s="44"/>
      <c r="G573" s="44"/>
      <c r="I573" s="44"/>
      <c r="K573" s="44"/>
      <c r="M573" s="44"/>
      <c r="O573" s="44"/>
      <c r="Q573" s="44"/>
    </row>
    <row r="574">
      <c r="B574" s="44"/>
      <c r="C574" s="164"/>
      <c r="D574" s="165"/>
      <c r="F574" s="44"/>
      <c r="G574" s="44"/>
      <c r="I574" s="44"/>
      <c r="K574" s="44"/>
      <c r="M574" s="44"/>
      <c r="O574" s="44"/>
      <c r="Q574" s="44"/>
    </row>
    <row r="575">
      <c r="B575" s="44"/>
      <c r="C575" s="164"/>
      <c r="D575" s="165"/>
      <c r="F575" s="44"/>
      <c r="G575" s="44"/>
      <c r="I575" s="44"/>
      <c r="K575" s="44"/>
      <c r="M575" s="44"/>
      <c r="O575" s="44"/>
      <c r="Q575" s="44"/>
    </row>
    <row r="576">
      <c r="B576" s="44"/>
      <c r="C576" s="164"/>
      <c r="D576" s="165"/>
      <c r="F576" s="44"/>
      <c r="G576" s="44"/>
      <c r="I576" s="44"/>
      <c r="K576" s="44"/>
      <c r="M576" s="44"/>
      <c r="O576" s="44"/>
      <c r="Q576" s="44"/>
    </row>
    <row r="577">
      <c r="B577" s="44"/>
      <c r="C577" s="164"/>
      <c r="D577" s="165"/>
      <c r="F577" s="44"/>
      <c r="G577" s="44"/>
      <c r="I577" s="44"/>
      <c r="K577" s="44"/>
      <c r="M577" s="44"/>
      <c r="O577" s="44"/>
      <c r="Q577" s="44"/>
    </row>
    <row r="578">
      <c r="B578" s="44"/>
      <c r="C578" s="164"/>
      <c r="D578" s="165"/>
      <c r="F578" s="44"/>
      <c r="G578" s="44"/>
      <c r="I578" s="44"/>
      <c r="K578" s="44"/>
      <c r="M578" s="44"/>
      <c r="O578" s="44"/>
      <c r="Q578" s="44"/>
    </row>
    <row r="579">
      <c r="B579" s="44"/>
      <c r="C579" s="164"/>
      <c r="D579" s="165"/>
      <c r="F579" s="44"/>
      <c r="G579" s="44"/>
      <c r="I579" s="44"/>
      <c r="K579" s="44"/>
      <c r="M579" s="44"/>
      <c r="O579" s="44"/>
      <c r="Q579" s="44"/>
    </row>
    <row r="580">
      <c r="B580" s="44"/>
      <c r="C580" s="164"/>
      <c r="D580" s="165"/>
      <c r="F580" s="44"/>
      <c r="G580" s="44"/>
      <c r="I580" s="44"/>
      <c r="K580" s="44"/>
      <c r="M580" s="44"/>
      <c r="O580" s="44"/>
      <c r="Q580" s="44"/>
    </row>
    <row r="581">
      <c r="B581" s="44"/>
      <c r="C581" s="164"/>
      <c r="D581" s="165"/>
      <c r="F581" s="44"/>
      <c r="G581" s="44"/>
      <c r="I581" s="44"/>
      <c r="K581" s="44"/>
      <c r="M581" s="44"/>
      <c r="O581" s="44"/>
      <c r="Q581" s="44"/>
    </row>
    <row r="582">
      <c r="B582" s="44"/>
      <c r="C582" s="164"/>
      <c r="D582" s="165"/>
      <c r="F582" s="44"/>
      <c r="G582" s="44"/>
      <c r="I582" s="44"/>
      <c r="K582" s="44"/>
      <c r="M582" s="44"/>
      <c r="O582" s="44"/>
      <c r="Q582" s="44"/>
    </row>
    <row r="583">
      <c r="B583" s="44"/>
      <c r="C583" s="164"/>
      <c r="D583" s="165"/>
      <c r="F583" s="44"/>
      <c r="G583" s="44"/>
      <c r="I583" s="44"/>
      <c r="K583" s="44"/>
      <c r="M583" s="44"/>
      <c r="O583" s="44"/>
      <c r="Q583" s="44"/>
    </row>
    <row r="584">
      <c r="B584" s="44"/>
      <c r="C584" s="164"/>
      <c r="D584" s="165"/>
      <c r="F584" s="44"/>
      <c r="G584" s="44"/>
      <c r="I584" s="44"/>
      <c r="K584" s="44"/>
      <c r="M584" s="44"/>
      <c r="O584" s="44"/>
      <c r="Q584" s="44"/>
    </row>
    <row r="585">
      <c r="B585" s="44"/>
      <c r="C585" s="164"/>
      <c r="D585" s="165"/>
      <c r="F585" s="44"/>
      <c r="G585" s="44"/>
      <c r="I585" s="44"/>
      <c r="K585" s="44"/>
      <c r="M585" s="44"/>
      <c r="O585" s="44"/>
      <c r="Q585" s="44"/>
    </row>
    <row r="586">
      <c r="B586" s="44"/>
      <c r="C586" s="164"/>
      <c r="D586" s="165"/>
      <c r="F586" s="44"/>
      <c r="G586" s="44"/>
      <c r="I586" s="44"/>
      <c r="K586" s="44"/>
      <c r="M586" s="44"/>
      <c r="O586" s="44"/>
      <c r="Q586" s="44"/>
    </row>
    <row r="587">
      <c r="B587" s="44"/>
      <c r="C587" s="164"/>
      <c r="D587" s="165"/>
      <c r="F587" s="44"/>
      <c r="G587" s="44"/>
      <c r="I587" s="44"/>
      <c r="K587" s="44"/>
      <c r="M587" s="44"/>
      <c r="O587" s="44"/>
      <c r="Q587" s="44"/>
    </row>
    <row r="588">
      <c r="B588" s="44"/>
      <c r="C588" s="164"/>
      <c r="D588" s="165"/>
      <c r="F588" s="44"/>
      <c r="G588" s="44"/>
      <c r="I588" s="44"/>
      <c r="K588" s="44"/>
      <c r="M588" s="44"/>
      <c r="O588" s="44"/>
      <c r="Q588" s="44"/>
    </row>
    <row r="589">
      <c r="B589" s="44"/>
      <c r="C589" s="164"/>
      <c r="D589" s="165"/>
      <c r="F589" s="44"/>
      <c r="G589" s="44"/>
      <c r="I589" s="44"/>
      <c r="K589" s="44"/>
      <c r="M589" s="44"/>
      <c r="O589" s="44"/>
      <c r="Q589" s="44"/>
    </row>
    <row r="590">
      <c r="B590" s="44"/>
      <c r="C590" s="164"/>
      <c r="D590" s="165"/>
      <c r="F590" s="44"/>
      <c r="G590" s="44"/>
      <c r="I590" s="44"/>
      <c r="K590" s="44"/>
      <c r="M590" s="44"/>
      <c r="O590" s="44"/>
      <c r="Q590" s="44"/>
    </row>
    <row r="591">
      <c r="B591" s="44"/>
      <c r="C591" s="164"/>
      <c r="D591" s="165"/>
      <c r="F591" s="44"/>
      <c r="G591" s="44"/>
      <c r="I591" s="44"/>
      <c r="K591" s="44"/>
      <c r="M591" s="44"/>
      <c r="O591" s="44"/>
      <c r="Q591" s="44"/>
    </row>
    <row r="592">
      <c r="B592" s="44"/>
      <c r="C592" s="164"/>
      <c r="D592" s="165"/>
      <c r="F592" s="44"/>
      <c r="G592" s="44"/>
      <c r="I592" s="44"/>
      <c r="K592" s="44"/>
      <c r="M592" s="44"/>
      <c r="O592" s="44"/>
      <c r="Q592" s="44"/>
    </row>
    <row r="593">
      <c r="B593" s="44"/>
      <c r="C593" s="164"/>
      <c r="D593" s="165"/>
      <c r="F593" s="44"/>
      <c r="G593" s="44"/>
      <c r="I593" s="44"/>
      <c r="K593" s="44"/>
      <c r="M593" s="44"/>
      <c r="O593" s="44"/>
      <c r="Q593" s="44"/>
    </row>
    <row r="594">
      <c r="B594" s="44"/>
      <c r="C594" s="164"/>
      <c r="D594" s="165"/>
      <c r="F594" s="44"/>
      <c r="G594" s="44"/>
      <c r="I594" s="44"/>
      <c r="K594" s="44"/>
      <c r="M594" s="44"/>
      <c r="O594" s="44"/>
      <c r="Q594" s="44"/>
    </row>
    <row r="595">
      <c r="B595" s="44"/>
      <c r="C595" s="164"/>
      <c r="D595" s="165"/>
      <c r="F595" s="44"/>
      <c r="G595" s="44"/>
      <c r="I595" s="44"/>
      <c r="K595" s="44"/>
      <c r="M595" s="44"/>
      <c r="O595" s="44"/>
      <c r="Q595" s="44"/>
    </row>
    <row r="596">
      <c r="B596" s="44"/>
      <c r="C596" s="164"/>
      <c r="D596" s="165"/>
      <c r="F596" s="44"/>
      <c r="G596" s="44"/>
      <c r="I596" s="44"/>
      <c r="K596" s="44"/>
      <c r="M596" s="44"/>
      <c r="O596" s="44"/>
      <c r="Q596" s="44"/>
    </row>
    <row r="597">
      <c r="B597" s="44"/>
      <c r="C597" s="164"/>
      <c r="D597" s="165"/>
      <c r="F597" s="44"/>
      <c r="G597" s="44"/>
      <c r="I597" s="44"/>
      <c r="K597" s="44"/>
      <c r="M597" s="44"/>
      <c r="O597" s="44"/>
      <c r="Q597" s="44"/>
    </row>
    <row r="598">
      <c r="B598" s="44"/>
      <c r="C598" s="164"/>
      <c r="D598" s="165"/>
      <c r="F598" s="44"/>
      <c r="G598" s="44"/>
      <c r="I598" s="44"/>
      <c r="K598" s="44"/>
      <c r="M598" s="44"/>
      <c r="O598" s="44"/>
      <c r="Q598" s="44"/>
    </row>
    <row r="599">
      <c r="B599" s="44"/>
      <c r="C599" s="164"/>
      <c r="D599" s="165"/>
      <c r="F599" s="44"/>
      <c r="G599" s="44"/>
      <c r="I599" s="44"/>
      <c r="K599" s="44"/>
      <c r="M599" s="44"/>
      <c r="O599" s="44"/>
      <c r="Q599" s="44"/>
    </row>
    <row r="600">
      <c r="B600" s="44"/>
      <c r="C600" s="164"/>
      <c r="D600" s="165"/>
      <c r="F600" s="44"/>
      <c r="G600" s="44"/>
      <c r="I600" s="44"/>
      <c r="K600" s="44"/>
      <c r="M600" s="44"/>
      <c r="O600" s="44"/>
      <c r="Q600" s="44"/>
    </row>
    <row r="601">
      <c r="B601" s="44"/>
      <c r="C601" s="164"/>
      <c r="D601" s="165"/>
      <c r="F601" s="44"/>
      <c r="G601" s="44"/>
      <c r="I601" s="44"/>
      <c r="K601" s="44"/>
      <c r="M601" s="44"/>
      <c r="O601" s="44"/>
      <c r="Q601" s="44"/>
    </row>
    <row r="602">
      <c r="B602" s="44"/>
      <c r="C602" s="164"/>
      <c r="D602" s="165"/>
      <c r="F602" s="44"/>
      <c r="G602" s="44"/>
      <c r="I602" s="44"/>
      <c r="K602" s="44"/>
      <c r="M602" s="44"/>
      <c r="O602" s="44"/>
      <c r="Q602" s="44"/>
    </row>
    <row r="603">
      <c r="B603" s="44"/>
      <c r="C603" s="164"/>
      <c r="D603" s="165"/>
      <c r="F603" s="44"/>
      <c r="G603" s="44"/>
      <c r="I603" s="44"/>
      <c r="K603" s="44"/>
      <c r="M603" s="44"/>
      <c r="O603" s="44"/>
      <c r="Q603" s="44"/>
    </row>
    <row r="604">
      <c r="B604" s="44"/>
      <c r="C604" s="164"/>
      <c r="D604" s="165"/>
      <c r="F604" s="44"/>
      <c r="G604" s="44"/>
      <c r="I604" s="44"/>
      <c r="K604" s="44"/>
      <c r="M604" s="44"/>
      <c r="O604" s="44"/>
      <c r="Q604" s="44"/>
    </row>
    <row r="605">
      <c r="B605" s="44"/>
      <c r="C605" s="164"/>
      <c r="D605" s="165"/>
      <c r="F605" s="44"/>
      <c r="G605" s="44"/>
      <c r="I605" s="44"/>
      <c r="K605" s="44"/>
      <c r="M605" s="44"/>
      <c r="O605" s="44"/>
      <c r="Q605" s="44"/>
    </row>
    <row r="606">
      <c r="B606" s="44"/>
      <c r="C606" s="164"/>
      <c r="D606" s="165"/>
      <c r="F606" s="44"/>
      <c r="G606" s="44"/>
      <c r="I606" s="44"/>
      <c r="K606" s="44"/>
      <c r="M606" s="44"/>
      <c r="O606" s="44"/>
      <c r="Q606" s="44"/>
    </row>
    <row r="607">
      <c r="B607" s="44"/>
      <c r="C607" s="164"/>
      <c r="D607" s="165"/>
      <c r="F607" s="44"/>
      <c r="G607" s="44"/>
      <c r="I607" s="44"/>
      <c r="K607" s="44"/>
      <c r="M607" s="44"/>
      <c r="O607" s="44"/>
      <c r="Q607" s="44"/>
    </row>
    <row r="608">
      <c r="B608" s="44"/>
      <c r="C608" s="164"/>
      <c r="D608" s="165"/>
      <c r="F608" s="44"/>
      <c r="G608" s="44"/>
      <c r="I608" s="44"/>
      <c r="K608" s="44"/>
      <c r="M608" s="44"/>
      <c r="O608" s="44"/>
      <c r="Q608" s="44"/>
    </row>
    <row r="609">
      <c r="B609" s="44"/>
      <c r="C609" s="164"/>
      <c r="D609" s="165"/>
      <c r="F609" s="44"/>
      <c r="G609" s="44"/>
      <c r="I609" s="44"/>
      <c r="K609" s="44"/>
      <c r="M609" s="44"/>
      <c r="O609" s="44"/>
      <c r="Q609" s="44"/>
    </row>
    <row r="610">
      <c r="B610" s="44"/>
      <c r="C610" s="164"/>
      <c r="D610" s="165"/>
      <c r="F610" s="44"/>
      <c r="G610" s="44"/>
      <c r="I610" s="44"/>
      <c r="K610" s="44"/>
      <c r="M610" s="44"/>
      <c r="O610" s="44"/>
      <c r="Q610" s="44"/>
    </row>
    <row r="611">
      <c r="B611" s="44"/>
      <c r="C611" s="164"/>
      <c r="D611" s="165"/>
      <c r="F611" s="44"/>
      <c r="G611" s="44"/>
      <c r="I611" s="44"/>
      <c r="K611" s="44"/>
      <c r="M611" s="44"/>
      <c r="O611" s="44"/>
      <c r="Q611" s="44"/>
    </row>
    <row r="612">
      <c r="B612" s="44"/>
      <c r="C612" s="164"/>
      <c r="D612" s="165"/>
      <c r="F612" s="44"/>
      <c r="G612" s="44"/>
      <c r="I612" s="44"/>
      <c r="K612" s="44"/>
      <c r="M612" s="44"/>
      <c r="O612" s="44"/>
      <c r="Q612" s="44"/>
    </row>
    <row r="613">
      <c r="B613" s="44"/>
      <c r="C613" s="164"/>
      <c r="D613" s="165"/>
      <c r="F613" s="44"/>
      <c r="G613" s="44"/>
      <c r="I613" s="44"/>
      <c r="K613" s="44"/>
      <c r="M613" s="44"/>
      <c r="O613" s="44"/>
      <c r="Q613" s="44"/>
    </row>
    <row r="614">
      <c r="B614" s="44"/>
      <c r="C614" s="164"/>
      <c r="D614" s="165"/>
      <c r="F614" s="44"/>
      <c r="G614" s="44"/>
      <c r="I614" s="44"/>
      <c r="K614" s="44"/>
      <c r="M614" s="44"/>
      <c r="O614" s="44"/>
      <c r="Q614" s="44"/>
    </row>
    <row r="615">
      <c r="B615" s="44"/>
      <c r="C615" s="164"/>
      <c r="D615" s="165"/>
      <c r="F615" s="44"/>
      <c r="G615" s="44"/>
      <c r="I615" s="44"/>
      <c r="K615" s="44"/>
      <c r="M615" s="44"/>
      <c r="O615" s="44"/>
      <c r="Q615" s="44"/>
    </row>
    <row r="616">
      <c r="B616" s="44"/>
      <c r="C616" s="164"/>
      <c r="D616" s="165"/>
      <c r="F616" s="44"/>
      <c r="G616" s="44"/>
      <c r="I616" s="44"/>
      <c r="K616" s="44"/>
      <c r="M616" s="44"/>
      <c r="O616" s="44"/>
      <c r="Q616" s="44"/>
    </row>
    <row r="617">
      <c r="B617" s="44"/>
      <c r="C617" s="164"/>
      <c r="D617" s="165"/>
      <c r="F617" s="44"/>
      <c r="G617" s="44"/>
      <c r="I617" s="44"/>
      <c r="K617" s="44"/>
      <c r="M617" s="44"/>
      <c r="O617" s="44"/>
      <c r="Q617" s="44"/>
    </row>
    <row r="618">
      <c r="B618" s="44"/>
      <c r="C618" s="164"/>
      <c r="D618" s="165"/>
      <c r="F618" s="44"/>
      <c r="G618" s="44"/>
      <c r="I618" s="44"/>
      <c r="K618" s="44"/>
      <c r="M618" s="44"/>
      <c r="O618" s="44"/>
      <c r="Q618" s="44"/>
    </row>
    <row r="619">
      <c r="B619" s="44"/>
      <c r="C619" s="164"/>
      <c r="D619" s="165"/>
      <c r="F619" s="44"/>
      <c r="G619" s="44"/>
      <c r="I619" s="44"/>
      <c r="K619" s="44"/>
      <c r="M619" s="44"/>
      <c r="O619" s="44"/>
      <c r="Q619" s="44"/>
    </row>
    <row r="620">
      <c r="B620" s="44"/>
      <c r="C620" s="164"/>
      <c r="D620" s="165"/>
      <c r="F620" s="44"/>
      <c r="G620" s="44"/>
      <c r="I620" s="44"/>
      <c r="K620" s="44"/>
      <c r="M620" s="44"/>
      <c r="O620" s="44"/>
      <c r="Q620" s="44"/>
    </row>
    <row r="621">
      <c r="B621" s="44"/>
      <c r="C621" s="164"/>
      <c r="D621" s="165"/>
      <c r="F621" s="44"/>
      <c r="G621" s="44"/>
      <c r="I621" s="44"/>
      <c r="K621" s="44"/>
      <c r="M621" s="44"/>
      <c r="O621" s="44"/>
      <c r="Q621" s="44"/>
    </row>
    <row r="622">
      <c r="B622" s="44"/>
      <c r="C622" s="164"/>
      <c r="D622" s="165"/>
      <c r="F622" s="44"/>
      <c r="G622" s="44"/>
      <c r="I622" s="44"/>
      <c r="K622" s="44"/>
      <c r="M622" s="44"/>
      <c r="O622" s="44"/>
      <c r="Q622" s="44"/>
    </row>
    <row r="623">
      <c r="B623" s="44"/>
      <c r="C623" s="164"/>
      <c r="D623" s="165"/>
      <c r="F623" s="44"/>
      <c r="G623" s="44"/>
      <c r="I623" s="44"/>
      <c r="K623" s="44"/>
      <c r="M623" s="44"/>
      <c r="O623" s="44"/>
      <c r="Q623" s="44"/>
    </row>
    <row r="624">
      <c r="B624" s="44"/>
      <c r="C624" s="164"/>
      <c r="D624" s="165"/>
      <c r="F624" s="44"/>
      <c r="G624" s="44"/>
      <c r="I624" s="44"/>
      <c r="K624" s="44"/>
      <c r="M624" s="44"/>
      <c r="O624" s="44"/>
      <c r="Q624" s="44"/>
    </row>
    <row r="625">
      <c r="B625" s="44"/>
      <c r="C625" s="164"/>
      <c r="D625" s="165"/>
      <c r="F625" s="44"/>
      <c r="G625" s="44"/>
      <c r="I625" s="44"/>
      <c r="K625" s="44"/>
      <c r="M625" s="44"/>
      <c r="O625" s="44"/>
      <c r="Q625" s="44"/>
    </row>
    <row r="626">
      <c r="B626" s="44"/>
      <c r="C626" s="164"/>
      <c r="D626" s="165"/>
      <c r="F626" s="44"/>
      <c r="G626" s="44"/>
      <c r="I626" s="44"/>
      <c r="K626" s="44"/>
      <c r="M626" s="44"/>
      <c r="O626" s="44"/>
      <c r="Q626" s="44"/>
    </row>
    <row r="627">
      <c r="B627" s="44"/>
      <c r="C627" s="164"/>
      <c r="D627" s="165"/>
      <c r="F627" s="44"/>
      <c r="G627" s="44"/>
      <c r="I627" s="44"/>
      <c r="K627" s="44"/>
      <c r="M627" s="44"/>
      <c r="O627" s="44"/>
      <c r="Q627" s="44"/>
    </row>
    <row r="628">
      <c r="B628" s="44"/>
      <c r="C628" s="164"/>
      <c r="D628" s="165"/>
      <c r="F628" s="44"/>
      <c r="G628" s="44"/>
      <c r="I628" s="44"/>
      <c r="K628" s="44"/>
      <c r="M628" s="44"/>
      <c r="O628" s="44"/>
      <c r="Q628" s="44"/>
    </row>
    <row r="629">
      <c r="B629" s="44"/>
      <c r="C629" s="164"/>
      <c r="D629" s="165"/>
      <c r="F629" s="44"/>
      <c r="G629" s="44"/>
      <c r="I629" s="44"/>
      <c r="K629" s="44"/>
      <c r="M629" s="44"/>
      <c r="O629" s="44"/>
      <c r="Q629" s="44"/>
    </row>
    <row r="630">
      <c r="B630" s="44"/>
      <c r="C630" s="164"/>
      <c r="D630" s="165"/>
      <c r="F630" s="44"/>
      <c r="G630" s="44"/>
      <c r="I630" s="44"/>
      <c r="K630" s="44"/>
      <c r="M630" s="44"/>
      <c r="O630" s="44"/>
      <c r="Q630" s="44"/>
    </row>
    <row r="631">
      <c r="B631" s="44"/>
      <c r="C631" s="164"/>
      <c r="D631" s="165"/>
      <c r="F631" s="44"/>
      <c r="G631" s="44"/>
      <c r="I631" s="44"/>
      <c r="K631" s="44"/>
      <c r="M631" s="44"/>
      <c r="O631" s="44"/>
      <c r="Q631" s="44"/>
    </row>
    <row r="632">
      <c r="B632" s="44"/>
      <c r="C632" s="164"/>
      <c r="D632" s="165"/>
      <c r="F632" s="44"/>
      <c r="G632" s="44"/>
      <c r="I632" s="44"/>
      <c r="K632" s="44"/>
      <c r="M632" s="44"/>
      <c r="O632" s="44"/>
      <c r="Q632" s="44"/>
    </row>
    <row r="633">
      <c r="B633" s="44"/>
      <c r="C633" s="164"/>
      <c r="D633" s="165"/>
      <c r="F633" s="44"/>
      <c r="G633" s="44"/>
      <c r="I633" s="44"/>
      <c r="K633" s="44"/>
      <c r="M633" s="44"/>
      <c r="O633" s="44"/>
      <c r="Q633" s="44"/>
    </row>
    <row r="634">
      <c r="B634" s="44"/>
      <c r="C634" s="164"/>
      <c r="D634" s="165"/>
      <c r="F634" s="44"/>
      <c r="G634" s="44"/>
      <c r="I634" s="44"/>
      <c r="K634" s="44"/>
      <c r="M634" s="44"/>
      <c r="O634" s="44"/>
      <c r="Q634" s="44"/>
    </row>
    <row r="635">
      <c r="B635" s="44"/>
      <c r="C635" s="164"/>
      <c r="D635" s="165"/>
      <c r="F635" s="44"/>
      <c r="G635" s="44"/>
      <c r="I635" s="44"/>
      <c r="K635" s="44"/>
      <c r="M635" s="44"/>
      <c r="O635" s="44"/>
      <c r="Q635" s="44"/>
    </row>
    <row r="636">
      <c r="B636" s="44"/>
      <c r="C636" s="164"/>
      <c r="D636" s="165"/>
      <c r="F636" s="44"/>
      <c r="G636" s="44"/>
      <c r="I636" s="44"/>
      <c r="K636" s="44"/>
      <c r="M636" s="44"/>
      <c r="O636" s="44"/>
      <c r="Q636" s="44"/>
    </row>
    <row r="637">
      <c r="B637" s="44"/>
      <c r="C637" s="164"/>
      <c r="D637" s="165"/>
      <c r="F637" s="44"/>
      <c r="G637" s="44"/>
      <c r="I637" s="44"/>
      <c r="K637" s="44"/>
      <c r="M637" s="44"/>
      <c r="O637" s="44"/>
      <c r="Q637" s="44"/>
    </row>
    <row r="638">
      <c r="B638" s="44"/>
      <c r="C638" s="164"/>
      <c r="D638" s="165"/>
      <c r="F638" s="44"/>
      <c r="G638" s="44"/>
      <c r="I638" s="44"/>
      <c r="K638" s="44"/>
      <c r="M638" s="44"/>
      <c r="O638" s="44"/>
      <c r="Q638" s="44"/>
    </row>
    <row r="639">
      <c r="B639" s="44"/>
      <c r="C639" s="164"/>
      <c r="D639" s="165"/>
      <c r="F639" s="44"/>
      <c r="G639" s="44"/>
      <c r="I639" s="44"/>
      <c r="K639" s="44"/>
      <c r="M639" s="44"/>
      <c r="O639" s="44"/>
      <c r="Q639" s="44"/>
    </row>
    <row r="640">
      <c r="B640" s="44"/>
      <c r="C640" s="164"/>
      <c r="D640" s="165"/>
      <c r="F640" s="44"/>
      <c r="G640" s="44"/>
      <c r="I640" s="44"/>
      <c r="K640" s="44"/>
      <c r="M640" s="44"/>
      <c r="O640" s="44"/>
      <c r="Q640" s="44"/>
    </row>
    <row r="641">
      <c r="B641" s="44"/>
      <c r="C641" s="164"/>
      <c r="D641" s="165"/>
      <c r="F641" s="44"/>
      <c r="G641" s="44"/>
      <c r="I641" s="44"/>
      <c r="K641" s="44"/>
      <c r="M641" s="44"/>
      <c r="O641" s="44"/>
      <c r="Q641" s="44"/>
    </row>
    <row r="642">
      <c r="B642" s="44"/>
      <c r="C642" s="164"/>
      <c r="D642" s="165"/>
      <c r="F642" s="44"/>
      <c r="G642" s="44"/>
      <c r="I642" s="44"/>
      <c r="K642" s="44"/>
      <c r="M642" s="44"/>
      <c r="O642" s="44"/>
      <c r="Q642" s="44"/>
    </row>
    <row r="643">
      <c r="B643" s="44"/>
      <c r="C643" s="164"/>
      <c r="D643" s="165"/>
      <c r="F643" s="44"/>
      <c r="G643" s="44"/>
      <c r="I643" s="44"/>
      <c r="K643" s="44"/>
      <c r="M643" s="44"/>
      <c r="O643" s="44"/>
      <c r="Q643" s="44"/>
    </row>
    <row r="644">
      <c r="B644" s="44"/>
      <c r="C644" s="164"/>
      <c r="D644" s="165"/>
      <c r="F644" s="44"/>
      <c r="G644" s="44"/>
      <c r="I644" s="44"/>
      <c r="K644" s="44"/>
      <c r="M644" s="44"/>
      <c r="O644" s="44"/>
      <c r="Q644" s="44"/>
    </row>
    <row r="645">
      <c r="B645" s="44"/>
      <c r="C645" s="164"/>
      <c r="D645" s="165"/>
      <c r="F645" s="44"/>
      <c r="G645" s="44"/>
      <c r="I645" s="44"/>
      <c r="K645" s="44"/>
      <c r="M645" s="44"/>
      <c r="O645" s="44"/>
      <c r="Q645" s="44"/>
    </row>
    <row r="646">
      <c r="B646" s="44"/>
      <c r="C646" s="164"/>
      <c r="D646" s="165"/>
      <c r="F646" s="44"/>
      <c r="G646" s="44"/>
      <c r="I646" s="44"/>
      <c r="K646" s="44"/>
      <c r="M646" s="44"/>
      <c r="O646" s="44"/>
      <c r="Q646" s="44"/>
    </row>
    <row r="647">
      <c r="B647" s="44"/>
      <c r="C647" s="164"/>
      <c r="D647" s="165"/>
      <c r="F647" s="44"/>
      <c r="G647" s="44"/>
      <c r="I647" s="44"/>
      <c r="K647" s="44"/>
      <c r="M647" s="44"/>
      <c r="O647" s="44"/>
      <c r="Q647" s="44"/>
    </row>
    <row r="648">
      <c r="B648" s="44"/>
      <c r="C648" s="164"/>
      <c r="D648" s="165"/>
      <c r="F648" s="44"/>
      <c r="G648" s="44"/>
      <c r="I648" s="44"/>
      <c r="K648" s="44"/>
      <c r="M648" s="44"/>
      <c r="O648" s="44"/>
      <c r="Q648" s="44"/>
    </row>
    <row r="649">
      <c r="B649" s="44"/>
      <c r="C649" s="164"/>
      <c r="D649" s="165"/>
      <c r="F649" s="44"/>
      <c r="G649" s="44"/>
      <c r="I649" s="44"/>
      <c r="K649" s="44"/>
      <c r="M649" s="44"/>
      <c r="O649" s="44"/>
      <c r="Q649" s="44"/>
    </row>
    <row r="650">
      <c r="B650" s="44"/>
      <c r="C650" s="164"/>
      <c r="D650" s="165"/>
      <c r="F650" s="44"/>
      <c r="G650" s="44"/>
      <c r="I650" s="44"/>
      <c r="K650" s="44"/>
      <c r="M650" s="44"/>
      <c r="O650" s="44"/>
      <c r="Q650" s="44"/>
    </row>
    <row r="651">
      <c r="B651" s="44"/>
      <c r="C651" s="164"/>
      <c r="D651" s="165"/>
      <c r="F651" s="44"/>
      <c r="G651" s="44"/>
      <c r="I651" s="44"/>
      <c r="K651" s="44"/>
      <c r="M651" s="44"/>
      <c r="O651" s="44"/>
      <c r="Q651" s="44"/>
    </row>
    <row r="652">
      <c r="B652" s="44"/>
      <c r="C652" s="164"/>
      <c r="D652" s="165"/>
      <c r="F652" s="44"/>
      <c r="G652" s="44"/>
      <c r="I652" s="44"/>
      <c r="K652" s="44"/>
      <c r="M652" s="44"/>
      <c r="O652" s="44"/>
      <c r="Q652" s="44"/>
    </row>
    <row r="653">
      <c r="B653" s="44"/>
      <c r="C653" s="164"/>
      <c r="D653" s="165"/>
      <c r="F653" s="44"/>
      <c r="G653" s="44"/>
      <c r="I653" s="44"/>
      <c r="K653" s="44"/>
      <c r="M653" s="44"/>
      <c r="O653" s="44"/>
      <c r="Q653" s="44"/>
    </row>
    <row r="654">
      <c r="B654" s="44"/>
      <c r="C654" s="164"/>
      <c r="D654" s="165"/>
      <c r="F654" s="44"/>
      <c r="G654" s="44"/>
      <c r="I654" s="44"/>
      <c r="K654" s="44"/>
      <c r="M654" s="44"/>
      <c r="O654" s="44"/>
      <c r="Q654" s="44"/>
    </row>
    <row r="655">
      <c r="B655" s="44"/>
      <c r="C655" s="164"/>
      <c r="D655" s="165"/>
      <c r="F655" s="44"/>
      <c r="G655" s="44"/>
      <c r="I655" s="44"/>
      <c r="K655" s="44"/>
      <c r="M655" s="44"/>
      <c r="O655" s="44"/>
      <c r="Q655" s="44"/>
    </row>
    <row r="656">
      <c r="B656" s="44"/>
      <c r="C656" s="164"/>
      <c r="D656" s="165"/>
      <c r="F656" s="44"/>
      <c r="G656" s="44"/>
      <c r="I656" s="44"/>
      <c r="K656" s="44"/>
      <c r="M656" s="44"/>
      <c r="O656" s="44"/>
      <c r="Q656" s="44"/>
    </row>
    <row r="657">
      <c r="B657" s="44"/>
      <c r="C657" s="164"/>
      <c r="D657" s="165"/>
      <c r="F657" s="44"/>
      <c r="G657" s="44"/>
      <c r="I657" s="44"/>
      <c r="K657" s="44"/>
      <c r="M657" s="44"/>
      <c r="O657" s="44"/>
      <c r="Q657" s="44"/>
    </row>
    <row r="658">
      <c r="B658" s="44"/>
      <c r="C658" s="164"/>
      <c r="D658" s="165"/>
      <c r="F658" s="44"/>
      <c r="G658" s="44"/>
      <c r="I658" s="44"/>
      <c r="K658" s="44"/>
      <c r="M658" s="44"/>
      <c r="O658" s="44"/>
      <c r="Q658" s="44"/>
    </row>
    <row r="659">
      <c r="B659" s="44"/>
      <c r="C659" s="164"/>
      <c r="D659" s="165"/>
      <c r="F659" s="44"/>
      <c r="G659" s="44"/>
      <c r="I659" s="44"/>
      <c r="K659" s="44"/>
      <c r="M659" s="44"/>
      <c r="O659" s="44"/>
      <c r="Q659" s="44"/>
    </row>
    <row r="660">
      <c r="B660" s="44"/>
      <c r="C660" s="164"/>
      <c r="D660" s="165"/>
      <c r="F660" s="44"/>
      <c r="G660" s="44"/>
      <c r="I660" s="44"/>
      <c r="K660" s="44"/>
      <c r="M660" s="44"/>
      <c r="O660" s="44"/>
      <c r="Q660" s="44"/>
    </row>
    <row r="661">
      <c r="B661" s="44"/>
      <c r="C661" s="164"/>
      <c r="D661" s="165"/>
      <c r="F661" s="44"/>
      <c r="G661" s="44"/>
      <c r="I661" s="44"/>
      <c r="K661" s="44"/>
      <c r="M661" s="44"/>
      <c r="O661" s="44"/>
      <c r="Q661" s="44"/>
    </row>
    <row r="662">
      <c r="B662" s="44"/>
      <c r="C662" s="164"/>
      <c r="D662" s="165"/>
      <c r="F662" s="44"/>
      <c r="G662" s="44"/>
      <c r="I662" s="44"/>
      <c r="K662" s="44"/>
      <c r="M662" s="44"/>
      <c r="O662" s="44"/>
      <c r="Q662" s="44"/>
    </row>
    <row r="663">
      <c r="B663" s="44"/>
      <c r="C663" s="164"/>
      <c r="D663" s="165"/>
      <c r="F663" s="44"/>
      <c r="G663" s="44"/>
      <c r="I663" s="44"/>
      <c r="K663" s="44"/>
      <c r="M663" s="44"/>
      <c r="O663" s="44"/>
      <c r="Q663" s="44"/>
    </row>
    <row r="664">
      <c r="B664" s="44"/>
      <c r="C664" s="164"/>
      <c r="D664" s="165"/>
      <c r="F664" s="44"/>
      <c r="G664" s="44"/>
      <c r="I664" s="44"/>
      <c r="K664" s="44"/>
      <c r="M664" s="44"/>
      <c r="O664" s="44"/>
      <c r="Q664" s="44"/>
    </row>
    <row r="665">
      <c r="B665" s="44"/>
      <c r="C665" s="164"/>
      <c r="D665" s="165"/>
      <c r="F665" s="44"/>
      <c r="G665" s="44"/>
      <c r="I665" s="44"/>
      <c r="K665" s="44"/>
      <c r="M665" s="44"/>
      <c r="O665" s="44"/>
      <c r="Q665" s="44"/>
    </row>
    <row r="666">
      <c r="B666" s="44"/>
      <c r="C666" s="164"/>
      <c r="D666" s="165"/>
      <c r="F666" s="44"/>
      <c r="G666" s="44"/>
      <c r="I666" s="44"/>
      <c r="K666" s="44"/>
      <c r="M666" s="44"/>
      <c r="O666" s="44"/>
      <c r="Q666" s="44"/>
    </row>
    <row r="667">
      <c r="B667" s="44"/>
      <c r="C667" s="164"/>
      <c r="D667" s="165"/>
      <c r="F667" s="44"/>
      <c r="G667" s="44"/>
      <c r="I667" s="44"/>
      <c r="K667" s="44"/>
      <c r="M667" s="44"/>
      <c r="O667" s="44"/>
      <c r="Q667" s="44"/>
    </row>
    <row r="668">
      <c r="B668" s="44"/>
      <c r="C668" s="164"/>
      <c r="D668" s="165"/>
      <c r="F668" s="44"/>
      <c r="G668" s="44"/>
      <c r="I668" s="44"/>
      <c r="K668" s="44"/>
      <c r="M668" s="44"/>
      <c r="O668" s="44"/>
      <c r="Q668" s="44"/>
    </row>
    <row r="669">
      <c r="B669" s="44"/>
      <c r="C669" s="164"/>
      <c r="D669" s="165"/>
      <c r="F669" s="44"/>
      <c r="G669" s="44"/>
      <c r="I669" s="44"/>
      <c r="K669" s="44"/>
      <c r="M669" s="44"/>
      <c r="O669" s="44"/>
      <c r="Q669" s="44"/>
    </row>
    <row r="670">
      <c r="B670" s="44"/>
      <c r="C670" s="164"/>
      <c r="D670" s="165"/>
      <c r="F670" s="44"/>
      <c r="G670" s="44"/>
      <c r="I670" s="44"/>
      <c r="K670" s="44"/>
      <c r="M670" s="44"/>
      <c r="O670" s="44"/>
      <c r="Q670" s="44"/>
    </row>
    <row r="671">
      <c r="B671" s="44"/>
      <c r="C671" s="164"/>
      <c r="D671" s="165"/>
      <c r="F671" s="44"/>
      <c r="G671" s="44"/>
      <c r="I671" s="44"/>
      <c r="K671" s="44"/>
      <c r="M671" s="44"/>
      <c r="O671" s="44"/>
      <c r="Q671" s="44"/>
    </row>
    <row r="672">
      <c r="B672" s="44"/>
      <c r="C672" s="164"/>
      <c r="D672" s="165"/>
      <c r="F672" s="44"/>
      <c r="G672" s="44"/>
      <c r="I672" s="44"/>
      <c r="K672" s="44"/>
      <c r="M672" s="44"/>
      <c r="O672" s="44"/>
      <c r="Q672" s="44"/>
    </row>
    <row r="673">
      <c r="B673" s="44"/>
      <c r="C673" s="164"/>
      <c r="D673" s="165"/>
      <c r="F673" s="44"/>
      <c r="G673" s="44"/>
      <c r="I673" s="44"/>
      <c r="K673" s="44"/>
      <c r="M673" s="44"/>
      <c r="O673" s="44"/>
      <c r="Q673" s="44"/>
    </row>
    <row r="674">
      <c r="B674" s="44"/>
      <c r="C674" s="164"/>
      <c r="D674" s="165"/>
      <c r="F674" s="44"/>
      <c r="G674" s="44"/>
      <c r="I674" s="44"/>
      <c r="K674" s="44"/>
      <c r="M674" s="44"/>
      <c r="O674" s="44"/>
      <c r="Q674" s="44"/>
    </row>
    <row r="675">
      <c r="B675" s="44"/>
      <c r="C675" s="164"/>
      <c r="D675" s="165"/>
      <c r="F675" s="44"/>
      <c r="G675" s="44"/>
      <c r="I675" s="44"/>
      <c r="K675" s="44"/>
      <c r="M675" s="44"/>
      <c r="O675" s="44"/>
      <c r="Q675" s="44"/>
    </row>
    <row r="676">
      <c r="B676" s="44"/>
      <c r="C676" s="164"/>
      <c r="D676" s="165"/>
      <c r="F676" s="44"/>
      <c r="G676" s="44"/>
      <c r="I676" s="44"/>
      <c r="K676" s="44"/>
      <c r="M676" s="44"/>
      <c r="O676" s="44"/>
      <c r="Q676" s="44"/>
    </row>
    <row r="677">
      <c r="B677" s="44"/>
      <c r="C677" s="164"/>
      <c r="D677" s="165"/>
      <c r="F677" s="44"/>
      <c r="G677" s="44"/>
      <c r="I677" s="44"/>
      <c r="K677" s="44"/>
      <c r="M677" s="44"/>
      <c r="O677" s="44"/>
      <c r="Q677" s="44"/>
    </row>
    <row r="678">
      <c r="B678" s="44"/>
      <c r="C678" s="164"/>
      <c r="D678" s="165"/>
      <c r="F678" s="44"/>
      <c r="G678" s="44"/>
      <c r="I678" s="44"/>
      <c r="K678" s="44"/>
      <c r="M678" s="44"/>
      <c r="O678" s="44"/>
      <c r="Q678" s="44"/>
    </row>
    <row r="679">
      <c r="B679" s="44"/>
      <c r="C679" s="164"/>
      <c r="D679" s="165"/>
      <c r="F679" s="44"/>
      <c r="G679" s="44"/>
      <c r="I679" s="44"/>
      <c r="K679" s="44"/>
      <c r="M679" s="44"/>
      <c r="O679" s="44"/>
      <c r="Q679" s="44"/>
    </row>
    <row r="680">
      <c r="B680" s="44"/>
      <c r="C680" s="164"/>
      <c r="D680" s="165"/>
      <c r="F680" s="44"/>
      <c r="G680" s="44"/>
      <c r="I680" s="44"/>
      <c r="K680" s="44"/>
      <c r="M680" s="44"/>
      <c r="O680" s="44"/>
      <c r="Q680" s="44"/>
    </row>
    <row r="681">
      <c r="B681" s="44"/>
      <c r="C681" s="164"/>
      <c r="D681" s="165"/>
      <c r="F681" s="44"/>
      <c r="G681" s="44"/>
      <c r="I681" s="44"/>
      <c r="K681" s="44"/>
      <c r="M681" s="44"/>
      <c r="O681" s="44"/>
      <c r="Q681" s="44"/>
    </row>
    <row r="682">
      <c r="B682" s="44"/>
      <c r="C682" s="164"/>
      <c r="D682" s="165"/>
      <c r="F682" s="44"/>
      <c r="G682" s="44"/>
      <c r="I682" s="44"/>
      <c r="K682" s="44"/>
      <c r="M682" s="44"/>
      <c r="O682" s="44"/>
      <c r="Q682" s="44"/>
    </row>
    <row r="683">
      <c r="B683" s="44"/>
      <c r="C683" s="164"/>
      <c r="D683" s="165"/>
      <c r="F683" s="44"/>
      <c r="G683" s="44"/>
      <c r="I683" s="44"/>
      <c r="K683" s="44"/>
      <c r="M683" s="44"/>
      <c r="O683" s="44"/>
      <c r="Q683" s="44"/>
    </row>
    <row r="684">
      <c r="B684" s="44"/>
      <c r="C684" s="164"/>
      <c r="D684" s="165"/>
      <c r="F684" s="44"/>
      <c r="G684" s="44"/>
      <c r="I684" s="44"/>
      <c r="K684" s="44"/>
      <c r="M684" s="44"/>
      <c r="O684" s="44"/>
      <c r="Q684" s="44"/>
    </row>
    <row r="685">
      <c r="B685" s="44"/>
      <c r="C685" s="164"/>
      <c r="D685" s="165"/>
      <c r="F685" s="44"/>
      <c r="G685" s="44"/>
      <c r="I685" s="44"/>
      <c r="K685" s="44"/>
      <c r="M685" s="44"/>
      <c r="O685" s="44"/>
      <c r="Q685" s="44"/>
    </row>
    <row r="686">
      <c r="B686" s="44"/>
      <c r="C686" s="164"/>
      <c r="D686" s="165"/>
      <c r="F686" s="44"/>
      <c r="G686" s="44"/>
      <c r="I686" s="44"/>
      <c r="K686" s="44"/>
      <c r="M686" s="44"/>
      <c r="O686" s="44"/>
      <c r="Q686" s="44"/>
    </row>
    <row r="687">
      <c r="B687" s="44"/>
      <c r="C687" s="164"/>
      <c r="D687" s="165"/>
      <c r="F687" s="44"/>
      <c r="G687" s="44"/>
      <c r="I687" s="44"/>
      <c r="K687" s="44"/>
      <c r="M687" s="44"/>
      <c r="O687" s="44"/>
      <c r="Q687" s="44"/>
    </row>
    <row r="688">
      <c r="B688" s="44"/>
      <c r="C688" s="164"/>
      <c r="D688" s="165"/>
      <c r="F688" s="44"/>
      <c r="G688" s="44"/>
      <c r="I688" s="44"/>
      <c r="K688" s="44"/>
      <c r="M688" s="44"/>
      <c r="O688" s="44"/>
      <c r="Q688" s="44"/>
    </row>
    <row r="689">
      <c r="B689" s="44"/>
      <c r="C689" s="164"/>
      <c r="D689" s="165"/>
      <c r="F689" s="44"/>
      <c r="G689" s="44"/>
      <c r="I689" s="44"/>
      <c r="K689" s="44"/>
      <c r="M689" s="44"/>
      <c r="O689" s="44"/>
      <c r="Q689" s="44"/>
    </row>
    <row r="690">
      <c r="B690" s="44"/>
      <c r="C690" s="164"/>
      <c r="D690" s="165"/>
      <c r="F690" s="44"/>
      <c r="G690" s="44"/>
      <c r="I690" s="44"/>
      <c r="K690" s="44"/>
      <c r="M690" s="44"/>
      <c r="O690" s="44"/>
      <c r="Q690" s="44"/>
    </row>
    <row r="691">
      <c r="B691" s="44"/>
      <c r="C691" s="164"/>
      <c r="D691" s="165"/>
      <c r="F691" s="44"/>
      <c r="G691" s="44"/>
      <c r="I691" s="44"/>
      <c r="K691" s="44"/>
      <c r="M691" s="44"/>
      <c r="O691" s="44"/>
      <c r="Q691" s="44"/>
    </row>
    <row r="692">
      <c r="B692" s="44"/>
      <c r="C692" s="164"/>
      <c r="D692" s="165"/>
      <c r="F692" s="44"/>
      <c r="G692" s="44"/>
      <c r="I692" s="44"/>
      <c r="K692" s="44"/>
      <c r="M692" s="44"/>
      <c r="O692" s="44"/>
      <c r="Q692" s="44"/>
    </row>
    <row r="693">
      <c r="B693" s="44"/>
      <c r="C693" s="164"/>
      <c r="D693" s="165"/>
      <c r="F693" s="44"/>
      <c r="G693" s="44"/>
      <c r="I693" s="44"/>
      <c r="K693" s="44"/>
      <c r="M693" s="44"/>
      <c r="O693" s="44"/>
      <c r="Q693" s="44"/>
    </row>
    <row r="694">
      <c r="B694" s="44"/>
      <c r="C694" s="164"/>
      <c r="D694" s="165"/>
      <c r="F694" s="44"/>
      <c r="G694" s="44"/>
      <c r="I694" s="44"/>
      <c r="K694" s="44"/>
      <c r="M694" s="44"/>
      <c r="O694" s="44"/>
      <c r="Q694" s="44"/>
    </row>
    <row r="695">
      <c r="B695" s="44"/>
      <c r="C695" s="164"/>
      <c r="D695" s="165"/>
      <c r="F695" s="44"/>
      <c r="G695" s="44"/>
      <c r="I695" s="44"/>
      <c r="K695" s="44"/>
      <c r="M695" s="44"/>
      <c r="O695" s="44"/>
      <c r="Q695" s="44"/>
    </row>
    <row r="696">
      <c r="B696" s="44"/>
      <c r="C696" s="164"/>
      <c r="D696" s="165"/>
      <c r="F696" s="44"/>
      <c r="G696" s="44"/>
      <c r="I696" s="44"/>
      <c r="K696" s="44"/>
      <c r="M696" s="44"/>
      <c r="O696" s="44"/>
      <c r="Q696" s="44"/>
    </row>
    <row r="697">
      <c r="B697" s="44"/>
      <c r="C697" s="164"/>
      <c r="D697" s="165"/>
      <c r="F697" s="44"/>
      <c r="G697" s="44"/>
      <c r="I697" s="44"/>
      <c r="K697" s="44"/>
      <c r="M697" s="44"/>
      <c r="O697" s="44"/>
      <c r="Q697" s="44"/>
    </row>
    <row r="698">
      <c r="B698" s="44"/>
      <c r="C698" s="164"/>
      <c r="D698" s="165"/>
      <c r="F698" s="44"/>
      <c r="G698" s="44"/>
      <c r="I698" s="44"/>
      <c r="K698" s="44"/>
      <c r="M698" s="44"/>
      <c r="O698" s="44"/>
      <c r="Q698" s="44"/>
    </row>
    <row r="699">
      <c r="B699" s="44"/>
      <c r="C699" s="164"/>
      <c r="D699" s="165"/>
      <c r="F699" s="44"/>
      <c r="G699" s="44"/>
      <c r="I699" s="44"/>
      <c r="K699" s="44"/>
      <c r="M699" s="44"/>
      <c r="O699" s="44"/>
      <c r="Q699" s="44"/>
    </row>
    <row r="700">
      <c r="B700" s="44"/>
      <c r="C700" s="164"/>
      <c r="D700" s="165"/>
      <c r="F700" s="44"/>
      <c r="G700" s="44"/>
      <c r="I700" s="44"/>
      <c r="K700" s="44"/>
      <c r="M700" s="44"/>
      <c r="O700" s="44"/>
      <c r="Q700" s="44"/>
    </row>
    <row r="701">
      <c r="B701" s="44"/>
      <c r="C701" s="164"/>
      <c r="D701" s="165"/>
      <c r="F701" s="44"/>
      <c r="G701" s="44"/>
      <c r="I701" s="44"/>
      <c r="K701" s="44"/>
      <c r="M701" s="44"/>
      <c r="O701" s="44"/>
      <c r="Q701" s="44"/>
    </row>
    <row r="702">
      <c r="B702" s="44"/>
      <c r="C702" s="164"/>
      <c r="D702" s="165"/>
      <c r="F702" s="44"/>
      <c r="G702" s="44"/>
      <c r="I702" s="44"/>
      <c r="K702" s="44"/>
      <c r="M702" s="44"/>
      <c r="O702" s="44"/>
      <c r="Q702" s="44"/>
    </row>
    <row r="703">
      <c r="B703" s="44"/>
      <c r="C703" s="164"/>
      <c r="D703" s="165"/>
      <c r="F703" s="44"/>
      <c r="G703" s="44"/>
      <c r="I703" s="44"/>
      <c r="K703" s="44"/>
      <c r="M703" s="44"/>
      <c r="O703" s="44"/>
      <c r="Q703" s="44"/>
    </row>
    <row r="704">
      <c r="B704" s="44"/>
      <c r="C704" s="164"/>
      <c r="D704" s="165"/>
      <c r="F704" s="44"/>
      <c r="G704" s="44"/>
      <c r="I704" s="44"/>
      <c r="K704" s="44"/>
      <c r="M704" s="44"/>
      <c r="O704" s="44"/>
      <c r="Q704" s="44"/>
    </row>
    <row r="705">
      <c r="B705" s="44"/>
      <c r="C705" s="164"/>
      <c r="D705" s="165"/>
      <c r="F705" s="44"/>
      <c r="G705" s="44"/>
      <c r="I705" s="44"/>
      <c r="K705" s="44"/>
      <c r="M705" s="44"/>
      <c r="O705" s="44"/>
      <c r="Q705" s="44"/>
    </row>
    <row r="706">
      <c r="B706" s="44"/>
      <c r="C706" s="164"/>
      <c r="D706" s="165"/>
      <c r="F706" s="44"/>
      <c r="G706" s="44"/>
      <c r="I706" s="44"/>
      <c r="K706" s="44"/>
      <c r="M706" s="44"/>
      <c r="O706" s="44"/>
      <c r="Q706" s="44"/>
    </row>
    <row r="707">
      <c r="B707" s="44"/>
      <c r="C707" s="164"/>
      <c r="D707" s="165"/>
      <c r="F707" s="44"/>
      <c r="G707" s="44"/>
      <c r="I707" s="44"/>
      <c r="K707" s="44"/>
      <c r="M707" s="44"/>
      <c r="O707" s="44"/>
      <c r="Q707" s="44"/>
    </row>
    <row r="708">
      <c r="B708" s="44"/>
      <c r="C708" s="164"/>
      <c r="D708" s="165"/>
      <c r="F708" s="44"/>
      <c r="G708" s="44"/>
      <c r="I708" s="44"/>
      <c r="K708" s="44"/>
      <c r="M708" s="44"/>
      <c r="O708" s="44"/>
      <c r="Q708" s="44"/>
    </row>
    <row r="709">
      <c r="B709" s="44"/>
      <c r="C709" s="164"/>
      <c r="D709" s="165"/>
      <c r="F709" s="44"/>
      <c r="G709" s="44"/>
      <c r="I709" s="44"/>
      <c r="K709" s="44"/>
      <c r="M709" s="44"/>
      <c r="O709" s="44"/>
      <c r="Q709" s="44"/>
    </row>
    <row r="710">
      <c r="B710" s="44"/>
      <c r="C710" s="164"/>
      <c r="D710" s="165"/>
      <c r="F710" s="44"/>
      <c r="G710" s="44"/>
      <c r="I710" s="44"/>
      <c r="K710" s="44"/>
      <c r="M710" s="44"/>
      <c r="O710" s="44"/>
      <c r="Q710" s="44"/>
    </row>
    <row r="711">
      <c r="B711" s="44"/>
      <c r="C711" s="164"/>
      <c r="D711" s="165"/>
      <c r="F711" s="44"/>
      <c r="G711" s="44"/>
      <c r="I711" s="44"/>
      <c r="K711" s="44"/>
      <c r="M711" s="44"/>
      <c r="O711" s="44"/>
      <c r="Q711" s="44"/>
    </row>
    <row r="712">
      <c r="B712" s="44"/>
      <c r="C712" s="164"/>
      <c r="D712" s="165"/>
      <c r="F712" s="44"/>
      <c r="G712" s="44"/>
      <c r="I712" s="44"/>
      <c r="K712" s="44"/>
      <c r="M712" s="44"/>
      <c r="O712" s="44"/>
      <c r="Q712" s="44"/>
    </row>
    <row r="713">
      <c r="B713" s="44"/>
      <c r="C713" s="164"/>
      <c r="D713" s="165"/>
      <c r="F713" s="44"/>
      <c r="G713" s="44"/>
      <c r="I713" s="44"/>
      <c r="K713" s="44"/>
      <c r="M713" s="44"/>
      <c r="O713" s="44"/>
      <c r="Q713" s="44"/>
    </row>
    <row r="714">
      <c r="B714" s="44"/>
      <c r="C714" s="164"/>
      <c r="D714" s="165"/>
      <c r="F714" s="44"/>
      <c r="G714" s="44"/>
      <c r="I714" s="44"/>
      <c r="K714" s="44"/>
      <c r="M714" s="44"/>
      <c r="O714" s="44"/>
      <c r="Q714" s="44"/>
    </row>
    <row r="715">
      <c r="B715" s="44"/>
      <c r="C715" s="164"/>
      <c r="D715" s="165"/>
      <c r="F715" s="44"/>
      <c r="G715" s="44"/>
      <c r="I715" s="44"/>
      <c r="K715" s="44"/>
      <c r="M715" s="44"/>
      <c r="O715" s="44"/>
      <c r="Q715" s="44"/>
    </row>
    <row r="716">
      <c r="B716" s="44"/>
      <c r="C716" s="164"/>
      <c r="D716" s="165"/>
      <c r="F716" s="44"/>
      <c r="G716" s="44"/>
      <c r="I716" s="44"/>
      <c r="K716" s="44"/>
      <c r="M716" s="44"/>
      <c r="O716" s="44"/>
      <c r="Q716" s="44"/>
    </row>
    <row r="717">
      <c r="B717" s="44"/>
      <c r="C717" s="164"/>
      <c r="D717" s="165"/>
      <c r="F717" s="44"/>
      <c r="G717" s="44"/>
      <c r="I717" s="44"/>
      <c r="K717" s="44"/>
      <c r="M717" s="44"/>
      <c r="O717" s="44"/>
      <c r="Q717" s="44"/>
    </row>
    <row r="718">
      <c r="B718" s="44"/>
      <c r="C718" s="164"/>
      <c r="D718" s="165"/>
      <c r="F718" s="44"/>
      <c r="G718" s="44"/>
      <c r="I718" s="44"/>
      <c r="K718" s="44"/>
      <c r="M718" s="44"/>
      <c r="O718" s="44"/>
      <c r="Q718" s="44"/>
    </row>
    <row r="719">
      <c r="B719" s="44"/>
      <c r="C719" s="164"/>
      <c r="D719" s="165"/>
      <c r="F719" s="44"/>
      <c r="G719" s="44"/>
      <c r="I719" s="44"/>
      <c r="K719" s="44"/>
      <c r="M719" s="44"/>
      <c r="O719" s="44"/>
      <c r="Q719" s="44"/>
    </row>
    <row r="720">
      <c r="B720" s="44"/>
      <c r="C720" s="164"/>
      <c r="D720" s="165"/>
      <c r="F720" s="44"/>
      <c r="G720" s="44"/>
      <c r="I720" s="44"/>
      <c r="K720" s="44"/>
      <c r="M720" s="44"/>
      <c r="O720" s="44"/>
      <c r="Q720" s="44"/>
    </row>
    <row r="721">
      <c r="B721" s="44"/>
      <c r="C721" s="164"/>
      <c r="D721" s="165"/>
      <c r="F721" s="44"/>
      <c r="G721" s="44"/>
      <c r="I721" s="44"/>
      <c r="K721" s="44"/>
      <c r="M721" s="44"/>
      <c r="O721" s="44"/>
      <c r="Q721" s="44"/>
    </row>
    <row r="722">
      <c r="B722" s="44"/>
      <c r="C722" s="164"/>
      <c r="D722" s="165"/>
      <c r="F722" s="44"/>
      <c r="G722" s="44"/>
      <c r="I722" s="44"/>
      <c r="K722" s="44"/>
      <c r="M722" s="44"/>
      <c r="O722" s="44"/>
      <c r="Q722" s="44"/>
    </row>
    <row r="723">
      <c r="B723" s="44"/>
      <c r="C723" s="164"/>
      <c r="D723" s="165"/>
      <c r="F723" s="44"/>
      <c r="G723" s="44"/>
      <c r="I723" s="44"/>
      <c r="K723" s="44"/>
      <c r="M723" s="44"/>
      <c r="O723" s="44"/>
      <c r="Q723" s="44"/>
    </row>
    <row r="724">
      <c r="B724" s="44"/>
      <c r="C724" s="164"/>
      <c r="D724" s="165"/>
      <c r="F724" s="44"/>
      <c r="G724" s="44"/>
      <c r="I724" s="44"/>
      <c r="K724" s="44"/>
      <c r="M724" s="44"/>
      <c r="O724" s="44"/>
      <c r="Q724" s="44"/>
    </row>
    <row r="725">
      <c r="B725" s="44"/>
      <c r="C725" s="164"/>
      <c r="D725" s="165"/>
      <c r="F725" s="44"/>
      <c r="G725" s="44"/>
      <c r="I725" s="44"/>
      <c r="K725" s="44"/>
      <c r="M725" s="44"/>
      <c r="O725" s="44"/>
      <c r="Q725" s="44"/>
    </row>
    <row r="726">
      <c r="B726" s="44"/>
      <c r="C726" s="164"/>
      <c r="D726" s="165"/>
      <c r="F726" s="44"/>
      <c r="G726" s="44"/>
      <c r="I726" s="44"/>
      <c r="K726" s="44"/>
      <c r="M726" s="44"/>
      <c r="O726" s="44"/>
      <c r="Q726" s="44"/>
    </row>
    <row r="727">
      <c r="B727" s="44"/>
      <c r="C727" s="164"/>
      <c r="D727" s="165"/>
      <c r="F727" s="44"/>
      <c r="G727" s="44"/>
      <c r="I727" s="44"/>
      <c r="K727" s="44"/>
      <c r="M727" s="44"/>
      <c r="O727" s="44"/>
      <c r="Q727" s="44"/>
    </row>
    <row r="728">
      <c r="B728" s="44"/>
      <c r="C728" s="164"/>
      <c r="D728" s="165"/>
      <c r="F728" s="44"/>
      <c r="G728" s="44"/>
      <c r="I728" s="44"/>
      <c r="K728" s="44"/>
      <c r="M728" s="44"/>
      <c r="O728" s="44"/>
      <c r="Q728" s="44"/>
    </row>
    <row r="729">
      <c r="B729" s="44"/>
      <c r="C729" s="164"/>
      <c r="D729" s="165"/>
      <c r="F729" s="44"/>
      <c r="G729" s="44"/>
      <c r="I729" s="44"/>
      <c r="K729" s="44"/>
      <c r="M729" s="44"/>
      <c r="O729" s="44"/>
      <c r="Q729" s="44"/>
    </row>
    <row r="730">
      <c r="B730" s="44"/>
      <c r="C730" s="164"/>
      <c r="D730" s="165"/>
      <c r="F730" s="44"/>
      <c r="G730" s="44"/>
      <c r="I730" s="44"/>
      <c r="K730" s="44"/>
      <c r="M730" s="44"/>
      <c r="O730" s="44"/>
      <c r="Q730" s="44"/>
    </row>
    <row r="731">
      <c r="B731" s="44"/>
      <c r="C731" s="164"/>
      <c r="D731" s="165"/>
      <c r="F731" s="44"/>
      <c r="G731" s="44"/>
      <c r="I731" s="44"/>
      <c r="K731" s="44"/>
      <c r="M731" s="44"/>
      <c r="O731" s="44"/>
      <c r="Q731" s="44"/>
    </row>
    <row r="732">
      <c r="B732" s="44"/>
      <c r="C732" s="164"/>
      <c r="D732" s="165"/>
      <c r="F732" s="44"/>
      <c r="G732" s="44"/>
      <c r="I732" s="44"/>
      <c r="K732" s="44"/>
      <c r="M732" s="44"/>
      <c r="O732" s="44"/>
      <c r="Q732" s="44"/>
    </row>
    <row r="733">
      <c r="B733" s="44"/>
      <c r="C733" s="164"/>
      <c r="D733" s="165"/>
      <c r="F733" s="44"/>
      <c r="G733" s="44"/>
      <c r="I733" s="44"/>
      <c r="K733" s="44"/>
      <c r="M733" s="44"/>
      <c r="O733" s="44"/>
      <c r="Q733" s="44"/>
    </row>
    <row r="734">
      <c r="B734" s="44"/>
      <c r="C734" s="164"/>
      <c r="D734" s="165"/>
      <c r="F734" s="44"/>
      <c r="G734" s="44"/>
      <c r="I734" s="44"/>
      <c r="K734" s="44"/>
      <c r="M734" s="44"/>
      <c r="O734" s="44"/>
      <c r="Q734" s="44"/>
    </row>
    <row r="735">
      <c r="B735" s="44"/>
      <c r="C735" s="164"/>
      <c r="D735" s="165"/>
      <c r="F735" s="44"/>
      <c r="G735" s="44"/>
      <c r="I735" s="44"/>
      <c r="K735" s="44"/>
      <c r="M735" s="44"/>
      <c r="O735" s="44"/>
      <c r="Q735" s="44"/>
    </row>
    <row r="736">
      <c r="B736" s="44"/>
      <c r="C736" s="164"/>
      <c r="D736" s="165"/>
      <c r="F736" s="44"/>
      <c r="G736" s="44"/>
      <c r="I736" s="44"/>
      <c r="K736" s="44"/>
      <c r="M736" s="44"/>
      <c r="O736" s="44"/>
      <c r="Q736" s="44"/>
    </row>
    <row r="737">
      <c r="B737" s="44"/>
      <c r="C737" s="164"/>
      <c r="D737" s="165"/>
      <c r="F737" s="44"/>
      <c r="G737" s="44"/>
      <c r="I737" s="44"/>
      <c r="K737" s="44"/>
      <c r="M737" s="44"/>
      <c r="O737" s="44"/>
      <c r="Q737" s="44"/>
    </row>
    <row r="738">
      <c r="B738" s="44"/>
      <c r="C738" s="164"/>
      <c r="D738" s="165"/>
      <c r="F738" s="44"/>
      <c r="G738" s="44"/>
      <c r="I738" s="44"/>
      <c r="K738" s="44"/>
      <c r="M738" s="44"/>
      <c r="O738" s="44"/>
      <c r="Q738" s="44"/>
    </row>
    <row r="739">
      <c r="B739" s="44"/>
      <c r="C739" s="164"/>
      <c r="D739" s="165"/>
      <c r="F739" s="44"/>
      <c r="G739" s="44"/>
      <c r="I739" s="44"/>
      <c r="K739" s="44"/>
      <c r="M739" s="44"/>
      <c r="O739" s="44"/>
      <c r="Q739" s="44"/>
    </row>
    <row r="740">
      <c r="B740" s="44"/>
      <c r="C740" s="164"/>
      <c r="D740" s="165"/>
      <c r="F740" s="44"/>
      <c r="G740" s="44"/>
      <c r="I740" s="44"/>
      <c r="K740" s="44"/>
      <c r="M740" s="44"/>
      <c r="O740" s="44"/>
      <c r="Q740" s="44"/>
    </row>
    <row r="741">
      <c r="B741" s="44"/>
      <c r="C741" s="164"/>
      <c r="D741" s="165"/>
      <c r="F741" s="44"/>
      <c r="G741" s="44"/>
      <c r="I741" s="44"/>
      <c r="K741" s="44"/>
      <c r="M741" s="44"/>
      <c r="O741" s="44"/>
      <c r="Q741" s="44"/>
    </row>
    <row r="742">
      <c r="B742" s="44"/>
      <c r="C742" s="164"/>
      <c r="D742" s="165"/>
      <c r="F742" s="44"/>
      <c r="G742" s="44"/>
      <c r="I742" s="44"/>
      <c r="K742" s="44"/>
      <c r="M742" s="44"/>
      <c r="O742" s="44"/>
      <c r="Q742" s="44"/>
    </row>
    <row r="743">
      <c r="B743" s="44"/>
      <c r="C743" s="164"/>
      <c r="D743" s="165"/>
      <c r="F743" s="44"/>
      <c r="G743" s="44"/>
      <c r="I743" s="44"/>
      <c r="K743" s="44"/>
      <c r="M743" s="44"/>
      <c r="O743" s="44"/>
      <c r="Q743" s="44"/>
    </row>
    <row r="744">
      <c r="B744" s="44"/>
      <c r="C744" s="164"/>
      <c r="D744" s="165"/>
      <c r="F744" s="44"/>
      <c r="G744" s="44"/>
      <c r="I744" s="44"/>
      <c r="K744" s="44"/>
      <c r="M744" s="44"/>
      <c r="O744" s="44"/>
      <c r="Q744" s="44"/>
    </row>
    <row r="745">
      <c r="B745" s="44"/>
      <c r="C745" s="164"/>
      <c r="D745" s="165"/>
      <c r="F745" s="44"/>
      <c r="G745" s="44"/>
      <c r="I745" s="44"/>
      <c r="K745" s="44"/>
      <c r="M745" s="44"/>
      <c r="O745" s="44"/>
      <c r="Q745" s="44"/>
    </row>
    <row r="746">
      <c r="B746" s="44"/>
      <c r="C746" s="164"/>
      <c r="D746" s="165"/>
      <c r="F746" s="44"/>
      <c r="G746" s="44"/>
      <c r="I746" s="44"/>
      <c r="K746" s="44"/>
      <c r="M746" s="44"/>
      <c r="O746" s="44"/>
      <c r="Q746" s="44"/>
    </row>
    <row r="747">
      <c r="B747" s="44"/>
      <c r="C747" s="164"/>
      <c r="D747" s="165"/>
      <c r="F747" s="44"/>
      <c r="G747" s="44"/>
      <c r="I747" s="44"/>
      <c r="K747" s="44"/>
      <c r="M747" s="44"/>
      <c r="O747" s="44"/>
      <c r="Q747" s="44"/>
    </row>
    <row r="748">
      <c r="B748" s="44"/>
      <c r="C748" s="164"/>
      <c r="D748" s="165"/>
      <c r="F748" s="44"/>
      <c r="G748" s="44"/>
      <c r="I748" s="44"/>
      <c r="K748" s="44"/>
      <c r="M748" s="44"/>
      <c r="O748" s="44"/>
      <c r="Q748" s="44"/>
    </row>
    <row r="749">
      <c r="B749" s="44"/>
      <c r="C749" s="164"/>
      <c r="D749" s="165"/>
      <c r="F749" s="44"/>
      <c r="G749" s="44"/>
      <c r="I749" s="44"/>
      <c r="K749" s="44"/>
      <c r="M749" s="44"/>
      <c r="O749" s="44"/>
      <c r="Q749" s="44"/>
    </row>
    <row r="750">
      <c r="B750" s="44"/>
      <c r="C750" s="164"/>
      <c r="D750" s="165"/>
      <c r="F750" s="44"/>
      <c r="G750" s="44"/>
      <c r="I750" s="44"/>
      <c r="K750" s="44"/>
      <c r="M750" s="44"/>
      <c r="O750" s="44"/>
      <c r="Q750" s="44"/>
    </row>
    <row r="751">
      <c r="B751" s="44"/>
      <c r="C751" s="164"/>
      <c r="D751" s="165"/>
      <c r="F751" s="44"/>
      <c r="G751" s="44"/>
      <c r="I751" s="44"/>
      <c r="K751" s="44"/>
      <c r="M751" s="44"/>
      <c r="O751" s="44"/>
      <c r="Q751" s="44"/>
    </row>
    <row r="752">
      <c r="B752" s="44"/>
      <c r="C752" s="164"/>
      <c r="D752" s="165"/>
      <c r="F752" s="44"/>
      <c r="G752" s="44"/>
      <c r="I752" s="44"/>
      <c r="K752" s="44"/>
      <c r="M752" s="44"/>
      <c r="O752" s="44"/>
      <c r="Q752" s="44"/>
    </row>
    <row r="753">
      <c r="B753" s="44"/>
      <c r="C753" s="164"/>
      <c r="D753" s="165"/>
      <c r="F753" s="44"/>
      <c r="G753" s="44"/>
      <c r="I753" s="44"/>
      <c r="K753" s="44"/>
      <c r="M753" s="44"/>
      <c r="O753" s="44"/>
      <c r="Q753" s="44"/>
    </row>
    <row r="754">
      <c r="B754" s="44"/>
      <c r="C754" s="164"/>
      <c r="D754" s="165"/>
      <c r="F754" s="44"/>
      <c r="G754" s="44"/>
      <c r="I754" s="44"/>
      <c r="K754" s="44"/>
      <c r="M754" s="44"/>
      <c r="O754" s="44"/>
      <c r="Q754" s="44"/>
    </row>
    <row r="755">
      <c r="B755" s="44"/>
      <c r="C755" s="164"/>
      <c r="D755" s="165"/>
      <c r="F755" s="44"/>
      <c r="G755" s="44"/>
      <c r="I755" s="44"/>
      <c r="K755" s="44"/>
      <c r="M755" s="44"/>
      <c r="O755" s="44"/>
      <c r="Q755" s="44"/>
    </row>
    <row r="756">
      <c r="B756" s="44"/>
      <c r="C756" s="164"/>
      <c r="D756" s="165"/>
      <c r="F756" s="44"/>
      <c r="G756" s="44"/>
      <c r="I756" s="44"/>
      <c r="K756" s="44"/>
      <c r="M756" s="44"/>
      <c r="O756" s="44"/>
      <c r="Q756" s="44"/>
    </row>
    <row r="757">
      <c r="B757" s="44"/>
      <c r="C757" s="164"/>
      <c r="D757" s="165"/>
      <c r="F757" s="44"/>
      <c r="G757" s="44"/>
      <c r="I757" s="44"/>
      <c r="K757" s="44"/>
      <c r="M757" s="44"/>
      <c r="O757" s="44"/>
      <c r="Q757" s="44"/>
    </row>
    <row r="758">
      <c r="B758" s="44"/>
      <c r="C758" s="164"/>
      <c r="D758" s="165"/>
      <c r="F758" s="44"/>
      <c r="G758" s="44"/>
      <c r="I758" s="44"/>
      <c r="K758" s="44"/>
      <c r="M758" s="44"/>
      <c r="O758" s="44"/>
      <c r="Q758" s="44"/>
    </row>
    <row r="759">
      <c r="B759" s="44"/>
      <c r="C759" s="164"/>
      <c r="D759" s="165"/>
      <c r="F759" s="44"/>
      <c r="G759" s="44"/>
      <c r="I759" s="44"/>
      <c r="K759" s="44"/>
      <c r="M759" s="44"/>
      <c r="O759" s="44"/>
      <c r="Q759" s="44"/>
    </row>
    <row r="760">
      <c r="B760" s="44"/>
      <c r="C760" s="164"/>
      <c r="D760" s="165"/>
      <c r="F760" s="44"/>
      <c r="G760" s="44"/>
      <c r="I760" s="44"/>
      <c r="K760" s="44"/>
      <c r="M760" s="44"/>
      <c r="O760" s="44"/>
      <c r="Q760" s="44"/>
    </row>
    <row r="761">
      <c r="B761" s="44"/>
      <c r="C761" s="164"/>
      <c r="D761" s="165"/>
      <c r="F761" s="44"/>
      <c r="G761" s="44"/>
      <c r="I761" s="44"/>
      <c r="K761" s="44"/>
      <c r="M761" s="44"/>
      <c r="O761" s="44"/>
      <c r="Q761" s="44"/>
    </row>
    <row r="762">
      <c r="B762" s="44"/>
      <c r="C762" s="164"/>
      <c r="D762" s="165"/>
      <c r="F762" s="44"/>
      <c r="G762" s="44"/>
      <c r="I762" s="44"/>
      <c r="K762" s="44"/>
      <c r="M762" s="44"/>
      <c r="O762" s="44"/>
      <c r="Q762" s="44"/>
    </row>
    <row r="763">
      <c r="B763" s="44"/>
      <c r="C763" s="164"/>
      <c r="D763" s="165"/>
      <c r="F763" s="44"/>
      <c r="G763" s="44"/>
      <c r="I763" s="44"/>
      <c r="K763" s="44"/>
      <c r="M763" s="44"/>
      <c r="O763" s="44"/>
      <c r="Q763" s="44"/>
    </row>
    <row r="764">
      <c r="B764" s="44"/>
      <c r="C764" s="164"/>
      <c r="D764" s="165"/>
      <c r="F764" s="44"/>
      <c r="G764" s="44"/>
      <c r="I764" s="44"/>
      <c r="K764" s="44"/>
      <c r="M764" s="44"/>
      <c r="O764" s="44"/>
      <c r="Q764" s="44"/>
    </row>
    <row r="765">
      <c r="B765" s="44"/>
      <c r="C765" s="164"/>
      <c r="D765" s="165"/>
      <c r="F765" s="44"/>
      <c r="G765" s="44"/>
      <c r="I765" s="44"/>
      <c r="K765" s="44"/>
      <c r="M765" s="44"/>
      <c r="O765" s="44"/>
      <c r="Q765" s="44"/>
    </row>
    <row r="766">
      <c r="B766" s="44"/>
      <c r="C766" s="164"/>
      <c r="D766" s="165"/>
      <c r="F766" s="44"/>
      <c r="G766" s="44"/>
      <c r="I766" s="44"/>
      <c r="K766" s="44"/>
      <c r="M766" s="44"/>
      <c r="O766" s="44"/>
      <c r="Q766" s="44"/>
    </row>
    <row r="767">
      <c r="B767" s="44"/>
      <c r="C767" s="164"/>
      <c r="D767" s="165"/>
      <c r="F767" s="44"/>
      <c r="G767" s="44"/>
      <c r="I767" s="44"/>
      <c r="K767" s="44"/>
      <c r="M767" s="44"/>
      <c r="O767" s="44"/>
      <c r="Q767" s="44"/>
    </row>
    <row r="768">
      <c r="B768" s="44"/>
      <c r="C768" s="164"/>
      <c r="D768" s="165"/>
      <c r="F768" s="44"/>
      <c r="G768" s="44"/>
      <c r="I768" s="44"/>
      <c r="K768" s="44"/>
      <c r="M768" s="44"/>
      <c r="O768" s="44"/>
      <c r="Q768" s="44"/>
    </row>
    <row r="769">
      <c r="B769" s="44"/>
      <c r="C769" s="164"/>
      <c r="D769" s="165"/>
      <c r="F769" s="44"/>
      <c r="G769" s="44"/>
      <c r="I769" s="44"/>
      <c r="K769" s="44"/>
      <c r="M769" s="44"/>
      <c r="O769" s="44"/>
      <c r="Q769" s="44"/>
    </row>
    <row r="770">
      <c r="B770" s="44"/>
      <c r="C770" s="164"/>
      <c r="D770" s="165"/>
      <c r="F770" s="44"/>
      <c r="G770" s="44"/>
      <c r="I770" s="44"/>
      <c r="K770" s="44"/>
      <c r="M770" s="44"/>
      <c r="O770" s="44"/>
      <c r="Q770" s="44"/>
    </row>
    <row r="771">
      <c r="B771" s="44"/>
      <c r="C771" s="164"/>
      <c r="D771" s="165"/>
      <c r="F771" s="44"/>
      <c r="G771" s="44"/>
      <c r="I771" s="44"/>
      <c r="K771" s="44"/>
      <c r="M771" s="44"/>
      <c r="O771" s="44"/>
      <c r="Q771" s="44"/>
    </row>
    <row r="772">
      <c r="B772" s="44"/>
      <c r="C772" s="164"/>
      <c r="D772" s="165"/>
      <c r="F772" s="44"/>
      <c r="G772" s="44"/>
      <c r="I772" s="44"/>
      <c r="K772" s="44"/>
      <c r="M772" s="44"/>
      <c r="O772" s="44"/>
      <c r="Q772" s="44"/>
    </row>
    <row r="773">
      <c r="B773" s="44"/>
      <c r="C773" s="164"/>
      <c r="D773" s="165"/>
      <c r="F773" s="44"/>
      <c r="G773" s="44"/>
      <c r="I773" s="44"/>
      <c r="K773" s="44"/>
      <c r="M773" s="44"/>
      <c r="O773" s="44"/>
      <c r="Q773" s="44"/>
    </row>
    <row r="774">
      <c r="B774" s="44"/>
      <c r="C774" s="164"/>
      <c r="D774" s="165"/>
      <c r="F774" s="44"/>
      <c r="G774" s="44"/>
      <c r="I774" s="44"/>
      <c r="K774" s="44"/>
      <c r="M774" s="44"/>
      <c r="O774" s="44"/>
      <c r="Q774" s="44"/>
    </row>
    <row r="775">
      <c r="B775" s="44"/>
      <c r="C775" s="164"/>
      <c r="D775" s="165"/>
      <c r="F775" s="44"/>
      <c r="G775" s="44"/>
      <c r="I775" s="44"/>
      <c r="K775" s="44"/>
      <c r="M775" s="44"/>
      <c r="O775" s="44"/>
      <c r="Q775" s="44"/>
    </row>
    <row r="776">
      <c r="B776" s="44"/>
      <c r="C776" s="164"/>
      <c r="D776" s="165"/>
      <c r="F776" s="44"/>
      <c r="G776" s="44"/>
      <c r="I776" s="44"/>
      <c r="K776" s="44"/>
      <c r="M776" s="44"/>
      <c r="O776" s="44"/>
      <c r="Q776" s="44"/>
    </row>
    <row r="777">
      <c r="B777" s="44"/>
      <c r="C777" s="164"/>
      <c r="D777" s="165"/>
      <c r="F777" s="44"/>
      <c r="G777" s="44"/>
      <c r="I777" s="44"/>
      <c r="K777" s="44"/>
      <c r="M777" s="44"/>
      <c r="O777" s="44"/>
      <c r="Q777" s="44"/>
    </row>
    <row r="778">
      <c r="B778" s="44"/>
      <c r="C778" s="164"/>
      <c r="D778" s="165"/>
      <c r="F778" s="44"/>
      <c r="G778" s="44"/>
      <c r="I778" s="44"/>
      <c r="K778" s="44"/>
      <c r="M778" s="44"/>
      <c r="O778" s="44"/>
      <c r="Q778" s="44"/>
    </row>
    <row r="779">
      <c r="B779" s="44"/>
      <c r="C779" s="164"/>
      <c r="D779" s="165"/>
      <c r="F779" s="44"/>
      <c r="G779" s="44"/>
      <c r="I779" s="44"/>
      <c r="K779" s="44"/>
      <c r="M779" s="44"/>
      <c r="O779" s="44"/>
      <c r="Q779" s="44"/>
    </row>
    <row r="780">
      <c r="B780" s="44"/>
      <c r="C780" s="164"/>
      <c r="D780" s="165"/>
      <c r="F780" s="44"/>
      <c r="G780" s="44"/>
      <c r="I780" s="44"/>
      <c r="K780" s="44"/>
      <c r="M780" s="44"/>
      <c r="O780" s="44"/>
      <c r="Q780" s="44"/>
    </row>
    <row r="781">
      <c r="B781" s="44"/>
      <c r="C781" s="164"/>
      <c r="D781" s="165"/>
      <c r="F781" s="44"/>
      <c r="G781" s="44"/>
      <c r="I781" s="44"/>
      <c r="K781" s="44"/>
      <c r="M781" s="44"/>
      <c r="O781" s="44"/>
      <c r="Q781" s="44"/>
    </row>
    <row r="782">
      <c r="B782" s="44"/>
      <c r="C782" s="164"/>
      <c r="D782" s="165"/>
      <c r="F782" s="44"/>
      <c r="G782" s="44"/>
      <c r="I782" s="44"/>
      <c r="K782" s="44"/>
      <c r="M782" s="44"/>
      <c r="O782" s="44"/>
      <c r="Q782" s="44"/>
    </row>
    <row r="783">
      <c r="B783" s="44"/>
      <c r="C783" s="164"/>
      <c r="D783" s="165"/>
      <c r="F783" s="44"/>
      <c r="G783" s="44"/>
      <c r="I783" s="44"/>
      <c r="K783" s="44"/>
      <c r="M783" s="44"/>
      <c r="O783" s="44"/>
      <c r="Q783" s="44"/>
    </row>
    <row r="784">
      <c r="B784" s="44"/>
      <c r="C784" s="164"/>
      <c r="D784" s="165"/>
      <c r="F784" s="44"/>
      <c r="G784" s="44"/>
      <c r="I784" s="44"/>
      <c r="K784" s="44"/>
      <c r="M784" s="44"/>
      <c r="O784" s="44"/>
      <c r="Q784" s="44"/>
    </row>
    <row r="785">
      <c r="B785" s="44"/>
      <c r="C785" s="164"/>
      <c r="D785" s="165"/>
      <c r="F785" s="44"/>
      <c r="G785" s="44"/>
      <c r="I785" s="44"/>
      <c r="K785" s="44"/>
      <c r="M785" s="44"/>
      <c r="O785" s="44"/>
      <c r="Q785" s="44"/>
    </row>
    <row r="786">
      <c r="B786" s="44"/>
      <c r="C786" s="164"/>
      <c r="D786" s="165"/>
      <c r="F786" s="44"/>
      <c r="G786" s="44"/>
      <c r="I786" s="44"/>
      <c r="K786" s="44"/>
      <c r="M786" s="44"/>
      <c r="O786" s="44"/>
      <c r="Q786" s="44"/>
    </row>
    <row r="787">
      <c r="B787" s="44"/>
      <c r="C787" s="164"/>
      <c r="D787" s="165"/>
      <c r="F787" s="44"/>
      <c r="G787" s="44"/>
      <c r="I787" s="44"/>
      <c r="K787" s="44"/>
      <c r="M787" s="44"/>
      <c r="O787" s="44"/>
      <c r="Q787" s="44"/>
    </row>
    <row r="788">
      <c r="B788" s="44"/>
      <c r="C788" s="164"/>
      <c r="D788" s="165"/>
      <c r="F788" s="44"/>
      <c r="G788" s="44"/>
      <c r="I788" s="44"/>
      <c r="K788" s="44"/>
      <c r="M788" s="44"/>
      <c r="O788" s="44"/>
      <c r="Q788" s="44"/>
    </row>
    <row r="789">
      <c r="B789" s="44"/>
      <c r="C789" s="164"/>
      <c r="D789" s="165"/>
      <c r="F789" s="44"/>
      <c r="G789" s="44"/>
      <c r="I789" s="44"/>
      <c r="K789" s="44"/>
      <c r="M789" s="44"/>
      <c r="O789" s="44"/>
      <c r="Q789" s="44"/>
    </row>
    <row r="790">
      <c r="B790" s="44"/>
      <c r="C790" s="164"/>
      <c r="D790" s="165"/>
      <c r="F790" s="44"/>
      <c r="G790" s="44"/>
      <c r="I790" s="44"/>
      <c r="K790" s="44"/>
      <c r="M790" s="44"/>
      <c r="O790" s="44"/>
      <c r="Q790" s="44"/>
    </row>
    <row r="791">
      <c r="B791" s="44"/>
      <c r="C791" s="164"/>
      <c r="D791" s="165"/>
      <c r="F791" s="44"/>
      <c r="G791" s="44"/>
      <c r="I791" s="44"/>
      <c r="K791" s="44"/>
      <c r="M791" s="44"/>
      <c r="O791" s="44"/>
      <c r="Q791" s="44"/>
    </row>
    <row r="792">
      <c r="B792" s="44"/>
      <c r="C792" s="164"/>
      <c r="D792" s="165"/>
      <c r="F792" s="44"/>
      <c r="G792" s="44"/>
      <c r="I792" s="44"/>
      <c r="K792" s="44"/>
      <c r="M792" s="44"/>
      <c r="O792" s="44"/>
      <c r="Q792" s="44"/>
    </row>
    <row r="793">
      <c r="B793" s="44"/>
      <c r="C793" s="164"/>
      <c r="D793" s="165"/>
      <c r="F793" s="44"/>
      <c r="G793" s="44"/>
      <c r="I793" s="44"/>
      <c r="K793" s="44"/>
      <c r="M793" s="44"/>
      <c r="O793" s="44"/>
      <c r="Q793" s="44"/>
    </row>
    <row r="794">
      <c r="B794" s="44"/>
      <c r="C794" s="164"/>
      <c r="D794" s="165"/>
      <c r="F794" s="44"/>
      <c r="G794" s="44"/>
      <c r="I794" s="44"/>
      <c r="K794" s="44"/>
      <c r="M794" s="44"/>
      <c r="O794" s="44"/>
      <c r="Q794" s="44"/>
    </row>
    <row r="795">
      <c r="B795" s="44"/>
      <c r="C795" s="164"/>
      <c r="D795" s="165"/>
      <c r="F795" s="44"/>
      <c r="G795" s="44"/>
      <c r="I795" s="44"/>
      <c r="K795" s="44"/>
      <c r="M795" s="44"/>
      <c r="O795" s="44"/>
      <c r="Q795" s="44"/>
    </row>
    <row r="796">
      <c r="B796" s="44"/>
      <c r="C796" s="164"/>
      <c r="D796" s="165"/>
      <c r="F796" s="44"/>
      <c r="G796" s="44"/>
      <c r="I796" s="44"/>
      <c r="K796" s="44"/>
      <c r="M796" s="44"/>
      <c r="O796" s="44"/>
      <c r="Q796" s="44"/>
    </row>
    <row r="797">
      <c r="B797" s="44"/>
      <c r="C797" s="164"/>
      <c r="D797" s="165"/>
      <c r="F797" s="44"/>
      <c r="G797" s="44"/>
      <c r="I797" s="44"/>
      <c r="K797" s="44"/>
      <c r="M797" s="44"/>
      <c r="O797" s="44"/>
      <c r="Q797" s="44"/>
    </row>
    <row r="798">
      <c r="B798" s="44"/>
      <c r="C798" s="164"/>
      <c r="D798" s="165"/>
      <c r="F798" s="44"/>
      <c r="G798" s="44"/>
      <c r="I798" s="44"/>
      <c r="K798" s="44"/>
      <c r="M798" s="44"/>
      <c r="O798" s="44"/>
      <c r="Q798" s="44"/>
    </row>
    <row r="799">
      <c r="B799" s="44"/>
      <c r="C799" s="164"/>
      <c r="D799" s="165"/>
      <c r="F799" s="44"/>
      <c r="G799" s="44"/>
      <c r="I799" s="44"/>
      <c r="K799" s="44"/>
      <c r="M799" s="44"/>
      <c r="O799" s="44"/>
      <c r="Q799" s="44"/>
    </row>
    <row r="800">
      <c r="B800" s="44"/>
      <c r="C800" s="164"/>
      <c r="D800" s="165"/>
      <c r="F800" s="44"/>
      <c r="G800" s="44"/>
      <c r="I800" s="44"/>
      <c r="K800" s="44"/>
      <c r="M800" s="44"/>
      <c r="O800" s="44"/>
      <c r="Q800" s="44"/>
    </row>
    <row r="801">
      <c r="B801" s="44"/>
      <c r="C801" s="164"/>
      <c r="D801" s="165"/>
      <c r="F801" s="44"/>
      <c r="G801" s="44"/>
      <c r="I801" s="44"/>
      <c r="K801" s="44"/>
      <c r="M801" s="44"/>
      <c r="O801" s="44"/>
      <c r="Q801" s="44"/>
    </row>
    <row r="802">
      <c r="B802" s="44"/>
      <c r="C802" s="164"/>
      <c r="D802" s="165"/>
      <c r="F802" s="44"/>
      <c r="G802" s="44"/>
      <c r="I802" s="44"/>
      <c r="K802" s="44"/>
      <c r="M802" s="44"/>
      <c r="O802" s="44"/>
      <c r="Q802" s="44"/>
    </row>
    <row r="803">
      <c r="B803" s="44"/>
      <c r="C803" s="164"/>
      <c r="D803" s="165"/>
      <c r="F803" s="44"/>
      <c r="G803" s="44"/>
      <c r="I803" s="44"/>
      <c r="K803" s="44"/>
      <c r="M803" s="44"/>
      <c r="O803" s="44"/>
      <c r="Q803" s="44"/>
    </row>
    <row r="804">
      <c r="B804" s="44"/>
      <c r="C804" s="164"/>
      <c r="D804" s="165"/>
      <c r="F804" s="44"/>
      <c r="G804" s="44"/>
      <c r="I804" s="44"/>
      <c r="K804" s="44"/>
      <c r="M804" s="44"/>
      <c r="O804" s="44"/>
      <c r="Q804" s="44"/>
    </row>
    <row r="805">
      <c r="B805" s="44"/>
      <c r="C805" s="164"/>
      <c r="D805" s="165"/>
      <c r="F805" s="44"/>
      <c r="G805" s="44"/>
      <c r="I805" s="44"/>
      <c r="K805" s="44"/>
      <c r="M805" s="44"/>
      <c r="O805" s="44"/>
      <c r="Q805" s="44"/>
    </row>
    <row r="806">
      <c r="B806" s="44"/>
      <c r="C806" s="164"/>
      <c r="D806" s="165"/>
      <c r="F806" s="44"/>
      <c r="G806" s="44"/>
      <c r="I806" s="44"/>
      <c r="K806" s="44"/>
      <c r="M806" s="44"/>
      <c r="O806" s="44"/>
      <c r="Q806" s="44"/>
    </row>
    <row r="807">
      <c r="B807" s="44"/>
      <c r="C807" s="164"/>
      <c r="D807" s="165"/>
      <c r="F807" s="44"/>
      <c r="G807" s="44"/>
      <c r="I807" s="44"/>
      <c r="K807" s="44"/>
      <c r="M807" s="44"/>
      <c r="O807" s="44"/>
      <c r="Q807" s="44"/>
    </row>
    <row r="808">
      <c r="B808" s="44"/>
      <c r="C808" s="164"/>
      <c r="D808" s="165"/>
      <c r="F808" s="44"/>
      <c r="G808" s="44"/>
      <c r="I808" s="44"/>
      <c r="K808" s="44"/>
      <c r="M808" s="44"/>
      <c r="O808" s="44"/>
      <c r="Q808" s="44"/>
    </row>
    <row r="809">
      <c r="B809" s="44"/>
      <c r="C809" s="164"/>
      <c r="D809" s="165"/>
      <c r="F809" s="44"/>
      <c r="G809" s="44"/>
      <c r="I809" s="44"/>
      <c r="K809" s="44"/>
      <c r="M809" s="44"/>
      <c r="O809" s="44"/>
      <c r="Q809" s="44"/>
    </row>
    <row r="810">
      <c r="B810" s="44"/>
      <c r="C810" s="164"/>
      <c r="D810" s="165"/>
      <c r="F810" s="44"/>
      <c r="G810" s="44"/>
      <c r="I810" s="44"/>
      <c r="K810" s="44"/>
      <c r="M810" s="44"/>
      <c r="O810" s="44"/>
      <c r="Q810" s="44"/>
    </row>
    <row r="811">
      <c r="B811" s="44"/>
      <c r="C811" s="164"/>
      <c r="D811" s="165"/>
      <c r="F811" s="44"/>
      <c r="G811" s="44"/>
      <c r="I811" s="44"/>
      <c r="K811" s="44"/>
      <c r="M811" s="44"/>
      <c r="O811" s="44"/>
      <c r="Q811" s="44"/>
    </row>
    <row r="812">
      <c r="B812" s="44"/>
      <c r="C812" s="164"/>
      <c r="D812" s="165"/>
      <c r="F812" s="44"/>
      <c r="G812" s="44"/>
      <c r="I812" s="44"/>
      <c r="K812" s="44"/>
      <c r="M812" s="44"/>
      <c r="O812" s="44"/>
      <c r="Q812" s="44"/>
    </row>
    <row r="813">
      <c r="B813" s="44"/>
      <c r="C813" s="164"/>
      <c r="D813" s="165"/>
      <c r="F813" s="44"/>
      <c r="G813" s="44"/>
      <c r="I813" s="44"/>
      <c r="K813" s="44"/>
      <c r="M813" s="44"/>
      <c r="O813" s="44"/>
      <c r="Q813" s="44"/>
    </row>
    <row r="814">
      <c r="B814" s="44"/>
      <c r="C814" s="164"/>
      <c r="D814" s="165"/>
      <c r="F814" s="44"/>
      <c r="G814" s="44"/>
      <c r="I814" s="44"/>
      <c r="K814" s="44"/>
      <c r="M814" s="44"/>
      <c r="O814" s="44"/>
      <c r="Q814" s="44"/>
    </row>
    <row r="815">
      <c r="B815" s="44"/>
      <c r="C815" s="164"/>
      <c r="D815" s="165"/>
      <c r="F815" s="44"/>
      <c r="G815" s="44"/>
      <c r="I815" s="44"/>
      <c r="K815" s="44"/>
      <c r="M815" s="44"/>
      <c r="O815" s="44"/>
      <c r="Q815" s="44"/>
    </row>
    <row r="816">
      <c r="B816" s="44"/>
      <c r="C816" s="164"/>
      <c r="D816" s="165"/>
      <c r="F816" s="44"/>
      <c r="G816" s="44"/>
      <c r="I816" s="44"/>
      <c r="K816" s="44"/>
      <c r="M816" s="44"/>
      <c r="O816" s="44"/>
      <c r="Q816" s="44"/>
    </row>
    <row r="817">
      <c r="B817" s="44"/>
      <c r="C817" s="164"/>
      <c r="D817" s="165"/>
      <c r="F817" s="44"/>
      <c r="G817" s="44"/>
      <c r="I817" s="44"/>
      <c r="K817" s="44"/>
      <c r="M817" s="44"/>
      <c r="O817" s="44"/>
      <c r="Q817" s="44"/>
    </row>
    <row r="818">
      <c r="B818" s="44"/>
      <c r="C818" s="164"/>
      <c r="D818" s="165"/>
      <c r="F818" s="44"/>
      <c r="G818" s="44"/>
      <c r="I818" s="44"/>
      <c r="K818" s="44"/>
      <c r="M818" s="44"/>
      <c r="O818" s="44"/>
      <c r="Q818" s="44"/>
    </row>
    <row r="819">
      <c r="B819" s="44"/>
      <c r="C819" s="164"/>
      <c r="D819" s="165"/>
      <c r="F819" s="44"/>
      <c r="G819" s="44"/>
      <c r="I819" s="44"/>
      <c r="K819" s="44"/>
      <c r="M819" s="44"/>
      <c r="O819" s="44"/>
      <c r="Q819" s="44"/>
    </row>
    <row r="820">
      <c r="B820" s="44"/>
      <c r="C820" s="164"/>
      <c r="D820" s="165"/>
      <c r="F820" s="44"/>
      <c r="G820" s="44"/>
      <c r="I820" s="44"/>
      <c r="K820" s="44"/>
      <c r="M820" s="44"/>
      <c r="O820" s="44"/>
      <c r="Q820" s="44"/>
    </row>
    <row r="821">
      <c r="B821" s="44"/>
      <c r="C821" s="164"/>
      <c r="D821" s="165"/>
      <c r="F821" s="44"/>
      <c r="G821" s="44"/>
      <c r="I821" s="44"/>
      <c r="K821" s="44"/>
      <c r="M821" s="44"/>
      <c r="O821" s="44"/>
      <c r="Q821" s="44"/>
    </row>
    <row r="822">
      <c r="B822" s="44"/>
      <c r="C822" s="164"/>
      <c r="D822" s="165"/>
      <c r="F822" s="44"/>
      <c r="G822" s="44"/>
      <c r="I822" s="44"/>
      <c r="K822" s="44"/>
      <c r="M822" s="44"/>
      <c r="O822" s="44"/>
      <c r="Q822" s="44"/>
    </row>
    <row r="823">
      <c r="B823" s="44"/>
      <c r="C823" s="164"/>
      <c r="D823" s="165"/>
      <c r="F823" s="44"/>
      <c r="G823" s="44"/>
      <c r="I823" s="44"/>
      <c r="K823" s="44"/>
      <c r="M823" s="44"/>
      <c r="O823" s="44"/>
      <c r="Q823" s="44"/>
    </row>
    <row r="824">
      <c r="B824" s="44"/>
      <c r="C824" s="164"/>
      <c r="D824" s="165"/>
      <c r="F824" s="44"/>
      <c r="G824" s="44"/>
      <c r="I824" s="44"/>
      <c r="K824" s="44"/>
      <c r="M824" s="44"/>
      <c r="O824" s="44"/>
      <c r="Q824" s="44"/>
    </row>
    <row r="825">
      <c r="B825" s="44"/>
      <c r="C825" s="164"/>
      <c r="D825" s="165"/>
      <c r="F825" s="44"/>
      <c r="G825" s="44"/>
      <c r="I825" s="44"/>
      <c r="K825" s="44"/>
      <c r="M825" s="44"/>
      <c r="O825" s="44"/>
      <c r="Q825" s="44"/>
    </row>
    <row r="826">
      <c r="B826" s="44"/>
      <c r="C826" s="164"/>
      <c r="D826" s="165"/>
      <c r="F826" s="44"/>
      <c r="G826" s="44"/>
      <c r="I826" s="44"/>
      <c r="K826" s="44"/>
      <c r="M826" s="44"/>
      <c r="O826" s="44"/>
      <c r="Q826" s="44"/>
    </row>
    <row r="827">
      <c r="B827" s="44"/>
      <c r="C827" s="164"/>
      <c r="D827" s="165"/>
      <c r="F827" s="44"/>
      <c r="G827" s="44"/>
      <c r="I827" s="44"/>
      <c r="K827" s="44"/>
      <c r="M827" s="44"/>
      <c r="O827" s="44"/>
      <c r="Q827" s="44"/>
    </row>
    <row r="828">
      <c r="B828" s="44"/>
      <c r="C828" s="164"/>
      <c r="D828" s="165"/>
      <c r="F828" s="44"/>
      <c r="G828" s="44"/>
      <c r="I828" s="44"/>
      <c r="K828" s="44"/>
      <c r="M828" s="44"/>
      <c r="O828" s="44"/>
      <c r="Q828" s="44"/>
    </row>
    <row r="829">
      <c r="B829" s="44"/>
      <c r="C829" s="164"/>
      <c r="D829" s="165"/>
      <c r="F829" s="44"/>
      <c r="G829" s="44"/>
      <c r="I829" s="44"/>
      <c r="K829" s="44"/>
      <c r="M829" s="44"/>
      <c r="O829" s="44"/>
      <c r="Q829" s="44"/>
    </row>
    <row r="830">
      <c r="B830" s="44"/>
      <c r="C830" s="164"/>
      <c r="D830" s="165"/>
      <c r="F830" s="44"/>
      <c r="G830" s="44"/>
      <c r="I830" s="44"/>
      <c r="K830" s="44"/>
      <c r="M830" s="44"/>
      <c r="O830" s="44"/>
      <c r="Q830" s="44"/>
    </row>
    <row r="831">
      <c r="B831" s="44"/>
      <c r="C831" s="164"/>
      <c r="D831" s="165"/>
      <c r="F831" s="44"/>
      <c r="G831" s="44"/>
      <c r="I831" s="44"/>
      <c r="K831" s="44"/>
      <c r="M831" s="44"/>
      <c r="O831" s="44"/>
      <c r="Q831" s="44"/>
    </row>
    <row r="832">
      <c r="B832" s="44"/>
      <c r="C832" s="164"/>
      <c r="D832" s="165"/>
      <c r="F832" s="44"/>
      <c r="G832" s="44"/>
      <c r="I832" s="44"/>
      <c r="K832" s="44"/>
      <c r="M832" s="44"/>
      <c r="O832" s="44"/>
      <c r="Q832" s="44"/>
    </row>
    <row r="833">
      <c r="B833" s="44"/>
      <c r="C833" s="164"/>
      <c r="D833" s="165"/>
      <c r="F833" s="44"/>
      <c r="G833" s="44"/>
      <c r="I833" s="44"/>
      <c r="K833" s="44"/>
      <c r="M833" s="44"/>
      <c r="O833" s="44"/>
      <c r="Q833" s="44"/>
    </row>
    <row r="834">
      <c r="B834" s="44"/>
      <c r="C834" s="164"/>
      <c r="D834" s="165"/>
      <c r="F834" s="44"/>
      <c r="G834" s="44"/>
      <c r="I834" s="44"/>
      <c r="K834" s="44"/>
      <c r="M834" s="44"/>
      <c r="O834" s="44"/>
      <c r="Q834" s="44"/>
    </row>
    <row r="835">
      <c r="B835" s="44"/>
      <c r="C835" s="164"/>
      <c r="D835" s="165"/>
      <c r="F835" s="44"/>
      <c r="G835" s="44"/>
      <c r="I835" s="44"/>
      <c r="K835" s="44"/>
      <c r="M835" s="44"/>
      <c r="O835" s="44"/>
      <c r="Q835" s="44"/>
    </row>
    <row r="836">
      <c r="B836" s="44"/>
      <c r="C836" s="164"/>
      <c r="D836" s="165"/>
      <c r="F836" s="44"/>
      <c r="G836" s="44"/>
      <c r="I836" s="44"/>
      <c r="K836" s="44"/>
      <c r="M836" s="44"/>
      <c r="O836" s="44"/>
      <c r="Q836" s="44"/>
    </row>
    <row r="837">
      <c r="B837" s="44"/>
      <c r="C837" s="164"/>
      <c r="D837" s="165"/>
      <c r="F837" s="44"/>
      <c r="G837" s="44"/>
      <c r="I837" s="44"/>
      <c r="K837" s="44"/>
      <c r="M837" s="44"/>
      <c r="O837" s="44"/>
      <c r="Q837" s="44"/>
    </row>
    <row r="838">
      <c r="B838" s="44"/>
      <c r="C838" s="164"/>
      <c r="D838" s="165"/>
      <c r="F838" s="44"/>
      <c r="G838" s="44"/>
      <c r="I838" s="44"/>
      <c r="K838" s="44"/>
      <c r="M838" s="44"/>
      <c r="O838" s="44"/>
      <c r="Q838" s="44"/>
    </row>
    <row r="839">
      <c r="B839" s="44"/>
      <c r="C839" s="164"/>
      <c r="D839" s="165"/>
      <c r="F839" s="44"/>
      <c r="G839" s="44"/>
      <c r="I839" s="44"/>
      <c r="K839" s="44"/>
      <c r="M839" s="44"/>
      <c r="O839" s="44"/>
      <c r="Q839" s="44"/>
    </row>
    <row r="840">
      <c r="B840" s="44"/>
      <c r="C840" s="164"/>
      <c r="D840" s="165"/>
      <c r="F840" s="44"/>
      <c r="G840" s="44"/>
      <c r="I840" s="44"/>
      <c r="K840" s="44"/>
      <c r="M840" s="44"/>
      <c r="O840" s="44"/>
      <c r="Q840" s="44"/>
    </row>
    <row r="841">
      <c r="B841" s="44"/>
      <c r="C841" s="164"/>
      <c r="D841" s="165"/>
      <c r="F841" s="44"/>
      <c r="G841" s="44"/>
      <c r="I841" s="44"/>
      <c r="K841" s="44"/>
      <c r="M841" s="44"/>
      <c r="O841" s="44"/>
      <c r="Q841" s="44"/>
    </row>
    <row r="842">
      <c r="B842" s="44"/>
      <c r="C842" s="164"/>
      <c r="D842" s="165"/>
      <c r="F842" s="44"/>
      <c r="G842" s="44"/>
      <c r="I842" s="44"/>
      <c r="K842" s="44"/>
      <c r="M842" s="44"/>
      <c r="O842" s="44"/>
      <c r="Q842" s="44"/>
    </row>
    <row r="843">
      <c r="B843" s="44"/>
      <c r="C843" s="164"/>
      <c r="D843" s="165"/>
      <c r="F843" s="44"/>
      <c r="G843" s="44"/>
      <c r="I843" s="44"/>
      <c r="K843" s="44"/>
      <c r="M843" s="44"/>
      <c r="O843" s="44"/>
      <c r="Q843" s="44"/>
    </row>
    <row r="844">
      <c r="B844" s="44"/>
      <c r="C844" s="164"/>
      <c r="D844" s="165"/>
      <c r="F844" s="44"/>
      <c r="G844" s="44"/>
      <c r="I844" s="44"/>
      <c r="K844" s="44"/>
      <c r="M844" s="44"/>
      <c r="O844" s="44"/>
      <c r="Q844" s="44"/>
    </row>
    <row r="845">
      <c r="B845" s="44"/>
      <c r="C845" s="164"/>
      <c r="D845" s="165"/>
      <c r="F845" s="44"/>
      <c r="G845" s="44"/>
      <c r="I845" s="44"/>
      <c r="K845" s="44"/>
      <c r="M845" s="44"/>
      <c r="O845" s="44"/>
      <c r="Q845" s="44"/>
    </row>
    <row r="846">
      <c r="B846" s="44"/>
      <c r="C846" s="164"/>
      <c r="D846" s="165"/>
      <c r="F846" s="44"/>
      <c r="G846" s="44"/>
      <c r="I846" s="44"/>
      <c r="K846" s="44"/>
      <c r="M846" s="44"/>
      <c r="O846" s="44"/>
      <c r="Q846" s="44"/>
    </row>
    <row r="847">
      <c r="B847" s="44"/>
      <c r="C847" s="164"/>
      <c r="D847" s="165"/>
      <c r="F847" s="44"/>
      <c r="G847" s="44"/>
      <c r="I847" s="44"/>
      <c r="K847" s="44"/>
      <c r="M847" s="44"/>
      <c r="O847" s="44"/>
      <c r="Q847" s="44"/>
    </row>
    <row r="848">
      <c r="B848" s="44"/>
      <c r="C848" s="164"/>
      <c r="D848" s="165"/>
      <c r="F848" s="44"/>
      <c r="G848" s="44"/>
      <c r="I848" s="44"/>
      <c r="K848" s="44"/>
      <c r="M848" s="44"/>
      <c r="O848" s="44"/>
      <c r="Q848" s="44"/>
    </row>
    <row r="849">
      <c r="B849" s="44"/>
      <c r="C849" s="164"/>
      <c r="D849" s="165"/>
      <c r="F849" s="44"/>
      <c r="G849" s="44"/>
      <c r="I849" s="44"/>
      <c r="K849" s="44"/>
      <c r="M849" s="44"/>
      <c r="O849" s="44"/>
      <c r="Q849" s="44"/>
    </row>
    <row r="850">
      <c r="B850" s="44"/>
      <c r="C850" s="164"/>
      <c r="D850" s="165"/>
      <c r="F850" s="44"/>
      <c r="G850" s="44"/>
      <c r="I850" s="44"/>
      <c r="K850" s="44"/>
      <c r="M850" s="44"/>
      <c r="O850" s="44"/>
      <c r="Q850" s="44"/>
    </row>
    <row r="851">
      <c r="B851" s="44"/>
      <c r="C851" s="164"/>
      <c r="D851" s="165"/>
      <c r="F851" s="44"/>
      <c r="G851" s="44"/>
      <c r="I851" s="44"/>
      <c r="K851" s="44"/>
      <c r="M851" s="44"/>
      <c r="O851" s="44"/>
      <c r="Q851" s="44"/>
    </row>
    <row r="852">
      <c r="B852" s="44"/>
      <c r="C852" s="164"/>
      <c r="D852" s="165"/>
      <c r="F852" s="44"/>
      <c r="G852" s="44"/>
      <c r="I852" s="44"/>
      <c r="K852" s="44"/>
      <c r="M852" s="44"/>
      <c r="O852" s="44"/>
      <c r="Q852" s="44"/>
    </row>
    <row r="853">
      <c r="B853" s="44"/>
      <c r="C853" s="164"/>
      <c r="D853" s="165"/>
      <c r="F853" s="44"/>
      <c r="G853" s="44"/>
      <c r="I853" s="44"/>
      <c r="K853" s="44"/>
      <c r="M853" s="44"/>
      <c r="O853" s="44"/>
      <c r="Q853" s="44"/>
    </row>
    <row r="854">
      <c r="B854" s="44"/>
      <c r="C854" s="164"/>
      <c r="D854" s="165"/>
      <c r="F854" s="44"/>
      <c r="G854" s="44"/>
      <c r="I854" s="44"/>
      <c r="K854" s="44"/>
      <c r="M854" s="44"/>
      <c r="O854" s="44"/>
      <c r="Q854" s="44"/>
    </row>
    <row r="855">
      <c r="B855" s="44"/>
      <c r="C855" s="164"/>
      <c r="D855" s="165"/>
      <c r="F855" s="44"/>
      <c r="G855" s="44"/>
      <c r="I855" s="44"/>
      <c r="K855" s="44"/>
      <c r="M855" s="44"/>
      <c r="O855" s="44"/>
      <c r="Q855" s="44"/>
    </row>
    <row r="856">
      <c r="B856" s="44"/>
      <c r="C856" s="164"/>
      <c r="D856" s="165"/>
      <c r="F856" s="44"/>
      <c r="G856" s="44"/>
      <c r="I856" s="44"/>
      <c r="K856" s="44"/>
      <c r="M856" s="44"/>
      <c r="O856" s="44"/>
      <c r="Q856" s="44"/>
    </row>
    <row r="857">
      <c r="B857" s="44"/>
      <c r="C857" s="164"/>
      <c r="D857" s="165"/>
      <c r="F857" s="44"/>
      <c r="G857" s="44"/>
      <c r="I857" s="44"/>
      <c r="K857" s="44"/>
      <c r="M857" s="44"/>
      <c r="O857" s="44"/>
      <c r="Q857" s="44"/>
    </row>
    <row r="858">
      <c r="B858" s="44"/>
      <c r="C858" s="164"/>
      <c r="D858" s="165"/>
      <c r="F858" s="44"/>
      <c r="G858" s="44"/>
      <c r="I858" s="44"/>
      <c r="K858" s="44"/>
      <c r="M858" s="44"/>
      <c r="O858" s="44"/>
      <c r="Q858" s="44"/>
    </row>
    <row r="859">
      <c r="B859" s="44"/>
      <c r="C859" s="164"/>
      <c r="D859" s="165"/>
      <c r="F859" s="44"/>
      <c r="G859" s="44"/>
      <c r="I859" s="44"/>
      <c r="K859" s="44"/>
      <c r="M859" s="44"/>
      <c r="O859" s="44"/>
      <c r="Q859" s="44"/>
    </row>
    <row r="860">
      <c r="B860" s="44"/>
      <c r="C860" s="164"/>
      <c r="D860" s="165"/>
      <c r="F860" s="44"/>
      <c r="G860" s="44"/>
      <c r="I860" s="44"/>
      <c r="K860" s="44"/>
      <c r="M860" s="44"/>
      <c r="O860" s="44"/>
      <c r="Q860" s="44"/>
    </row>
    <row r="861">
      <c r="B861" s="44"/>
      <c r="C861" s="164"/>
      <c r="D861" s="165"/>
      <c r="F861" s="44"/>
      <c r="G861" s="44"/>
      <c r="I861" s="44"/>
      <c r="K861" s="44"/>
      <c r="M861" s="44"/>
      <c r="O861" s="44"/>
      <c r="Q861" s="44"/>
    </row>
    <row r="862">
      <c r="B862" s="44"/>
      <c r="C862" s="164"/>
      <c r="D862" s="165"/>
      <c r="F862" s="44"/>
      <c r="G862" s="44"/>
      <c r="I862" s="44"/>
      <c r="K862" s="44"/>
      <c r="M862" s="44"/>
      <c r="O862" s="44"/>
      <c r="Q862" s="44"/>
    </row>
    <row r="863">
      <c r="B863" s="44"/>
      <c r="C863" s="164"/>
      <c r="D863" s="165"/>
      <c r="F863" s="44"/>
      <c r="G863" s="44"/>
      <c r="I863" s="44"/>
      <c r="K863" s="44"/>
      <c r="M863" s="44"/>
      <c r="O863" s="44"/>
      <c r="Q863" s="44"/>
    </row>
    <row r="864">
      <c r="B864" s="44"/>
      <c r="C864" s="164"/>
      <c r="D864" s="165"/>
      <c r="F864" s="44"/>
      <c r="G864" s="44"/>
      <c r="I864" s="44"/>
      <c r="K864" s="44"/>
      <c r="M864" s="44"/>
      <c r="O864" s="44"/>
      <c r="Q864" s="44"/>
    </row>
    <row r="865">
      <c r="B865" s="44"/>
      <c r="C865" s="164"/>
      <c r="D865" s="165"/>
      <c r="F865" s="44"/>
      <c r="G865" s="44"/>
      <c r="I865" s="44"/>
      <c r="K865" s="44"/>
      <c r="M865" s="44"/>
      <c r="O865" s="44"/>
      <c r="Q865" s="44"/>
    </row>
    <row r="866">
      <c r="B866" s="44"/>
      <c r="C866" s="164"/>
      <c r="D866" s="165"/>
      <c r="F866" s="44"/>
      <c r="G866" s="44"/>
      <c r="I866" s="44"/>
      <c r="K866" s="44"/>
      <c r="M866" s="44"/>
      <c r="O866" s="44"/>
      <c r="Q866" s="44"/>
    </row>
    <row r="867">
      <c r="B867" s="44"/>
      <c r="C867" s="164"/>
      <c r="D867" s="165"/>
      <c r="F867" s="44"/>
      <c r="G867" s="44"/>
      <c r="I867" s="44"/>
      <c r="K867" s="44"/>
      <c r="M867" s="44"/>
      <c r="O867" s="44"/>
      <c r="Q867" s="44"/>
    </row>
    <row r="868">
      <c r="B868" s="44"/>
      <c r="C868" s="164"/>
      <c r="D868" s="165"/>
      <c r="F868" s="44"/>
      <c r="G868" s="44"/>
      <c r="I868" s="44"/>
      <c r="K868" s="44"/>
      <c r="M868" s="44"/>
      <c r="O868" s="44"/>
      <c r="Q868" s="44"/>
    </row>
    <row r="869">
      <c r="B869" s="44"/>
      <c r="C869" s="164"/>
      <c r="D869" s="165"/>
      <c r="F869" s="44"/>
      <c r="G869" s="44"/>
      <c r="I869" s="44"/>
      <c r="K869" s="44"/>
      <c r="M869" s="44"/>
      <c r="O869" s="44"/>
      <c r="Q869" s="44"/>
    </row>
    <row r="870">
      <c r="B870" s="44"/>
      <c r="C870" s="164"/>
      <c r="D870" s="165"/>
      <c r="F870" s="44"/>
      <c r="G870" s="44"/>
      <c r="I870" s="44"/>
      <c r="K870" s="44"/>
      <c r="M870" s="44"/>
      <c r="O870" s="44"/>
      <c r="Q870" s="44"/>
    </row>
    <row r="871">
      <c r="B871" s="44"/>
      <c r="C871" s="164"/>
      <c r="D871" s="165"/>
      <c r="F871" s="44"/>
      <c r="G871" s="44"/>
      <c r="I871" s="44"/>
      <c r="K871" s="44"/>
      <c r="M871" s="44"/>
      <c r="O871" s="44"/>
      <c r="Q871" s="44"/>
    </row>
    <row r="872">
      <c r="B872" s="44"/>
      <c r="C872" s="164"/>
      <c r="D872" s="165"/>
      <c r="F872" s="44"/>
      <c r="G872" s="44"/>
      <c r="I872" s="44"/>
      <c r="K872" s="44"/>
      <c r="M872" s="44"/>
      <c r="O872" s="44"/>
      <c r="Q872" s="44"/>
    </row>
    <row r="873">
      <c r="B873" s="44"/>
      <c r="C873" s="164"/>
      <c r="D873" s="165"/>
      <c r="F873" s="44"/>
      <c r="G873" s="44"/>
      <c r="I873" s="44"/>
      <c r="K873" s="44"/>
      <c r="M873" s="44"/>
      <c r="O873" s="44"/>
      <c r="Q873" s="44"/>
    </row>
    <row r="874">
      <c r="B874" s="44"/>
      <c r="C874" s="164"/>
      <c r="D874" s="165"/>
      <c r="F874" s="44"/>
      <c r="G874" s="44"/>
      <c r="I874" s="44"/>
      <c r="K874" s="44"/>
      <c r="M874" s="44"/>
      <c r="O874" s="44"/>
      <c r="Q874" s="44"/>
    </row>
    <row r="875">
      <c r="B875" s="44"/>
      <c r="C875" s="164"/>
      <c r="D875" s="165"/>
      <c r="F875" s="44"/>
      <c r="G875" s="44"/>
      <c r="I875" s="44"/>
      <c r="K875" s="44"/>
      <c r="M875" s="44"/>
      <c r="O875" s="44"/>
      <c r="Q875" s="44"/>
    </row>
    <row r="876">
      <c r="B876" s="44"/>
      <c r="C876" s="164"/>
      <c r="D876" s="165"/>
      <c r="F876" s="44"/>
      <c r="G876" s="44"/>
      <c r="I876" s="44"/>
      <c r="K876" s="44"/>
      <c r="M876" s="44"/>
      <c r="O876" s="44"/>
      <c r="Q876" s="44"/>
    </row>
    <row r="877">
      <c r="B877" s="44"/>
      <c r="C877" s="164"/>
      <c r="D877" s="165"/>
      <c r="F877" s="44"/>
      <c r="G877" s="44"/>
      <c r="I877" s="44"/>
      <c r="K877" s="44"/>
      <c r="M877" s="44"/>
      <c r="O877" s="44"/>
      <c r="Q877" s="44"/>
    </row>
    <row r="878">
      <c r="B878" s="44"/>
      <c r="C878" s="164"/>
      <c r="D878" s="165"/>
      <c r="F878" s="44"/>
      <c r="G878" s="44"/>
      <c r="I878" s="44"/>
      <c r="K878" s="44"/>
      <c r="M878" s="44"/>
      <c r="O878" s="44"/>
      <c r="Q878" s="44"/>
    </row>
    <row r="879">
      <c r="B879" s="44"/>
      <c r="C879" s="164"/>
      <c r="D879" s="165"/>
      <c r="F879" s="44"/>
      <c r="G879" s="44"/>
      <c r="I879" s="44"/>
      <c r="K879" s="44"/>
      <c r="M879" s="44"/>
      <c r="O879" s="44"/>
      <c r="Q879" s="44"/>
    </row>
    <row r="880">
      <c r="B880" s="44"/>
      <c r="C880" s="164"/>
      <c r="D880" s="165"/>
      <c r="F880" s="44"/>
      <c r="G880" s="44"/>
      <c r="I880" s="44"/>
      <c r="K880" s="44"/>
      <c r="M880" s="44"/>
      <c r="O880" s="44"/>
      <c r="Q880" s="44"/>
    </row>
    <row r="881">
      <c r="B881" s="44"/>
      <c r="C881" s="164"/>
      <c r="D881" s="165"/>
      <c r="F881" s="44"/>
      <c r="G881" s="44"/>
      <c r="I881" s="44"/>
      <c r="K881" s="44"/>
      <c r="M881" s="44"/>
      <c r="O881" s="44"/>
      <c r="Q881" s="44"/>
    </row>
    <row r="882">
      <c r="B882" s="44"/>
      <c r="C882" s="164"/>
      <c r="D882" s="165"/>
      <c r="F882" s="44"/>
      <c r="G882" s="44"/>
      <c r="I882" s="44"/>
      <c r="K882" s="44"/>
      <c r="M882" s="44"/>
      <c r="O882" s="44"/>
      <c r="Q882" s="44"/>
    </row>
    <row r="883">
      <c r="B883" s="44"/>
      <c r="C883" s="164"/>
      <c r="D883" s="165"/>
      <c r="F883" s="44"/>
      <c r="G883" s="44"/>
      <c r="I883" s="44"/>
      <c r="K883" s="44"/>
      <c r="M883" s="44"/>
      <c r="O883" s="44"/>
      <c r="Q883" s="44"/>
    </row>
    <row r="884">
      <c r="B884" s="44"/>
      <c r="C884" s="164"/>
      <c r="D884" s="165"/>
      <c r="F884" s="44"/>
      <c r="G884" s="44"/>
      <c r="I884" s="44"/>
      <c r="K884" s="44"/>
      <c r="M884" s="44"/>
      <c r="O884" s="44"/>
      <c r="Q884" s="44"/>
    </row>
    <row r="885">
      <c r="B885" s="44"/>
      <c r="C885" s="164"/>
      <c r="D885" s="165"/>
      <c r="F885" s="44"/>
      <c r="G885" s="44"/>
      <c r="I885" s="44"/>
      <c r="K885" s="44"/>
      <c r="M885" s="44"/>
      <c r="O885" s="44"/>
      <c r="Q885" s="44"/>
    </row>
    <row r="886">
      <c r="B886" s="44"/>
      <c r="C886" s="164"/>
      <c r="D886" s="165"/>
      <c r="F886" s="44"/>
      <c r="G886" s="44"/>
      <c r="I886" s="44"/>
      <c r="K886" s="44"/>
      <c r="M886" s="44"/>
      <c r="O886" s="44"/>
      <c r="Q886" s="44"/>
    </row>
    <row r="887">
      <c r="B887" s="44"/>
      <c r="C887" s="164"/>
      <c r="D887" s="165"/>
      <c r="F887" s="44"/>
      <c r="G887" s="44"/>
      <c r="I887" s="44"/>
      <c r="K887" s="44"/>
      <c r="M887" s="44"/>
      <c r="O887" s="44"/>
      <c r="Q887" s="44"/>
    </row>
    <row r="888">
      <c r="B888" s="44"/>
      <c r="C888" s="164"/>
      <c r="D888" s="165"/>
      <c r="F888" s="44"/>
      <c r="G888" s="44"/>
      <c r="I888" s="44"/>
      <c r="K888" s="44"/>
      <c r="M888" s="44"/>
      <c r="O888" s="44"/>
      <c r="Q888" s="44"/>
    </row>
    <row r="889">
      <c r="B889" s="44"/>
      <c r="C889" s="164"/>
      <c r="D889" s="165"/>
      <c r="F889" s="44"/>
      <c r="G889" s="44"/>
      <c r="I889" s="44"/>
      <c r="K889" s="44"/>
      <c r="M889" s="44"/>
      <c r="O889" s="44"/>
      <c r="Q889" s="44"/>
    </row>
    <row r="890">
      <c r="B890" s="44"/>
      <c r="C890" s="164"/>
      <c r="D890" s="165"/>
      <c r="F890" s="44"/>
      <c r="G890" s="44"/>
      <c r="I890" s="44"/>
      <c r="K890" s="44"/>
      <c r="M890" s="44"/>
      <c r="O890" s="44"/>
      <c r="Q890" s="44"/>
    </row>
    <row r="891">
      <c r="B891" s="44"/>
      <c r="C891" s="164"/>
      <c r="D891" s="165"/>
      <c r="F891" s="44"/>
      <c r="G891" s="44"/>
      <c r="I891" s="44"/>
      <c r="K891" s="44"/>
      <c r="M891" s="44"/>
      <c r="O891" s="44"/>
      <c r="Q891" s="44"/>
    </row>
    <row r="892">
      <c r="B892" s="44"/>
      <c r="C892" s="164"/>
      <c r="D892" s="165"/>
      <c r="F892" s="44"/>
      <c r="G892" s="44"/>
      <c r="I892" s="44"/>
      <c r="K892" s="44"/>
      <c r="M892" s="44"/>
      <c r="O892" s="44"/>
      <c r="Q892" s="44"/>
    </row>
    <row r="893">
      <c r="B893" s="44"/>
      <c r="C893" s="164"/>
      <c r="D893" s="165"/>
      <c r="F893" s="44"/>
      <c r="G893" s="44"/>
      <c r="I893" s="44"/>
      <c r="K893" s="44"/>
      <c r="M893" s="44"/>
      <c r="O893" s="44"/>
      <c r="Q893" s="44"/>
    </row>
    <row r="894">
      <c r="B894" s="44"/>
      <c r="C894" s="164"/>
      <c r="D894" s="165"/>
      <c r="F894" s="44"/>
      <c r="G894" s="44"/>
      <c r="I894" s="44"/>
      <c r="K894" s="44"/>
      <c r="M894" s="44"/>
      <c r="O894" s="44"/>
      <c r="Q894" s="44"/>
    </row>
    <row r="895">
      <c r="B895" s="44"/>
      <c r="C895" s="164"/>
      <c r="D895" s="165"/>
      <c r="F895" s="44"/>
      <c r="G895" s="44"/>
      <c r="I895" s="44"/>
      <c r="K895" s="44"/>
      <c r="M895" s="44"/>
      <c r="O895" s="44"/>
      <c r="Q895" s="44"/>
    </row>
    <row r="896">
      <c r="B896" s="44"/>
      <c r="C896" s="164"/>
      <c r="D896" s="165"/>
      <c r="F896" s="44"/>
      <c r="G896" s="44"/>
      <c r="I896" s="44"/>
      <c r="K896" s="44"/>
      <c r="M896" s="44"/>
      <c r="O896" s="44"/>
      <c r="Q896" s="44"/>
    </row>
    <row r="897">
      <c r="B897" s="44"/>
      <c r="C897" s="164"/>
      <c r="D897" s="165"/>
      <c r="F897" s="44"/>
      <c r="G897" s="44"/>
      <c r="I897" s="44"/>
      <c r="K897" s="44"/>
      <c r="M897" s="44"/>
      <c r="O897" s="44"/>
      <c r="Q897" s="44"/>
    </row>
    <row r="898">
      <c r="B898" s="44"/>
      <c r="C898" s="164"/>
      <c r="D898" s="165"/>
      <c r="F898" s="44"/>
      <c r="G898" s="44"/>
      <c r="I898" s="44"/>
      <c r="K898" s="44"/>
      <c r="M898" s="44"/>
      <c r="O898" s="44"/>
      <c r="Q898" s="44"/>
    </row>
    <row r="899">
      <c r="B899" s="44"/>
      <c r="C899" s="164"/>
      <c r="D899" s="165"/>
      <c r="F899" s="44"/>
      <c r="G899" s="44"/>
      <c r="I899" s="44"/>
      <c r="K899" s="44"/>
      <c r="M899" s="44"/>
      <c r="O899" s="44"/>
      <c r="Q899" s="44"/>
    </row>
    <row r="900">
      <c r="B900" s="44"/>
      <c r="C900" s="164"/>
      <c r="D900" s="165"/>
      <c r="F900" s="44"/>
      <c r="G900" s="44"/>
      <c r="I900" s="44"/>
      <c r="K900" s="44"/>
      <c r="M900" s="44"/>
      <c r="O900" s="44"/>
      <c r="Q900" s="44"/>
    </row>
    <row r="901">
      <c r="B901" s="44"/>
      <c r="C901" s="164"/>
      <c r="D901" s="165"/>
      <c r="F901" s="44"/>
      <c r="G901" s="44"/>
      <c r="I901" s="44"/>
      <c r="K901" s="44"/>
      <c r="M901" s="44"/>
      <c r="O901" s="44"/>
      <c r="Q901" s="44"/>
    </row>
    <row r="902">
      <c r="B902" s="44"/>
      <c r="C902" s="164"/>
      <c r="D902" s="165"/>
      <c r="F902" s="44"/>
      <c r="G902" s="44"/>
      <c r="I902" s="44"/>
      <c r="K902" s="44"/>
      <c r="M902" s="44"/>
      <c r="O902" s="44"/>
      <c r="Q902" s="44"/>
    </row>
    <row r="903">
      <c r="B903" s="44"/>
      <c r="C903" s="164"/>
      <c r="D903" s="165"/>
      <c r="F903" s="44"/>
      <c r="G903" s="44"/>
      <c r="I903" s="44"/>
      <c r="K903" s="44"/>
      <c r="M903" s="44"/>
      <c r="O903" s="44"/>
      <c r="Q903" s="44"/>
    </row>
    <row r="904">
      <c r="B904" s="44"/>
      <c r="C904" s="164"/>
      <c r="D904" s="165"/>
      <c r="F904" s="44"/>
      <c r="G904" s="44"/>
      <c r="I904" s="44"/>
      <c r="K904" s="44"/>
      <c r="M904" s="44"/>
      <c r="O904" s="44"/>
      <c r="Q904" s="44"/>
    </row>
    <row r="905">
      <c r="B905" s="44"/>
      <c r="C905" s="164"/>
      <c r="D905" s="165"/>
      <c r="F905" s="44"/>
      <c r="G905" s="44"/>
      <c r="I905" s="44"/>
      <c r="K905" s="44"/>
      <c r="M905" s="44"/>
      <c r="O905" s="44"/>
      <c r="Q905" s="44"/>
    </row>
    <row r="906">
      <c r="B906" s="44"/>
      <c r="C906" s="164"/>
      <c r="D906" s="165"/>
      <c r="F906" s="44"/>
      <c r="G906" s="44"/>
      <c r="I906" s="44"/>
      <c r="K906" s="44"/>
      <c r="M906" s="44"/>
      <c r="O906" s="44"/>
      <c r="Q906" s="44"/>
    </row>
    <row r="907">
      <c r="B907" s="44"/>
      <c r="C907" s="164"/>
      <c r="D907" s="165"/>
      <c r="F907" s="44"/>
      <c r="G907" s="44"/>
      <c r="I907" s="44"/>
      <c r="K907" s="44"/>
      <c r="M907" s="44"/>
      <c r="O907" s="44"/>
      <c r="Q907" s="44"/>
    </row>
    <row r="908">
      <c r="B908" s="44"/>
      <c r="C908" s="164"/>
      <c r="D908" s="165"/>
      <c r="F908" s="44"/>
      <c r="G908" s="44"/>
      <c r="I908" s="44"/>
      <c r="K908" s="44"/>
      <c r="M908" s="44"/>
      <c r="O908" s="44"/>
      <c r="Q908" s="44"/>
    </row>
    <row r="909">
      <c r="B909" s="44"/>
      <c r="C909" s="164"/>
      <c r="D909" s="165"/>
      <c r="F909" s="44"/>
      <c r="G909" s="44"/>
      <c r="I909" s="44"/>
      <c r="K909" s="44"/>
      <c r="M909" s="44"/>
      <c r="O909" s="44"/>
      <c r="Q909" s="44"/>
    </row>
    <row r="910">
      <c r="B910" s="44"/>
      <c r="C910" s="164"/>
      <c r="D910" s="165"/>
      <c r="F910" s="44"/>
      <c r="G910" s="44"/>
      <c r="I910" s="44"/>
      <c r="K910" s="44"/>
      <c r="M910" s="44"/>
      <c r="O910" s="44"/>
      <c r="Q910" s="44"/>
    </row>
    <row r="911">
      <c r="B911" s="44"/>
      <c r="C911" s="164"/>
      <c r="D911" s="165"/>
      <c r="F911" s="44"/>
      <c r="G911" s="44"/>
      <c r="I911" s="44"/>
      <c r="K911" s="44"/>
      <c r="M911" s="44"/>
      <c r="O911" s="44"/>
      <c r="Q911" s="44"/>
    </row>
    <row r="912">
      <c r="B912" s="44"/>
      <c r="C912" s="164"/>
      <c r="D912" s="165"/>
      <c r="F912" s="44"/>
      <c r="G912" s="44"/>
      <c r="I912" s="44"/>
      <c r="K912" s="44"/>
      <c r="M912" s="44"/>
      <c r="O912" s="44"/>
      <c r="Q912" s="44"/>
    </row>
    <row r="913">
      <c r="B913" s="44"/>
      <c r="C913" s="164"/>
      <c r="D913" s="165"/>
      <c r="F913" s="44"/>
      <c r="G913" s="44"/>
      <c r="I913" s="44"/>
      <c r="K913" s="44"/>
      <c r="M913" s="44"/>
      <c r="O913" s="44"/>
      <c r="Q913" s="44"/>
    </row>
    <row r="914">
      <c r="B914" s="44"/>
      <c r="C914" s="164"/>
      <c r="D914" s="165"/>
      <c r="F914" s="44"/>
      <c r="G914" s="44"/>
      <c r="I914" s="44"/>
      <c r="K914" s="44"/>
      <c r="M914" s="44"/>
      <c r="O914" s="44"/>
      <c r="Q914" s="44"/>
    </row>
    <row r="915">
      <c r="B915" s="44"/>
      <c r="C915" s="164"/>
      <c r="D915" s="165"/>
      <c r="F915" s="44"/>
      <c r="G915" s="44"/>
      <c r="I915" s="44"/>
      <c r="K915" s="44"/>
      <c r="M915" s="44"/>
      <c r="O915" s="44"/>
      <c r="Q915" s="44"/>
    </row>
    <row r="916">
      <c r="B916" s="44"/>
      <c r="C916" s="164"/>
      <c r="D916" s="165"/>
      <c r="F916" s="44"/>
      <c r="G916" s="44"/>
      <c r="I916" s="44"/>
      <c r="K916" s="44"/>
      <c r="M916" s="44"/>
      <c r="O916" s="44"/>
      <c r="Q916" s="44"/>
    </row>
    <row r="917">
      <c r="B917" s="44"/>
      <c r="C917" s="164"/>
      <c r="D917" s="165"/>
      <c r="F917" s="44"/>
      <c r="G917" s="44"/>
      <c r="I917" s="44"/>
      <c r="K917" s="44"/>
      <c r="M917" s="44"/>
      <c r="O917" s="44"/>
      <c r="Q917" s="44"/>
    </row>
    <row r="918">
      <c r="B918" s="44"/>
      <c r="C918" s="164"/>
      <c r="D918" s="165"/>
      <c r="F918" s="44"/>
      <c r="G918" s="44"/>
      <c r="I918" s="44"/>
      <c r="K918" s="44"/>
      <c r="M918" s="44"/>
      <c r="O918" s="44"/>
      <c r="Q918" s="44"/>
    </row>
    <row r="919">
      <c r="B919" s="44"/>
      <c r="C919" s="164"/>
      <c r="D919" s="165"/>
      <c r="F919" s="44"/>
      <c r="G919" s="44"/>
      <c r="I919" s="44"/>
      <c r="K919" s="44"/>
      <c r="M919" s="44"/>
      <c r="O919" s="44"/>
      <c r="Q919" s="44"/>
    </row>
    <row r="920">
      <c r="B920" s="44"/>
      <c r="C920" s="164"/>
      <c r="D920" s="165"/>
      <c r="F920" s="44"/>
      <c r="G920" s="44"/>
      <c r="I920" s="44"/>
      <c r="K920" s="44"/>
      <c r="M920" s="44"/>
      <c r="O920" s="44"/>
      <c r="Q920" s="44"/>
    </row>
    <row r="921">
      <c r="B921" s="44"/>
      <c r="C921" s="164"/>
      <c r="D921" s="165"/>
      <c r="F921" s="44"/>
      <c r="G921" s="44"/>
      <c r="I921" s="44"/>
      <c r="K921" s="44"/>
      <c r="M921" s="44"/>
      <c r="O921" s="44"/>
      <c r="Q921" s="44"/>
    </row>
    <row r="922">
      <c r="B922" s="44"/>
      <c r="C922" s="164"/>
      <c r="D922" s="165"/>
      <c r="F922" s="44"/>
      <c r="G922" s="44"/>
      <c r="I922" s="44"/>
      <c r="K922" s="44"/>
      <c r="M922" s="44"/>
      <c r="O922" s="44"/>
      <c r="Q922" s="44"/>
    </row>
    <row r="923">
      <c r="B923" s="44"/>
      <c r="C923" s="164"/>
      <c r="D923" s="165"/>
      <c r="F923" s="44"/>
      <c r="G923" s="44"/>
      <c r="I923" s="44"/>
      <c r="K923" s="44"/>
      <c r="M923" s="44"/>
      <c r="O923" s="44"/>
      <c r="Q923" s="44"/>
    </row>
    <row r="924">
      <c r="B924" s="44"/>
      <c r="C924" s="164"/>
      <c r="D924" s="165"/>
      <c r="F924" s="44"/>
      <c r="G924" s="44"/>
      <c r="I924" s="44"/>
      <c r="K924" s="44"/>
      <c r="M924" s="44"/>
      <c r="O924" s="44"/>
      <c r="Q924" s="44"/>
    </row>
    <row r="925">
      <c r="B925" s="44"/>
      <c r="C925" s="164"/>
      <c r="D925" s="165"/>
      <c r="F925" s="44"/>
      <c r="G925" s="44"/>
      <c r="I925" s="44"/>
      <c r="K925" s="44"/>
      <c r="M925" s="44"/>
      <c r="O925" s="44"/>
      <c r="Q925" s="44"/>
    </row>
    <row r="926">
      <c r="B926" s="44"/>
      <c r="C926" s="164"/>
      <c r="D926" s="165"/>
      <c r="F926" s="44"/>
      <c r="G926" s="44"/>
      <c r="I926" s="44"/>
      <c r="K926" s="44"/>
      <c r="M926" s="44"/>
      <c r="O926" s="44"/>
      <c r="Q926" s="44"/>
    </row>
    <row r="927">
      <c r="B927" s="44"/>
      <c r="C927" s="164"/>
      <c r="D927" s="165"/>
      <c r="F927" s="44"/>
      <c r="G927" s="44"/>
      <c r="I927" s="44"/>
      <c r="K927" s="44"/>
      <c r="M927" s="44"/>
      <c r="O927" s="44"/>
      <c r="Q927" s="44"/>
    </row>
    <row r="928">
      <c r="B928" s="44"/>
      <c r="C928" s="164"/>
      <c r="D928" s="165"/>
      <c r="F928" s="44"/>
      <c r="G928" s="44"/>
      <c r="I928" s="44"/>
      <c r="K928" s="44"/>
      <c r="M928" s="44"/>
      <c r="O928" s="44"/>
      <c r="Q928" s="44"/>
    </row>
    <row r="929">
      <c r="B929" s="44"/>
      <c r="C929" s="164"/>
      <c r="D929" s="165"/>
      <c r="F929" s="44"/>
      <c r="G929" s="44"/>
      <c r="I929" s="44"/>
      <c r="K929" s="44"/>
      <c r="M929" s="44"/>
      <c r="O929" s="44"/>
      <c r="Q929" s="44"/>
    </row>
    <row r="930">
      <c r="B930" s="44"/>
      <c r="C930" s="164"/>
      <c r="D930" s="165"/>
      <c r="F930" s="44"/>
      <c r="G930" s="44"/>
      <c r="I930" s="44"/>
      <c r="K930" s="44"/>
      <c r="M930" s="44"/>
      <c r="O930" s="44"/>
      <c r="Q930" s="44"/>
    </row>
    <row r="931">
      <c r="B931" s="44"/>
      <c r="C931" s="164"/>
      <c r="D931" s="165"/>
      <c r="F931" s="44"/>
      <c r="G931" s="44"/>
      <c r="I931" s="44"/>
      <c r="K931" s="44"/>
      <c r="M931" s="44"/>
      <c r="O931" s="44"/>
      <c r="Q931" s="44"/>
    </row>
    <row r="932">
      <c r="B932" s="44"/>
      <c r="C932" s="164"/>
      <c r="D932" s="165"/>
      <c r="F932" s="44"/>
      <c r="G932" s="44"/>
      <c r="I932" s="44"/>
      <c r="K932" s="44"/>
      <c r="M932" s="44"/>
      <c r="O932" s="44"/>
      <c r="Q932" s="44"/>
    </row>
    <row r="933">
      <c r="B933" s="44"/>
      <c r="C933" s="164"/>
      <c r="D933" s="165"/>
      <c r="F933" s="44"/>
      <c r="G933" s="44"/>
      <c r="I933" s="44"/>
      <c r="K933" s="44"/>
      <c r="M933" s="44"/>
      <c r="O933" s="44"/>
      <c r="Q933" s="44"/>
    </row>
    <row r="934">
      <c r="B934" s="44"/>
      <c r="C934" s="164"/>
      <c r="D934" s="165"/>
      <c r="F934" s="44"/>
      <c r="G934" s="44"/>
      <c r="I934" s="44"/>
      <c r="K934" s="44"/>
      <c r="M934" s="44"/>
      <c r="O934" s="44"/>
      <c r="Q934" s="44"/>
    </row>
    <row r="935">
      <c r="B935" s="44"/>
      <c r="C935" s="164"/>
      <c r="D935" s="165"/>
      <c r="F935" s="44"/>
      <c r="G935" s="44"/>
      <c r="I935" s="44"/>
      <c r="K935" s="44"/>
      <c r="M935" s="44"/>
      <c r="O935" s="44"/>
      <c r="Q935" s="44"/>
    </row>
    <row r="936">
      <c r="B936" s="44"/>
      <c r="C936" s="164"/>
      <c r="D936" s="165"/>
      <c r="F936" s="44"/>
      <c r="G936" s="44"/>
      <c r="I936" s="44"/>
      <c r="K936" s="44"/>
      <c r="M936" s="44"/>
      <c r="O936" s="44"/>
      <c r="Q936" s="44"/>
    </row>
    <row r="937">
      <c r="B937" s="44"/>
      <c r="C937" s="164"/>
      <c r="D937" s="165"/>
      <c r="F937" s="44"/>
      <c r="G937" s="44"/>
      <c r="I937" s="44"/>
      <c r="K937" s="44"/>
      <c r="M937" s="44"/>
      <c r="O937" s="44"/>
      <c r="Q937" s="44"/>
    </row>
    <row r="938">
      <c r="B938" s="44"/>
      <c r="C938" s="164"/>
      <c r="D938" s="165"/>
      <c r="F938" s="44"/>
      <c r="G938" s="44"/>
      <c r="I938" s="44"/>
      <c r="K938" s="44"/>
      <c r="M938" s="44"/>
      <c r="O938" s="44"/>
      <c r="Q938" s="44"/>
    </row>
    <row r="939">
      <c r="B939" s="44"/>
      <c r="C939" s="164"/>
      <c r="D939" s="165"/>
      <c r="F939" s="44"/>
      <c r="G939" s="44"/>
      <c r="I939" s="44"/>
      <c r="K939" s="44"/>
      <c r="M939" s="44"/>
      <c r="O939" s="44"/>
      <c r="Q939" s="44"/>
    </row>
    <row r="940">
      <c r="B940" s="44"/>
      <c r="C940" s="164"/>
      <c r="D940" s="165"/>
      <c r="F940" s="44"/>
      <c r="G940" s="44"/>
      <c r="I940" s="44"/>
      <c r="K940" s="44"/>
      <c r="M940" s="44"/>
      <c r="O940" s="44"/>
      <c r="Q940" s="44"/>
    </row>
    <row r="941">
      <c r="B941" s="44"/>
      <c r="C941" s="164"/>
      <c r="D941" s="165"/>
      <c r="F941" s="44"/>
      <c r="G941" s="44"/>
      <c r="I941" s="44"/>
      <c r="K941" s="44"/>
      <c r="M941" s="44"/>
      <c r="O941" s="44"/>
      <c r="Q941" s="44"/>
    </row>
    <row r="942">
      <c r="B942" s="44"/>
      <c r="C942" s="164"/>
      <c r="D942" s="165"/>
      <c r="F942" s="44"/>
      <c r="G942" s="44"/>
      <c r="I942" s="44"/>
      <c r="K942" s="44"/>
      <c r="M942" s="44"/>
      <c r="O942" s="44"/>
      <c r="Q942" s="44"/>
    </row>
    <row r="943">
      <c r="B943" s="44"/>
      <c r="C943" s="164"/>
      <c r="D943" s="165"/>
      <c r="F943" s="44"/>
      <c r="G943" s="44"/>
      <c r="I943" s="44"/>
      <c r="K943" s="44"/>
      <c r="M943" s="44"/>
      <c r="O943" s="44"/>
      <c r="Q943" s="44"/>
    </row>
    <row r="944">
      <c r="B944" s="44"/>
      <c r="C944" s="164"/>
      <c r="D944" s="165"/>
      <c r="F944" s="44"/>
      <c r="G944" s="44"/>
      <c r="I944" s="44"/>
      <c r="K944" s="44"/>
      <c r="M944" s="44"/>
      <c r="O944" s="44"/>
      <c r="Q944" s="44"/>
    </row>
    <row r="945">
      <c r="B945" s="44"/>
      <c r="C945" s="164"/>
      <c r="D945" s="165"/>
      <c r="F945" s="44"/>
      <c r="G945" s="44"/>
      <c r="I945" s="44"/>
      <c r="K945" s="44"/>
      <c r="M945" s="44"/>
      <c r="O945" s="44"/>
      <c r="Q945" s="44"/>
    </row>
    <row r="946">
      <c r="B946" s="44"/>
      <c r="C946" s="164"/>
      <c r="D946" s="165"/>
      <c r="F946" s="44"/>
      <c r="G946" s="44"/>
      <c r="I946" s="44"/>
      <c r="K946" s="44"/>
      <c r="M946" s="44"/>
      <c r="O946" s="44"/>
      <c r="Q946" s="44"/>
    </row>
    <row r="947">
      <c r="B947" s="44"/>
      <c r="C947" s="164"/>
      <c r="D947" s="165"/>
      <c r="F947" s="44"/>
      <c r="G947" s="44"/>
      <c r="I947" s="44"/>
      <c r="K947" s="44"/>
      <c r="M947" s="44"/>
      <c r="O947" s="44"/>
      <c r="Q947" s="44"/>
    </row>
    <row r="948">
      <c r="B948" s="44"/>
      <c r="C948" s="164"/>
      <c r="D948" s="165"/>
      <c r="F948" s="44"/>
      <c r="G948" s="44"/>
      <c r="I948" s="44"/>
      <c r="K948" s="44"/>
      <c r="M948" s="44"/>
      <c r="O948" s="44"/>
      <c r="Q948" s="44"/>
    </row>
    <row r="949">
      <c r="B949" s="44"/>
      <c r="C949" s="164"/>
      <c r="D949" s="165"/>
      <c r="F949" s="44"/>
      <c r="G949" s="44"/>
      <c r="I949" s="44"/>
      <c r="K949" s="44"/>
      <c r="M949" s="44"/>
      <c r="O949" s="44"/>
      <c r="Q949" s="44"/>
    </row>
    <row r="950">
      <c r="B950" s="44"/>
      <c r="C950" s="164"/>
      <c r="D950" s="165"/>
      <c r="F950" s="44"/>
      <c r="G950" s="44"/>
      <c r="I950" s="44"/>
      <c r="K950" s="44"/>
      <c r="M950" s="44"/>
      <c r="O950" s="44"/>
      <c r="Q950" s="44"/>
    </row>
    <row r="951">
      <c r="B951" s="44"/>
      <c r="C951" s="164"/>
      <c r="D951" s="165"/>
      <c r="F951" s="44"/>
      <c r="G951" s="44"/>
      <c r="I951" s="44"/>
      <c r="K951" s="44"/>
      <c r="M951" s="44"/>
      <c r="O951" s="44"/>
      <c r="Q951" s="44"/>
    </row>
    <row r="952">
      <c r="B952" s="44"/>
      <c r="C952" s="164"/>
      <c r="D952" s="165"/>
      <c r="F952" s="44"/>
      <c r="G952" s="44"/>
      <c r="I952" s="44"/>
      <c r="K952" s="44"/>
      <c r="M952" s="44"/>
      <c r="O952" s="44"/>
      <c r="Q952" s="44"/>
    </row>
    <row r="953">
      <c r="B953" s="44"/>
      <c r="C953" s="164"/>
      <c r="D953" s="165"/>
      <c r="F953" s="44"/>
      <c r="G953" s="44"/>
      <c r="I953" s="44"/>
      <c r="K953" s="44"/>
      <c r="M953" s="44"/>
      <c r="O953" s="44"/>
      <c r="Q953" s="44"/>
    </row>
    <row r="954">
      <c r="B954" s="44"/>
      <c r="C954" s="164"/>
      <c r="D954" s="165"/>
      <c r="F954" s="44"/>
      <c r="G954" s="44"/>
      <c r="I954" s="44"/>
      <c r="K954" s="44"/>
      <c r="M954" s="44"/>
      <c r="O954" s="44"/>
      <c r="Q954" s="44"/>
    </row>
    <row r="955">
      <c r="B955" s="44"/>
      <c r="C955" s="164"/>
      <c r="D955" s="165"/>
      <c r="F955" s="44"/>
      <c r="G955" s="44"/>
      <c r="I955" s="44"/>
      <c r="K955" s="44"/>
      <c r="M955" s="44"/>
      <c r="O955" s="44"/>
      <c r="Q955" s="44"/>
    </row>
    <row r="956">
      <c r="B956" s="44"/>
      <c r="C956" s="164"/>
      <c r="D956" s="165"/>
      <c r="F956" s="44"/>
      <c r="G956" s="44"/>
      <c r="I956" s="44"/>
      <c r="K956" s="44"/>
      <c r="M956" s="44"/>
      <c r="O956" s="44"/>
      <c r="Q956" s="44"/>
    </row>
    <row r="957">
      <c r="B957" s="44"/>
      <c r="C957" s="164"/>
      <c r="D957" s="165"/>
      <c r="F957" s="44"/>
      <c r="G957" s="44"/>
      <c r="I957" s="44"/>
      <c r="K957" s="44"/>
      <c r="M957" s="44"/>
      <c r="O957" s="44"/>
      <c r="Q957" s="44"/>
    </row>
    <row r="958">
      <c r="B958" s="44"/>
      <c r="C958" s="164"/>
      <c r="D958" s="165"/>
      <c r="F958" s="44"/>
      <c r="G958" s="44"/>
      <c r="I958" s="44"/>
      <c r="K958" s="44"/>
      <c r="M958" s="44"/>
      <c r="O958" s="44"/>
      <c r="Q958" s="44"/>
    </row>
    <row r="959">
      <c r="B959" s="44"/>
      <c r="C959" s="164"/>
      <c r="D959" s="165"/>
      <c r="F959" s="44"/>
      <c r="G959" s="44"/>
      <c r="I959" s="44"/>
      <c r="K959" s="44"/>
      <c r="M959" s="44"/>
      <c r="O959" s="44"/>
      <c r="Q959" s="44"/>
    </row>
    <row r="960">
      <c r="B960" s="44"/>
      <c r="C960" s="164"/>
      <c r="D960" s="165"/>
      <c r="F960" s="44"/>
      <c r="G960" s="44"/>
      <c r="I960" s="44"/>
      <c r="K960" s="44"/>
      <c r="M960" s="44"/>
      <c r="O960" s="44"/>
      <c r="Q960" s="44"/>
    </row>
    <row r="961">
      <c r="B961" s="44"/>
      <c r="C961" s="164"/>
      <c r="D961" s="165"/>
      <c r="F961" s="44"/>
      <c r="G961" s="44"/>
      <c r="I961" s="44"/>
      <c r="K961" s="44"/>
      <c r="M961" s="44"/>
      <c r="O961" s="44"/>
      <c r="Q961" s="44"/>
    </row>
    <row r="962">
      <c r="B962" s="44"/>
      <c r="C962" s="164"/>
      <c r="D962" s="165"/>
      <c r="F962" s="44"/>
      <c r="G962" s="44"/>
      <c r="I962" s="44"/>
      <c r="K962" s="44"/>
      <c r="M962" s="44"/>
      <c r="O962" s="44"/>
      <c r="Q962" s="44"/>
    </row>
    <row r="963">
      <c r="B963" s="44"/>
      <c r="C963" s="164"/>
      <c r="D963" s="165"/>
      <c r="F963" s="44"/>
      <c r="G963" s="44"/>
      <c r="I963" s="44"/>
      <c r="K963" s="44"/>
      <c r="M963" s="44"/>
      <c r="O963" s="44"/>
      <c r="Q963" s="44"/>
    </row>
    <row r="964">
      <c r="B964" s="44"/>
      <c r="C964" s="164"/>
      <c r="D964" s="165"/>
      <c r="F964" s="44"/>
      <c r="G964" s="44"/>
      <c r="I964" s="44"/>
      <c r="K964" s="44"/>
      <c r="M964" s="44"/>
      <c r="O964" s="44"/>
      <c r="Q964" s="44"/>
    </row>
    <row r="965">
      <c r="B965" s="44"/>
      <c r="C965" s="164"/>
      <c r="D965" s="165"/>
      <c r="F965" s="44"/>
      <c r="G965" s="44"/>
      <c r="I965" s="44"/>
      <c r="K965" s="44"/>
      <c r="M965" s="44"/>
      <c r="O965" s="44"/>
      <c r="Q965" s="44"/>
    </row>
    <row r="966">
      <c r="B966" s="44"/>
      <c r="C966" s="164"/>
      <c r="D966" s="165"/>
      <c r="F966" s="44"/>
      <c r="G966" s="44"/>
      <c r="I966" s="44"/>
      <c r="K966" s="44"/>
      <c r="M966" s="44"/>
      <c r="O966" s="44"/>
      <c r="Q966" s="44"/>
    </row>
    <row r="967">
      <c r="B967" s="44"/>
      <c r="C967" s="164"/>
      <c r="D967" s="165"/>
      <c r="F967" s="44"/>
      <c r="G967" s="44"/>
      <c r="I967" s="44"/>
      <c r="K967" s="44"/>
      <c r="M967" s="44"/>
      <c r="O967" s="44"/>
      <c r="Q967" s="44"/>
    </row>
    <row r="968">
      <c r="B968" s="44"/>
      <c r="C968" s="164"/>
      <c r="D968" s="165"/>
      <c r="F968" s="44"/>
      <c r="G968" s="44"/>
      <c r="I968" s="44"/>
      <c r="K968" s="44"/>
      <c r="M968" s="44"/>
      <c r="O968" s="44"/>
      <c r="Q968" s="44"/>
    </row>
    <row r="969">
      <c r="B969" s="44"/>
      <c r="C969" s="164"/>
      <c r="D969" s="165"/>
      <c r="F969" s="44"/>
      <c r="G969" s="44"/>
      <c r="I969" s="44"/>
      <c r="K969" s="44"/>
      <c r="M969" s="44"/>
      <c r="O969" s="44"/>
      <c r="Q969" s="44"/>
    </row>
    <row r="970">
      <c r="B970" s="44"/>
      <c r="C970" s="164"/>
      <c r="D970" s="165"/>
      <c r="F970" s="44"/>
      <c r="G970" s="44"/>
      <c r="I970" s="44"/>
      <c r="K970" s="44"/>
      <c r="M970" s="44"/>
      <c r="O970" s="44"/>
      <c r="Q970" s="44"/>
    </row>
    <row r="971">
      <c r="B971" s="44"/>
      <c r="C971" s="164"/>
      <c r="D971" s="165"/>
      <c r="F971" s="44"/>
      <c r="G971" s="44"/>
      <c r="I971" s="44"/>
      <c r="K971" s="44"/>
      <c r="M971" s="44"/>
      <c r="O971" s="44"/>
      <c r="Q971" s="44"/>
    </row>
    <row r="972">
      <c r="B972" s="44"/>
      <c r="C972" s="164"/>
      <c r="D972" s="165"/>
      <c r="F972" s="44"/>
      <c r="G972" s="44"/>
      <c r="I972" s="44"/>
      <c r="K972" s="44"/>
      <c r="M972" s="44"/>
      <c r="O972" s="44"/>
      <c r="Q972" s="44"/>
    </row>
    <row r="973">
      <c r="B973" s="44"/>
      <c r="C973" s="164"/>
      <c r="D973" s="165"/>
      <c r="F973" s="44"/>
      <c r="G973" s="44"/>
      <c r="I973" s="44"/>
      <c r="K973" s="44"/>
      <c r="M973" s="44"/>
      <c r="O973" s="44"/>
      <c r="Q973" s="44"/>
    </row>
    <row r="974">
      <c r="B974" s="44"/>
      <c r="C974" s="164"/>
      <c r="D974" s="165"/>
      <c r="F974" s="44"/>
      <c r="G974" s="44"/>
      <c r="I974" s="44"/>
      <c r="K974" s="44"/>
      <c r="M974" s="44"/>
      <c r="O974" s="44"/>
      <c r="Q974" s="44"/>
    </row>
    <row r="975">
      <c r="B975" s="44"/>
      <c r="C975" s="164"/>
      <c r="D975" s="165"/>
      <c r="F975" s="44"/>
      <c r="G975" s="44"/>
      <c r="I975" s="44"/>
      <c r="K975" s="44"/>
      <c r="M975" s="44"/>
      <c r="O975" s="44"/>
      <c r="Q975" s="44"/>
    </row>
    <row r="976">
      <c r="B976" s="44"/>
      <c r="C976" s="164"/>
      <c r="D976" s="165"/>
      <c r="F976" s="44"/>
      <c r="G976" s="44"/>
      <c r="I976" s="44"/>
      <c r="K976" s="44"/>
      <c r="M976" s="44"/>
      <c r="O976" s="44"/>
      <c r="Q976" s="44"/>
    </row>
    <row r="977">
      <c r="B977" s="44"/>
      <c r="C977" s="164"/>
      <c r="D977" s="165"/>
      <c r="F977" s="44"/>
      <c r="G977" s="44"/>
      <c r="I977" s="44"/>
      <c r="K977" s="44"/>
      <c r="M977" s="44"/>
      <c r="O977" s="44"/>
      <c r="Q977" s="44"/>
    </row>
    <row r="978">
      <c r="B978" s="44"/>
      <c r="C978" s="164"/>
      <c r="D978" s="165"/>
      <c r="F978" s="44"/>
      <c r="G978" s="44"/>
      <c r="I978" s="44"/>
      <c r="K978" s="44"/>
      <c r="M978" s="44"/>
      <c r="O978" s="44"/>
      <c r="Q978" s="44"/>
    </row>
    <row r="979">
      <c r="B979" s="44"/>
      <c r="C979" s="164"/>
      <c r="D979" s="165"/>
      <c r="F979" s="44"/>
      <c r="G979" s="44"/>
      <c r="I979" s="44"/>
      <c r="K979" s="44"/>
      <c r="M979" s="44"/>
      <c r="O979" s="44"/>
      <c r="Q979" s="44"/>
    </row>
    <row r="980">
      <c r="B980" s="44"/>
      <c r="C980" s="164"/>
      <c r="D980" s="165"/>
      <c r="F980" s="44"/>
      <c r="G980" s="44"/>
      <c r="I980" s="44"/>
      <c r="K980" s="44"/>
      <c r="M980" s="44"/>
      <c r="O980" s="44"/>
      <c r="Q980" s="44"/>
    </row>
    <row r="981">
      <c r="B981" s="44"/>
      <c r="C981" s="164"/>
      <c r="D981" s="165"/>
      <c r="F981" s="44"/>
      <c r="G981" s="44"/>
      <c r="I981" s="44"/>
      <c r="K981" s="44"/>
      <c r="M981" s="44"/>
      <c r="O981" s="44"/>
      <c r="Q981" s="44"/>
    </row>
    <row r="982">
      <c r="B982" s="44"/>
      <c r="C982" s="164"/>
      <c r="D982" s="165"/>
      <c r="F982" s="44"/>
      <c r="G982" s="44"/>
      <c r="I982" s="44"/>
      <c r="K982" s="44"/>
      <c r="M982" s="44"/>
      <c r="O982" s="44"/>
      <c r="Q982" s="44"/>
    </row>
    <row r="983">
      <c r="B983" s="44"/>
      <c r="C983" s="164"/>
      <c r="D983" s="165"/>
      <c r="F983" s="44"/>
      <c r="G983" s="44"/>
      <c r="I983" s="44"/>
      <c r="K983" s="44"/>
      <c r="M983" s="44"/>
      <c r="O983" s="44"/>
      <c r="Q983" s="44"/>
    </row>
    <row r="984">
      <c r="B984" s="44"/>
      <c r="C984" s="164"/>
      <c r="D984" s="165"/>
      <c r="F984" s="44"/>
      <c r="G984" s="44"/>
      <c r="I984" s="44"/>
      <c r="K984" s="44"/>
      <c r="M984" s="44"/>
      <c r="O984" s="44"/>
      <c r="Q984" s="44"/>
    </row>
    <row r="985">
      <c r="B985" s="44"/>
      <c r="C985" s="164"/>
      <c r="D985" s="165"/>
      <c r="F985" s="44"/>
      <c r="G985" s="44"/>
      <c r="I985" s="44"/>
      <c r="K985" s="44"/>
      <c r="M985" s="44"/>
      <c r="O985" s="44"/>
      <c r="Q985" s="44"/>
    </row>
    <row r="986">
      <c r="B986" s="44"/>
      <c r="C986" s="164"/>
      <c r="D986" s="165"/>
      <c r="F986" s="44"/>
      <c r="G986" s="44"/>
      <c r="I986" s="44"/>
      <c r="K986" s="44"/>
      <c r="M986" s="44"/>
      <c r="O986" s="44"/>
      <c r="Q986" s="44"/>
    </row>
    <row r="987">
      <c r="B987" s="44"/>
      <c r="C987" s="164"/>
      <c r="D987" s="165"/>
      <c r="F987" s="44"/>
      <c r="G987" s="44"/>
      <c r="I987" s="44"/>
      <c r="K987" s="44"/>
      <c r="M987" s="44"/>
      <c r="O987" s="44"/>
      <c r="Q987" s="44"/>
    </row>
    <row r="988">
      <c r="B988" s="44"/>
      <c r="C988" s="164"/>
      <c r="D988" s="165"/>
      <c r="F988" s="44"/>
      <c r="G988" s="44"/>
      <c r="I988" s="44"/>
      <c r="K988" s="44"/>
      <c r="M988" s="44"/>
      <c r="O988" s="44"/>
      <c r="Q988" s="44"/>
    </row>
    <row r="989">
      <c r="B989" s="44"/>
      <c r="C989" s="164"/>
      <c r="D989" s="165"/>
      <c r="F989" s="44"/>
      <c r="G989" s="44"/>
      <c r="I989" s="44"/>
      <c r="K989" s="44"/>
      <c r="M989" s="44"/>
      <c r="O989" s="44"/>
      <c r="Q989" s="44"/>
    </row>
    <row r="990">
      <c r="B990" s="44"/>
      <c r="C990" s="164"/>
      <c r="D990" s="165"/>
      <c r="F990" s="44"/>
      <c r="G990" s="44"/>
      <c r="I990" s="44"/>
      <c r="K990" s="44"/>
      <c r="M990" s="44"/>
      <c r="O990" s="44"/>
      <c r="Q990" s="44"/>
    </row>
    <row r="991">
      <c r="B991" s="44"/>
      <c r="C991" s="164"/>
      <c r="D991" s="165"/>
      <c r="F991" s="44"/>
      <c r="G991" s="44"/>
      <c r="I991" s="44"/>
      <c r="K991" s="44"/>
      <c r="M991" s="44"/>
      <c r="O991" s="44"/>
      <c r="Q991" s="44"/>
    </row>
    <row r="992">
      <c r="B992" s="44"/>
      <c r="C992" s="164"/>
      <c r="D992" s="165"/>
      <c r="F992" s="44"/>
      <c r="G992" s="44"/>
      <c r="I992" s="44"/>
      <c r="K992" s="44"/>
      <c r="M992" s="44"/>
      <c r="O992" s="44"/>
      <c r="Q992" s="44"/>
    </row>
    <row r="993">
      <c r="B993" s="44"/>
      <c r="C993" s="164"/>
      <c r="D993" s="165"/>
      <c r="F993" s="44"/>
      <c r="G993" s="44"/>
      <c r="I993" s="44"/>
      <c r="K993" s="44"/>
      <c r="M993" s="44"/>
      <c r="O993" s="44"/>
      <c r="Q993" s="44"/>
    </row>
    <row r="994">
      <c r="B994" s="44"/>
      <c r="C994" s="164"/>
      <c r="D994" s="165"/>
      <c r="F994" s="44"/>
      <c r="G994" s="44"/>
      <c r="I994" s="44"/>
      <c r="K994" s="44"/>
      <c r="M994" s="44"/>
      <c r="O994" s="44"/>
      <c r="Q994" s="44"/>
    </row>
    <row r="995">
      <c r="B995" s="44"/>
      <c r="C995" s="164"/>
      <c r="D995" s="165"/>
      <c r="F995" s="44"/>
      <c r="G995" s="44"/>
      <c r="I995" s="44"/>
      <c r="K995" s="44"/>
      <c r="M995" s="44"/>
      <c r="O995" s="44"/>
      <c r="Q995" s="44"/>
    </row>
    <row r="996">
      <c r="B996" s="44"/>
      <c r="C996" s="164"/>
      <c r="D996" s="165"/>
      <c r="F996" s="44"/>
      <c r="G996" s="44"/>
      <c r="I996" s="44"/>
      <c r="K996" s="44"/>
      <c r="M996" s="44"/>
      <c r="O996" s="44"/>
      <c r="Q996" s="44"/>
    </row>
    <row r="997">
      <c r="B997" s="44"/>
      <c r="C997" s="164"/>
      <c r="D997" s="165"/>
      <c r="F997" s="44"/>
      <c r="G997" s="44"/>
      <c r="I997" s="44"/>
      <c r="K997" s="44"/>
      <c r="M997" s="44"/>
      <c r="O997" s="44"/>
      <c r="Q997" s="44"/>
    </row>
  </sheetData>
  <hyperlinks>
    <hyperlink r:id="rId1" ref="O3"/>
    <hyperlink r:id="rId2" ref="O4"/>
    <hyperlink r:id="rId3" ref="B5"/>
    <hyperlink r:id="rId4" ref="F5"/>
    <hyperlink r:id="rId5" ref="O5"/>
    <hyperlink r:id="rId6" ref="B6"/>
    <hyperlink r:id="rId7" ref="F6"/>
    <hyperlink r:id="rId8" ref="O6"/>
    <hyperlink r:id="rId9" ref="B7"/>
    <hyperlink r:id="rId10" ref="F7"/>
    <hyperlink r:id="rId11" ref="O7"/>
    <hyperlink r:id="rId12" ref="B11"/>
    <hyperlink r:id="rId13" ref="F11"/>
    <hyperlink r:id="rId14" ref="O11"/>
    <hyperlink r:id="rId15" ref="O14"/>
    <hyperlink r:id="rId16" ref="O18"/>
    <hyperlink r:id="rId17" ref="O24"/>
    <hyperlink r:id="rId18" ref="O25"/>
    <hyperlink r:id="rId19" ref="O26"/>
    <hyperlink r:id="rId20" ref="O27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5"/>
    <col customWidth="1" min="2" max="2" width="24.63"/>
    <col customWidth="1" min="3" max="3" width="15.75"/>
    <col customWidth="1" min="5" max="5" width="18.5"/>
    <col customWidth="1" min="6" max="6" width="15.88"/>
    <col customWidth="1" min="7" max="7" width="12.13"/>
    <col customWidth="1" min="8" max="8" width="13.88"/>
    <col customWidth="1" min="11" max="11" width="13.63"/>
    <col customWidth="1" min="13" max="13" width="46.75"/>
    <col customWidth="1" min="14" max="14" width="32.38"/>
    <col customWidth="1" min="15" max="15" width="46.0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1734.59</v>
      </c>
      <c r="R1" s="23"/>
      <c r="S1" s="23"/>
      <c r="T1" s="23"/>
    </row>
    <row r="2">
      <c r="A2" s="35" t="s">
        <v>355</v>
      </c>
      <c r="B2" s="166">
        <v>552843.0</v>
      </c>
      <c r="C2" s="167" t="s">
        <v>356</v>
      </c>
      <c r="D2" s="27">
        <v>1.0</v>
      </c>
      <c r="E2" s="35" t="s">
        <v>357</v>
      </c>
      <c r="F2" s="127" t="s">
        <v>86</v>
      </c>
      <c r="G2" s="168">
        <v>164.16</v>
      </c>
      <c r="H2" s="3">
        <f t="shared" ref="H2:H20" si="1">G2*D2</f>
        <v>164.16</v>
      </c>
      <c r="I2" s="31" t="s">
        <v>323</v>
      </c>
      <c r="J2" s="27" t="s">
        <v>43</v>
      </c>
      <c r="K2" s="67" t="s">
        <v>358</v>
      </c>
      <c r="L2" s="75" t="s">
        <v>43</v>
      </c>
      <c r="M2" s="50" t="s">
        <v>62</v>
      </c>
      <c r="N2" s="12" t="s">
        <v>359</v>
      </c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45" t="s">
        <v>70</v>
      </c>
      <c r="B3" s="61" t="s">
        <v>71</v>
      </c>
      <c r="C3" s="46" t="s">
        <v>72</v>
      </c>
      <c r="D3" s="27">
        <v>1.0</v>
      </c>
      <c r="E3" s="59" t="s">
        <v>73</v>
      </c>
      <c r="F3" s="169" t="s">
        <v>74</v>
      </c>
      <c r="G3" s="61">
        <v>99.0</v>
      </c>
      <c r="H3" s="3">
        <f t="shared" si="1"/>
        <v>99</v>
      </c>
      <c r="I3" s="31" t="s">
        <v>360</v>
      </c>
      <c r="J3" s="27" t="s">
        <v>43</v>
      </c>
      <c r="K3" s="32" t="s">
        <v>361</v>
      </c>
      <c r="L3" s="33" t="s">
        <v>43</v>
      </c>
      <c r="M3" s="50" t="s">
        <v>62</v>
      </c>
      <c r="N3" s="12" t="s">
        <v>362</v>
      </c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37" t="s">
        <v>363</v>
      </c>
      <c r="B4" s="47">
        <v>304018.0</v>
      </c>
      <c r="C4" s="61" t="s">
        <v>211</v>
      </c>
      <c r="D4" s="27">
        <v>1.0</v>
      </c>
      <c r="E4" s="59" t="s">
        <v>40</v>
      </c>
      <c r="F4" s="94" t="s">
        <v>41</v>
      </c>
      <c r="G4" s="170">
        <v>216.0</v>
      </c>
      <c r="H4" s="3">
        <f t="shared" si="1"/>
        <v>216</v>
      </c>
      <c r="I4" s="31" t="s">
        <v>360</v>
      </c>
      <c r="J4" s="27" t="s">
        <v>43</v>
      </c>
      <c r="K4" s="67" t="s">
        <v>364</v>
      </c>
      <c r="L4" s="75" t="s">
        <v>43</v>
      </c>
      <c r="M4" s="50" t="s">
        <v>62</v>
      </c>
      <c r="N4" s="12" t="s">
        <v>365</v>
      </c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71" t="s">
        <v>366</v>
      </c>
      <c r="B5" s="54" t="s">
        <v>367</v>
      </c>
      <c r="C5" s="39" t="s">
        <v>368</v>
      </c>
      <c r="D5" s="27">
        <v>1.0</v>
      </c>
      <c r="E5" s="118" t="s">
        <v>85</v>
      </c>
      <c r="F5" s="68" t="s">
        <v>86</v>
      </c>
      <c r="G5" s="170">
        <v>46.0</v>
      </c>
      <c r="H5" s="3">
        <f t="shared" si="1"/>
        <v>46</v>
      </c>
      <c r="I5" s="31" t="s">
        <v>369</v>
      </c>
      <c r="J5" s="27" t="s">
        <v>43</v>
      </c>
      <c r="K5" s="67" t="s">
        <v>370</v>
      </c>
      <c r="L5" s="75" t="s">
        <v>43</v>
      </c>
      <c r="M5" s="50" t="s">
        <v>62</v>
      </c>
      <c r="N5" s="12" t="s">
        <v>371</v>
      </c>
      <c r="O5" s="36"/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372</v>
      </c>
      <c r="B6" s="172">
        <v>418715.0</v>
      </c>
      <c r="C6" s="27">
        <v>1.0</v>
      </c>
      <c r="D6" s="31">
        <v>2.0</v>
      </c>
      <c r="E6" s="12" t="s">
        <v>373</v>
      </c>
      <c r="F6" s="123" t="s">
        <v>251</v>
      </c>
      <c r="G6" s="31">
        <v>59.99</v>
      </c>
      <c r="H6" s="3">
        <f t="shared" si="1"/>
        <v>119.98</v>
      </c>
      <c r="I6" s="31" t="s">
        <v>369</v>
      </c>
      <c r="J6" s="27" t="s">
        <v>43</v>
      </c>
      <c r="K6" s="32" t="s">
        <v>361</v>
      </c>
      <c r="L6" s="33" t="s">
        <v>43</v>
      </c>
      <c r="M6" s="136" t="s">
        <v>253</v>
      </c>
      <c r="N6" s="3"/>
      <c r="O6" s="58" t="s">
        <v>374</v>
      </c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71" t="s">
        <v>375</v>
      </c>
      <c r="B7" s="31" t="s">
        <v>376</v>
      </c>
      <c r="C7" s="27">
        <v>1000.0</v>
      </c>
      <c r="D7" s="31">
        <v>1.0</v>
      </c>
      <c r="E7" s="12" t="s">
        <v>377</v>
      </c>
      <c r="F7" s="58" t="s">
        <v>119</v>
      </c>
      <c r="G7" s="31">
        <v>72.95</v>
      </c>
      <c r="H7" s="3">
        <f t="shared" si="1"/>
        <v>72.95</v>
      </c>
      <c r="I7" s="31" t="s">
        <v>369</v>
      </c>
      <c r="J7" s="27" t="s">
        <v>43</v>
      </c>
      <c r="K7" s="67" t="s">
        <v>378</v>
      </c>
      <c r="L7" s="33" t="s">
        <v>43</v>
      </c>
      <c r="M7" s="50" t="s">
        <v>62</v>
      </c>
      <c r="N7" s="3"/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37" t="s">
        <v>379</v>
      </c>
      <c r="B8" s="65" t="s">
        <v>380</v>
      </c>
      <c r="C8" s="39">
        <v>1.0</v>
      </c>
      <c r="D8" s="57">
        <v>2.0</v>
      </c>
      <c r="E8" s="162" t="s">
        <v>381</v>
      </c>
      <c r="F8" s="118" t="s">
        <v>119</v>
      </c>
      <c r="G8" s="69">
        <v>28.44</v>
      </c>
      <c r="H8" s="3">
        <f t="shared" si="1"/>
        <v>56.88</v>
      </c>
      <c r="I8" s="31" t="s">
        <v>369</v>
      </c>
      <c r="J8" s="27" t="s">
        <v>43</v>
      </c>
      <c r="K8" s="67" t="s">
        <v>370</v>
      </c>
      <c r="L8" s="75" t="s">
        <v>43</v>
      </c>
      <c r="M8" s="50" t="s">
        <v>62</v>
      </c>
      <c r="N8" s="3"/>
      <c r="O8" s="44"/>
      <c r="Q8" s="44"/>
    </row>
    <row r="9">
      <c r="A9" s="129" t="s">
        <v>382</v>
      </c>
      <c r="B9" s="61">
        <v>324233.0</v>
      </c>
      <c r="C9" s="39" t="s">
        <v>39</v>
      </c>
      <c r="D9" s="27">
        <v>1.0</v>
      </c>
      <c r="E9" s="118" t="s">
        <v>40</v>
      </c>
      <c r="F9" s="68" t="s">
        <v>41</v>
      </c>
      <c r="G9" s="170">
        <v>135.0</v>
      </c>
      <c r="H9" s="3">
        <f t="shared" si="1"/>
        <v>135</v>
      </c>
      <c r="I9" s="31" t="s">
        <v>369</v>
      </c>
      <c r="J9" s="27" t="s">
        <v>43</v>
      </c>
      <c r="K9" s="67" t="s">
        <v>364</v>
      </c>
      <c r="L9" s="75" t="s">
        <v>43</v>
      </c>
      <c r="M9" s="50" t="s">
        <v>62</v>
      </c>
      <c r="N9" s="12" t="s">
        <v>383</v>
      </c>
      <c r="O9" s="68" t="s">
        <v>46</v>
      </c>
      <c r="Q9" s="44"/>
    </row>
    <row r="10">
      <c r="A10" s="37" t="s">
        <v>384</v>
      </c>
      <c r="B10" s="54" t="s">
        <v>385</v>
      </c>
      <c r="C10" s="39" t="s">
        <v>386</v>
      </c>
      <c r="D10" s="27">
        <v>1.0</v>
      </c>
      <c r="E10" s="59" t="s">
        <v>387</v>
      </c>
      <c r="F10" s="94" t="s">
        <v>387</v>
      </c>
      <c r="G10" s="66">
        <v>196.0</v>
      </c>
      <c r="H10" s="3">
        <f t="shared" si="1"/>
        <v>196</v>
      </c>
      <c r="I10" s="31" t="s">
        <v>369</v>
      </c>
      <c r="J10" s="27" t="s">
        <v>43</v>
      </c>
      <c r="K10" s="32" t="s">
        <v>388</v>
      </c>
      <c r="L10" s="75" t="s">
        <v>43</v>
      </c>
      <c r="M10" s="50" t="s">
        <v>62</v>
      </c>
      <c r="N10" s="12" t="s">
        <v>389</v>
      </c>
      <c r="O10" s="44"/>
      <c r="Q10" s="44"/>
    </row>
    <row r="11">
      <c r="A11" s="37" t="s">
        <v>390</v>
      </c>
      <c r="B11" s="65" t="s">
        <v>391</v>
      </c>
      <c r="C11" s="39" t="s">
        <v>392</v>
      </c>
      <c r="D11" s="27">
        <v>1.0</v>
      </c>
      <c r="E11" s="162" t="s">
        <v>327</v>
      </c>
      <c r="F11" s="45" t="s">
        <v>119</v>
      </c>
      <c r="G11" s="41">
        <v>112.28</v>
      </c>
      <c r="H11" s="3">
        <f t="shared" si="1"/>
        <v>112.28</v>
      </c>
      <c r="I11" s="31" t="s">
        <v>369</v>
      </c>
      <c r="J11" s="27" t="s">
        <v>43</v>
      </c>
      <c r="K11" s="67" t="s">
        <v>370</v>
      </c>
      <c r="L11" s="75" t="s">
        <v>43</v>
      </c>
      <c r="M11" s="58" t="s">
        <v>69</v>
      </c>
      <c r="N11" s="3"/>
      <c r="O11" s="44"/>
      <c r="Q11" s="44"/>
    </row>
    <row r="12">
      <c r="A12" s="37" t="s">
        <v>393</v>
      </c>
      <c r="B12" s="54" t="s">
        <v>394</v>
      </c>
      <c r="C12" s="39" t="s">
        <v>395</v>
      </c>
      <c r="D12" s="27">
        <v>1.0</v>
      </c>
      <c r="E12" s="115" t="s">
        <v>50</v>
      </c>
      <c r="F12" s="162" t="s">
        <v>50</v>
      </c>
      <c r="G12" s="40">
        <v>144.5</v>
      </c>
      <c r="H12" s="128">
        <f t="shared" si="1"/>
        <v>144.5</v>
      </c>
      <c r="I12" s="31" t="s">
        <v>369</v>
      </c>
      <c r="J12" s="27" t="s">
        <v>43</v>
      </c>
      <c r="K12" s="67" t="s">
        <v>364</v>
      </c>
      <c r="L12" s="75" t="s">
        <v>43</v>
      </c>
      <c r="M12" s="50" t="s">
        <v>62</v>
      </c>
      <c r="N12" s="3"/>
      <c r="O12" s="43" t="s">
        <v>53</v>
      </c>
      <c r="Q12" s="44"/>
    </row>
    <row r="13">
      <c r="A13" s="45" t="s">
        <v>54</v>
      </c>
      <c r="B13" s="61" t="s">
        <v>55</v>
      </c>
      <c r="C13" s="46" t="s">
        <v>56</v>
      </c>
      <c r="D13" s="27">
        <v>1.0</v>
      </c>
      <c r="E13" s="115" t="s">
        <v>50</v>
      </c>
      <c r="F13" s="115" t="s">
        <v>50</v>
      </c>
      <c r="G13" s="41">
        <v>144.5</v>
      </c>
      <c r="H13" s="128">
        <f t="shared" si="1"/>
        <v>144.5</v>
      </c>
      <c r="I13" s="31" t="s">
        <v>369</v>
      </c>
      <c r="J13" s="27" t="s">
        <v>43</v>
      </c>
      <c r="K13" s="67" t="s">
        <v>364</v>
      </c>
      <c r="L13" s="75" t="s">
        <v>43</v>
      </c>
      <c r="M13" s="50" t="s">
        <v>62</v>
      </c>
      <c r="N13" s="3"/>
      <c r="O13" s="43" t="s">
        <v>53</v>
      </c>
      <c r="Q13" s="44"/>
    </row>
    <row r="14" ht="28.5" customHeight="1">
      <c r="A14" s="37" t="s">
        <v>396</v>
      </c>
      <c r="B14" s="69" t="s">
        <v>397</v>
      </c>
      <c r="C14" s="66" t="s">
        <v>117</v>
      </c>
      <c r="D14" s="27">
        <v>6.0</v>
      </c>
      <c r="E14" s="115" t="s">
        <v>398</v>
      </c>
      <c r="F14" s="68" t="s">
        <v>119</v>
      </c>
      <c r="G14" s="66">
        <v>6.9</v>
      </c>
      <c r="H14" s="128">
        <f t="shared" si="1"/>
        <v>41.4</v>
      </c>
      <c r="I14" s="31" t="s">
        <v>399</v>
      </c>
      <c r="J14" s="27" t="s">
        <v>43</v>
      </c>
      <c r="K14" s="67" t="s">
        <v>400</v>
      </c>
      <c r="L14" s="75" t="s">
        <v>43</v>
      </c>
      <c r="M14" s="50" t="s">
        <v>62</v>
      </c>
      <c r="N14" s="3"/>
      <c r="O14" s="36"/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73" t="s">
        <v>401</v>
      </c>
      <c r="B15" s="174" t="s">
        <v>402</v>
      </c>
      <c r="C15" s="46" t="s">
        <v>403</v>
      </c>
      <c r="D15" s="60">
        <v>1.0</v>
      </c>
      <c r="E15" s="118" t="s">
        <v>404</v>
      </c>
      <c r="F15" s="94" t="s">
        <v>86</v>
      </c>
      <c r="G15" s="170">
        <v>115.0</v>
      </c>
      <c r="H15" s="3">
        <f t="shared" si="1"/>
        <v>115</v>
      </c>
      <c r="I15" s="31" t="s">
        <v>399</v>
      </c>
      <c r="J15" s="27" t="s">
        <v>43</v>
      </c>
      <c r="K15" s="67" t="s">
        <v>405</v>
      </c>
      <c r="L15" s="75" t="s">
        <v>43</v>
      </c>
      <c r="M15" s="175" t="s">
        <v>406</v>
      </c>
      <c r="O15" s="44"/>
      <c r="Q15" s="44"/>
    </row>
    <row r="16">
      <c r="A16" s="141" t="s">
        <v>407</v>
      </c>
      <c r="B16" s="81" t="s">
        <v>294</v>
      </c>
      <c r="C16" s="80" t="s">
        <v>117</v>
      </c>
      <c r="D16" s="80">
        <v>1.0</v>
      </c>
      <c r="E16" s="78" t="s">
        <v>295</v>
      </c>
      <c r="F16" s="142" t="s">
        <v>86</v>
      </c>
      <c r="G16" s="176">
        <v>17.94</v>
      </c>
      <c r="H16" s="177">
        <f t="shared" si="1"/>
        <v>17.94</v>
      </c>
      <c r="I16" s="144" t="s">
        <v>408</v>
      </c>
      <c r="J16" s="81" t="s">
        <v>43</v>
      </c>
      <c r="K16" s="178"/>
      <c r="L16" s="179"/>
      <c r="M16" s="156" t="s">
        <v>62</v>
      </c>
      <c r="N16" s="180"/>
      <c r="O16" s="120" t="s">
        <v>297</v>
      </c>
      <c r="P16" s="180"/>
      <c r="Q16" s="181"/>
      <c r="R16" s="180"/>
      <c r="S16" s="180"/>
      <c r="T16" s="180"/>
      <c r="U16" s="180"/>
      <c r="V16" s="180"/>
      <c r="W16" s="180"/>
      <c r="X16" s="180"/>
      <c r="Y16" s="180"/>
      <c r="Z16" s="180"/>
    </row>
    <row r="17">
      <c r="A17" s="12" t="s">
        <v>409</v>
      </c>
      <c r="B17" s="36"/>
      <c r="C17" s="3"/>
      <c r="D17" s="31">
        <v>1.0</v>
      </c>
      <c r="E17" s="3"/>
      <c r="F17" s="36"/>
      <c r="G17" s="31">
        <v>53.0</v>
      </c>
      <c r="H17" s="3">
        <f t="shared" si="1"/>
        <v>53</v>
      </c>
      <c r="I17" s="31" t="s">
        <v>352</v>
      </c>
      <c r="J17" s="27" t="s">
        <v>43</v>
      </c>
      <c r="K17" s="31" t="s">
        <v>352</v>
      </c>
      <c r="L17" s="27" t="s">
        <v>43</v>
      </c>
      <c r="M17" s="50" t="s">
        <v>62</v>
      </c>
      <c r="N17" s="3"/>
      <c r="O17" s="36"/>
      <c r="P17" s="3"/>
      <c r="Q17" s="36"/>
      <c r="R17" s="3"/>
      <c r="S17" s="3"/>
      <c r="T17" s="3"/>
      <c r="U17" s="3"/>
      <c r="V17" s="3"/>
      <c r="W17" s="3"/>
      <c r="X17" s="3"/>
      <c r="Y17" s="3"/>
      <c r="Z17" s="3"/>
    </row>
    <row r="18">
      <c r="B18" s="44"/>
      <c r="D18" s="44"/>
      <c r="F18" s="44"/>
      <c r="G18" s="44"/>
      <c r="H18" s="3">
        <f t="shared" si="1"/>
        <v>0</v>
      </c>
      <c r="I18" s="44"/>
      <c r="K18" s="44"/>
      <c r="M18" s="44"/>
      <c r="O18" s="44"/>
      <c r="Q18" s="44"/>
    </row>
    <row r="19">
      <c r="B19" s="44"/>
      <c r="D19" s="44"/>
      <c r="F19" s="44"/>
      <c r="G19" s="44"/>
      <c r="H19" s="3">
        <f t="shared" si="1"/>
        <v>0</v>
      </c>
      <c r="I19" s="44"/>
      <c r="K19" s="44"/>
      <c r="M19" s="44"/>
      <c r="O19" s="44"/>
      <c r="Q19" s="44"/>
    </row>
    <row r="20">
      <c r="B20" s="44"/>
      <c r="D20" s="44"/>
      <c r="F20" s="44"/>
      <c r="G20" s="44"/>
      <c r="H20" s="3">
        <f t="shared" si="1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I21" s="44"/>
      <c r="K21" s="44"/>
      <c r="M21" s="44"/>
      <c r="O21" s="44"/>
      <c r="Q21" s="44"/>
    </row>
    <row r="22">
      <c r="B22" s="44"/>
      <c r="D22" s="44"/>
      <c r="F22" s="44"/>
      <c r="G22" s="44"/>
      <c r="I22" s="44"/>
      <c r="K22" s="44"/>
      <c r="M22" s="44"/>
      <c r="O22" s="44"/>
      <c r="Q22" s="44"/>
    </row>
    <row r="23">
      <c r="B23" s="44"/>
      <c r="D23" s="44"/>
      <c r="F23" s="44"/>
      <c r="G23" s="44"/>
      <c r="I23" s="44"/>
      <c r="K23" s="44"/>
      <c r="M23" s="44"/>
      <c r="O23" s="44"/>
      <c r="Q23" s="44"/>
    </row>
    <row r="24">
      <c r="B24" s="44"/>
      <c r="D24" s="44"/>
      <c r="F24" s="44"/>
      <c r="G24" s="44"/>
      <c r="I24" s="44"/>
      <c r="K24" s="44"/>
      <c r="M24" s="44"/>
      <c r="O24" s="44"/>
      <c r="Q24" s="44"/>
    </row>
    <row r="25">
      <c r="B25" s="44"/>
      <c r="D25" s="44"/>
      <c r="F25" s="44"/>
      <c r="G25" s="44"/>
      <c r="I25" s="44"/>
      <c r="K25" s="44"/>
      <c r="M25" s="44"/>
      <c r="O25" s="44"/>
      <c r="Q25" s="44"/>
    </row>
    <row r="26">
      <c r="B26" s="44"/>
      <c r="D26" s="44"/>
      <c r="F26" s="44"/>
      <c r="G26" s="44"/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hyperlinks>
    <hyperlink r:id="rId1" ref="B6"/>
    <hyperlink r:id="rId2" ref="F6"/>
    <hyperlink r:id="rId3" ref="B15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5"/>
    <col customWidth="1" min="2" max="2" width="29.25"/>
    <col customWidth="1" min="5" max="5" width="40.63"/>
    <col customWidth="1" min="6" max="6" width="40.25"/>
    <col customWidth="1" min="7" max="7" width="12.13"/>
    <col customWidth="1" min="8" max="8" width="13.88"/>
    <col customWidth="1" min="9" max="9" width="53.75"/>
    <col customWidth="1" min="11" max="11" width="14.75"/>
    <col customWidth="1" min="13" max="13" width="47.13"/>
    <col customWidth="1" min="14" max="14" width="24.38"/>
    <col customWidth="1" min="15" max="15" width="130.75"/>
    <col customWidth="1" min="18" max="18" width="70.0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11098</v>
      </c>
      <c r="R1" s="23"/>
      <c r="S1" s="23"/>
      <c r="T1" s="23"/>
    </row>
    <row r="2">
      <c r="A2" s="12" t="s">
        <v>410</v>
      </c>
      <c r="B2" s="58" t="s">
        <v>411</v>
      </c>
      <c r="C2" s="27" t="s">
        <v>412</v>
      </c>
      <c r="D2" s="31">
        <v>2.0</v>
      </c>
      <c r="E2" s="27" t="s">
        <v>413</v>
      </c>
      <c r="F2" s="31" t="s">
        <v>173</v>
      </c>
      <c r="G2" s="31">
        <v>5.64</v>
      </c>
      <c r="H2" s="3">
        <f t="shared" ref="H2:H17" si="1">G2*D2</f>
        <v>11.28</v>
      </c>
      <c r="I2" s="31" t="s">
        <v>414</v>
      </c>
      <c r="J2" s="31" t="s">
        <v>43</v>
      </c>
      <c r="K2" s="182" t="s">
        <v>415</v>
      </c>
      <c r="L2" s="67" t="s">
        <v>43</v>
      </c>
      <c r="M2" s="50" t="s">
        <v>62</v>
      </c>
      <c r="N2" s="12" t="s">
        <v>416</v>
      </c>
      <c r="O2" s="76" t="s">
        <v>417</v>
      </c>
      <c r="P2" s="3"/>
      <c r="Q2" s="36"/>
      <c r="R2" s="77" t="s">
        <v>418</v>
      </c>
      <c r="S2" s="3"/>
      <c r="T2" s="3"/>
      <c r="U2" s="3"/>
      <c r="V2" s="3"/>
      <c r="W2" s="3"/>
      <c r="X2" s="3"/>
      <c r="Y2" s="3"/>
      <c r="Z2" s="3"/>
    </row>
    <row r="3">
      <c r="A3" s="12" t="s">
        <v>419</v>
      </c>
      <c r="B3" s="36"/>
      <c r="C3" s="27">
        <v>1.0</v>
      </c>
      <c r="D3" s="31">
        <v>1.0</v>
      </c>
      <c r="E3" s="27" t="s">
        <v>61</v>
      </c>
      <c r="F3" s="31" t="s">
        <v>61</v>
      </c>
      <c r="G3" s="31">
        <v>42.0</v>
      </c>
      <c r="H3" s="3">
        <f t="shared" si="1"/>
        <v>42</v>
      </c>
      <c r="I3" s="31" t="s">
        <v>415</v>
      </c>
      <c r="J3" s="31" t="s">
        <v>43</v>
      </c>
      <c r="K3" s="31" t="s">
        <v>415</v>
      </c>
      <c r="L3" s="31" t="s">
        <v>43</v>
      </c>
      <c r="M3" s="50" t="s">
        <v>62</v>
      </c>
      <c r="N3" s="3"/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420</v>
      </c>
      <c r="B4" s="36"/>
      <c r="C4" s="27">
        <v>1.0</v>
      </c>
      <c r="D4" s="31">
        <v>1.0</v>
      </c>
      <c r="E4" s="183" t="s">
        <v>421</v>
      </c>
      <c r="F4" s="31" t="s">
        <v>79</v>
      </c>
      <c r="G4" s="31">
        <v>504.6</v>
      </c>
      <c r="H4" s="3">
        <f t="shared" si="1"/>
        <v>504.6</v>
      </c>
      <c r="I4" s="31" t="s">
        <v>415</v>
      </c>
      <c r="J4" s="31" t="s">
        <v>43</v>
      </c>
      <c r="K4" s="31" t="s">
        <v>415</v>
      </c>
      <c r="L4" s="31" t="s">
        <v>43</v>
      </c>
      <c r="M4" s="50" t="s">
        <v>62</v>
      </c>
      <c r="N4" s="3"/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422</v>
      </c>
      <c r="B5" s="58" t="s">
        <v>423</v>
      </c>
      <c r="C5" s="27" t="s">
        <v>424</v>
      </c>
      <c r="D5" s="31">
        <v>1.0</v>
      </c>
      <c r="E5" s="12" t="s">
        <v>425</v>
      </c>
      <c r="F5" s="31" t="s">
        <v>119</v>
      </c>
      <c r="G5" s="31">
        <v>72.59</v>
      </c>
      <c r="H5" s="3">
        <f t="shared" si="1"/>
        <v>72.59</v>
      </c>
      <c r="I5" s="31" t="s">
        <v>426</v>
      </c>
      <c r="J5" s="31" t="s">
        <v>43</v>
      </c>
      <c r="K5" s="32" t="s">
        <v>427</v>
      </c>
      <c r="L5" s="31" t="s">
        <v>43</v>
      </c>
      <c r="M5" s="58" t="s">
        <v>7</v>
      </c>
      <c r="N5" s="3"/>
      <c r="O5" s="36"/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428</v>
      </c>
      <c r="B6" s="58" t="s">
        <v>429</v>
      </c>
      <c r="C6" s="27" t="s">
        <v>430</v>
      </c>
      <c r="D6" s="31">
        <v>1.0</v>
      </c>
      <c r="E6" s="12" t="s">
        <v>425</v>
      </c>
      <c r="F6" s="31" t="s">
        <v>119</v>
      </c>
      <c r="G6" s="31">
        <v>19.64</v>
      </c>
      <c r="H6" s="3">
        <f t="shared" si="1"/>
        <v>19.64</v>
      </c>
      <c r="I6" s="31" t="s">
        <v>426</v>
      </c>
      <c r="J6" s="31" t="s">
        <v>43</v>
      </c>
      <c r="K6" s="32" t="s">
        <v>427</v>
      </c>
      <c r="L6" s="31" t="s">
        <v>43</v>
      </c>
      <c r="M6" s="58" t="s">
        <v>7</v>
      </c>
      <c r="N6" s="3"/>
      <c r="O6" s="58" t="s">
        <v>431</v>
      </c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37" t="s">
        <v>432</v>
      </c>
      <c r="B7" s="124">
        <v>1.3210132E7</v>
      </c>
      <c r="C7" s="55" t="s">
        <v>66</v>
      </c>
      <c r="D7" s="54">
        <v>4.0</v>
      </c>
      <c r="E7" s="162" t="s">
        <v>67</v>
      </c>
      <c r="F7" s="55" t="s">
        <v>67</v>
      </c>
      <c r="G7" s="61">
        <v>16.42</v>
      </c>
      <c r="H7" s="63">
        <f t="shared" si="1"/>
        <v>65.68</v>
      </c>
      <c r="I7" s="31" t="s">
        <v>426</v>
      </c>
      <c r="J7" s="31" t="s">
        <v>43</v>
      </c>
      <c r="K7" s="67" t="s">
        <v>433</v>
      </c>
      <c r="L7" s="31" t="s">
        <v>43</v>
      </c>
      <c r="M7" s="58" t="s">
        <v>69</v>
      </c>
      <c r="N7" s="3"/>
      <c r="O7" s="58" t="s">
        <v>434</v>
      </c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435</v>
      </c>
      <c r="B8" s="134">
        <v>3.0108418E7</v>
      </c>
      <c r="C8" s="27" t="s">
        <v>162</v>
      </c>
      <c r="D8" s="31">
        <v>1.0</v>
      </c>
      <c r="E8" s="12" t="s">
        <v>425</v>
      </c>
      <c r="F8" s="31" t="s">
        <v>200</v>
      </c>
      <c r="G8" s="31">
        <v>21.15</v>
      </c>
      <c r="H8" s="184">
        <f t="shared" si="1"/>
        <v>21.15</v>
      </c>
      <c r="I8" s="31" t="s">
        <v>436</v>
      </c>
      <c r="J8" s="31" t="s">
        <v>43</v>
      </c>
      <c r="K8" s="32" t="s">
        <v>437</v>
      </c>
      <c r="L8" s="31" t="s">
        <v>43</v>
      </c>
      <c r="M8" s="58" t="s">
        <v>7</v>
      </c>
      <c r="N8" s="3"/>
      <c r="O8" s="36"/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438</v>
      </c>
      <c r="B9" s="134" t="s">
        <v>439</v>
      </c>
      <c r="C9" s="27" t="s">
        <v>440</v>
      </c>
      <c r="D9" s="31">
        <v>1.0</v>
      </c>
      <c r="E9" s="12" t="s">
        <v>425</v>
      </c>
      <c r="F9" s="31" t="s">
        <v>119</v>
      </c>
      <c r="G9" s="67">
        <v>524.4</v>
      </c>
      <c r="H9" s="184">
        <f t="shared" si="1"/>
        <v>524.4</v>
      </c>
      <c r="I9" s="31" t="s">
        <v>436</v>
      </c>
      <c r="J9" s="31" t="s">
        <v>43</v>
      </c>
      <c r="K9" s="67" t="s">
        <v>441</v>
      </c>
      <c r="L9" s="67" t="s">
        <v>43</v>
      </c>
      <c r="M9" s="58" t="s">
        <v>7</v>
      </c>
      <c r="N9" s="3"/>
      <c r="O9" s="185" t="s">
        <v>442</v>
      </c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171" t="s">
        <v>443</v>
      </c>
      <c r="B10" s="43"/>
      <c r="C10" s="55">
        <v>1.0</v>
      </c>
      <c r="D10" s="54">
        <v>1.0</v>
      </c>
      <c r="E10" s="23"/>
      <c r="F10" s="54" t="s">
        <v>444</v>
      </c>
      <c r="G10" s="66">
        <v>2099.25</v>
      </c>
      <c r="H10" s="186">
        <f t="shared" si="1"/>
        <v>2099.25</v>
      </c>
      <c r="I10" s="187" t="s">
        <v>445</v>
      </c>
      <c r="J10" s="43"/>
      <c r="K10" s="188"/>
      <c r="L10" s="44"/>
      <c r="M10" s="50" t="s">
        <v>62</v>
      </c>
      <c r="O10" s="44"/>
      <c r="Q10" s="44"/>
    </row>
    <row r="11">
      <c r="A11" s="189" t="s">
        <v>446</v>
      </c>
      <c r="B11" s="190">
        <v>5.011294358E9</v>
      </c>
      <c r="C11" s="55">
        <v>1.0</v>
      </c>
      <c r="D11" s="40">
        <v>1.0</v>
      </c>
      <c r="E11" s="118" t="s">
        <v>447</v>
      </c>
      <c r="F11" s="68" t="s">
        <v>448</v>
      </c>
      <c r="G11" s="73">
        <v>1380.0</v>
      </c>
      <c r="H11" s="3">
        <f t="shared" si="1"/>
        <v>1380</v>
      </c>
      <c r="I11" s="31" t="s">
        <v>449</v>
      </c>
      <c r="J11" s="31" t="s">
        <v>43</v>
      </c>
      <c r="K11" s="191"/>
      <c r="L11" s="191"/>
      <c r="M11" s="50" t="s">
        <v>62</v>
      </c>
      <c r="N11" s="3"/>
      <c r="O11" s="58" t="s">
        <v>450</v>
      </c>
      <c r="P11" s="3"/>
      <c r="Q11" s="36"/>
      <c r="R11" s="3"/>
      <c r="S11" s="3"/>
      <c r="T11" s="3"/>
      <c r="U11" s="3"/>
      <c r="V11" s="3"/>
      <c r="W11" s="3"/>
      <c r="X11" s="3"/>
      <c r="Y11" s="3"/>
      <c r="Z11" s="3"/>
    </row>
    <row r="12">
      <c r="A12" s="189" t="s">
        <v>451</v>
      </c>
      <c r="B12" s="190" t="s">
        <v>452</v>
      </c>
      <c r="C12" s="55">
        <v>1.0</v>
      </c>
      <c r="D12" s="40">
        <v>1.0</v>
      </c>
      <c r="E12" s="118" t="s">
        <v>447</v>
      </c>
      <c r="F12" s="68" t="s">
        <v>448</v>
      </c>
      <c r="G12" s="73">
        <v>172.0</v>
      </c>
      <c r="H12" s="3">
        <f t="shared" si="1"/>
        <v>172</v>
      </c>
      <c r="I12" s="31" t="s">
        <v>449</v>
      </c>
      <c r="J12" s="31" t="s">
        <v>43</v>
      </c>
      <c r="K12" s="191"/>
      <c r="L12" s="191"/>
      <c r="M12" s="50" t="s">
        <v>62</v>
      </c>
      <c r="N12" s="3"/>
      <c r="O12" s="36"/>
      <c r="P12" s="3"/>
      <c r="Q12" s="36"/>
      <c r="R12" s="3"/>
      <c r="S12" s="3"/>
      <c r="T12" s="3"/>
      <c r="U12" s="3"/>
      <c r="V12" s="3"/>
      <c r="W12" s="3"/>
      <c r="X12" s="3"/>
      <c r="Y12" s="3"/>
      <c r="Z12" s="3"/>
    </row>
    <row r="13">
      <c r="A13" s="192" t="s">
        <v>453</v>
      </c>
      <c r="B13" s="134" t="s">
        <v>454</v>
      </c>
      <c r="C13" s="55">
        <v>1.0</v>
      </c>
      <c r="D13" s="54">
        <v>1.0</v>
      </c>
      <c r="E13" s="3"/>
      <c r="F13" s="68" t="s">
        <v>448</v>
      </c>
      <c r="G13" s="58">
        <v>155.0</v>
      </c>
      <c r="H13" s="3">
        <f t="shared" si="1"/>
        <v>155</v>
      </c>
      <c r="I13" s="31" t="s">
        <v>449</v>
      </c>
      <c r="J13" s="31" t="s">
        <v>43</v>
      </c>
      <c r="K13" s="32" t="s">
        <v>455</v>
      </c>
      <c r="L13" s="32" t="s">
        <v>43</v>
      </c>
      <c r="M13" s="193" t="s">
        <v>456</v>
      </c>
      <c r="N13" s="3"/>
      <c r="O13" s="58" t="s">
        <v>457</v>
      </c>
      <c r="P13" s="3"/>
      <c r="Q13" s="36"/>
      <c r="R13" s="3"/>
      <c r="S13" s="3"/>
      <c r="T13" s="3"/>
      <c r="U13" s="3"/>
      <c r="V13" s="3"/>
      <c r="W13" s="3"/>
      <c r="X13" s="3"/>
      <c r="Y13" s="3"/>
      <c r="Z13" s="3"/>
    </row>
    <row r="14">
      <c r="A14" s="192" t="s">
        <v>458</v>
      </c>
      <c r="B14" s="194"/>
      <c r="C14" s="55">
        <v>1.0</v>
      </c>
      <c r="D14" s="54">
        <v>1.0</v>
      </c>
      <c r="E14" s="3"/>
      <c r="F14" s="68" t="s">
        <v>448</v>
      </c>
      <c r="G14" s="122">
        <v>15.99</v>
      </c>
      <c r="H14" s="3">
        <f t="shared" si="1"/>
        <v>15.99</v>
      </c>
      <c r="I14" s="31" t="s">
        <v>449</v>
      </c>
      <c r="J14" s="31" t="s">
        <v>43</v>
      </c>
      <c r="K14" s="191"/>
      <c r="L14" s="191"/>
      <c r="M14" s="50" t="s">
        <v>62</v>
      </c>
      <c r="N14" s="3"/>
      <c r="O14" s="36"/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92" t="s">
        <v>459</v>
      </c>
      <c r="B15" s="195" t="s">
        <v>460</v>
      </c>
      <c r="C15" s="55">
        <v>1.0</v>
      </c>
      <c r="D15" s="54">
        <v>1.0</v>
      </c>
      <c r="E15" s="12" t="s">
        <v>461</v>
      </c>
      <c r="F15" s="68" t="s">
        <v>448</v>
      </c>
      <c r="G15" s="196">
        <v>18.64</v>
      </c>
      <c r="H15" s="3">
        <f t="shared" si="1"/>
        <v>18.64</v>
      </c>
      <c r="I15" s="31" t="s">
        <v>462</v>
      </c>
      <c r="J15" s="31" t="s">
        <v>43</v>
      </c>
      <c r="K15" s="32" t="s">
        <v>378</v>
      </c>
      <c r="L15" s="32" t="s">
        <v>43</v>
      </c>
      <c r="M15" s="50" t="s">
        <v>62</v>
      </c>
      <c r="N15" s="3"/>
      <c r="O15" s="76" t="s">
        <v>463</v>
      </c>
      <c r="P15" s="3"/>
      <c r="Q15" s="36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 t="s">
        <v>464</v>
      </c>
      <c r="B16" s="36"/>
      <c r="C16" s="55">
        <v>1.0</v>
      </c>
      <c r="D16" s="54">
        <v>1.0</v>
      </c>
      <c r="E16" s="12" t="s">
        <v>176</v>
      </c>
      <c r="F16" s="58" t="s">
        <v>176</v>
      </c>
      <c r="G16" s="58">
        <v>62.72</v>
      </c>
      <c r="H16" s="3">
        <f t="shared" si="1"/>
        <v>62.72</v>
      </c>
      <c r="I16" s="31" t="s">
        <v>462</v>
      </c>
      <c r="J16" s="31" t="s">
        <v>43</v>
      </c>
      <c r="K16" s="194"/>
      <c r="L16" s="194"/>
      <c r="M16" s="58" t="s">
        <v>7</v>
      </c>
      <c r="N16" s="3"/>
      <c r="O16" s="36"/>
      <c r="P16" s="3"/>
      <c r="Q16" s="36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465</v>
      </c>
      <c r="B17" s="36"/>
      <c r="C17" s="55">
        <v>1.0</v>
      </c>
      <c r="D17" s="54">
        <v>1.0</v>
      </c>
      <c r="E17" s="12" t="s">
        <v>79</v>
      </c>
      <c r="F17" s="58" t="s">
        <v>79</v>
      </c>
      <c r="G17" s="58">
        <v>852.0</v>
      </c>
      <c r="H17" s="3">
        <f t="shared" si="1"/>
        <v>852</v>
      </c>
      <c r="I17" s="31" t="s">
        <v>466</v>
      </c>
      <c r="J17" s="31" t="s">
        <v>43</v>
      </c>
      <c r="K17" s="122" t="s">
        <v>467</v>
      </c>
      <c r="L17" s="67" t="s">
        <v>43</v>
      </c>
      <c r="M17" s="100" t="s">
        <v>156</v>
      </c>
      <c r="N17" s="3"/>
      <c r="O17" s="58" t="s">
        <v>468</v>
      </c>
      <c r="P17" s="3"/>
      <c r="Q17" s="36"/>
      <c r="R17" s="3"/>
      <c r="S17" s="3"/>
      <c r="T17" s="3"/>
      <c r="U17" s="3"/>
      <c r="V17" s="3"/>
      <c r="W17" s="3"/>
      <c r="X17" s="3"/>
      <c r="Y17" s="3"/>
      <c r="Z17" s="3"/>
    </row>
    <row r="18">
      <c r="A18" s="111" t="s">
        <v>336</v>
      </c>
      <c r="B18" s="58" t="s">
        <v>337</v>
      </c>
      <c r="C18" s="27" t="s">
        <v>206</v>
      </c>
      <c r="D18" s="31">
        <v>1.0</v>
      </c>
      <c r="E18" s="12" t="s">
        <v>207</v>
      </c>
      <c r="F18" s="158" t="s">
        <v>207</v>
      </c>
      <c r="G18" s="58">
        <v>536.75</v>
      </c>
      <c r="H18" s="197">
        <v>536.75</v>
      </c>
      <c r="I18" s="31" t="s">
        <v>469</v>
      </c>
      <c r="J18" s="31" t="s">
        <v>43</v>
      </c>
      <c r="K18" s="67" t="s">
        <v>470</v>
      </c>
      <c r="L18" s="67" t="s">
        <v>43</v>
      </c>
      <c r="M18" s="198" t="s">
        <v>156</v>
      </c>
      <c r="N18" s="199" t="s">
        <v>471</v>
      </c>
      <c r="O18" s="200" t="s">
        <v>339</v>
      </c>
      <c r="P18" s="3"/>
      <c r="Q18" s="36"/>
      <c r="R18" s="201" t="s">
        <v>472</v>
      </c>
      <c r="S18" s="3"/>
      <c r="T18" s="3"/>
      <c r="U18" s="3"/>
      <c r="V18" s="3"/>
      <c r="W18" s="3"/>
      <c r="X18" s="3"/>
      <c r="Y18" s="3"/>
      <c r="Z18" s="3"/>
    </row>
    <row r="19">
      <c r="A19" s="58" t="s">
        <v>473</v>
      </c>
      <c r="B19" s="134" t="s">
        <v>474</v>
      </c>
      <c r="C19" s="27" t="s">
        <v>206</v>
      </c>
      <c r="D19" s="31">
        <v>1.0</v>
      </c>
      <c r="E19" s="12" t="s">
        <v>207</v>
      </c>
      <c r="F19" s="158" t="s">
        <v>207</v>
      </c>
      <c r="G19" s="58">
        <v>549.0</v>
      </c>
      <c r="H19" s="12">
        <v>549.0</v>
      </c>
      <c r="I19" s="31" t="s">
        <v>469</v>
      </c>
      <c r="J19" s="31" t="s">
        <v>43</v>
      </c>
      <c r="K19" s="67" t="s">
        <v>475</v>
      </c>
      <c r="L19" s="67" t="s">
        <v>43</v>
      </c>
      <c r="M19" s="100" t="s">
        <v>156</v>
      </c>
      <c r="N19" s="199" t="s">
        <v>471</v>
      </c>
      <c r="O19" s="125" t="s">
        <v>476</v>
      </c>
      <c r="Q19" s="44"/>
      <c r="R19" s="44"/>
    </row>
    <row r="20">
      <c r="A20" s="58" t="s">
        <v>477</v>
      </c>
      <c r="B20" s="58" t="s">
        <v>237</v>
      </c>
      <c r="C20" s="27" t="s">
        <v>206</v>
      </c>
      <c r="D20" s="31">
        <v>3.0</v>
      </c>
      <c r="E20" s="12" t="s">
        <v>207</v>
      </c>
      <c r="F20" s="58" t="s">
        <v>207</v>
      </c>
      <c r="G20" s="58">
        <v>544.5</v>
      </c>
      <c r="H20" s="3">
        <f t="shared" ref="H20:H31" si="2">G20*D20</f>
        <v>1633.5</v>
      </c>
      <c r="I20" s="31" t="s">
        <v>469</v>
      </c>
      <c r="J20" s="31" t="s">
        <v>43</v>
      </c>
      <c r="K20" s="67" t="s">
        <v>470</v>
      </c>
      <c r="L20" s="67" t="s">
        <v>43</v>
      </c>
      <c r="M20" s="202" t="s">
        <v>156</v>
      </c>
      <c r="N20" s="199" t="s">
        <v>471</v>
      </c>
      <c r="O20" s="125" t="s">
        <v>241</v>
      </c>
      <c r="Q20" s="44"/>
      <c r="R20" s="48"/>
    </row>
    <row r="21">
      <c r="A21" s="37" t="s">
        <v>363</v>
      </c>
      <c r="B21" s="124">
        <v>304018.0</v>
      </c>
      <c r="C21" s="62" t="s">
        <v>211</v>
      </c>
      <c r="D21" s="64">
        <v>2.0</v>
      </c>
      <c r="E21" s="45" t="s">
        <v>40</v>
      </c>
      <c r="F21" s="94" t="s">
        <v>41</v>
      </c>
      <c r="G21" s="116">
        <v>216.0</v>
      </c>
      <c r="H21" s="3">
        <f t="shared" si="2"/>
        <v>432</v>
      </c>
      <c r="I21" s="31" t="s">
        <v>469</v>
      </c>
      <c r="J21" s="31" t="s">
        <v>43</v>
      </c>
      <c r="K21" s="32" t="s">
        <v>441</v>
      </c>
      <c r="L21" s="32" t="s">
        <v>43</v>
      </c>
      <c r="M21" s="100" t="s">
        <v>156</v>
      </c>
      <c r="N21" s="35" t="s">
        <v>46</v>
      </c>
      <c r="O21" s="44"/>
      <c r="Q21" s="44"/>
    </row>
    <row r="22">
      <c r="A22" s="129" t="s">
        <v>478</v>
      </c>
      <c r="B22" s="124">
        <v>324233.0</v>
      </c>
      <c r="C22" s="55" t="s">
        <v>39</v>
      </c>
      <c r="D22" s="64">
        <v>1.0</v>
      </c>
      <c r="E22" s="37" t="s">
        <v>40</v>
      </c>
      <c r="F22" s="68" t="s">
        <v>41</v>
      </c>
      <c r="G22" s="38">
        <v>135.0</v>
      </c>
      <c r="H22" s="3">
        <f t="shared" si="2"/>
        <v>135</v>
      </c>
      <c r="I22" s="31" t="s">
        <v>469</v>
      </c>
      <c r="J22" s="31" t="s">
        <v>43</v>
      </c>
      <c r="K22" s="32" t="s">
        <v>479</v>
      </c>
      <c r="L22" s="32" t="s">
        <v>43</v>
      </c>
      <c r="M22" s="100" t="s">
        <v>156</v>
      </c>
      <c r="N22" s="48"/>
      <c r="O22" s="44"/>
      <c r="Q22" s="44"/>
    </row>
    <row r="23">
      <c r="A23" s="171" t="s">
        <v>480</v>
      </c>
      <c r="B23" s="203">
        <v>641041.0</v>
      </c>
      <c r="C23" s="27">
        <v>1.0</v>
      </c>
      <c r="D23" s="31">
        <v>2.0</v>
      </c>
      <c r="E23" s="12" t="s">
        <v>276</v>
      </c>
      <c r="F23" s="200" t="s">
        <v>251</v>
      </c>
      <c r="G23" s="58">
        <v>249.9</v>
      </c>
      <c r="H23" s="3">
        <f t="shared" si="2"/>
        <v>499.8</v>
      </c>
      <c r="I23" s="31" t="s">
        <v>481</v>
      </c>
      <c r="J23" s="31" t="s">
        <v>43</v>
      </c>
      <c r="K23" s="32" t="s">
        <v>470</v>
      </c>
      <c r="L23" s="32" t="s">
        <v>43</v>
      </c>
      <c r="M23" s="50" t="s">
        <v>62</v>
      </c>
      <c r="N23" s="36"/>
      <c r="O23" s="204" t="s">
        <v>482</v>
      </c>
      <c r="P23" s="3"/>
      <c r="Q23" s="36"/>
      <c r="R23" s="12" t="s">
        <v>483</v>
      </c>
      <c r="S23" s="3"/>
      <c r="T23" s="3"/>
      <c r="U23" s="3"/>
      <c r="V23" s="3"/>
      <c r="W23" s="3"/>
      <c r="X23" s="3"/>
      <c r="Y23" s="3"/>
      <c r="Z23" s="3"/>
    </row>
    <row r="24">
      <c r="A24" s="12" t="s">
        <v>484</v>
      </c>
      <c r="B24" s="36"/>
      <c r="C24" s="27">
        <v>1.0</v>
      </c>
      <c r="D24" s="31">
        <v>1.0</v>
      </c>
      <c r="E24" s="3"/>
      <c r="F24" s="36"/>
      <c r="G24" s="58">
        <v>112.3</v>
      </c>
      <c r="H24" s="3">
        <f t="shared" si="2"/>
        <v>112.3</v>
      </c>
      <c r="I24" s="31" t="s">
        <v>485</v>
      </c>
      <c r="J24" s="31" t="s">
        <v>486</v>
      </c>
      <c r="K24" s="31" t="s">
        <v>485</v>
      </c>
      <c r="L24" s="31" t="s">
        <v>486</v>
      </c>
      <c r="M24" s="58" t="s">
        <v>487</v>
      </c>
      <c r="N24" s="205" t="s">
        <v>488</v>
      </c>
      <c r="O24" s="36"/>
      <c r="P24" s="3"/>
      <c r="Q24" s="36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 t="s">
        <v>489</v>
      </c>
      <c r="B25" s="36"/>
      <c r="C25" s="27">
        <v>1.0</v>
      </c>
      <c r="D25" s="31">
        <v>1.0</v>
      </c>
      <c r="E25" s="3"/>
      <c r="F25" s="36"/>
      <c r="G25" s="58">
        <v>82.71</v>
      </c>
      <c r="H25" s="3">
        <f t="shared" si="2"/>
        <v>82.71</v>
      </c>
      <c r="I25" s="31" t="s">
        <v>481</v>
      </c>
      <c r="J25" s="31" t="s">
        <v>486</v>
      </c>
      <c r="K25" s="31" t="s">
        <v>481</v>
      </c>
      <c r="L25" s="31" t="s">
        <v>486</v>
      </c>
      <c r="M25" s="58" t="s">
        <v>487</v>
      </c>
      <c r="N25" s="206" t="s">
        <v>488</v>
      </c>
      <c r="O25" s="36"/>
      <c r="P25" s="3"/>
      <c r="Q25" s="36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490</v>
      </c>
      <c r="B26" s="36"/>
      <c r="C26" s="27">
        <v>1.0</v>
      </c>
      <c r="D26" s="31">
        <v>1.0</v>
      </c>
      <c r="E26" s="3"/>
      <c r="F26" s="36"/>
      <c r="G26" s="122">
        <v>700.0</v>
      </c>
      <c r="H26" s="3">
        <f t="shared" si="2"/>
        <v>700</v>
      </c>
      <c r="I26" s="31" t="s">
        <v>491</v>
      </c>
      <c r="J26" s="31" t="s">
        <v>492</v>
      </c>
      <c r="K26" s="31" t="s">
        <v>491</v>
      </c>
      <c r="L26" s="31" t="s">
        <v>492</v>
      </c>
      <c r="M26" s="58" t="s">
        <v>487</v>
      </c>
      <c r="N26" s="206" t="s">
        <v>488</v>
      </c>
      <c r="O26" s="36"/>
      <c r="P26" s="3"/>
      <c r="Q26" s="36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 t="s">
        <v>493</v>
      </c>
      <c r="B27" s="36"/>
      <c r="C27" s="27">
        <v>1.0</v>
      </c>
      <c r="D27" s="31">
        <v>1.0</v>
      </c>
      <c r="E27" s="3"/>
      <c r="F27" s="36"/>
      <c r="G27" s="122">
        <v>400.0</v>
      </c>
      <c r="H27" s="3">
        <f t="shared" si="2"/>
        <v>400</v>
      </c>
      <c r="I27" s="31" t="s">
        <v>491</v>
      </c>
      <c r="J27" s="31" t="s">
        <v>494</v>
      </c>
      <c r="K27" s="31" t="s">
        <v>491</v>
      </c>
      <c r="L27" s="31" t="s">
        <v>494</v>
      </c>
      <c r="M27" s="58" t="s">
        <v>487</v>
      </c>
      <c r="N27" s="206" t="s">
        <v>488</v>
      </c>
      <c r="O27" s="36"/>
      <c r="P27" s="3"/>
      <c r="Q27" s="36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 t="s">
        <v>495</v>
      </c>
      <c r="B28" s="36"/>
      <c r="C28" s="27">
        <v>1.0</v>
      </c>
      <c r="D28" s="31">
        <v>1.0</v>
      </c>
      <c r="E28" s="3"/>
      <c r="F28" s="36"/>
      <c r="G28" s="58">
        <v>650.0</v>
      </c>
      <c r="H28" s="3">
        <f t="shared" si="2"/>
        <v>650</v>
      </c>
      <c r="I28" s="31" t="s">
        <v>491</v>
      </c>
      <c r="J28" s="31" t="s">
        <v>496</v>
      </c>
      <c r="K28" s="31" t="s">
        <v>491</v>
      </c>
      <c r="L28" s="31" t="s">
        <v>496</v>
      </c>
      <c r="M28" s="58" t="s">
        <v>487</v>
      </c>
      <c r="N28" s="206" t="s">
        <v>488</v>
      </c>
      <c r="O28" s="36"/>
      <c r="P28" s="3"/>
      <c r="Q28" s="36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 t="s">
        <v>497</v>
      </c>
      <c r="B29" s="36"/>
      <c r="C29" s="27">
        <v>1.0</v>
      </c>
      <c r="D29" s="31">
        <v>1.0</v>
      </c>
      <c r="E29" s="3"/>
      <c r="F29" s="36"/>
      <c r="G29" s="122">
        <v>400.0</v>
      </c>
      <c r="H29" s="3">
        <f t="shared" si="2"/>
        <v>400</v>
      </c>
      <c r="I29" s="31" t="s">
        <v>491</v>
      </c>
      <c r="J29" s="31" t="s">
        <v>498</v>
      </c>
      <c r="K29" s="31" t="s">
        <v>491</v>
      </c>
      <c r="L29" s="31" t="s">
        <v>498</v>
      </c>
      <c r="M29" s="58" t="s">
        <v>487</v>
      </c>
      <c r="N29" s="206" t="s">
        <v>488</v>
      </c>
      <c r="O29" s="36"/>
      <c r="P29" s="3"/>
      <c r="Q29" s="36"/>
      <c r="R29" s="3"/>
      <c r="S29" s="3"/>
      <c r="T29" s="3"/>
      <c r="U29" s="3"/>
      <c r="V29" s="3"/>
      <c r="W29" s="3"/>
      <c r="X29" s="3"/>
      <c r="Y29" s="3"/>
      <c r="Z29" s="3"/>
    </row>
    <row r="30">
      <c r="B30" s="44"/>
      <c r="D30" s="44"/>
      <c r="F30" s="44"/>
      <c r="G30" s="44"/>
      <c r="H30" s="3">
        <f t="shared" si="2"/>
        <v>0</v>
      </c>
      <c r="I30" s="44"/>
      <c r="J30" s="44"/>
      <c r="K30" s="44"/>
      <c r="L30" s="44"/>
      <c r="M30" s="44"/>
      <c r="O30" s="44"/>
      <c r="Q30" s="44"/>
    </row>
    <row r="31">
      <c r="B31" s="44"/>
      <c r="D31" s="44"/>
      <c r="F31" s="44"/>
      <c r="G31" s="44"/>
      <c r="H31" s="3">
        <f t="shared" si="2"/>
        <v>0</v>
      </c>
      <c r="I31" s="44"/>
      <c r="J31" s="44"/>
      <c r="K31" s="44"/>
      <c r="L31" s="44"/>
      <c r="M31" s="44"/>
      <c r="O31" s="44"/>
      <c r="Q31" s="44"/>
    </row>
    <row r="32">
      <c r="B32" s="44"/>
      <c r="D32" s="44"/>
      <c r="F32" s="44"/>
      <c r="G32" s="44"/>
      <c r="I32" s="44"/>
      <c r="J32" s="44"/>
      <c r="K32" s="44"/>
      <c r="L32" s="44"/>
      <c r="M32" s="44"/>
      <c r="O32" s="44"/>
      <c r="Q32" s="44"/>
    </row>
    <row r="33">
      <c r="B33" s="44"/>
      <c r="D33" s="44"/>
      <c r="F33" s="44"/>
      <c r="G33" s="44"/>
      <c r="I33" s="44"/>
      <c r="J33" s="44"/>
      <c r="K33" s="44"/>
      <c r="L33" s="44"/>
      <c r="M33" s="44"/>
      <c r="O33" s="44"/>
      <c r="Q33" s="44"/>
    </row>
    <row r="34">
      <c r="B34" s="44"/>
      <c r="D34" s="44"/>
      <c r="F34" s="44"/>
      <c r="G34" s="44"/>
      <c r="I34" s="44"/>
      <c r="J34" s="44"/>
      <c r="K34" s="44"/>
      <c r="L34" s="44"/>
      <c r="M34" s="44"/>
      <c r="O34" s="44"/>
      <c r="Q34" s="44"/>
    </row>
    <row r="35">
      <c r="B35" s="44"/>
      <c r="D35" s="44"/>
      <c r="F35" s="44"/>
      <c r="G35" s="44"/>
      <c r="I35" s="44"/>
      <c r="J35" s="44"/>
      <c r="K35" s="44"/>
      <c r="L35" s="44"/>
      <c r="M35" s="44"/>
      <c r="O35" s="44"/>
      <c r="Q35" s="44"/>
    </row>
    <row r="36">
      <c r="B36" s="44"/>
      <c r="D36" s="44"/>
      <c r="F36" s="44"/>
      <c r="G36" s="44"/>
      <c r="I36" s="44"/>
      <c r="J36" s="44"/>
      <c r="K36" s="44"/>
      <c r="L36" s="44"/>
      <c r="M36" s="44"/>
      <c r="O36" s="44"/>
      <c r="Q36" s="44"/>
    </row>
    <row r="37">
      <c r="B37" s="44"/>
      <c r="D37" s="44"/>
      <c r="F37" s="44"/>
      <c r="G37" s="44"/>
      <c r="I37" s="44"/>
      <c r="J37" s="44"/>
      <c r="K37" s="44"/>
      <c r="L37" s="44"/>
      <c r="M37" s="44"/>
      <c r="O37" s="44"/>
      <c r="Q37" s="44"/>
    </row>
    <row r="38">
      <c r="B38" s="44"/>
      <c r="D38" s="44"/>
      <c r="F38" s="44"/>
      <c r="G38" s="44"/>
      <c r="I38" s="44"/>
      <c r="J38" s="44"/>
      <c r="K38" s="44"/>
      <c r="L38" s="44"/>
      <c r="M38" s="44"/>
      <c r="O38" s="44"/>
      <c r="Q38" s="44"/>
    </row>
    <row r="39">
      <c r="B39" s="44"/>
      <c r="D39" s="44"/>
      <c r="F39" s="44"/>
      <c r="G39" s="44"/>
      <c r="I39" s="44"/>
      <c r="J39" s="44"/>
      <c r="K39" s="44"/>
      <c r="L39" s="44"/>
      <c r="M39" s="44"/>
      <c r="O39" s="44"/>
      <c r="Q39" s="44"/>
    </row>
    <row r="40">
      <c r="B40" s="44"/>
      <c r="D40" s="44"/>
      <c r="F40" s="44"/>
      <c r="G40" s="44"/>
      <c r="I40" s="44"/>
      <c r="J40" s="44"/>
      <c r="K40" s="44"/>
      <c r="L40" s="44"/>
      <c r="M40" s="44"/>
      <c r="O40" s="44"/>
      <c r="Q40" s="44"/>
    </row>
    <row r="41">
      <c r="B41" s="44"/>
      <c r="D41" s="44"/>
      <c r="F41" s="44"/>
      <c r="G41" s="44"/>
      <c r="I41" s="44"/>
      <c r="J41" s="44"/>
      <c r="K41" s="44"/>
      <c r="L41" s="44"/>
      <c r="M41" s="44"/>
      <c r="O41" s="44"/>
      <c r="Q41" s="44"/>
    </row>
    <row r="42">
      <c r="B42" s="44"/>
      <c r="D42" s="44"/>
      <c r="F42" s="44"/>
      <c r="G42" s="44"/>
      <c r="I42" s="44"/>
      <c r="J42" s="44"/>
      <c r="K42" s="44"/>
      <c r="L42" s="44"/>
      <c r="M42" s="44"/>
      <c r="O42" s="44"/>
      <c r="Q42" s="44"/>
    </row>
    <row r="43">
      <c r="B43" s="44"/>
      <c r="D43" s="44"/>
      <c r="F43" s="44"/>
      <c r="G43" s="44"/>
      <c r="I43" s="44"/>
      <c r="J43" s="44"/>
      <c r="K43" s="44"/>
      <c r="L43" s="44"/>
      <c r="M43" s="44"/>
      <c r="O43" s="44"/>
      <c r="Q43" s="44"/>
    </row>
    <row r="44">
      <c r="B44" s="44"/>
      <c r="D44" s="44"/>
      <c r="F44" s="44"/>
      <c r="G44" s="44"/>
      <c r="I44" s="44"/>
      <c r="J44" s="44"/>
      <c r="K44" s="44"/>
      <c r="L44" s="44"/>
      <c r="M44" s="44"/>
      <c r="O44" s="44"/>
      <c r="Q44" s="44"/>
    </row>
    <row r="45">
      <c r="B45" s="44"/>
      <c r="D45" s="44"/>
      <c r="F45" s="44"/>
      <c r="G45" s="44"/>
      <c r="I45" s="44"/>
      <c r="J45" s="44"/>
      <c r="K45" s="44"/>
      <c r="L45" s="44"/>
      <c r="M45" s="44"/>
      <c r="O45" s="44"/>
      <c r="Q45" s="44"/>
    </row>
    <row r="46">
      <c r="B46" s="44"/>
      <c r="D46" s="44"/>
      <c r="F46" s="44"/>
      <c r="G46" s="44"/>
      <c r="I46" s="44"/>
      <c r="J46" s="44"/>
      <c r="K46" s="44"/>
      <c r="L46" s="44"/>
      <c r="M46" s="44"/>
      <c r="O46" s="44"/>
      <c r="Q46" s="44"/>
    </row>
    <row r="47">
      <c r="B47" s="44"/>
      <c r="D47" s="44"/>
      <c r="F47" s="44"/>
      <c r="G47" s="44"/>
      <c r="I47" s="44"/>
      <c r="J47" s="44"/>
      <c r="K47" s="44"/>
      <c r="L47" s="44"/>
      <c r="M47" s="44"/>
      <c r="O47" s="44"/>
      <c r="Q47" s="44"/>
    </row>
    <row r="48">
      <c r="B48" s="44"/>
      <c r="D48" s="44"/>
      <c r="F48" s="44"/>
      <c r="G48" s="44"/>
      <c r="I48" s="44"/>
      <c r="J48" s="44"/>
      <c r="K48" s="44"/>
      <c r="L48" s="44"/>
      <c r="M48" s="44"/>
      <c r="O48" s="44"/>
      <c r="Q48" s="44"/>
    </row>
    <row r="49">
      <c r="B49" s="44"/>
      <c r="D49" s="44"/>
      <c r="F49" s="44"/>
      <c r="G49" s="44"/>
      <c r="I49" s="44"/>
      <c r="J49" s="44"/>
      <c r="K49" s="44"/>
      <c r="L49" s="44"/>
      <c r="M49" s="44"/>
      <c r="O49" s="44"/>
      <c r="Q49" s="44"/>
    </row>
    <row r="50">
      <c r="B50" s="44"/>
      <c r="D50" s="44"/>
      <c r="F50" s="44"/>
      <c r="G50" s="44"/>
      <c r="I50" s="44"/>
      <c r="J50" s="44"/>
      <c r="K50" s="44"/>
      <c r="L50" s="44"/>
      <c r="M50" s="44"/>
      <c r="O50" s="44"/>
      <c r="Q50" s="44"/>
    </row>
    <row r="51">
      <c r="B51" s="44"/>
      <c r="D51" s="44"/>
      <c r="F51" s="44"/>
      <c r="G51" s="44"/>
      <c r="I51" s="44"/>
      <c r="J51" s="44"/>
      <c r="K51" s="44"/>
      <c r="L51" s="44"/>
      <c r="M51" s="44"/>
      <c r="O51" s="44"/>
      <c r="Q51" s="44"/>
    </row>
    <row r="52">
      <c r="B52" s="44"/>
      <c r="D52" s="44"/>
      <c r="F52" s="44"/>
      <c r="G52" s="44"/>
      <c r="I52" s="44"/>
      <c r="J52" s="44"/>
      <c r="K52" s="44"/>
      <c r="L52" s="44"/>
      <c r="M52" s="44"/>
      <c r="O52" s="44"/>
      <c r="Q52" s="44"/>
    </row>
    <row r="53">
      <c r="B53" s="44"/>
      <c r="D53" s="44"/>
      <c r="F53" s="44"/>
      <c r="G53" s="44"/>
      <c r="I53" s="44"/>
      <c r="J53" s="44"/>
      <c r="K53" s="44"/>
      <c r="L53" s="44"/>
      <c r="M53" s="44"/>
      <c r="O53" s="44"/>
      <c r="Q53" s="44"/>
    </row>
    <row r="54">
      <c r="B54" s="44"/>
      <c r="D54" s="44"/>
      <c r="F54" s="44"/>
      <c r="G54" s="44"/>
      <c r="I54" s="44"/>
      <c r="J54" s="44"/>
      <c r="K54" s="44"/>
      <c r="L54" s="44"/>
      <c r="M54" s="44"/>
      <c r="O54" s="44"/>
      <c r="Q54" s="44"/>
    </row>
    <row r="55">
      <c r="B55" s="44"/>
      <c r="D55" s="44"/>
      <c r="F55" s="44"/>
      <c r="G55" s="44"/>
      <c r="I55" s="44"/>
      <c r="J55" s="44"/>
      <c r="K55" s="44"/>
      <c r="L55" s="44"/>
      <c r="M55" s="44"/>
      <c r="O55" s="44"/>
      <c r="Q55" s="44"/>
    </row>
    <row r="56">
      <c r="B56" s="44"/>
      <c r="D56" s="44"/>
      <c r="F56" s="44"/>
      <c r="G56" s="44"/>
      <c r="I56" s="44"/>
      <c r="J56" s="44"/>
      <c r="K56" s="44"/>
      <c r="L56" s="44"/>
      <c r="M56" s="44"/>
      <c r="O56" s="44"/>
      <c r="Q56" s="44"/>
    </row>
    <row r="57">
      <c r="B57" s="44"/>
      <c r="D57" s="44"/>
      <c r="F57" s="44"/>
      <c r="G57" s="44"/>
      <c r="I57" s="44"/>
      <c r="J57" s="44"/>
      <c r="K57" s="44"/>
      <c r="L57" s="44"/>
      <c r="M57" s="44"/>
      <c r="O57" s="44"/>
      <c r="Q57" s="44"/>
    </row>
    <row r="58">
      <c r="B58" s="44"/>
      <c r="D58" s="44"/>
      <c r="F58" s="44"/>
      <c r="G58" s="44"/>
      <c r="I58" s="44"/>
      <c r="J58" s="44"/>
      <c r="K58" s="44"/>
      <c r="L58" s="44"/>
      <c r="M58" s="44"/>
      <c r="O58" s="44"/>
      <c r="Q58" s="44"/>
    </row>
    <row r="59">
      <c r="B59" s="44"/>
      <c r="D59" s="44"/>
      <c r="F59" s="44"/>
      <c r="G59" s="44"/>
      <c r="I59" s="44"/>
      <c r="J59" s="44"/>
      <c r="K59" s="44"/>
      <c r="L59" s="44"/>
      <c r="M59" s="44"/>
      <c r="O59" s="44"/>
      <c r="Q59" s="44"/>
    </row>
    <row r="60">
      <c r="B60" s="44"/>
      <c r="D60" s="44"/>
      <c r="F60" s="44"/>
      <c r="G60" s="44"/>
      <c r="I60" s="44"/>
      <c r="J60" s="44"/>
      <c r="K60" s="44"/>
      <c r="L60" s="44"/>
      <c r="M60" s="44"/>
      <c r="O60" s="44"/>
      <c r="Q60" s="44"/>
    </row>
    <row r="61">
      <c r="B61" s="44"/>
      <c r="D61" s="44"/>
      <c r="F61" s="44"/>
      <c r="G61" s="44"/>
      <c r="I61" s="44"/>
      <c r="J61" s="44"/>
      <c r="K61" s="44"/>
      <c r="L61" s="44"/>
      <c r="M61" s="44"/>
      <c r="O61" s="44"/>
      <c r="Q61" s="44"/>
    </row>
    <row r="62">
      <c r="B62" s="44"/>
      <c r="D62" s="44"/>
      <c r="F62" s="44"/>
      <c r="G62" s="44"/>
      <c r="I62" s="44"/>
      <c r="J62" s="44"/>
      <c r="K62" s="44"/>
      <c r="L62" s="44"/>
      <c r="M62" s="44"/>
      <c r="O62" s="44"/>
      <c r="Q62" s="44"/>
    </row>
    <row r="63">
      <c r="B63" s="44"/>
      <c r="D63" s="44"/>
      <c r="F63" s="44"/>
      <c r="G63" s="44"/>
      <c r="I63" s="44"/>
      <c r="J63" s="44"/>
      <c r="K63" s="44"/>
      <c r="L63" s="44"/>
      <c r="M63" s="44"/>
      <c r="O63" s="44"/>
      <c r="Q63" s="44"/>
    </row>
    <row r="64">
      <c r="B64" s="44"/>
      <c r="D64" s="44"/>
      <c r="F64" s="44"/>
      <c r="G64" s="44"/>
      <c r="I64" s="44"/>
      <c r="J64" s="44"/>
      <c r="K64" s="44"/>
      <c r="L64" s="44"/>
      <c r="M64" s="44"/>
      <c r="O64" s="44"/>
      <c r="Q64" s="44"/>
    </row>
    <row r="65">
      <c r="B65" s="44"/>
      <c r="D65" s="44"/>
      <c r="F65" s="44"/>
      <c r="G65" s="44"/>
      <c r="I65" s="44"/>
      <c r="J65" s="44"/>
      <c r="K65" s="44"/>
      <c r="L65" s="44"/>
      <c r="M65" s="44"/>
      <c r="O65" s="44"/>
      <c r="Q65" s="44"/>
    </row>
    <row r="66">
      <c r="B66" s="44"/>
      <c r="D66" s="44"/>
      <c r="F66" s="44"/>
      <c r="G66" s="44"/>
      <c r="I66" s="44"/>
      <c r="J66" s="44"/>
      <c r="K66" s="44"/>
      <c r="L66" s="44"/>
      <c r="M66" s="44"/>
      <c r="O66" s="44"/>
      <c r="Q66" s="44"/>
    </row>
    <row r="67">
      <c r="B67" s="44"/>
      <c r="D67" s="44"/>
      <c r="F67" s="44"/>
      <c r="G67" s="44"/>
      <c r="I67" s="44"/>
      <c r="J67" s="44"/>
      <c r="K67" s="44"/>
      <c r="L67" s="44"/>
      <c r="M67" s="44"/>
      <c r="O67" s="44"/>
      <c r="Q67" s="44"/>
    </row>
    <row r="68">
      <c r="B68" s="44"/>
      <c r="D68" s="44"/>
      <c r="F68" s="44"/>
      <c r="G68" s="44"/>
      <c r="I68" s="44"/>
      <c r="J68" s="44"/>
      <c r="K68" s="44"/>
      <c r="L68" s="44"/>
      <c r="M68" s="44"/>
      <c r="O68" s="44"/>
      <c r="Q68" s="44"/>
    </row>
    <row r="69">
      <c r="B69" s="44"/>
      <c r="D69" s="44"/>
      <c r="F69" s="44"/>
      <c r="G69" s="44"/>
      <c r="I69" s="44"/>
      <c r="J69" s="44"/>
      <c r="K69" s="44"/>
      <c r="L69" s="44"/>
      <c r="M69" s="44"/>
      <c r="O69" s="44"/>
      <c r="Q69" s="44"/>
    </row>
    <row r="70">
      <c r="B70" s="44"/>
      <c r="D70" s="44"/>
      <c r="F70" s="44"/>
      <c r="G70" s="44"/>
      <c r="I70" s="44"/>
      <c r="J70" s="44"/>
      <c r="K70" s="44"/>
      <c r="L70" s="44"/>
      <c r="M70" s="44"/>
      <c r="O70" s="44"/>
      <c r="Q70" s="44"/>
    </row>
    <row r="71">
      <c r="B71" s="44"/>
      <c r="D71" s="44"/>
      <c r="F71" s="44"/>
      <c r="G71" s="44"/>
      <c r="I71" s="44"/>
      <c r="J71" s="44"/>
      <c r="K71" s="44"/>
      <c r="L71" s="44"/>
      <c r="M71" s="44"/>
      <c r="O71" s="44"/>
      <c r="Q71" s="44"/>
    </row>
    <row r="72">
      <c r="B72" s="44"/>
      <c r="D72" s="44"/>
      <c r="F72" s="44"/>
      <c r="G72" s="44"/>
      <c r="I72" s="44"/>
      <c r="J72" s="44"/>
      <c r="K72" s="44"/>
      <c r="L72" s="44"/>
      <c r="M72" s="44"/>
      <c r="O72" s="44"/>
      <c r="Q72" s="44"/>
    </row>
    <row r="73">
      <c r="B73" s="44"/>
      <c r="D73" s="44"/>
      <c r="F73" s="44"/>
      <c r="G73" s="44"/>
      <c r="I73" s="44"/>
      <c r="J73" s="44"/>
      <c r="K73" s="44"/>
      <c r="L73" s="44"/>
      <c r="M73" s="44"/>
      <c r="O73" s="44"/>
      <c r="Q73" s="44"/>
    </row>
    <row r="74">
      <c r="B74" s="44"/>
      <c r="D74" s="44"/>
      <c r="F74" s="44"/>
      <c r="G74" s="44"/>
      <c r="I74" s="44"/>
      <c r="J74" s="44"/>
      <c r="K74" s="44"/>
      <c r="L74" s="44"/>
      <c r="M74" s="44"/>
      <c r="O74" s="44"/>
      <c r="Q74" s="44"/>
    </row>
    <row r="75">
      <c r="B75" s="44"/>
      <c r="D75" s="44"/>
      <c r="F75" s="44"/>
      <c r="G75" s="44"/>
      <c r="I75" s="44"/>
      <c r="J75" s="44"/>
      <c r="K75" s="44"/>
      <c r="L75" s="44"/>
      <c r="M75" s="44"/>
      <c r="O75" s="44"/>
      <c r="Q75" s="44"/>
    </row>
    <row r="76">
      <c r="B76" s="44"/>
      <c r="D76" s="44"/>
      <c r="F76" s="44"/>
      <c r="G76" s="44"/>
      <c r="I76" s="44"/>
      <c r="J76" s="44"/>
      <c r="K76" s="44"/>
      <c r="L76" s="44"/>
      <c r="M76" s="44"/>
      <c r="O76" s="44"/>
      <c r="Q76" s="44"/>
    </row>
    <row r="77">
      <c r="B77" s="44"/>
      <c r="D77" s="44"/>
      <c r="F77" s="44"/>
      <c r="G77" s="44"/>
      <c r="I77" s="44"/>
      <c r="J77" s="44"/>
      <c r="K77" s="44"/>
      <c r="L77" s="44"/>
      <c r="M77" s="44"/>
      <c r="O77" s="44"/>
      <c r="Q77" s="44"/>
    </row>
    <row r="78">
      <c r="B78" s="44"/>
      <c r="D78" s="44"/>
      <c r="F78" s="44"/>
      <c r="G78" s="44"/>
      <c r="I78" s="44"/>
      <c r="J78" s="44"/>
      <c r="K78" s="44"/>
      <c r="L78" s="44"/>
      <c r="M78" s="44"/>
      <c r="O78" s="44"/>
      <c r="Q78" s="44"/>
    </row>
    <row r="79">
      <c r="B79" s="44"/>
      <c r="D79" s="44"/>
      <c r="F79" s="44"/>
      <c r="G79" s="44"/>
      <c r="I79" s="44"/>
      <c r="J79" s="44"/>
      <c r="K79" s="44"/>
      <c r="L79" s="44"/>
      <c r="M79" s="44"/>
      <c r="O79" s="44"/>
      <c r="Q79" s="44"/>
    </row>
    <row r="80">
      <c r="B80" s="44"/>
      <c r="D80" s="44"/>
      <c r="F80" s="44"/>
      <c r="G80" s="44"/>
      <c r="I80" s="44"/>
      <c r="J80" s="44"/>
      <c r="K80" s="44"/>
      <c r="L80" s="44"/>
      <c r="M80" s="44"/>
      <c r="O80" s="44"/>
      <c r="Q80" s="44"/>
    </row>
    <row r="81">
      <c r="B81" s="44"/>
      <c r="D81" s="44"/>
      <c r="F81" s="44"/>
      <c r="G81" s="44"/>
      <c r="I81" s="44"/>
      <c r="J81" s="44"/>
      <c r="K81" s="44"/>
      <c r="L81" s="44"/>
      <c r="M81" s="44"/>
      <c r="O81" s="44"/>
      <c r="Q81" s="44"/>
    </row>
    <row r="82">
      <c r="B82" s="44"/>
      <c r="D82" s="44"/>
      <c r="F82" s="44"/>
      <c r="G82" s="44"/>
      <c r="I82" s="44"/>
      <c r="J82" s="44"/>
      <c r="K82" s="44"/>
      <c r="L82" s="44"/>
      <c r="M82" s="44"/>
      <c r="O82" s="44"/>
      <c r="Q82" s="44"/>
    </row>
    <row r="83">
      <c r="B83" s="44"/>
      <c r="D83" s="44"/>
      <c r="F83" s="44"/>
      <c r="G83" s="44"/>
      <c r="I83" s="44"/>
      <c r="J83" s="44"/>
      <c r="K83" s="44"/>
      <c r="L83" s="44"/>
      <c r="M83" s="44"/>
      <c r="O83" s="44"/>
      <c r="Q83" s="44"/>
    </row>
    <row r="84">
      <c r="B84" s="44"/>
      <c r="D84" s="44"/>
      <c r="F84" s="44"/>
      <c r="G84" s="44"/>
      <c r="I84" s="44"/>
      <c r="J84" s="44"/>
      <c r="K84" s="44"/>
      <c r="L84" s="44"/>
      <c r="M84" s="44"/>
      <c r="O84" s="44"/>
      <c r="Q84" s="44"/>
    </row>
    <row r="85">
      <c r="B85" s="44"/>
      <c r="D85" s="44"/>
      <c r="F85" s="44"/>
      <c r="G85" s="44"/>
      <c r="I85" s="44"/>
      <c r="J85" s="44"/>
      <c r="K85" s="44"/>
      <c r="L85" s="44"/>
      <c r="M85" s="44"/>
      <c r="O85" s="44"/>
      <c r="Q85" s="44"/>
    </row>
    <row r="86">
      <c r="B86" s="44"/>
      <c r="D86" s="44"/>
      <c r="F86" s="44"/>
      <c r="G86" s="44"/>
      <c r="I86" s="44"/>
      <c r="J86" s="44"/>
      <c r="K86" s="44"/>
      <c r="L86" s="44"/>
      <c r="M86" s="44"/>
      <c r="O86" s="44"/>
      <c r="Q86" s="44"/>
    </row>
    <row r="87">
      <c r="B87" s="44"/>
      <c r="D87" s="44"/>
      <c r="F87" s="44"/>
      <c r="G87" s="44"/>
      <c r="I87" s="44"/>
      <c r="J87" s="44"/>
      <c r="K87" s="44"/>
      <c r="L87" s="44"/>
      <c r="M87" s="44"/>
      <c r="O87" s="44"/>
      <c r="Q87" s="44"/>
    </row>
    <row r="88">
      <c r="B88" s="44"/>
      <c r="D88" s="44"/>
      <c r="F88" s="44"/>
      <c r="G88" s="44"/>
      <c r="I88" s="44"/>
      <c r="J88" s="44"/>
      <c r="K88" s="44"/>
      <c r="L88" s="44"/>
      <c r="M88" s="44"/>
      <c r="O88" s="44"/>
      <c r="Q88" s="44"/>
    </row>
    <row r="89">
      <c r="B89" s="44"/>
      <c r="D89" s="44"/>
      <c r="F89" s="44"/>
      <c r="G89" s="44"/>
      <c r="I89" s="44"/>
      <c r="J89" s="44"/>
      <c r="K89" s="44"/>
      <c r="L89" s="44"/>
      <c r="M89" s="44"/>
      <c r="O89" s="44"/>
      <c r="Q89" s="44"/>
    </row>
    <row r="90">
      <c r="B90" s="44"/>
      <c r="D90" s="44"/>
      <c r="F90" s="44"/>
      <c r="G90" s="44"/>
      <c r="I90" s="44"/>
      <c r="J90" s="44"/>
      <c r="K90" s="44"/>
      <c r="L90" s="44"/>
      <c r="M90" s="44"/>
      <c r="O90" s="44"/>
      <c r="Q90" s="44"/>
    </row>
    <row r="91">
      <c r="B91" s="44"/>
      <c r="D91" s="44"/>
      <c r="F91" s="44"/>
      <c r="G91" s="44"/>
      <c r="I91" s="44"/>
      <c r="J91" s="44"/>
      <c r="K91" s="44"/>
      <c r="L91" s="44"/>
      <c r="M91" s="44"/>
      <c r="O91" s="44"/>
      <c r="Q91" s="44"/>
    </row>
    <row r="92">
      <c r="B92" s="44"/>
      <c r="D92" s="44"/>
      <c r="F92" s="44"/>
      <c r="G92" s="44"/>
      <c r="I92" s="44"/>
      <c r="J92" s="44"/>
      <c r="K92" s="44"/>
      <c r="L92" s="44"/>
      <c r="M92" s="44"/>
      <c r="O92" s="44"/>
      <c r="Q92" s="44"/>
    </row>
    <row r="93">
      <c r="B93" s="44"/>
      <c r="D93" s="44"/>
      <c r="F93" s="44"/>
      <c r="G93" s="44"/>
      <c r="I93" s="44"/>
      <c r="J93" s="44"/>
      <c r="K93" s="44"/>
      <c r="L93" s="44"/>
      <c r="M93" s="44"/>
      <c r="O93" s="44"/>
      <c r="Q93" s="44"/>
    </row>
    <row r="94">
      <c r="B94" s="44"/>
      <c r="D94" s="44"/>
      <c r="F94" s="44"/>
      <c r="G94" s="44"/>
      <c r="I94" s="44"/>
      <c r="J94" s="44"/>
      <c r="K94" s="44"/>
      <c r="L94" s="44"/>
      <c r="M94" s="44"/>
      <c r="O94" s="44"/>
      <c r="Q94" s="44"/>
    </row>
    <row r="95">
      <c r="B95" s="44"/>
      <c r="D95" s="44"/>
      <c r="F95" s="44"/>
      <c r="G95" s="44"/>
      <c r="I95" s="44"/>
      <c r="J95" s="44"/>
      <c r="K95" s="44"/>
      <c r="L95" s="44"/>
      <c r="M95" s="44"/>
      <c r="O95" s="44"/>
      <c r="Q95" s="44"/>
    </row>
    <row r="96">
      <c r="B96" s="44"/>
      <c r="D96" s="44"/>
      <c r="F96" s="44"/>
      <c r="G96" s="44"/>
      <c r="I96" s="44"/>
      <c r="J96" s="44"/>
      <c r="K96" s="44"/>
      <c r="L96" s="44"/>
      <c r="M96" s="44"/>
      <c r="O96" s="44"/>
      <c r="Q96" s="44"/>
    </row>
    <row r="97">
      <c r="B97" s="44"/>
      <c r="D97" s="44"/>
      <c r="F97" s="44"/>
      <c r="G97" s="44"/>
      <c r="I97" s="44"/>
      <c r="J97" s="44"/>
      <c r="K97" s="44"/>
      <c r="L97" s="44"/>
      <c r="M97" s="44"/>
      <c r="O97" s="44"/>
      <c r="Q97" s="44"/>
    </row>
    <row r="98">
      <c r="B98" s="44"/>
      <c r="D98" s="44"/>
      <c r="F98" s="44"/>
      <c r="G98" s="44"/>
      <c r="I98" s="44"/>
      <c r="J98" s="44"/>
      <c r="K98" s="44"/>
      <c r="L98" s="44"/>
      <c r="M98" s="44"/>
      <c r="O98" s="44"/>
      <c r="Q98" s="44"/>
    </row>
    <row r="99">
      <c r="B99" s="44"/>
      <c r="D99" s="44"/>
      <c r="F99" s="44"/>
      <c r="G99" s="44"/>
      <c r="I99" s="44"/>
      <c r="J99" s="44"/>
      <c r="K99" s="44"/>
      <c r="L99" s="44"/>
      <c r="M99" s="44"/>
      <c r="O99" s="44"/>
      <c r="Q99" s="44"/>
    </row>
    <row r="100">
      <c r="B100" s="44"/>
      <c r="D100" s="44"/>
      <c r="F100" s="44"/>
      <c r="G100" s="44"/>
      <c r="I100" s="44"/>
      <c r="J100" s="44"/>
      <c r="K100" s="44"/>
      <c r="L100" s="44"/>
      <c r="M100" s="44"/>
      <c r="O100" s="44"/>
      <c r="Q100" s="44"/>
    </row>
    <row r="101">
      <c r="B101" s="44"/>
      <c r="D101" s="44"/>
      <c r="F101" s="44"/>
      <c r="G101" s="44"/>
      <c r="I101" s="44"/>
      <c r="J101" s="44"/>
      <c r="K101" s="44"/>
      <c r="L101" s="44"/>
      <c r="M101" s="44"/>
      <c r="O101" s="44"/>
      <c r="Q101" s="44"/>
    </row>
    <row r="102">
      <c r="B102" s="44"/>
      <c r="D102" s="44"/>
      <c r="F102" s="44"/>
      <c r="G102" s="44"/>
      <c r="I102" s="44"/>
      <c r="J102" s="44"/>
      <c r="K102" s="44"/>
      <c r="L102" s="44"/>
      <c r="M102" s="44"/>
      <c r="O102" s="44"/>
      <c r="Q102" s="44"/>
    </row>
    <row r="103">
      <c r="B103" s="44"/>
      <c r="D103" s="44"/>
      <c r="F103" s="44"/>
      <c r="G103" s="44"/>
      <c r="I103" s="44"/>
      <c r="J103" s="44"/>
      <c r="K103" s="44"/>
      <c r="L103" s="44"/>
      <c r="M103" s="44"/>
      <c r="O103" s="44"/>
      <c r="Q103" s="44"/>
    </row>
    <row r="104">
      <c r="B104" s="44"/>
      <c r="D104" s="44"/>
      <c r="F104" s="44"/>
      <c r="G104" s="44"/>
      <c r="I104" s="44"/>
      <c r="J104" s="44"/>
      <c r="K104" s="44"/>
      <c r="L104" s="44"/>
      <c r="M104" s="44"/>
      <c r="O104" s="44"/>
      <c r="Q104" s="44"/>
    </row>
    <row r="105">
      <c r="B105" s="44"/>
      <c r="D105" s="44"/>
      <c r="F105" s="44"/>
      <c r="G105" s="44"/>
      <c r="I105" s="44"/>
      <c r="J105" s="44"/>
      <c r="K105" s="44"/>
      <c r="L105" s="44"/>
      <c r="M105" s="44"/>
      <c r="O105" s="44"/>
      <c r="Q105" s="44"/>
    </row>
    <row r="106">
      <c r="B106" s="44"/>
      <c r="D106" s="44"/>
      <c r="F106" s="44"/>
      <c r="G106" s="44"/>
      <c r="I106" s="44"/>
      <c r="J106" s="44"/>
      <c r="K106" s="44"/>
      <c r="L106" s="44"/>
      <c r="M106" s="44"/>
      <c r="O106" s="44"/>
      <c r="Q106" s="44"/>
    </row>
    <row r="107">
      <c r="B107" s="44"/>
      <c r="D107" s="44"/>
      <c r="F107" s="44"/>
      <c r="G107" s="44"/>
      <c r="I107" s="44"/>
      <c r="J107" s="44"/>
      <c r="K107" s="44"/>
      <c r="L107" s="44"/>
      <c r="M107" s="44"/>
      <c r="O107" s="44"/>
      <c r="Q107" s="44"/>
    </row>
    <row r="108">
      <c r="B108" s="44"/>
      <c r="D108" s="44"/>
      <c r="F108" s="44"/>
      <c r="G108" s="44"/>
      <c r="I108" s="44"/>
      <c r="J108" s="44"/>
      <c r="K108" s="44"/>
      <c r="L108" s="44"/>
      <c r="M108" s="44"/>
      <c r="O108" s="44"/>
      <c r="Q108" s="44"/>
    </row>
    <row r="109">
      <c r="B109" s="44"/>
      <c r="D109" s="44"/>
      <c r="F109" s="44"/>
      <c r="G109" s="44"/>
      <c r="I109" s="44"/>
      <c r="J109" s="44"/>
      <c r="K109" s="44"/>
      <c r="L109" s="44"/>
      <c r="M109" s="44"/>
      <c r="O109" s="44"/>
      <c r="Q109" s="44"/>
    </row>
    <row r="110">
      <c r="B110" s="44"/>
      <c r="D110" s="44"/>
      <c r="F110" s="44"/>
      <c r="G110" s="44"/>
      <c r="I110" s="44"/>
      <c r="J110" s="44"/>
      <c r="K110" s="44"/>
      <c r="L110" s="44"/>
      <c r="M110" s="44"/>
      <c r="O110" s="44"/>
      <c r="Q110" s="44"/>
    </row>
    <row r="111">
      <c r="B111" s="44"/>
      <c r="D111" s="44"/>
      <c r="F111" s="44"/>
      <c r="G111" s="44"/>
      <c r="I111" s="44"/>
      <c r="J111" s="44"/>
      <c r="K111" s="44"/>
      <c r="L111" s="44"/>
      <c r="M111" s="44"/>
      <c r="O111" s="44"/>
      <c r="Q111" s="44"/>
    </row>
    <row r="112">
      <c r="B112" s="44"/>
      <c r="D112" s="44"/>
      <c r="F112" s="44"/>
      <c r="G112" s="44"/>
      <c r="I112" s="44"/>
      <c r="J112" s="44"/>
      <c r="K112" s="44"/>
      <c r="L112" s="44"/>
      <c r="M112" s="44"/>
      <c r="O112" s="44"/>
      <c r="Q112" s="44"/>
    </row>
    <row r="113">
      <c r="B113" s="44"/>
      <c r="D113" s="44"/>
      <c r="F113" s="44"/>
      <c r="G113" s="44"/>
      <c r="I113" s="44"/>
      <c r="J113" s="44"/>
      <c r="K113" s="44"/>
      <c r="L113" s="44"/>
      <c r="M113" s="44"/>
      <c r="O113" s="44"/>
      <c r="Q113" s="44"/>
    </row>
    <row r="114">
      <c r="B114" s="44"/>
      <c r="D114" s="44"/>
      <c r="F114" s="44"/>
      <c r="G114" s="44"/>
      <c r="I114" s="44"/>
      <c r="J114" s="44"/>
      <c r="K114" s="44"/>
      <c r="L114" s="44"/>
      <c r="M114" s="44"/>
      <c r="O114" s="44"/>
      <c r="Q114" s="44"/>
    </row>
    <row r="115">
      <c r="B115" s="44"/>
      <c r="D115" s="44"/>
      <c r="F115" s="44"/>
      <c r="G115" s="44"/>
      <c r="I115" s="44"/>
      <c r="J115" s="44"/>
      <c r="K115" s="44"/>
      <c r="L115" s="44"/>
      <c r="M115" s="44"/>
      <c r="O115" s="44"/>
      <c r="Q115" s="44"/>
    </row>
    <row r="116">
      <c r="B116" s="44"/>
      <c r="D116" s="44"/>
      <c r="F116" s="44"/>
      <c r="G116" s="44"/>
      <c r="I116" s="44"/>
      <c r="J116" s="44"/>
      <c r="K116" s="44"/>
      <c r="L116" s="44"/>
      <c r="M116" s="44"/>
      <c r="O116" s="44"/>
      <c r="Q116" s="44"/>
    </row>
    <row r="117">
      <c r="B117" s="44"/>
      <c r="D117" s="44"/>
      <c r="F117" s="44"/>
      <c r="G117" s="44"/>
      <c r="I117" s="44"/>
      <c r="J117" s="44"/>
      <c r="K117" s="44"/>
      <c r="L117" s="44"/>
      <c r="M117" s="44"/>
      <c r="O117" s="44"/>
      <c r="Q117" s="44"/>
    </row>
    <row r="118">
      <c r="B118" s="44"/>
      <c r="D118" s="44"/>
      <c r="F118" s="44"/>
      <c r="G118" s="44"/>
      <c r="I118" s="44"/>
      <c r="J118" s="44"/>
      <c r="K118" s="44"/>
      <c r="L118" s="44"/>
      <c r="M118" s="44"/>
      <c r="O118" s="44"/>
      <c r="Q118" s="44"/>
    </row>
    <row r="119">
      <c r="B119" s="44"/>
      <c r="D119" s="44"/>
      <c r="F119" s="44"/>
      <c r="G119" s="44"/>
      <c r="I119" s="44"/>
      <c r="J119" s="44"/>
      <c r="K119" s="44"/>
      <c r="L119" s="44"/>
      <c r="M119" s="44"/>
      <c r="O119" s="44"/>
      <c r="Q119" s="44"/>
    </row>
    <row r="120">
      <c r="B120" s="44"/>
      <c r="D120" s="44"/>
      <c r="F120" s="44"/>
      <c r="G120" s="44"/>
      <c r="I120" s="44"/>
      <c r="J120" s="44"/>
      <c r="K120" s="44"/>
      <c r="L120" s="44"/>
      <c r="M120" s="44"/>
      <c r="O120" s="44"/>
      <c r="Q120" s="44"/>
    </row>
    <row r="121">
      <c r="B121" s="44"/>
      <c r="D121" s="44"/>
      <c r="F121" s="44"/>
      <c r="G121" s="44"/>
      <c r="I121" s="44"/>
      <c r="J121" s="44"/>
      <c r="K121" s="44"/>
      <c r="L121" s="44"/>
      <c r="M121" s="44"/>
      <c r="O121" s="44"/>
      <c r="Q121" s="44"/>
    </row>
    <row r="122">
      <c r="B122" s="44"/>
      <c r="D122" s="44"/>
      <c r="F122" s="44"/>
      <c r="G122" s="44"/>
      <c r="I122" s="44"/>
      <c r="J122" s="44"/>
      <c r="K122" s="44"/>
      <c r="L122" s="44"/>
      <c r="M122" s="44"/>
      <c r="O122" s="44"/>
      <c r="Q122" s="44"/>
    </row>
    <row r="123">
      <c r="B123" s="44"/>
      <c r="D123" s="44"/>
      <c r="F123" s="44"/>
      <c r="G123" s="44"/>
      <c r="I123" s="44"/>
      <c r="J123" s="44"/>
      <c r="K123" s="44"/>
      <c r="L123" s="44"/>
      <c r="M123" s="44"/>
      <c r="O123" s="44"/>
      <c r="Q123" s="44"/>
    </row>
    <row r="124">
      <c r="B124" s="44"/>
      <c r="D124" s="44"/>
      <c r="F124" s="44"/>
      <c r="G124" s="44"/>
      <c r="I124" s="44"/>
      <c r="J124" s="44"/>
      <c r="K124" s="44"/>
      <c r="L124" s="44"/>
      <c r="M124" s="44"/>
      <c r="O124" s="44"/>
      <c r="Q124" s="44"/>
    </row>
    <row r="125">
      <c r="B125" s="44"/>
      <c r="D125" s="44"/>
      <c r="F125" s="44"/>
      <c r="G125" s="44"/>
      <c r="I125" s="44"/>
      <c r="J125" s="44"/>
      <c r="K125" s="44"/>
      <c r="L125" s="44"/>
      <c r="M125" s="44"/>
      <c r="O125" s="44"/>
      <c r="Q125" s="44"/>
    </row>
    <row r="126">
      <c r="B126" s="44"/>
      <c r="D126" s="44"/>
      <c r="F126" s="44"/>
      <c r="G126" s="44"/>
      <c r="I126" s="44"/>
      <c r="J126" s="44"/>
      <c r="K126" s="44"/>
      <c r="L126" s="44"/>
      <c r="M126" s="44"/>
      <c r="O126" s="44"/>
      <c r="Q126" s="44"/>
    </row>
    <row r="127">
      <c r="B127" s="44"/>
      <c r="D127" s="44"/>
      <c r="F127" s="44"/>
      <c r="G127" s="44"/>
      <c r="I127" s="44"/>
      <c r="J127" s="44"/>
      <c r="K127" s="44"/>
      <c r="L127" s="44"/>
      <c r="M127" s="44"/>
      <c r="O127" s="44"/>
      <c r="Q127" s="44"/>
    </row>
    <row r="128">
      <c r="B128" s="44"/>
      <c r="D128" s="44"/>
      <c r="F128" s="44"/>
      <c r="G128" s="44"/>
      <c r="I128" s="44"/>
      <c r="J128" s="44"/>
      <c r="K128" s="44"/>
      <c r="L128" s="44"/>
      <c r="M128" s="44"/>
      <c r="O128" s="44"/>
      <c r="Q128" s="44"/>
    </row>
    <row r="129">
      <c r="B129" s="44"/>
      <c r="D129" s="44"/>
      <c r="F129" s="44"/>
      <c r="G129" s="44"/>
      <c r="I129" s="44"/>
      <c r="J129" s="44"/>
      <c r="K129" s="44"/>
      <c r="L129" s="44"/>
      <c r="M129" s="44"/>
      <c r="O129" s="44"/>
      <c r="Q129" s="44"/>
    </row>
    <row r="130">
      <c r="B130" s="44"/>
      <c r="D130" s="44"/>
      <c r="F130" s="44"/>
      <c r="G130" s="44"/>
      <c r="I130" s="44"/>
      <c r="J130" s="44"/>
      <c r="K130" s="44"/>
      <c r="L130" s="44"/>
      <c r="M130" s="44"/>
      <c r="O130" s="44"/>
      <c r="Q130" s="44"/>
    </row>
    <row r="131">
      <c r="B131" s="44"/>
      <c r="D131" s="44"/>
      <c r="F131" s="44"/>
      <c r="G131" s="44"/>
      <c r="I131" s="44"/>
      <c r="J131" s="44"/>
      <c r="K131" s="44"/>
      <c r="L131" s="44"/>
      <c r="M131" s="44"/>
      <c r="O131" s="44"/>
      <c r="Q131" s="44"/>
    </row>
    <row r="132">
      <c r="B132" s="44"/>
      <c r="D132" s="44"/>
      <c r="F132" s="44"/>
      <c r="G132" s="44"/>
      <c r="I132" s="44"/>
      <c r="J132" s="44"/>
      <c r="K132" s="44"/>
      <c r="L132" s="44"/>
      <c r="M132" s="44"/>
      <c r="O132" s="44"/>
      <c r="Q132" s="44"/>
    </row>
    <row r="133">
      <c r="B133" s="44"/>
      <c r="D133" s="44"/>
      <c r="F133" s="44"/>
      <c r="G133" s="44"/>
      <c r="I133" s="44"/>
      <c r="J133" s="44"/>
      <c r="K133" s="44"/>
      <c r="L133" s="44"/>
      <c r="M133" s="44"/>
      <c r="O133" s="44"/>
      <c r="Q133" s="44"/>
    </row>
    <row r="134">
      <c r="B134" s="44"/>
      <c r="D134" s="44"/>
      <c r="F134" s="44"/>
      <c r="G134" s="44"/>
      <c r="I134" s="44"/>
      <c r="J134" s="44"/>
      <c r="K134" s="44"/>
      <c r="L134" s="44"/>
      <c r="M134" s="44"/>
      <c r="O134" s="44"/>
      <c r="Q134" s="44"/>
    </row>
    <row r="135">
      <c r="B135" s="44"/>
      <c r="D135" s="44"/>
      <c r="F135" s="44"/>
      <c r="G135" s="44"/>
      <c r="I135" s="44"/>
      <c r="J135" s="44"/>
      <c r="K135" s="44"/>
      <c r="L135" s="44"/>
      <c r="M135" s="44"/>
      <c r="O135" s="44"/>
      <c r="Q135" s="44"/>
    </row>
    <row r="136">
      <c r="B136" s="44"/>
      <c r="D136" s="44"/>
      <c r="F136" s="44"/>
      <c r="G136" s="44"/>
      <c r="I136" s="44"/>
      <c r="J136" s="44"/>
      <c r="K136" s="44"/>
      <c r="L136" s="44"/>
      <c r="M136" s="44"/>
      <c r="O136" s="44"/>
      <c r="Q136" s="44"/>
    </row>
    <row r="137">
      <c r="B137" s="44"/>
      <c r="D137" s="44"/>
      <c r="F137" s="44"/>
      <c r="G137" s="44"/>
      <c r="I137" s="44"/>
      <c r="J137" s="44"/>
      <c r="K137" s="44"/>
      <c r="L137" s="44"/>
      <c r="M137" s="44"/>
      <c r="O137" s="44"/>
      <c r="Q137" s="44"/>
    </row>
    <row r="138">
      <c r="B138" s="44"/>
      <c r="D138" s="44"/>
      <c r="F138" s="44"/>
      <c r="G138" s="44"/>
      <c r="I138" s="44"/>
      <c r="J138" s="44"/>
      <c r="K138" s="44"/>
      <c r="L138" s="44"/>
      <c r="M138" s="44"/>
      <c r="O138" s="44"/>
      <c r="Q138" s="44"/>
    </row>
    <row r="139">
      <c r="B139" s="44"/>
      <c r="D139" s="44"/>
      <c r="F139" s="44"/>
      <c r="G139" s="44"/>
      <c r="I139" s="44"/>
      <c r="J139" s="44"/>
      <c r="K139" s="44"/>
      <c r="L139" s="44"/>
      <c r="M139" s="44"/>
      <c r="O139" s="44"/>
      <c r="Q139" s="44"/>
    </row>
    <row r="140">
      <c r="B140" s="44"/>
      <c r="D140" s="44"/>
      <c r="F140" s="44"/>
      <c r="G140" s="44"/>
      <c r="I140" s="44"/>
      <c r="J140" s="44"/>
      <c r="K140" s="44"/>
      <c r="L140" s="44"/>
      <c r="M140" s="44"/>
      <c r="O140" s="44"/>
      <c r="Q140" s="44"/>
    </row>
    <row r="141">
      <c r="B141" s="44"/>
      <c r="D141" s="44"/>
      <c r="F141" s="44"/>
      <c r="G141" s="44"/>
      <c r="I141" s="44"/>
      <c r="J141" s="44"/>
      <c r="K141" s="44"/>
      <c r="L141" s="44"/>
      <c r="M141" s="44"/>
      <c r="O141" s="44"/>
      <c r="Q141" s="44"/>
    </row>
    <row r="142">
      <c r="B142" s="44"/>
      <c r="D142" s="44"/>
      <c r="F142" s="44"/>
      <c r="G142" s="44"/>
      <c r="I142" s="44"/>
      <c r="J142" s="44"/>
      <c r="K142" s="44"/>
      <c r="L142" s="44"/>
      <c r="M142" s="44"/>
      <c r="O142" s="44"/>
      <c r="Q142" s="44"/>
    </row>
    <row r="143">
      <c r="B143" s="44"/>
      <c r="D143" s="44"/>
      <c r="F143" s="44"/>
      <c r="G143" s="44"/>
      <c r="I143" s="44"/>
      <c r="J143" s="44"/>
      <c r="K143" s="44"/>
      <c r="L143" s="44"/>
      <c r="M143" s="44"/>
      <c r="O143" s="44"/>
      <c r="Q143" s="44"/>
    </row>
    <row r="144">
      <c r="B144" s="44"/>
      <c r="D144" s="44"/>
      <c r="F144" s="44"/>
      <c r="G144" s="44"/>
      <c r="I144" s="44"/>
      <c r="J144" s="44"/>
      <c r="K144" s="44"/>
      <c r="L144" s="44"/>
      <c r="M144" s="44"/>
      <c r="O144" s="44"/>
      <c r="Q144" s="44"/>
    </row>
    <row r="145">
      <c r="B145" s="44"/>
      <c r="D145" s="44"/>
      <c r="F145" s="44"/>
      <c r="G145" s="44"/>
      <c r="I145" s="44"/>
      <c r="J145" s="44"/>
      <c r="K145" s="44"/>
      <c r="L145" s="44"/>
      <c r="M145" s="44"/>
      <c r="O145" s="44"/>
      <c r="Q145" s="44"/>
    </row>
    <row r="146">
      <c r="B146" s="44"/>
      <c r="D146" s="44"/>
      <c r="F146" s="44"/>
      <c r="G146" s="44"/>
      <c r="I146" s="44"/>
      <c r="J146" s="44"/>
      <c r="K146" s="44"/>
      <c r="L146" s="44"/>
      <c r="M146" s="44"/>
      <c r="O146" s="44"/>
      <c r="Q146" s="44"/>
    </row>
    <row r="147">
      <c r="B147" s="44"/>
      <c r="D147" s="44"/>
      <c r="F147" s="44"/>
      <c r="G147" s="44"/>
      <c r="I147" s="44"/>
      <c r="J147" s="44"/>
      <c r="K147" s="44"/>
      <c r="L147" s="44"/>
      <c r="M147" s="44"/>
      <c r="O147" s="44"/>
      <c r="Q147" s="44"/>
    </row>
    <row r="148">
      <c r="B148" s="44"/>
      <c r="D148" s="44"/>
      <c r="F148" s="44"/>
      <c r="G148" s="44"/>
      <c r="I148" s="44"/>
      <c r="J148" s="44"/>
      <c r="K148" s="44"/>
      <c r="L148" s="44"/>
      <c r="M148" s="44"/>
      <c r="O148" s="44"/>
      <c r="Q148" s="44"/>
    </row>
    <row r="149">
      <c r="B149" s="44"/>
      <c r="D149" s="44"/>
      <c r="F149" s="44"/>
      <c r="G149" s="44"/>
      <c r="I149" s="44"/>
      <c r="J149" s="44"/>
      <c r="K149" s="44"/>
      <c r="L149" s="44"/>
      <c r="M149" s="44"/>
      <c r="O149" s="44"/>
      <c r="Q149" s="44"/>
    </row>
    <row r="150">
      <c r="B150" s="44"/>
      <c r="D150" s="44"/>
      <c r="F150" s="44"/>
      <c r="G150" s="44"/>
      <c r="I150" s="44"/>
      <c r="J150" s="44"/>
      <c r="K150" s="44"/>
      <c r="L150" s="44"/>
      <c r="M150" s="44"/>
      <c r="O150" s="44"/>
      <c r="Q150" s="44"/>
    </row>
    <row r="151">
      <c r="B151" s="44"/>
      <c r="D151" s="44"/>
      <c r="F151" s="44"/>
      <c r="G151" s="44"/>
      <c r="I151" s="44"/>
      <c r="J151" s="44"/>
      <c r="K151" s="44"/>
      <c r="L151" s="44"/>
      <c r="M151" s="44"/>
      <c r="O151" s="44"/>
      <c r="Q151" s="44"/>
    </row>
    <row r="152">
      <c r="B152" s="44"/>
      <c r="D152" s="44"/>
      <c r="F152" s="44"/>
      <c r="G152" s="44"/>
      <c r="I152" s="44"/>
      <c r="J152" s="44"/>
      <c r="K152" s="44"/>
      <c r="L152" s="44"/>
      <c r="M152" s="44"/>
      <c r="O152" s="44"/>
      <c r="Q152" s="44"/>
    </row>
    <row r="153">
      <c r="B153" s="44"/>
      <c r="D153" s="44"/>
      <c r="F153" s="44"/>
      <c r="G153" s="44"/>
      <c r="I153" s="44"/>
      <c r="J153" s="44"/>
      <c r="K153" s="44"/>
      <c r="L153" s="44"/>
      <c r="M153" s="44"/>
      <c r="O153" s="44"/>
      <c r="Q153" s="44"/>
    </row>
    <row r="154">
      <c r="B154" s="44"/>
      <c r="D154" s="44"/>
      <c r="F154" s="44"/>
      <c r="G154" s="44"/>
      <c r="I154" s="44"/>
      <c r="J154" s="44"/>
      <c r="K154" s="44"/>
      <c r="L154" s="44"/>
      <c r="M154" s="44"/>
      <c r="O154" s="44"/>
      <c r="Q154" s="44"/>
    </row>
    <row r="155">
      <c r="B155" s="44"/>
      <c r="D155" s="44"/>
      <c r="F155" s="44"/>
      <c r="G155" s="44"/>
      <c r="I155" s="44"/>
      <c r="J155" s="44"/>
      <c r="K155" s="44"/>
      <c r="L155" s="44"/>
      <c r="M155" s="44"/>
      <c r="O155" s="44"/>
      <c r="Q155" s="44"/>
    </row>
    <row r="156">
      <c r="B156" s="44"/>
      <c r="D156" s="44"/>
      <c r="F156" s="44"/>
      <c r="G156" s="44"/>
      <c r="I156" s="44"/>
      <c r="J156" s="44"/>
      <c r="K156" s="44"/>
      <c r="L156" s="44"/>
      <c r="M156" s="44"/>
      <c r="O156" s="44"/>
      <c r="Q156" s="44"/>
    </row>
    <row r="157">
      <c r="B157" s="44"/>
      <c r="D157" s="44"/>
      <c r="F157" s="44"/>
      <c r="G157" s="44"/>
      <c r="I157" s="44"/>
      <c r="J157" s="44"/>
      <c r="K157" s="44"/>
      <c r="L157" s="44"/>
      <c r="M157" s="44"/>
      <c r="O157" s="44"/>
      <c r="Q157" s="44"/>
    </row>
    <row r="158">
      <c r="B158" s="44"/>
      <c r="D158" s="44"/>
      <c r="F158" s="44"/>
      <c r="G158" s="44"/>
      <c r="I158" s="44"/>
      <c r="J158" s="44"/>
      <c r="K158" s="44"/>
      <c r="L158" s="44"/>
      <c r="M158" s="44"/>
      <c r="O158" s="44"/>
      <c r="Q158" s="44"/>
    </row>
    <row r="159">
      <c r="B159" s="44"/>
      <c r="D159" s="44"/>
      <c r="F159" s="44"/>
      <c r="G159" s="44"/>
      <c r="I159" s="44"/>
      <c r="J159" s="44"/>
      <c r="K159" s="44"/>
      <c r="L159" s="44"/>
      <c r="M159" s="44"/>
      <c r="O159" s="44"/>
      <c r="Q159" s="44"/>
    </row>
    <row r="160">
      <c r="B160" s="44"/>
      <c r="D160" s="44"/>
      <c r="F160" s="44"/>
      <c r="G160" s="44"/>
      <c r="I160" s="44"/>
      <c r="J160" s="44"/>
      <c r="K160" s="44"/>
      <c r="L160" s="44"/>
      <c r="M160" s="44"/>
      <c r="O160" s="44"/>
      <c r="Q160" s="44"/>
    </row>
    <row r="161">
      <c r="B161" s="44"/>
      <c r="D161" s="44"/>
      <c r="F161" s="44"/>
      <c r="G161" s="44"/>
      <c r="I161" s="44"/>
      <c r="J161" s="44"/>
      <c r="K161" s="44"/>
      <c r="L161" s="44"/>
      <c r="M161" s="44"/>
      <c r="O161" s="44"/>
      <c r="Q161" s="44"/>
    </row>
    <row r="162">
      <c r="B162" s="44"/>
      <c r="D162" s="44"/>
      <c r="F162" s="44"/>
      <c r="G162" s="44"/>
      <c r="I162" s="44"/>
      <c r="J162" s="44"/>
      <c r="K162" s="44"/>
      <c r="L162" s="44"/>
      <c r="M162" s="44"/>
      <c r="O162" s="44"/>
      <c r="Q162" s="44"/>
    </row>
    <row r="163">
      <c r="B163" s="44"/>
      <c r="D163" s="44"/>
      <c r="F163" s="44"/>
      <c r="G163" s="44"/>
      <c r="I163" s="44"/>
      <c r="J163" s="44"/>
      <c r="K163" s="44"/>
      <c r="L163" s="44"/>
      <c r="M163" s="44"/>
      <c r="O163" s="44"/>
      <c r="Q163" s="44"/>
    </row>
    <row r="164">
      <c r="B164" s="44"/>
      <c r="D164" s="44"/>
      <c r="F164" s="44"/>
      <c r="G164" s="44"/>
      <c r="I164" s="44"/>
      <c r="J164" s="44"/>
      <c r="K164" s="44"/>
      <c r="L164" s="44"/>
      <c r="M164" s="44"/>
      <c r="O164" s="44"/>
      <c r="Q164" s="44"/>
    </row>
    <row r="165">
      <c r="B165" s="44"/>
      <c r="D165" s="44"/>
      <c r="F165" s="44"/>
      <c r="G165" s="44"/>
      <c r="I165" s="44"/>
      <c r="J165" s="44"/>
      <c r="K165" s="44"/>
      <c r="L165" s="44"/>
      <c r="M165" s="44"/>
      <c r="O165" s="44"/>
      <c r="Q165" s="44"/>
    </row>
    <row r="166">
      <c r="B166" s="44"/>
      <c r="D166" s="44"/>
      <c r="F166" s="44"/>
      <c r="G166" s="44"/>
      <c r="I166" s="44"/>
      <c r="J166" s="44"/>
      <c r="K166" s="44"/>
      <c r="L166" s="44"/>
      <c r="M166" s="44"/>
      <c r="O166" s="44"/>
      <c r="Q166" s="44"/>
    </row>
    <row r="167">
      <c r="B167" s="44"/>
      <c r="D167" s="44"/>
      <c r="F167" s="44"/>
      <c r="G167" s="44"/>
      <c r="I167" s="44"/>
      <c r="J167" s="44"/>
      <c r="K167" s="44"/>
      <c r="L167" s="44"/>
      <c r="M167" s="44"/>
      <c r="O167" s="44"/>
      <c r="Q167" s="44"/>
    </row>
    <row r="168">
      <c r="B168" s="44"/>
      <c r="D168" s="44"/>
      <c r="F168" s="44"/>
      <c r="G168" s="44"/>
      <c r="I168" s="44"/>
      <c r="J168" s="44"/>
      <c r="K168" s="44"/>
      <c r="L168" s="44"/>
      <c r="M168" s="44"/>
      <c r="O168" s="44"/>
      <c r="Q168" s="44"/>
    </row>
    <row r="169">
      <c r="B169" s="44"/>
      <c r="D169" s="44"/>
      <c r="F169" s="44"/>
      <c r="G169" s="44"/>
      <c r="I169" s="44"/>
      <c r="J169" s="44"/>
      <c r="K169" s="44"/>
      <c r="L169" s="44"/>
      <c r="M169" s="44"/>
      <c r="O169" s="44"/>
      <c r="Q169" s="44"/>
    </row>
    <row r="170">
      <c r="B170" s="44"/>
      <c r="D170" s="44"/>
      <c r="F170" s="44"/>
      <c r="G170" s="44"/>
      <c r="I170" s="44"/>
      <c r="J170" s="44"/>
      <c r="K170" s="44"/>
      <c r="L170" s="44"/>
      <c r="M170" s="44"/>
      <c r="O170" s="44"/>
      <c r="Q170" s="44"/>
    </row>
    <row r="171">
      <c r="B171" s="44"/>
      <c r="D171" s="44"/>
      <c r="F171" s="44"/>
      <c r="G171" s="44"/>
      <c r="I171" s="44"/>
      <c r="J171" s="44"/>
      <c r="K171" s="44"/>
      <c r="L171" s="44"/>
      <c r="M171" s="44"/>
      <c r="O171" s="44"/>
      <c r="Q171" s="44"/>
    </row>
    <row r="172">
      <c r="B172" s="44"/>
      <c r="D172" s="44"/>
      <c r="F172" s="44"/>
      <c r="G172" s="44"/>
      <c r="I172" s="44"/>
      <c r="J172" s="44"/>
      <c r="K172" s="44"/>
      <c r="L172" s="44"/>
      <c r="M172" s="44"/>
      <c r="O172" s="44"/>
      <c r="Q172" s="44"/>
    </row>
    <row r="173">
      <c r="B173" s="44"/>
      <c r="D173" s="44"/>
      <c r="F173" s="44"/>
      <c r="G173" s="44"/>
      <c r="I173" s="44"/>
      <c r="J173" s="44"/>
      <c r="K173" s="44"/>
      <c r="L173" s="44"/>
      <c r="M173" s="44"/>
      <c r="O173" s="44"/>
      <c r="Q173" s="44"/>
    </row>
    <row r="174">
      <c r="B174" s="44"/>
      <c r="D174" s="44"/>
      <c r="F174" s="44"/>
      <c r="G174" s="44"/>
      <c r="I174" s="44"/>
      <c r="J174" s="44"/>
      <c r="K174" s="44"/>
      <c r="L174" s="44"/>
      <c r="M174" s="44"/>
      <c r="O174" s="44"/>
      <c r="Q174" s="44"/>
    </row>
    <row r="175">
      <c r="B175" s="44"/>
      <c r="D175" s="44"/>
      <c r="F175" s="44"/>
      <c r="G175" s="44"/>
      <c r="I175" s="44"/>
      <c r="J175" s="44"/>
      <c r="K175" s="44"/>
      <c r="L175" s="44"/>
      <c r="M175" s="44"/>
      <c r="O175" s="44"/>
      <c r="Q175" s="44"/>
    </row>
    <row r="176">
      <c r="B176" s="44"/>
      <c r="D176" s="44"/>
      <c r="F176" s="44"/>
      <c r="G176" s="44"/>
      <c r="I176" s="44"/>
      <c r="J176" s="44"/>
      <c r="K176" s="44"/>
      <c r="L176" s="44"/>
      <c r="M176" s="44"/>
      <c r="O176" s="44"/>
      <c r="Q176" s="44"/>
    </row>
    <row r="177">
      <c r="B177" s="44"/>
      <c r="D177" s="44"/>
      <c r="F177" s="44"/>
      <c r="G177" s="44"/>
      <c r="I177" s="44"/>
      <c r="J177" s="44"/>
      <c r="K177" s="44"/>
      <c r="L177" s="44"/>
      <c r="M177" s="44"/>
      <c r="O177" s="44"/>
      <c r="Q177" s="44"/>
    </row>
    <row r="178">
      <c r="B178" s="44"/>
      <c r="D178" s="44"/>
      <c r="F178" s="44"/>
      <c r="G178" s="44"/>
      <c r="I178" s="44"/>
      <c r="J178" s="44"/>
      <c r="K178" s="44"/>
      <c r="L178" s="44"/>
      <c r="M178" s="44"/>
      <c r="O178" s="44"/>
      <c r="Q178" s="44"/>
    </row>
    <row r="179">
      <c r="B179" s="44"/>
      <c r="D179" s="44"/>
      <c r="F179" s="44"/>
      <c r="G179" s="44"/>
      <c r="I179" s="44"/>
      <c r="J179" s="44"/>
      <c r="K179" s="44"/>
      <c r="L179" s="44"/>
      <c r="M179" s="44"/>
      <c r="O179" s="44"/>
      <c r="Q179" s="44"/>
    </row>
    <row r="180">
      <c r="B180" s="44"/>
      <c r="D180" s="44"/>
      <c r="F180" s="44"/>
      <c r="G180" s="44"/>
      <c r="I180" s="44"/>
      <c r="J180" s="44"/>
      <c r="K180" s="44"/>
      <c r="L180" s="44"/>
      <c r="M180" s="44"/>
      <c r="O180" s="44"/>
      <c r="Q180" s="44"/>
    </row>
    <row r="181">
      <c r="B181" s="44"/>
      <c r="D181" s="44"/>
      <c r="F181" s="44"/>
      <c r="G181" s="44"/>
      <c r="I181" s="44"/>
      <c r="J181" s="44"/>
      <c r="K181" s="44"/>
      <c r="L181" s="44"/>
      <c r="M181" s="44"/>
      <c r="O181" s="44"/>
      <c r="Q181" s="44"/>
    </row>
    <row r="182">
      <c r="B182" s="44"/>
      <c r="D182" s="44"/>
      <c r="F182" s="44"/>
      <c r="G182" s="44"/>
      <c r="I182" s="44"/>
      <c r="J182" s="44"/>
      <c r="K182" s="44"/>
      <c r="L182" s="44"/>
      <c r="M182" s="44"/>
      <c r="O182" s="44"/>
      <c r="Q182" s="44"/>
    </row>
    <row r="183">
      <c r="B183" s="44"/>
      <c r="D183" s="44"/>
      <c r="F183" s="44"/>
      <c r="G183" s="44"/>
      <c r="I183" s="44"/>
      <c r="J183" s="44"/>
      <c r="K183" s="44"/>
      <c r="L183" s="44"/>
      <c r="M183" s="44"/>
      <c r="O183" s="44"/>
      <c r="Q183" s="44"/>
    </row>
    <row r="184">
      <c r="B184" s="44"/>
      <c r="D184" s="44"/>
      <c r="F184" s="44"/>
      <c r="G184" s="44"/>
      <c r="I184" s="44"/>
      <c r="J184" s="44"/>
      <c r="K184" s="44"/>
      <c r="L184" s="44"/>
      <c r="M184" s="44"/>
      <c r="O184" s="44"/>
      <c r="Q184" s="44"/>
    </row>
    <row r="185">
      <c r="B185" s="44"/>
      <c r="D185" s="44"/>
      <c r="F185" s="44"/>
      <c r="G185" s="44"/>
      <c r="I185" s="44"/>
      <c r="J185" s="44"/>
      <c r="K185" s="44"/>
      <c r="L185" s="44"/>
      <c r="M185" s="44"/>
      <c r="O185" s="44"/>
      <c r="Q185" s="44"/>
    </row>
    <row r="186">
      <c r="B186" s="44"/>
      <c r="D186" s="44"/>
      <c r="F186" s="44"/>
      <c r="G186" s="44"/>
      <c r="I186" s="44"/>
      <c r="J186" s="44"/>
      <c r="K186" s="44"/>
      <c r="L186" s="44"/>
      <c r="M186" s="44"/>
      <c r="O186" s="44"/>
      <c r="Q186" s="44"/>
    </row>
    <row r="187">
      <c r="B187" s="44"/>
      <c r="D187" s="44"/>
      <c r="F187" s="44"/>
      <c r="G187" s="44"/>
      <c r="I187" s="44"/>
      <c r="J187" s="44"/>
      <c r="K187" s="44"/>
      <c r="L187" s="44"/>
      <c r="M187" s="44"/>
      <c r="O187" s="44"/>
      <c r="Q187" s="44"/>
    </row>
    <row r="188">
      <c r="B188" s="44"/>
      <c r="D188" s="44"/>
      <c r="F188" s="44"/>
      <c r="G188" s="44"/>
      <c r="I188" s="44"/>
      <c r="J188" s="44"/>
      <c r="K188" s="44"/>
      <c r="L188" s="44"/>
      <c r="M188" s="44"/>
      <c r="O188" s="44"/>
      <c r="Q188" s="44"/>
    </row>
    <row r="189">
      <c r="B189" s="44"/>
      <c r="D189" s="44"/>
      <c r="F189" s="44"/>
      <c r="G189" s="44"/>
      <c r="I189" s="44"/>
      <c r="J189" s="44"/>
      <c r="K189" s="44"/>
      <c r="L189" s="44"/>
      <c r="M189" s="44"/>
      <c r="O189" s="44"/>
      <c r="Q189" s="44"/>
    </row>
    <row r="190">
      <c r="B190" s="44"/>
      <c r="D190" s="44"/>
      <c r="F190" s="44"/>
      <c r="G190" s="44"/>
      <c r="I190" s="44"/>
      <c r="J190" s="44"/>
      <c r="K190" s="44"/>
      <c r="L190" s="44"/>
      <c r="M190" s="44"/>
      <c r="O190" s="44"/>
      <c r="Q190" s="44"/>
    </row>
    <row r="191">
      <c r="B191" s="44"/>
      <c r="D191" s="44"/>
      <c r="F191" s="44"/>
      <c r="G191" s="44"/>
      <c r="I191" s="44"/>
      <c r="J191" s="44"/>
      <c r="K191" s="44"/>
      <c r="L191" s="44"/>
      <c r="M191" s="44"/>
      <c r="O191" s="44"/>
      <c r="Q191" s="44"/>
    </row>
    <row r="192">
      <c r="B192" s="44"/>
      <c r="D192" s="44"/>
      <c r="F192" s="44"/>
      <c r="G192" s="44"/>
      <c r="I192" s="44"/>
      <c r="J192" s="44"/>
      <c r="K192" s="44"/>
      <c r="L192" s="44"/>
      <c r="M192" s="44"/>
      <c r="O192" s="44"/>
      <c r="Q192" s="44"/>
    </row>
    <row r="193">
      <c r="B193" s="44"/>
      <c r="D193" s="44"/>
      <c r="F193" s="44"/>
      <c r="G193" s="44"/>
      <c r="I193" s="44"/>
      <c r="J193" s="44"/>
      <c r="K193" s="44"/>
      <c r="L193" s="44"/>
      <c r="M193" s="44"/>
      <c r="O193" s="44"/>
      <c r="Q193" s="44"/>
    </row>
    <row r="194">
      <c r="B194" s="44"/>
      <c r="D194" s="44"/>
      <c r="F194" s="44"/>
      <c r="G194" s="44"/>
      <c r="I194" s="44"/>
      <c r="J194" s="44"/>
      <c r="K194" s="44"/>
      <c r="L194" s="44"/>
      <c r="M194" s="44"/>
      <c r="O194" s="44"/>
      <c r="Q194" s="44"/>
    </row>
    <row r="195">
      <c r="B195" s="44"/>
      <c r="D195" s="44"/>
      <c r="F195" s="44"/>
      <c r="G195" s="44"/>
      <c r="I195" s="44"/>
      <c r="J195" s="44"/>
      <c r="K195" s="44"/>
      <c r="L195" s="44"/>
      <c r="M195" s="44"/>
      <c r="O195" s="44"/>
      <c r="Q195" s="44"/>
    </row>
    <row r="196">
      <c r="B196" s="44"/>
      <c r="D196" s="44"/>
      <c r="F196" s="44"/>
      <c r="G196" s="44"/>
      <c r="I196" s="44"/>
      <c r="J196" s="44"/>
      <c r="K196" s="44"/>
      <c r="L196" s="44"/>
      <c r="M196" s="44"/>
      <c r="O196" s="44"/>
      <c r="Q196" s="44"/>
    </row>
    <row r="197">
      <c r="B197" s="44"/>
      <c r="D197" s="44"/>
      <c r="F197" s="44"/>
      <c r="G197" s="44"/>
      <c r="I197" s="44"/>
      <c r="J197" s="44"/>
      <c r="K197" s="44"/>
      <c r="L197" s="44"/>
      <c r="M197" s="44"/>
      <c r="O197" s="44"/>
      <c r="Q197" s="44"/>
    </row>
    <row r="198">
      <c r="B198" s="44"/>
      <c r="D198" s="44"/>
      <c r="F198" s="44"/>
      <c r="G198" s="44"/>
      <c r="I198" s="44"/>
      <c r="J198" s="44"/>
      <c r="K198" s="44"/>
      <c r="L198" s="44"/>
      <c r="M198" s="44"/>
      <c r="O198" s="44"/>
      <c r="Q198" s="44"/>
    </row>
    <row r="199">
      <c r="B199" s="44"/>
      <c r="D199" s="44"/>
      <c r="F199" s="44"/>
      <c r="G199" s="44"/>
      <c r="I199" s="44"/>
      <c r="J199" s="44"/>
      <c r="K199" s="44"/>
      <c r="L199" s="44"/>
      <c r="M199" s="44"/>
      <c r="O199" s="44"/>
      <c r="Q199" s="44"/>
    </row>
    <row r="200">
      <c r="B200" s="44"/>
      <c r="D200" s="44"/>
      <c r="F200" s="44"/>
      <c r="G200" s="44"/>
      <c r="I200" s="44"/>
      <c r="J200" s="44"/>
      <c r="K200" s="44"/>
      <c r="L200" s="44"/>
      <c r="M200" s="44"/>
      <c r="O200" s="44"/>
      <c r="Q200" s="44"/>
    </row>
    <row r="201">
      <c r="B201" s="44"/>
      <c r="D201" s="44"/>
      <c r="F201" s="44"/>
      <c r="G201" s="44"/>
      <c r="I201" s="44"/>
      <c r="J201" s="44"/>
      <c r="K201" s="44"/>
      <c r="L201" s="44"/>
      <c r="M201" s="44"/>
      <c r="O201" s="44"/>
      <c r="Q201" s="44"/>
    </row>
    <row r="202">
      <c r="B202" s="44"/>
      <c r="D202" s="44"/>
      <c r="F202" s="44"/>
      <c r="G202" s="44"/>
      <c r="I202" s="44"/>
      <c r="J202" s="44"/>
      <c r="K202" s="44"/>
      <c r="L202" s="44"/>
      <c r="M202" s="44"/>
      <c r="O202" s="44"/>
      <c r="Q202" s="44"/>
    </row>
    <row r="203">
      <c r="B203" s="44"/>
      <c r="D203" s="44"/>
      <c r="F203" s="44"/>
      <c r="G203" s="44"/>
      <c r="I203" s="44"/>
      <c r="J203" s="44"/>
      <c r="K203" s="44"/>
      <c r="L203" s="44"/>
      <c r="M203" s="44"/>
      <c r="O203" s="44"/>
      <c r="Q203" s="44"/>
    </row>
    <row r="204">
      <c r="B204" s="44"/>
      <c r="D204" s="44"/>
      <c r="F204" s="44"/>
      <c r="G204" s="44"/>
      <c r="I204" s="44"/>
      <c r="J204" s="44"/>
      <c r="K204" s="44"/>
      <c r="L204" s="44"/>
      <c r="M204" s="44"/>
      <c r="O204" s="44"/>
      <c r="Q204" s="44"/>
    </row>
    <row r="205">
      <c r="B205" s="44"/>
      <c r="D205" s="44"/>
      <c r="F205" s="44"/>
      <c r="G205" s="44"/>
      <c r="I205" s="44"/>
      <c r="J205" s="44"/>
      <c r="K205" s="44"/>
      <c r="L205" s="44"/>
      <c r="M205" s="44"/>
      <c r="O205" s="44"/>
      <c r="Q205" s="44"/>
    </row>
    <row r="206">
      <c r="B206" s="44"/>
      <c r="D206" s="44"/>
      <c r="F206" s="44"/>
      <c r="G206" s="44"/>
      <c r="I206" s="44"/>
      <c r="J206" s="44"/>
      <c r="K206" s="44"/>
      <c r="L206" s="44"/>
      <c r="M206" s="44"/>
      <c r="O206" s="44"/>
      <c r="Q206" s="44"/>
    </row>
    <row r="207">
      <c r="B207" s="44"/>
      <c r="D207" s="44"/>
      <c r="F207" s="44"/>
      <c r="G207" s="44"/>
      <c r="I207" s="44"/>
      <c r="J207" s="44"/>
      <c r="K207" s="44"/>
      <c r="L207" s="44"/>
      <c r="M207" s="44"/>
      <c r="O207" s="44"/>
      <c r="Q207" s="44"/>
    </row>
    <row r="208">
      <c r="B208" s="44"/>
      <c r="D208" s="44"/>
      <c r="F208" s="44"/>
      <c r="G208" s="44"/>
      <c r="I208" s="44"/>
      <c r="J208" s="44"/>
      <c r="K208" s="44"/>
      <c r="L208" s="44"/>
      <c r="M208" s="44"/>
      <c r="O208" s="44"/>
      <c r="Q208" s="44"/>
    </row>
    <row r="209">
      <c r="B209" s="44"/>
      <c r="D209" s="44"/>
      <c r="F209" s="44"/>
      <c r="G209" s="44"/>
      <c r="I209" s="44"/>
      <c r="J209" s="44"/>
      <c r="K209" s="44"/>
      <c r="L209" s="44"/>
      <c r="M209" s="44"/>
      <c r="O209" s="44"/>
      <c r="Q209" s="44"/>
    </row>
    <row r="210">
      <c r="B210" s="44"/>
      <c r="D210" s="44"/>
      <c r="F210" s="44"/>
      <c r="G210" s="44"/>
      <c r="I210" s="44"/>
      <c r="J210" s="44"/>
      <c r="K210" s="44"/>
      <c r="L210" s="44"/>
      <c r="M210" s="44"/>
      <c r="O210" s="44"/>
      <c r="Q210" s="44"/>
    </row>
    <row r="211">
      <c r="B211" s="44"/>
      <c r="D211" s="44"/>
      <c r="F211" s="44"/>
      <c r="G211" s="44"/>
      <c r="I211" s="44"/>
      <c r="J211" s="44"/>
      <c r="K211" s="44"/>
      <c r="L211" s="44"/>
      <c r="M211" s="44"/>
      <c r="O211" s="44"/>
      <c r="Q211" s="44"/>
    </row>
    <row r="212">
      <c r="B212" s="44"/>
      <c r="D212" s="44"/>
      <c r="F212" s="44"/>
      <c r="G212" s="44"/>
      <c r="I212" s="44"/>
      <c r="J212" s="44"/>
      <c r="K212" s="44"/>
      <c r="L212" s="44"/>
      <c r="M212" s="44"/>
      <c r="O212" s="44"/>
      <c r="Q212" s="44"/>
    </row>
    <row r="213">
      <c r="B213" s="44"/>
      <c r="D213" s="44"/>
      <c r="F213" s="44"/>
      <c r="G213" s="44"/>
      <c r="I213" s="44"/>
      <c r="J213" s="44"/>
      <c r="K213" s="44"/>
      <c r="L213" s="44"/>
      <c r="M213" s="44"/>
      <c r="O213" s="44"/>
      <c r="Q213" s="44"/>
    </row>
    <row r="214">
      <c r="B214" s="44"/>
      <c r="D214" s="44"/>
      <c r="F214" s="44"/>
      <c r="G214" s="44"/>
      <c r="I214" s="44"/>
      <c r="J214" s="44"/>
      <c r="K214" s="44"/>
      <c r="L214" s="44"/>
      <c r="M214" s="44"/>
      <c r="O214" s="44"/>
      <c r="Q214" s="44"/>
    </row>
    <row r="215">
      <c r="B215" s="44"/>
      <c r="D215" s="44"/>
      <c r="F215" s="44"/>
      <c r="G215" s="44"/>
      <c r="I215" s="44"/>
      <c r="J215" s="44"/>
      <c r="K215" s="44"/>
      <c r="L215" s="44"/>
      <c r="M215" s="44"/>
      <c r="O215" s="44"/>
      <c r="Q215" s="44"/>
    </row>
    <row r="216">
      <c r="B216" s="44"/>
      <c r="D216" s="44"/>
      <c r="F216" s="44"/>
      <c r="G216" s="44"/>
      <c r="I216" s="44"/>
      <c r="J216" s="44"/>
      <c r="K216" s="44"/>
      <c r="L216" s="44"/>
      <c r="M216" s="44"/>
      <c r="O216" s="44"/>
      <c r="Q216" s="44"/>
    </row>
    <row r="217">
      <c r="B217" s="44"/>
      <c r="D217" s="44"/>
      <c r="F217" s="44"/>
      <c r="G217" s="44"/>
      <c r="I217" s="44"/>
      <c r="J217" s="44"/>
      <c r="K217" s="44"/>
      <c r="L217" s="44"/>
      <c r="M217" s="44"/>
      <c r="O217" s="44"/>
      <c r="Q217" s="44"/>
    </row>
    <row r="218">
      <c r="B218" s="44"/>
      <c r="D218" s="44"/>
      <c r="F218" s="44"/>
      <c r="G218" s="44"/>
      <c r="I218" s="44"/>
      <c r="J218" s="44"/>
      <c r="K218" s="44"/>
      <c r="L218" s="44"/>
      <c r="M218" s="44"/>
      <c r="O218" s="44"/>
      <c r="Q218" s="44"/>
    </row>
    <row r="219">
      <c r="B219" s="44"/>
      <c r="D219" s="44"/>
      <c r="F219" s="44"/>
      <c r="G219" s="44"/>
      <c r="I219" s="44"/>
      <c r="J219" s="44"/>
      <c r="K219" s="44"/>
      <c r="L219" s="44"/>
      <c r="M219" s="44"/>
      <c r="O219" s="44"/>
      <c r="Q219" s="44"/>
    </row>
    <row r="220">
      <c r="B220" s="44"/>
      <c r="D220" s="44"/>
      <c r="F220" s="44"/>
      <c r="G220" s="44"/>
      <c r="I220" s="44"/>
      <c r="J220" s="44"/>
      <c r="K220" s="44"/>
      <c r="L220" s="44"/>
      <c r="M220" s="44"/>
      <c r="O220" s="44"/>
      <c r="Q220" s="44"/>
    </row>
    <row r="221">
      <c r="B221" s="44"/>
      <c r="D221" s="44"/>
      <c r="F221" s="44"/>
      <c r="G221" s="44"/>
      <c r="I221" s="44"/>
      <c r="J221" s="44"/>
      <c r="K221" s="44"/>
      <c r="L221" s="44"/>
      <c r="M221" s="44"/>
      <c r="O221" s="44"/>
      <c r="Q221" s="44"/>
    </row>
    <row r="222">
      <c r="B222" s="44"/>
      <c r="D222" s="44"/>
      <c r="F222" s="44"/>
      <c r="G222" s="44"/>
      <c r="I222" s="44"/>
      <c r="J222" s="44"/>
      <c r="K222" s="44"/>
      <c r="L222" s="44"/>
      <c r="M222" s="44"/>
      <c r="O222" s="44"/>
      <c r="Q222" s="44"/>
    </row>
    <row r="223">
      <c r="B223" s="44"/>
      <c r="D223" s="44"/>
      <c r="F223" s="44"/>
      <c r="G223" s="44"/>
      <c r="I223" s="44"/>
      <c r="J223" s="44"/>
      <c r="K223" s="44"/>
      <c r="L223" s="44"/>
      <c r="M223" s="44"/>
      <c r="O223" s="44"/>
      <c r="Q223" s="44"/>
    </row>
    <row r="224">
      <c r="B224" s="44"/>
      <c r="D224" s="44"/>
      <c r="F224" s="44"/>
      <c r="G224" s="44"/>
      <c r="I224" s="44"/>
      <c r="J224" s="44"/>
      <c r="K224" s="44"/>
      <c r="L224" s="44"/>
      <c r="M224" s="44"/>
      <c r="O224" s="44"/>
      <c r="Q224" s="44"/>
    </row>
    <row r="225">
      <c r="B225" s="44"/>
      <c r="D225" s="44"/>
      <c r="F225" s="44"/>
      <c r="G225" s="44"/>
      <c r="I225" s="44"/>
      <c r="J225" s="44"/>
      <c r="K225" s="44"/>
      <c r="L225" s="44"/>
      <c r="M225" s="44"/>
      <c r="O225" s="44"/>
      <c r="Q225" s="44"/>
    </row>
    <row r="226">
      <c r="B226" s="44"/>
      <c r="D226" s="44"/>
      <c r="F226" s="44"/>
      <c r="G226" s="44"/>
      <c r="I226" s="44"/>
      <c r="J226" s="44"/>
      <c r="K226" s="44"/>
      <c r="L226" s="44"/>
      <c r="M226" s="44"/>
      <c r="O226" s="44"/>
      <c r="Q226" s="44"/>
    </row>
    <row r="227">
      <c r="B227" s="44"/>
      <c r="D227" s="44"/>
      <c r="F227" s="44"/>
      <c r="G227" s="44"/>
      <c r="I227" s="44"/>
      <c r="J227" s="44"/>
      <c r="K227" s="44"/>
      <c r="L227" s="44"/>
      <c r="M227" s="44"/>
      <c r="O227" s="44"/>
      <c r="Q227" s="44"/>
    </row>
    <row r="228">
      <c r="B228" s="44"/>
      <c r="D228" s="44"/>
      <c r="F228" s="44"/>
      <c r="G228" s="44"/>
      <c r="I228" s="44"/>
      <c r="J228" s="44"/>
      <c r="K228" s="44"/>
      <c r="L228" s="44"/>
      <c r="M228" s="44"/>
      <c r="O228" s="44"/>
      <c r="Q228" s="44"/>
    </row>
    <row r="229">
      <c r="B229" s="44"/>
      <c r="D229" s="44"/>
      <c r="F229" s="44"/>
      <c r="G229" s="44"/>
      <c r="I229" s="44"/>
      <c r="J229" s="44"/>
      <c r="K229" s="44"/>
      <c r="L229" s="44"/>
      <c r="M229" s="44"/>
      <c r="O229" s="44"/>
      <c r="Q229" s="44"/>
    </row>
    <row r="230">
      <c r="B230" s="44"/>
      <c r="D230" s="44"/>
      <c r="F230" s="44"/>
      <c r="G230" s="44"/>
      <c r="I230" s="44"/>
      <c r="J230" s="44"/>
      <c r="K230" s="44"/>
      <c r="L230" s="44"/>
      <c r="M230" s="44"/>
      <c r="O230" s="44"/>
      <c r="Q230" s="44"/>
    </row>
    <row r="231">
      <c r="B231" s="44"/>
      <c r="D231" s="44"/>
      <c r="F231" s="44"/>
      <c r="G231" s="44"/>
      <c r="I231" s="44"/>
      <c r="J231" s="44"/>
      <c r="K231" s="44"/>
      <c r="L231" s="44"/>
      <c r="M231" s="44"/>
      <c r="O231" s="44"/>
      <c r="Q231" s="44"/>
    </row>
    <row r="232">
      <c r="B232" s="44"/>
      <c r="D232" s="44"/>
      <c r="F232" s="44"/>
      <c r="G232" s="44"/>
      <c r="I232" s="44"/>
      <c r="J232" s="44"/>
      <c r="K232" s="44"/>
      <c r="L232" s="44"/>
      <c r="M232" s="44"/>
      <c r="O232" s="44"/>
      <c r="Q232" s="44"/>
    </row>
    <row r="233">
      <c r="B233" s="44"/>
      <c r="D233" s="44"/>
      <c r="F233" s="44"/>
      <c r="G233" s="44"/>
      <c r="I233" s="44"/>
      <c r="J233" s="44"/>
      <c r="K233" s="44"/>
      <c r="L233" s="44"/>
      <c r="M233" s="44"/>
      <c r="O233" s="44"/>
      <c r="Q233" s="44"/>
    </row>
    <row r="234">
      <c r="B234" s="44"/>
      <c r="D234" s="44"/>
      <c r="F234" s="44"/>
      <c r="G234" s="44"/>
      <c r="I234" s="44"/>
      <c r="J234" s="44"/>
      <c r="K234" s="44"/>
      <c r="L234" s="44"/>
      <c r="M234" s="44"/>
      <c r="O234" s="44"/>
      <c r="Q234" s="44"/>
    </row>
    <row r="235">
      <c r="B235" s="44"/>
      <c r="D235" s="44"/>
      <c r="F235" s="44"/>
      <c r="G235" s="44"/>
      <c r="I235" s="44"/>
      <c r="J235" s="44"/>
      <c r="K235" s="44"/>
      <c r="L235" s="44"/>
      <c r="M235" s="44"/>
      <c r="O235" s="44"/>
      <c r="Q235" s="44"/>
    </row>
    <row r="236">
      <c r="B236" s="44"/>
      <c r="D236" s="44"/>
      <c r="F236" s="44"/>
      <c r="G236" s="44"/>
      <c r="I236" s="44"/>
      <c r="J236" s="44"/>
      <c r="K236" s="44"/>
      <c r="L236" s="44"/>
      <c r="M236" s="44"/>
      <c r="O236" s="44"/>
      <c r="Q236" s="44"/>
    </row>
    <row r="237">
      <c r="B237" s="44"/>
      <c r="D237" s="44"/>
      <c r="F237" s="44"/>
      <c r="G237" s="44"/>
      <c r="I237" s="44"/>
      <c r="J237" s="44"/>
      <c r="K237" s="44"/>
      <c r="L237" s="44"/>
      <c r="M237" s="44"/>
      <c r="O237" s="44"/>
      <c r="Q237" s="44"/>
    </row>
    <row r="238">
      <c r="B238" s="44"/>
      <c r="D238" s="44"/>
      <c r="F238" s="44"/>
      <c r="G238" s="44"/>
      <c r="I238" s="44"/>
      <c r="J238" s="44"/>
      <c r="K238" s="44"/>
      <c r="L238" s="44"/>
      <c r="M238" s="44"/>
      <c r="O238" s="44"/>
      <c r="Q238" s="44"/>
    </row>
    <row r="239">
      <c r="B239" s="44"/>
      <c r="D239" s="44"/>
      <c r="F239" s="44"/>
      <c r="G239" s="44"/>
      <c r="I239" s="44"/>
      <c r="J239" s="44"/>
      <c r="K239" s="44"/>
      <c r="L239" s="44"/>
      <c r="M239" s="44"/>
      <c r="O239" s="44"/>
      <c r="Q239" s="44"/>
    </row>
    <row r="240">
      <c r="B240" s="44"/>
      <c r="D240" s="44"/>
      <c r="F240" s="44"/>
      <c r="G240" s="44"/>
      <c r="I240" s="44"/>
      <c r="J240" s="44"/>
      <c r="K240" s="44"/>
      <c r="L240" s="44"/>
      <c r="M240" s="44"/>
      <c r="O240" s="44"/>
      <c r="Q240" s="44"/>
    </row>
    <row r="241">
      <c r="B241" s="44"/>
      <c r="D241" s="44"/>
      <c r="F241" s="44"/>
      <c r="G241" s="44"/>
      <c r="I241" s="44"/>
      <c r="J241" s="44"/>
      <c r="K241" s="44"/>
      <c r="L241" s="44"/>
      <c r="M241" s="44"/>
      <c r="O241" s="44"/>
      <c r="Q241" s="44"/>
    </row>
    <row r="242">
      <c r="B242" s="44"/>
      <c r="D242" s="44"/>
      <c r="F242" s="44"/>
      <c r="G242" s="44"/>
      <c r="I242" s="44"/>
      <c r="J242" s="44"/>
      <c r="K242" s="44"/>
      <c r="L242" s="44"/>
      <c r="M242" s="44"/>
      <c r="O242" s="44"/>
      <c r="Q242" s="44"/>
    </row>
    <row r="243">
      <c r="B243" s="44"/>
      <c r="D243" s="44"/>
      <c r="F243" s="44"/>
      <c r="G243" s="44"/>
      <c r="I243" s="44"/>
      <c r="J243" s="44"/>
      <c r="K243" s="44"/>
      <c r="L243" s="44"/>
      <c r="M243" s="44"/>
      <c r="O243" s="44"/>
      <c r="Q243" s="44"/>
    </row>
    <row r="244">
      <c r="B244" s="44"/>
      <c r="D244" s="44"/>
      <c r="F244" s="44"/>
      <c r="G244" s="44"/>
      <c r="I244" s="44"/>
      <c r="J244" s="44"/>
      <c r="K244" s="44"/>
      <c r="L244" s="44"/>
      <c r="M244" s="44"/>
      <c r="O244" s="44"/>
      <c r="Q244" s="44"/>
    </row>
    <row r="245">
      <c r="B245" s="44"/>
      <c r="D245" s="44"/>
      <c r="F245" s="44"/>
      <c r="G245" s="44"/>
      <c r="I245" s="44"/>
      <c r="J245" s="44"/>
      <c r="K245" s="44"/>
      <c r="L245" s="44"/>
      <c r="M245" s="44"/>
      <c r="O245" s="44"/>
      <c r="Q245" s="44"/>
    </row>
    <row r="246">
      <c r="B246" s="44"/>
      <c r="D246" s="44"/>
      <c r="F246" s="44"/>
      <c r="G246" s="44"/>
      <c r="I246" s="44"/>
      <c r="J246" s="44"/>
      <c r="K246" s="44"/>
      <c r="L246" s="44"/>
      <c r="M246" s="44"/>
      <c r="O246" s="44"/>
      <c r="Q246" s="44"/>
    </row>
    <row r="247">
      <c r="B247" s="44"/>
      <c r="D247" s="44"/>
      <c r="F247" s="44"/>
      <c r="G247" s="44"/>
      <c r="I247" s="44"/>
      <c r="J247" s="44"/>
      <c r="K247" s="44"/>
      <c r="L247" s="44"/>
      <c r="M247" s="44"/>
      <c r="O247" s="44"/>
      <c r="Q247" s="44"/>
    </row>
    <row r="248">
      <c r="B248" s="44"/>
      <c r="D248" s="44"/>
      <c r="F248" s="44"/>
      <c r="G248" s="44"/>
      <c r="I248" s="44"/>
      <c r="J248" s="44"/>
      <c r="K248" s="44"/>
      <c r="L248" s="44"/>
      <c r="M248" s="44"/>
      <c r="O248" s="44"/>
      <c r="Q248" s="44"/>
    </row>
    <row r="249">
      <c r="B249" s="44"/>
      <c r="D249" s="44"/>
      <c r="F249" s="44"/>
      <c r="G249" s="44"/>
      <c r="I249" s="44"/>
      <c r="J249" s="44"/>
      <c r="K249" s="44"/>
      <c r="L249" s="44"/>
      <c r="M249" s="44"/>
      <c r="O249" s="44"/>
      <c r="Q249" s="44"/>
    </row>
    <row r="250">
      <c r="B250" s="44"/>
      <c r="D250" s="44"/>
      <c r="F250" s="44"/>
      <c r="G250" s="44"/>
      <c r="I250" s="44"/>
      <c r="J250" s="44"/>
      <c r="K250" s="44"/>
      <c r="L250" s="44"/>
      <c r="M250" s="44"/>
      <c r="O250" s="44"/>
      <c r="Q250" s="44"/>
    </row>
    <row r="251">
      <c r="B251" s="44"/>
      <c r="D251" s="44"/>
      <c r="F251" s="44"/>
      <c r="G251" s="44"/>
      <c r="I251" s="44"/>
      <c r="J251" s="44"/>
      <c r="K251" s="44"/>
      <c r="L251" s="44"/>
      <c r="M251" s="44"/>
      <c r="O251" s="44"/>
      <c r="Q251" s="44"/>
    </row>
    <row r="252">
      <c r="B252" s="44"/>
      <c r="D252" s="44"/>
      <c r="F252" s="44"/>
      <c r="G252" s="44"/>
      <c r="I252" s="44"/>
      <c r="J252" s="44"/>
      <c r="K252" s="44"/>
      <c r="L252" s="44"/>
      <c r="M252" s="44"/>
      <c r="O252" s="44"/>
      <c r="Q252" s="44"/>
    </row>
    <row r="253">
      <c r="B253" s="44"/>
      <c r="D253" s="44"/>
      <c r="F253" s="44"/>
      <c r="G253" s="44"/>
      <c r="I253" s="44"/>
      <c r="J253" s="44"/>
      <c r="K253" s="44"/>
      <c r="L253" s="44"/>
      <c r="M253" s="44"/>
      <c r="O253" s="44"/>
      <c r="Q253" s="44"/>
    </row>
    <row r="254">
      <c r="B254" s="44"/>
      <c r="D254" s="44"/>
      <c r="F254" s="44"/>
      <c r="G254" s="44"/>
      <c r="I254" s="44"/>
      <c r="J254" s="44"/>
      <c r="K254" s="44"/>
      <c r="L254" s="44"/>
      <c r="M254" s="44"/>
      <c r="O254" s="44"/>
      <c r="Q254" s="44"/>
    </row>
    <row r="255">
      <c r="B255" s="44"/>
      <c r="D255" s="44"/>
      <c r="F255" s="44"/>
      <c r="G255" s="44"/>
      <c r="I255" s="44"/>
      <c r="J255" s="44"/>
      <c r="K255" s="44"/>
      <c r="L255" s="44"/>
      <c r="M255" s="44"/>
      <c r="O255" s="44"/>
      <c r="Q255" s="44"/>
    </row>
    <row r="256">
      <c r="B256" s="44"/>
      <c r="D256" s="44"/>
      <c r="F256" s="44"/>
      <c r="G256" s="44"/>
      <c r="I256" s="44"/>
      <c r="J256" s="44"/>
      <c r="K256" s="44"/>
      <c r="L256" s="44"/>
      <c r="M256" s="44"/>
      <c r="O256" s="44"/>
      <c r="Q256" s="44"/>
    </row>
    <row r="257">
      <c r="B257" s="44"/>
      <c r="D257" s="44"/>
      <c r="F257" s="44"/>
      <c r="G257" s="44"/>
      <c r="I257" s="44"/>
      <c r="J257" s="44"/>
      <c r="K257" s="44"/>
      <c r="L257" s="44"/>
      <c r="M257" s="44"/>
      <c r="O257" s="44"/>
      <c r="Q257" s="44"/>
    </row>
    <row r="258">
      <c r="B258" s="44"/>
      <c r="D258" s="44"/>
      <c r="F258" s="44"/>
      <c r="G258" s="44"/>
      <c r="I258" s="44"/>
      <c r="J258" s="44"/>
      <c r="K258" s="44"/>
      <c r="L258" s="44"/>
      <c r="M258" s="44"/>
      <c r="O258" s="44"/>
      <c r="Q258" s="44"/>
    </row>
    <row r="259">
      <c r="B259" s="44"/>
      <c r="D259" s="44"/>
      <c r="F259" s="44"/>
      <c r="G259" s="44"/>
      <c r="I259" s="44"/>
      <c r="J259" s="44"/>
      <c r="K259" s="44"/>
      <c r="L259" s="44"/>
      <c r="M259" s="44"/>
      <c r="O259" s="44"/>
      <c r="Q259" s="44"/>
    </row>
    <row r="260">
      <c r="B260" s="44"/>
      <c r="D260" s="44"/>
      <c r="F260" s="44"/>
      <c r="G260" s="44"/>
      <c r="I260" s="44"/>
      <c r="J260" s="44"/>
      <c r="K260" s="44"/>
      <c r="L260" s="44"/>
      <c r="M260" s="44"/>
      <c r="O260" s="44"/>
      <c r="Q260" s="44"/>
    </row>
    <row r="261">
      <c r="B261" s="44"/>
      <c r="D261" s="44"/>
      <c r="F261" s="44"/>
      <c r="G261" s="44"/>
      <c r="I261" s="44"/>
      <c r="J261" s="44"/>
      <c r="K261" s="44"/>
      <c r="L261" s="44"/>
      <c r="M261" s="44"/>
      <c r="O261" s="44"/>
      <c r="Q261" s="44"/>
    </row>
    <row r="262">
      <c r="B262" s="44"/>
      <c r="D262" s="44"/>
      <c r="F262" s="44"/>
      <c r="G262" s="44"/>
      <c r="I262" s="44"/>
      <c r="J262" s="44"/>
      <c r="K262" s="44"/>
      <c r="L262" s="44"/>
      <c r="M262" s="44"/>
      <c r="O262" s="44"/>
      <c r="Q262" s="44"/>
    </row>
    <row r="263">
      <c r="B263" s="44"/>
      <c r="D263" s="44"/>
      <c r="F263" s="44"/>
      <c r="G263" s="44"/>
      <c r="I263" s="44"/>
      <c r="J263" s="44"/>
      <c r="K263" s="44"/>
      <c r="L263" s="44"/>
      <c r="M263" s="44"/>
      <c r="O263" s="44"/>
      <c r="Q263" s="44"/>
    </row>
    <row r="264">
      <c r="B264" s="44"/>
      <c r="D264" s="44"/>
      <c r="F264" s="44"/>
      <c r="G264" s="44"/>
      <c r="I264" s="44"/>
      <c r="J264" s="44"/>
      <c r="K264" s="44"/>
      <c r="L264" s="44"/>
      <c r="M264" s="44"/>
      <c r="O264" s="44"/>
      <c r="Q264" s="44"/>
    </row>
    <row r="265">
      <c r="B265" s="44"/>
      <c r="D265" s="44"/>
      <c r="F265" s="44"/>
      <c r="G265" s="44"/>
      <c r="I265" s="44"/>
      <c r="J265" s="44"/>
      <c r="K265" s="44"/>
      <c r="L265" s="44"/>
      <c r="M265" s="44"/>
      <c r="O265" s="44"/>
      <c r="Q265" s="44"/>
    </row>
    <row r="266">
      <c r="B266" s="44"/>
      <c r="D266" s="44"/>
      <c r="F266" s="44"/>
      <c r="G266" s="44"/>
      <c r="I266" s="44"/>
      <c r="J266" s="44"/>
      <c r="K266" s="44"/>
      <c r="L266" s="44"/>
      <c r="M266" s="44"/>
      <c r="O266" s="44"/>
      <c r="Q266" s="44"/>
    </row>
    <row r="267">
      <c r="B267" s="44"/>
      <c r="D267" s="44"/>
      <c r="F267" s="44"/>
      <c r="G267" s="44"/>
      <c r="I267" s="44"/>
      <c r="J267" s="44"/>
      <c r="K267" s="44"/>
      <c r="L267" s="44"/>
      <c r="M267" s="44"/>
      <c r="O267" s="44"/>
      <c r="Q267" s="44"/>
    </row>
    <row r="268">
      <c r="B268" s="44"/>
      <c r="D268" s="44"/>
      <c r="F268" s="44"/>
      <c r="G268" s="44"/>
      <c r="I268" s="44"/>
      <c r="J268" s="44"/>
      <c r="K268" s="44"/>
      <c r="L268" s="44"/>
      <c r="M268" s="44"/>
      <c r="O268" s="44"/>
      <c r="Q268" s="44"/>
    </row>
    <row r="269">
      <c r="B269" s="44"/>
      <c r="D269" s="44"/>
      <c r="F269" s="44"/>
      <c r="G269" s="44"/>
      <c r="I269" s="44"/>
      <c r="J269" s="44"/>
      <c r="K269" s="44"/>
      <c r="L269" s="44"/>
      <c r="M269" s="44"/>
      <c r="O269" s="44"/>
      <c r="Q269" s="44"/>
    </row>
    <row r="270">
      <c r="B270" s="44"/>
      <c r="D270" s="44"/>
      <c r="F270" s="44"/>
      <c r="G270" s="44"/>
      <c r="I270" s="44"/>
      <c r="J270" s="44"/>
      <c r="K270" s="44"/>
      <c r="L270" s="44"/>
      <c r="M270" s="44"/>
      <c r="O270" s="44"/>
      <c r="Q270" s="44"/>
    </row>
    <row r="271">
      <c r="B271" s="44"/>
      <c r="D271" s="44"/>
      <c r="F271" s="44"/>
      <c r="G271" s="44"/>
      <c r="I271" s="44"/>
      <c r="J271" s="44"/>
      <c r="K271" s="44"/>
      <c r="L271" s="44"/>
      <c r="M271" s="44"/>
      <c r="O271" s="44"/>
      <c r="Q271" s="44"/>
    </row>
    <row r="272">
      <c r="B272" s="44"/>
      <c r="D272" s="44"/>
      <c r="F272" s="44"/>
      <c r="G272" s="44"/>
      <c r="I272" s="44"/>
      <c r="J272" s="44"/>
      <c r="K272" s="44"/>
      <c r="L272" s="44"/>
      <c r="M272" s="44"/>
      <c r="O272" s="44"/>
      <c r="Q272" s="44"/>
    </row>
    <row r="273">
      <c r="B273" s="44"/>
      <c r="D273" s="44"/>
      <c r="F273" s="44"/>
      <c r="G273" s="44"/>
      <c r="I273" s="44"/>
      <c r="J273" s="44"/>
      <c r="K273" s="44"/>
      <c r="L273" s="44"/>
      <c r="M273" s="44"/>
      <c r="O273" s="44"/>
      <c r="Q273" s="44"/>
    </row>
    <row r="274">
      <c r="B274" s="44"/>
      <c r="D274" s="44"/>
      <c r="F274" s="44"/>
      <c r="G274" s="44"/>
      <c r="I274" s="44"/>
      <c r="J274" s="44"/>
      <c r="K274" s="44"/>
      <c r="L274" s="44"/>
      <c r="M274" s="44"/>
      <c r="O274" s="44"/>
      <c r="Q274" s="44"/>
    </row>
    <row r="275">
      <c r="B275" s="44"/>
      <c r="D275" s="44"/>
      <c r="F275" s="44"/>
      <c r="G275" s="44"/>
      <c r="I275" s="44"/>
      <c r="J275" s="44"/>
      <c r="K275" s="44"/>
      <c r="L275" s="44"/>
      <c r="M275" s="44"/>
      <c r="O275" s="44"/>
      <c r="Q275" s="44"/>
    </row>
    <row r="276">
      <c r="B276" s="44"/>
      <c r="D276" s="44"/>
      <c r="F276" s="44"/>
      <c r="G276" s="44"/>
      <c r="I276" s="44"/>
      <c r="J276" s="44"/>
      <c r="K276" s="44"/>
      <c r="L276" s="44"/>
      <c r="M276" s="44"/>
      <c r="O276" s="44"/>
      <c r="Q276" s="44"/>
    </row>
    <row r="277">
      <c r="B277" s="44"/>
      <c r="D277" s="44"/>
      <c r="F277" s="44"/>
      <c r="G277" s="44"/>
      <c r="I277" s="44"/>
      <c r="J277" s="44"/>
      <c r="K277" s="44"/>
      <c r="L277" s="44"/>
      <c r="M277" s="44"/>
      <c r="O277" s="44"/>
      <c r="Q277" s="44"/>
    </row>
    <row r="278">
      <c r="B278" s="44"/>
      <c r="D278" s="44"/>
      <c r="F278" s="44"/>
      <c r="G278" s="44"/>
      <c r="I278" s="44"/>
      <c r="J278" s="44"/>
      <c r="K278" s="44"/>
      <c r="L278" s="44"/>
      <c r="M278" s="44"/>
      <c r="O278" s="44"/>
      <c r="Q278" s="44"/>
    </row>
    <row r="279">
      <c r="B279" s="44"/>
      <c r="D279" s="44"/>
      <c r="F279" s="44"/>
      <c r="G279" s="44"/>
      <c r="I279" s="44"/>
      <c r="J279" s="44"/>
      <c r="K279" s="44"/>
      <c r="L279" s="44"/>
      <c r="M279" s="44"/>
      <c r="O279" s="44"/>
      <c r="Q279" s="44"/>
    </row>
    <row r="280">
      <c r="B280" s="44"/>
      <c r="D280" s="44"/>
      <c r="F280" s="44"/>
      <c r="G280" s="44"/>
      <c r="I280" s="44"/>
      <c r="J280" s="44"/>
      <c r="K280" s="44"/>
      <c r="L280" s="44"/>
      <c r="M280" s="44"/>
      <c r="O280" s="44"/>
      <c r="Q280" s="44"/>
    </row>
    <row r="281">
      <c r="B281" s="44"/>
      <c r="D281" s="44"/>
      <c r="F281" s="44"/>
      <c r="G281" s="44"/>
      <c r="I281" s="44"/>
      <c r="J281" s="44"/>
      <c r="K281" s="44"/>
      <c r="L281" s="44"/>
      <c r="M281" s="44"/>
      <c r="O281" s="44"/>
      <c r="Q281" s="44"/>
    </row>
    <row r="282">
      <c r="B282" s="44"/>
      <c r="D282" s="44"/>
      <c r="F282" s="44"/>
      <c r="G282" s="44"/>
      <c r="I282" s="44"/>
      <c r="J282" s="44"/>
      <c r="K282" s="44"/>
      <c r="L282" s="44"/>
      <c r="M282" s="44"/>
      <c r="O282" s="44"/>
      <c r="Q282" s="44"/>
    </row>
    <row r="283">
      <c r="B283" s="44"/>
      <c r="D283" s="44"/>
      <c r="F283" s="44"/>
      <c r="G283" s="44"/>
      <c r="I283" s="44"/>
      <c r="J283" s="44"/>
      <c r="K283" s="44"/>
      <c r="L283" s="44"/>
      <c r="M283" s="44"/>
      <c r="O283" s="44"/>
      <c r="Q283" s="44"/>
    </row>
    <row r="284">
      <c r="B284" s="44"/>
      <c r="D284" s="44"/>
      <c r="F284" s="44"/>
      <c r="G284" s="44"/>
      <c r="I284" s="44"/>
      <c r="J284" s="44"/>
      <c r="K284" s="44"/>
      <c r="L284" s="44"/>
      <c r="M284" s="44"/>
      <c r="O284" s="44"/>
      <c r="Q284" s="44"/>
    </row>
    <row r="285">
      <c r="B285" s="44"/>
      <c r="D285" s="44"/>
      <c r="F285" s="44"/>
      <c r="G285" s="44"/>
      <c r="I285" s="44"/>
      <c r="J285" s="44"/>
      <c r="K285" s="44"/>
      <c r="L285" s="44"/>
      <c r="M285" s="44"/>
      <c r="O285" s="44"/>
      <c r="Q285" s="44"/>
    </row>
    <row r="286">
      <c r="B286" s="44"/>
      <c r="D286" s="44"/>
      <c r="F286" s="44"/>
      <c r="G286" s="44"/>
      <c r="I286" s="44"/>
      <c r="J286" s="44"/>
      <c r="K286" s="44"/>
      <c r="L286" s="44"/>
      <c r="M286" s="44"/>
      <c r="O286" s="44"/>
      <c r="Q286" s="44"/>
    </row>
    <row r="287">
      <c r="B287" s="44"/>
      <c r="D287" s="44"/>
      <c r="F287" s="44"/>
      <c r="G287" s="44"/>
      <c r="I287" s="44"/>
      <c r="J287" s="44"/>
      <c r="K287" s="44"/>
      <c r="L287" s="44"/>
      <c r="M287" s="44"/>
      <c r="O287" s="44"/>
      <c r="Q287" s="44"/>
    </row>
    <row r="288">
      <c r="B288" s="44"/>
      <c r="D288" s="44"/>
      <c r="F288" s="44"/>
      <c r="G288" s="44"/>
      <c r="I288" s="44"/>
      <c r="J288" s="44"/>
      <c r="K288" s="44"/>
      <c r="L288" s="44"/>
      <c r="M288" s="44"/>
      <c r="O288" s="44"/>
      <c r="Q288" s="44"/>
    </row>
    <row r="289">
      <c r="B289" s="44"/>
      <c r="D289" s="44"/>
      <c r="F289" s="44"/>
      <c r="G289" s="44"/>
      <c r="I289" s="44"/>
      <c r="J289" s="44"/>
      <c r="K289" s="44"/>
      <c r="L289" s="44"/>
      <c r="M289" s="44"/>
      <c r="O289" s="44"/>
      <c r="Q289" s="44"/>
    </row>
    <row r="290">
      <c r="B290" s="44"/>
      <c r="D290" s="44"/>
      <c r="F290" s="44"/>
      <c r="G290" s="44"/>
      <c r="I290" s="44"/>
      <c r="J290" s="44"/>
      <c r="K290" s="44"/>
      <c r="L290" s="44"/>
      <c r="M290" s="44"/>
      <c r="O290" s="44"/>
      <c r="Q290" s="44"/>
    </row>
    <row r="291">
      <c r="B291" s="44"/>
      <c r="D291" s="44"/>
      <c r="F291" s="44"/>
      <c r="G291" s="44"/>
      <c r="I291" s="44"/>
      <c r="J291" s="44"/>
      <c r="K291" s="44"/>
      <c r="L291" s="44"/>
      <c r="M291" s="44"/>
      <c r="O291" s="44"/>
      <c r="Q291" s="44"/>
    </row>
    <row r="292">
      <c r="B292" s="44"/>
      <c r="D292" s="44"/>
      <c r="F292" s="44"/>
      <c r="G292" s="44"/>
      <c r="I292" s="44"/>
      <c r="J292" s="44"/>
      <c r="K292" s="44"/>
      <c r="L292" s="44"/>
      <c r="M292" s="44"/>
      <c r="O292" s="44"/>
      <c r="Q292" s="44"/>
    </row>
    <row r="293">
      <c r="B293" s="44"/>
      <c r="D293" s="44"/>
      <c r="F293" s="44"/>
      <c r="G293" s="44"/>
      <c r="I293" s="44"/>
      <c r="J293" s="44"/>
      <c r="K293" s="44"/>
      <c r="L293" s="44"/>
      <c r="M293" s="44"/>
      <c r="O293" s="44"/>
      <c r="Q293" s="44"/>
    </row>
    <row r="294">
      <c r="B294" s="44"/>
      <c r="D294" s="44"/>
      <c r="F294" s="44"/>
      <c r="G294" s="44"/>
      <c r="I294" s="44"/>
      <c r="J294" s="44"/>
      <c r="K294" s="44"/>
      <c r="L294" s="44"/>
      <c r="M294" s="44"/>
      <c r="O294" s="44"/>
      <c r="Q294" s="44"/>
    </row>
    <row r="295">
      <c r="B295" s="44"/>
      <c r="D295" s="44"/>
      <c r="F295" s="44"/>
      <c r="G295" s="44"/>
      <c r="I295" s="44"/>
      <c r="J295" s="44"/>
      <c r="K295" s="44"/>
      <c r="L295" s="44"/>
      <c r="M295" s="44"/>
      <c r="O295" s="44"/>
      <c r="Q295" s="44"/>
    </row>
    <row r="296">
      <c r="B296" s="44"/>
      <c r="D296" s="44"/>
      <c r="F296" s="44"/>
      <c r="G296" s="44"/>
      <c r="I296" s="44"/>
      <c r="J296" s="44"/>
      <c r="K296" s="44"/>
      <c r="L296" s="44"/>
      <c r="M296" s="44"/>
      <c r="O296" s="44"/>
      <c r="Q296" s="44"/>
    </row>
    <row r="297">
      <c r="B297" s="44"/>
      <c r="D297" s="44"/>
      <c r="F297" s="44"/>
      <c r="G297" s="44"/>
      <c r="I297" s="44"/>
      <c r="J297" s="44"/>
      <c r="K297" s="44"/>
      <c r="L297" s="44"/>
      <c r="M297" s="44"/>
      <c r="O297" s="44"/>
      <c r="Q297" s="44"/>
    </row>
    <row r="298">
      <c r="B298" s="44"/>
      <c r="D298" s="44"/>
      <c r="F298" s="44"/>
      <c r="G298" s="44"/>
      <c r="I298" s="44"/>
      <c r="J298" s="44"/>
      <c r="K298" s="44"/>
      <c r="L298" s="44"/>
      <c r="M298" s="44"/>
      <c r="O298" s="44"/>
      <c r="Q298" s="44"/>
    </row>
    <row r="299">
      <c r="B299" s="44"/>
      <c r="D299" s="44"/>
      <c r="F299" s="44"/>
      <c r="G299" s="44"/>
      <c r="I299" s="44"/>
      <c r="J299" s="44"/>
      <c r="K299" s="44"/>
      <c r="L299" s="44"/>
      <c r="M299" s="44"/>
      <c r="O299" s="44"/>
      <c r="Q299" s="44"/>
    </row>
    <row r="300">
      <c r="B300" s="44"/>
      <c r="D300" s="44"/>
      <c r="F300" s="44"/>
      <c r="G300" s="44"/>
      <c r="I300" s="44"/>
      <c r="J300" s="44"/>
      <c r="K300" s="44"/>
      <c r="L300" s="44"/>
      <c r="M300" s="44"/>
      <c r="O300" s="44"/>
      <c r="Q300" s="44"/>
    </row>
    <row r="301">
      <c r="B301" s="44"/>
      <c r="D301" s="44"/>
      <c r="F301" s="44"/>
      <c r="G301" s="44"/>
      <c r="I301" s="44"/>
      <c r="J301" s="44"/>
      <c r="K301" s="44"/>
      <c r="L301" s="44"/>
      <c r="M301" s="44"/>
      <c r="O301" s="44"/>
      <c r="Q301" s="44"/>
    </row>
    <row r="302">
      <c r="B302" s="44"/>
      <c r="D302" s="44"/>
      <c r="F302" s="44"/>
      <c r="G302" s="44"/>
      <c r="I302" s="44"/>
      <c r="J302" s="44"/>
      <c r="K302" s="44"/>
      <c r="L302" s="44"/>
      <c r="M302" s="44"/>
      <c r="O302" s="44"/>
      <c r="Q302" s="44"/>
    </row>
    <row r="303">
      <c r="B303" s="44"/>
      <c r="D303" s="44"/>
      <c r="F303" s="44"/>
      <c r="G303" s="44"/>
      <c r="I303" s="44"/>
      <c r="J303" s="44"/>
      <c r="K303" s="44"/>
      <c r="L303" s="44"/>
      <c r="M303" s="44"/>
      <c r="O303" s="44"/>
      <c r="Q303" s="44"/>
    </row>
    <row r="304">
      <c r="B304" s="44"/>
      <c r="D304" s="44"/>
      <c r="F304" s="44"/>
      <c r="G304" s="44"/>
      <c r="I304" s="44"/>
      <c r="J304" s="44"/>
      <c r="K304" s="44"/>
      <c r="L304" s="44"/>
      <c r="M304" s="44"/>
      <c r="O304" s="44"/>
      <c r="Q304" s="44"/>
    </row>
    <row r="305">
      <c r="B305" s="44"/>
      <c r="D305" s="44"/>
      <c r="F305" s="44"/>
      <c r="G305" s="44"/>
      <c r="I305" s="44"/>
      <c r="J305" s="44"/>
      <c r="K305" s="44"/>
      <c r="L305" s="44"/>
      <c r="M305" s="44"/>
      <c r="O305" s="44"/>
      <c r="Q305" s="44"/>
    </row>
    <row r="306">
      <c r="B306" s="44"/>
      <c r="D306" s="44"/>
      <c r="F306" s="44"/>
      <c r="G306" s="44"/>
      <c r="I306" s="44"/>
      <c r="J306" s="44"/>
      <c r="K306" s="44"/>
      <c r="L306" s="44"/>
      <c r="M306" s="44"/>
      <c r="O306" s="44"/>
      <c r="Q306" s="44"/>
    </row>
    <row r="307">
      <c r="B307" s="44"/>
      <c r="D307" s="44"/>
      <c r="F307" s="44"/>
      <c r="G307" s="44"/>
      <c r="I307" s="44"/>
      <c r="J307" s="44"/>
      <c r="K307" s="44"/>
      <c r="L307" s="44"/>
      <c r="M307" s="44"/>
      <c r="O307" s="44"/>
      <c r="Q307" s="44"/>
    </row>
    <row r="308">
      <c r="B308" s="44"/>
      <c r="D308" s="44"/>
      <c r="F308" s="44"/>
      <c r="G308" s="44"/>
      <c r="I308" s="44"/>
      <c r="J308" s="44"/>
      <c r="K308" s="44"/>
      <c r="L308" s="44"/>
      <c r="M308" s="44"/>
      <c r="O308" s="44"/>
      <c r="Q308" s="44"/>
    </row>
    <row r="309">
      <c r="B309" s="44"/>
      <c r="D309" s="44"/>
      <c r="F309" s="44"/>
      <c r="G309" s="44"/>
      <c r="I309" s="44"/>
      <c r="J309" s="44"/>
      <c r="K309" s="44"/>
      <c r="L309" s="44"/>
      <c r="M309" s="44"/>
      <c r="O309" s="44"/>
      <c r="Q309" s="44"/>
    </row>
    <row r="310">
      <c r="B310" s="44"/>
      <c r="D310" s="44"/>
      <c r="F310" s="44"/>
      <c r="G310" s="44"/>
      <c r="I310" s="44"/>
      <c r="J310" s="44"/>
      <c r="K310" s="44"/>
      <c r="L310" s="44"/>
      <c r="M310" s="44"/>
      <c r="O310" s="44"/>
      <c r="Q310" s="44"/>
    </row>
    <row r="311">
      <c r="B311" s="44"/>
      <c r="D311" s="44"/>
      <c r="F311" s="44"/>
      <c r="G311" s="44"/>
      <c r="I311" s="44"/>
      <c r="J311" s="44"/>
      <c r="K311" s="44"/>
      <c r="L311" s="44"/>
      <c r="M311" s="44"/>
      <c r="O311" s="44"/>
      <c r="Q311" s="44"/>
    </row>
    <row r="312">
      <c r="B312" s="44"/>
      <c r="D312" s="44"/>
      <c r="F312" s="44"/>
      <c r="G312" s="44"/>
      <c r="I312" s="44"/>
      <c r="J312" s="44"/>
      <c r="K312" s="44"/>
      <c r="L312" s="44"/>
      <c r="M312" s="44"/>
      <c r="O312" s="44"/>
      <c r="Q312" s="44"/>
    </row>
    <row r="313">
      <c r="B313" s="44"/>
      <c r="D313" s="44"/>
      <c r="F313" s="44"/>
      <c r="G313" s="44"/>
      <c r="I313" s="44"/>
      <c r="J313" s="44"/>
      <c r="K313" s="44"/>
      <c r="L313" s="44"/>
      <c r="M313" s="44"/>
      <c r="O313" s="44"/>
      <c r="Q313" s="44"/>
    </row>
    <row r="314">
      <c r="B314" s="44"/>
      <c r="D314" s="44"/>
      <c r="F314" s="44"/>
      <c r="G314" s="44"/>
      <c r="I314" s="44"/>
      <c r="J314" s="44"/>
      <c r="K314" s="44"/>
      <c r="L314" s="44"/>
      <c r="M314" s="44"/>
      <c r="O314" s="44"/>
      <c r="Q314" s="44"/>
    </row>
    <row r="315">
      <c r="B315" s="44"/>
      <c r="D315" s="44"/>
      <c r="F315" s="44"/>
      <c r="G315" s="44"/>
      <c r="I315" s="44"/>
      <c r="J315" s="44"/>
      <c r="K315" s="44"/>
      <c r="L315" s="44"/>
      <c r="M315" s="44"/>
      <c r="O315" s="44"/>
      <c r="Q315" s="44"/>
    </row>
    <row r="316">
      <c r="B316" s="44"/>
      <c r="D316" s="44"/>
      <c r="F316" s="44"/>
      <c r="G316" s="44"/>
      <c r="I316" s="44"/>
      <c r="J316" s="44"/>
      <c r="K316" s="44"/>
      <c r="L316" s="44"/>
      <c r="M316" s="44"/>
      <c r="O316" s="44"/>
      <c r="Q316" s="44"/>
    </row>
    <row r="317">
      <c r="B317" s="44"/>
      <c r="D317" s="44"/>
      <c r="F317" s="44"/>
      <c r="G317" s="44"/>
      <c r="I317" s="44"/>
      <c r="J317" s="44"/>
      <c r="K317" s="44"/>
      <c r="L317" s="44"/>
      <c r="M317" s="44"/>
      <c r="O317" s="44"/>
      <c r="Q317" s="44"/>
    </row>
    <row r="318">
      <c r="B318" s="44"/>
      <c r="D318" s="44"/>
      <c r="F318" s="44"/>
      <c r="G318" s="44"/>
      <c r="I318" s="44"/>
      <c r="J318" s="44"/>
      <c r="K318" s="44"/>
      <c r="L318" s="44"/>
      <c r="M318" s="44"/>
      <c r="O318" s="44"/>
      <c r="Q318" s="44"/>
    </row>
    <row r="319">
      <c r="B319" s="44"/>
      <c r="D319" s="44"/>
      <c r="F319" s="44"/>
      <c r="G319" s="44"/>
      <c r="I319" s="44"/>
      <c r="J319" s="44"/>
      <c r="K319" s="44"/>
      <c r="L319" s="44"/>
      <c r="M319" s="44"/>
      <c r="O319" s="44"/>
      <c r="Q319" s="44"/>
    </row>
    <row r="320">
      <c r="B320" s="44"/>
      <c r="D320" s="44"/>
      <c r="F320" s="44"/>
      <c r="G320" s="44"/>
      <c r="I320" s="44"/>
      <c r="J320" s="44"/>
      <c r="K320" s="44"/>
      <c r="L320" s="44"/>
      <c r="M320" s="44"/>
      <c r="O320" s="44"/>
      <c r="Q320" s="44"/>
    </row>
    <row r="321">
      <c r="B321" s="44"/>
      <c r="D321" s="44"/>
      <c r="F321" s="44"/>
      <c r="G321" s="44"/>
      <c r="I321" s="44"/>
      <c r="J321" s="44"/>
      <c r="K321" s="44"/>
      <c r="L321" s="44"/>
      <c r="M321" s="44"/>
      <c r="O321" s="44"/>
      <c r="Q321" s="44"/>
    </row>
    <row r="322">
      <c r="B322" s="44"/>
      <c r="D322" s="44"/>
      <c r="F322" s="44"/>
      <c r="G322" s="44"/>
      <c r="I322" s="44"/>
      <c r="J322" s="44"/>
      <c r="K322" s="44"/>
      <c r="L322" s="44"/>
      <c r="M322" s="44"/>
      <c r="O322" s="44"/>
      <c r="Q322" s="44"/>
    </row>
    <row r="323">
      <c r="B323" s="44"/>
      <c r="D323" s="44"/>
      <c r="F323" s="44"/>
      <c r="G323" s="44"/>
      <c r="I323" s="44"/>
      <c r="J323" s="44"/>
      <c r="K323" s="44"/>
      <c r="L323" s="44"/>
      <c r="M323" s="44"/>
      <c r="O323" s="44"/>
      <c r="Q323" s="44"/>
    </row>
    <row r="324">
      <c r="B324" s="44"/>
      <c r="D324" s="44"/>
      <c r="F324" s="44"/>
      <c r="G324" s="44"/>
      <c r="I324" s="44"/>
      <c r="J324" s="44"/>
      <c r="K324" s="44"/>
      <c r="L324" s="44"/>
      <c r="M324" s="44"/>
      <c r="O324" s="44"/>
      <c r="Q324" s="44"/>
    </row>
    <row r="325">
      <c r="B325" s="44"/>
      <c r="D325" s="44"/>
      <c r="F325" s="44"/>
      <c r="G325" s="44"/>
      <c r="I325" s="44"/>
      <c r="J325" s="44"/>
      <c r="K325" s="44"/>
      <c r="L325" s="44"/>
      <c r="M325" s="44"/>
      <c r="O325" s="44"/>
      <c r="Q325" s="44"/>
    </row>
    <row r="326">
      <c r="B326" s="44"/>
      <c r="D326" s="44"/>
      <c r="F326" s="44"/>
      <c r="G326" s="44"/>
      <c r="I326" s="44"/>
      <c r="J326" s="44"/>
      <c r="K326" s="44"/>
      <c r="L326" s="44"/>
      <c r="M326" s="44"/>
      <c r="O326" s="44"/>
      <c r="Q326" s="44"/>
    </row>
    <row r="327">
      <c r="B327" s="44"/>
      <c r="D327" s="44"/>
      <c r="F327" s="44"/>
      <c r="G327" s="44"/>
      <c r="I327" s="44"/>
      <c r="J327" s="44"/>
      <c r="K327" s="44"/>
      <c r="L327" s="44"/>
      <c r="M327" s="44"/>
      <c r="O327" s="44"/>
      <c r="Q327" s="44"/>
    </row>
    <row r="328">
      <c r="B328" s="44"/>
      <c r="D328" s="44"/>
      <c r="F328" s="44"/>
      <c r="G328" s="44"/>
      <c r="I328" s="44"/>
      <c r="J328" s="44"/>
      <c r="K328" s="44"/>
      <c r="L328" s="44"/>
      <c r="M328" s="44"/>
      <c r="O328" s="44"/>
      <c r="Q328" s="44"/>
    </row>
    <row r="329">
      <c r="B329" s="44"/>
      <c r="D329" s="44"/>
      <c r="F329" s="44"/>
      <c r="G329" s="44"/>
      <c r="I329" s="44"/>
      <c r="J329" s="44"/>
      <c r="K329" s="44"/>
      <c r="L329" s="44"/>
      <c r="M329" s="44"/>
      <c r="O329" s="44"/>
      <c r="Q329" s="44"/>
    </row>
    <row r="330">
      <c r="B330" s="44"/>
      <c r="D330" s="44"/>
      <c r="F330" s="44"/>
      <c r="G330" s="44"/>
      <c r="I330" s="44"/>
      <c r="J330" s="44"/>
      <c r="K330" s="44"/>
      <c r="L330" s="44"/>
      <c r="M330" s="44"/>
      <c r="O330" s="44"/>
      <c r="Q330" s="44"/>
    </row>
    <row r="331">
      <c r="B331" s="44"/>
      <c r="D331" s="44"/>
      <c r="F331" s="44"/>
      <c r="G331" s="44"/>
      <c r="I331" s="44"/>
      <c r="J331" s="44"/>
      <c r="K331" s="44"/>
      <c r="L331" s="44"/>
      <c r="M331" s="44"/>
      <c r="O331" s="44"/>
      <c r="Q331" s="44"/>
    </row>
    <row r="332">
      <c r="B332" s="44"/>
      <c r="D332" s="44"/>
      <c r="F332" s="44"/>
      <c r="G332" s="44"/>
      <c r="I332" s="44"/>
      <c r="J332" s="44"/>
      <c r="K332" s="44"/>
      <c r="L332" s="44"/>
      <c r="M332" s="44"/>
      <c r="O332" s="44"/>
      <c r="Q332" s="44"/>
    </row>
    <row r="333">
      <c r="B333" s="44"/>
      <c r="D333" s="44"/>
      <c r="F333" s="44"/>
      <c r="G333" s="44"/>
      <c r="I333" s="44"/>
      <c r="J333" s="44"/>
      <c r="K333" s="44"/>
      <c r="L333" s="44"/>
      <c r="M333" s="44"/>
      <c r="O333" s="44"/>
      <c r="Q333" s="44"/>
    </row>
    <row r="334">
      <c r="B334" s="44"/>
      <c r="D334" s="44"/>
      <c r="F334" s="44"/>
      <c r="G334" s="44"/>
      <c r="I334" s="44"/>
      <c r="J334" s="44"/>
      <c r="K334" s="44"/>
      <c r="L334" s="44"/>
      <c r="M334" s="44"/>
      <c r="O334" s="44"/>
      <c r="Q334" s="44"/>
    </row>
    <row r="335">
      <c r="B335" s="44"/>
      <c r="D335" s="44"/>
      <c r="F335" s="44"/>
      <c r="G335" s="44"/>
      <c r="I335" s="44"/>
      <c r="J335" s="44"/>
      <c r="K335" s="44"/>
      <c r="L335" s="44"/>
      <c r="M335" s="44"/>
      <c r="O335" s="44"/>
      <c r="Q335" s="44"/>
    </row>
    <row r="336">
      <c r="B336" s="44"/>
      <c r="D336" s="44"/>
      <c r="F336" s="44"/>
      <c r="G336" s="44"/>
      <c r="I336" s="44"/>
      <c r="J336" s="44"/>
      <c r="K336" s="44"/>
      <c r="L336" s="44"/>
      <c r="M336" s="44"/>
      <c r="O336" s="44"/>
      <c r="Q336" s="44"/>
    </row>
    <row r="337">
      <c r="B337" s="44"/>
      <c r="D337" s="44"/>
      <c r="F337" s="44"/>
      <c r="G337" s="44"/>
      <c r="I337" s="44"/>
      <c r="J337" s="44"/>
      <c r="K337" s="44"/>
      <c r="L337" s="44"/>
      <c r="M337" s="44"/>
      <c r="O337" s="44"/>
      <c r="Q337" s="44"/>
    </row>
    <row r="338">
      <c r="B338" s="44"/>
      <c r="D338" s="44"/>
      <c r="F338" s="44"/>
      <c r="G338" s="44"/>
      <c r="I338" s="44"/>
      <c r="J338" s="44"/>
      <c r="K338" s="44"/>
      <c r="L338" s="44"/>
      <c r="M338" s="44"/>
      <c r="O338" s="44"/>
      <c r="Q338" s="44"/>
    </row>
    <row r="339">
      <c r="B339" s="44"/>
      <c r="D339" s="44"/>
      <c r="F339" s="44"/>
      <c r="G339" s="44"/>
      <c r="I339" s="44"/>
      <c r="J339" s="44"/>
      <c r="K339" s="44"/>
      <c r="L339" s="44"/>
      <c r="M339" s="44"/>
      <c r="O339" s="44"/>
      <c r="Q339" s="44"/>
    </row>
    <row r="340">
      <c r="B340" s="44"/>
      <c r="D340" s="44"/>
      <c r="F340" s="44"/>
      <c r="G340" s="44"/>
      <c r="I340" s="44"/>
      <c r="J340" s="44"/>
      <c r="K340" s="44"/>
      <c r="L340" s="44"/>
      <c r="M340" s="44"/>
      <c r="O340" s="44"/>
      <c r="Q340" s="44"/>
    </row>
    <row r="341">
      <c r="B341" s="44"/>
      <c r="D341" s="44"/>
      <c r="F341" s="44"/>
      <c r="G341" s="44"/>
      <c r="I341" s="44"/>
      <c r="J341" s="44"/>
      <c r="K341" s="44"/>
      <c r="L341" s="44"/>
      <c r="M341" s="44"/>
      <c r="O341" s="44"/>
      <c r="Q341" s="44"/>
    </row>
    <row r="342">
      <c r="B342" s="44"/>
      <c r="D342" s="44"/>
      <c r="F342" s="44"/>
      <c r="G342" s="44"/>
      <c r="I342" s="44"/>
      <c r="J342" s="44"/>
      <c r="K342" s="44"/>
      <c r="L342" s="44"/>
      <c r="M342" s="44"/>
      <c r="O342" s="44"/>
      <c r="Q342" s="44"/>
    </row>
    <row r="343">
      <c r="B343" s="44"/>
      <c r="D343" s="44"/>
      <c r="F343" s="44"/>
      <c r="G343" s="44"/>
      <c r="I343" s="44"/>
      <c r="J343" s="44"/>
      <c r="K343" s="44"/>
      <c r="L343" s="44"/>
      <c r="M343" s="44"/>
      <c r="O343" s="44"/>
      <c r="Q343" s="44"/>
    </row>
    <row r="344">
      <c r="B344" s="44"/>
      <c r="D344" s="44"/>
      <c r="F344" s="44"/>
      <c r="G344" s="44"/>
      <c r="I344" s="44"/>
      <c r="J344" s="44"/>
      <c r="K344" s="44"/>
      <c r="L344" s="44"/>
      <c r="M344" s="44"/>
      <c r="O344" s="44"/>
      <c r="Q344" s="44"/>
    </row>
    <row r="345">
      <c r="B345" s="44"/>
      <c r="D345" s="44"/>
      <c r="F345" s="44"/>
      <c r="G345" s="44"/>
      <c r="I345" s="44"/>
      <c r="J345" s="44"/>
      <c r="K345" s="44"/>
      <c r="L345" s="44"/>
      <c r="M345" s="44"/>
      <c r="O345" s="44"/>
      <c r="Q345" s="44"/>
    </row>
    <row r="346">
      <c r="B346" s="44"/>
      <c r="D346" s="44"/>
      <c r="F346" s="44"/>
      <c r="G346" s="44"/>
      <c r="I346" s="44"/>
      <c r="J346" s="44"/>
      <c r="K346" s="44"/>
      <c r="L346" s="44"/>
      <c r="M346" s="44"/>
      <c r="O346" s="44"/>
      <c r="Q346" s="44"/>
    </row>
    <row r="347">
      <c r="B347" s="44"/>
      <c r="D347" s="44"/>
      <c r="F347" s="44"/>
      <c r="G347" s="44"/>
      <c r="I347" s="44"/>
      <c r="J347" s="44"/>
      <c r="K347" s="44"/>
      <c r="L347" s="44"/>
      <c r="M347" s="44"/>
      <c r="O347" s="44"/>
      <c r="Q347" s="44"/>
    </row>
    <row r="348">
      <c r="B348" s="44"/>
      <c r="D348" s="44"/>
      <c r="F348" s="44"/>
      <c r="G348" s="44"/>
      <c r="I348" s="44"/>
      <c r="J348" s="44"/>
      <c r="K348" s="44"/>
      <c r="L348" s="44"/>
      <c r="M348" s="44"/>
      <c r="O348" s="44"/>
      <c r="Q348" s="44"/>
    </row>
    <row r="349">
      <c r="B349" s="44"/>
      <c r="D349" s="44"/>
      <c r="F349" s="44"/>
      <c r="G349" s="44"/>
      <c r="I349" s="44"/>
      <c r="J349" s="44"/>
      <c r="K349" s="44"/>
      <c r="L349" s="44"/>
      <c r="M349" s="44"/>
      <c r="O349" s="44"/>
      <c r="Q349" s="44"/>
    </row>
    <row r="350">
      <c r="B350" s="44"/>
      <c r="D350" s="44"/>
      <c r="F350" s="44"/>
      <c r="G350" s="44"/>
      <c r="I350" s="44"/>
      <c r="J350" s="44"/>
      <c r="K350" s="44"/>
      <c r="L350" s="44"/>
      <c r="M350" s="44"/>
      <c r="O350" s="44"/>
      <c r="Q350" s="44"/>
    </row>
    <row r="351">
      <c r="B351" s="44"/>
      <c r="D351" s="44"/>
      <c r="F351" s="44"/>
      <c r="G351" s="44"/>
      <c r="I351" s="44"/>
      <c r="J351" s="44"/>
      <c r="K351" s="44"/>
      <c r="L351" s="44"/>
      <c r="M351" s="44"/>
      <c r="O351" s="44"/>
      <c r="Q351" s="44"/>
    </row>
    <row r="352">
      <c r="B352" s="44"/>
      <c r="D352" s="44"/>
      <c r="F352" s="44"/>
      <c r="G352" s="44"/>
      <c r="I352" s="44"/>
      <c r="J352" s="44"/>
      <c r="K352" s="44"/>
      <c r="L352" s="44"/>
      <c r="M352" s="44"/>
      <c r="O352" s="44"/>
      <c r="Q352" s="44"/>
    </row>
    <row r="353">
      <c r="B353" s="44"/>
      <c r="D353" s="44"/>
      <c r="F353" s="44"/>
      <c r="G353" s="44"/>
      <c r="I353" s="44"/>
      <c r="J353" s="44"/>
      <c r="K353" s="44"/>
      <c r="L353" s="44"/>
      <c r="M353" s="44"/>
      <c r="O353" s="44"/>
      <c r="Q353" s="44"/>
    </row>
    <row r="354">
      <c r="B354" s="44"/>
      <c r="D354" s="44"/>
      <c r="F354" s="44"/>
      <c r="G354" s="44"/>
      <c r="I354" s="44"/>
      <c r="J354" s="44"/>
      <c r="K354" s="44"/>
      <c r="L354" s="44"/>
      <c r="M354" s="44"/>
      <c r="O354" s="44"/>
      <c r="Q354" s="44"/>
    </row>
    <row r="355">
      <c r="B355" s="44"/>
      <c r="D355" s="44"/>
      <c r="F355" s="44"/>
      <c r="G355" s="44"/>
      <c r="I355" s="44"/>
      <c r="J355" s="44"/>
      <c r="K355" s="44"/>
      <c r="L355" s="44"/>
      <c r="M355" s="44"/>
      <c r="O355" s="44"/>
      <c r="Q355" s="44"/>
    </row>
    <row r="356">
      <c r="B356" s="44"/>
      <c r="D356" s="44"/>
      <c r="F356" s="44"/>
      <c r="G356" s="44"/>
      <c r="I356" s="44"/>
      <c r="J356" s="44"/>
      <c r="K356" s="44"/>
      <c r="L356" s="44"/>
      <c r="M356" s="44"/>
      <c r="O356" s="44"/>
      <c r="Q356" s="44"/>
    </row>
    <row r="357">
      <c r="B357" s="44"/>
      <c r="D357" s="44"/>
      <c r="F357" s="44"/>
      <c r="G357" s="44"/>
      <c r="I357" s="44"/>
      <c r="J357" s="44"/>
      <c r="K357" s="44"/>
      <c r="L357" s="44"/>
      <c r="M357" s="44"/>
      <c r="O357" s="44"/>
      <c r="Q357" s="44"/>
    </row>
    <row r="358">
      <c r="B358" s="44"/>
      <c r="D358" s="44"/>
      <c r="F358" s="44"/>
      <c r="G358" s="44"/>
      <c r="I358" s="44"/>
      <c r="J358" s="44"/>
      <c r="K358" s="44"/>
      <c r="L358" s="44"/>
      <c r="M358" s="44"/>
      <c r="O358" s="44"/>
      <c r="Q358" s="44"/>
    </row>
    <row r="359">
      <c r="B359" s="44"/>
      <c r="D359" s="44"/>
      <c r="F359" s="44"/>
      <c r="G359" s="44"/>
      <c r="I359" s="44"/>
      <c r="J359" s="44"/>
      <c r="K359" s="44"/>
      <c r="L359" s="44"/>
      <c r="M359" s="44"/>
      <c r="O359" s="44"/>
      <c r="Q359" s="44"/>
    </row>
    <row r="360">
      <c r="B360" s="44"/>
      <c r="D360" s="44"/>
      <c r="F360" s="44"/>
      <c r="G360" s="44"/>
      <c r="I360" s="44"/>
      <c r="J360" s="44"/>
      <c r="K360" s="44"/>
      <c r="L360" s="44"/>
      <c r="M360" s="44"/>
      <c r="O360" s="44"/>
      <c r="Q360" s="44"/>
    </row>
    <row r="361">
      <c r="B361" s="44"/>
      <c r="D361" s="44"/>
      <c r="F361" s="44"/>
      <c r="G361" s="44"/>
      <c r="I361" s="44"/>
      <c r="J361" s="44"/>
      <c r="K361" s="44"/>
      <c r="L361" s="44"/>
      <c r="M361" s="44"/>
      <c r="O361" s="44"/>
      <c r="Q361" s="44"/>
    </row>
    <row r="362">
      <c r="B362" s="44"/>
      <c r="D362" s="44"/>
      <c r="F362" s="44"/>
      <c r="G362" s="44"/>
      <c r="I362" s="44"/>
      <c r="J362" s="44"/>
      <c r="K362" s="44"/>
      <c r="L362" s="44"/>
      <c r="M362" s="44"/>
      <c r="O362" s="44"/>
      <c r="Q362" s="44"/>
    </row>
    <row r="363">
      <c r="B363" s="44"/>
      <c r="D363" s="44"/>
      <c r="F363" s="44"/>
      <c r="G363" s="44"/>
      <c r="I363" s="44"/>
      <c r="J363" s="44"/>
      <c r="K363" s="44"/>
      <c r="L363" s="44"/>
      <c r="M363" s="44"/>
      <c r="O363" s="44"/>
      <c r="Q363" s="44"/>
    </row>
    <row r="364">
      <c r="B364" s="44"/>
      <c r="D364" s="44"/>
      <c r="F364" s="44"/>
      <c r="G364" s="44"/>
      <c r="I364" s="44"/>
      <c r="J364" s="44"/>
      <c r="K364" s="44"/>
      <c r="L364" s="44"/>
      <c r="M364" s="44"/>
      <c r="O364" s="44"/>
      <c r="Q364" s="44"/>
    </row>
    <row r="365">
      <c r="B365" s="44"/>
      <c r="D365" s="44"/>
      <c r="F365" s="44"/>
      <c r="G365" s="44"/>
      <c r="I365" s="44"/>
      <c r="J365" s="44"/>
      <c r="K365" s="44"/>
      <c r="L365" s="44"/>
      <c r="M365" s="44"/>
      <c r="O365" s="44"/>
      <c r="Q365" s="44"/>
    </row>
    <row r="366">
      <c r="B366" s="44"/>
      <c r="D366" s="44"/>
      <c r="F366" s="44"/>
      <c r="G366" s="44"/>
      <c r="I366" s="44"/>
      <c r="J366" s="44"/>
      <c r="K366" s="44"/>
      <c r="L366" s="44"/>
      <c r="M366" s="44"/>
      <c r="O366" s="44"/>
      <c r="Q366" s="44"/>
    </row>
    <row r="367">
      <c r="B367" s="44"/>
      <c r="D367" s="44"/>
      <c r="F367" s="44"/>
      <c r="G367" s="44"/>
      <c r="I367" s="44"/>
      <c r="J367" s="44"/>
      <c r="K367" s="44"/>
      <c r="L367" s="44"/>
      <c r="M367" s="44"/>
      <c r="O367" s="44"/>
      <c r="Q367" s="44"/>
    </row>
    <row r="368">
      <c r="B368" s="44"/>
      <c r="D368" s="44"/>
      <c r="F368" s="44"/>
      <c r="G368" s="44"/>
      <c r="I368" s="44"/>
      <c r="J368" s="44"/>
      <c r="K368" s="44"/>
      <c r="L368" s="44"/>
      <c r="M368" s="44"/>
      <c r="O368" s="44"/>
      <c r="Q368" s="44"/>
    </row>
    <row r="369">
      <c r="B369" s="44"/>
      <c r="D369" s="44"/>
      <c r="F369" s="44"/>
      <c r="G369" s="44"/>
      <c r="I369" s="44"/>
      <c r="J369" s="44"/>
      <c r="K369" s="44"/>
      <c r="L369" s="44"/>
      <c r="M369" s="44"/>
      <c r="O369" s="44"/>
      <c r="Q369" s="44"/>
    </row>
    <row r="370">
      <c r="B370" s="44"/>
      <c r="D370" s="44"/>
      <c r="F370" s="44"/>
      <c r="G370" s="44"/>
      <c r="I370" s="44"/>
      <c r="J370" s="44"/>
      <c r="K370" s="44"/>
      <c r="L370" s="44"/>
      <c r="M370" s="44"/>
      <c r="O370" s="44"/>
      <c r="Q370" s="44"/>
    </row>
    <row r="371">
      <c r="B371" s="44"/>
      <c r="D371" s="44"/>
      <c r="F371" s="44"/>
      <c r="G371" s="44"/>
      <c r="I371" s="44"/>
      <c r="J371" s="44"/>
      <c r="K371" s="44"/>
      <c r="L371" s="44"/>
      <c r="M371" s="44"/>
      <c r="O371" s="44"/>
      <c r="Q371" s="44"/>
    </row>
    <row r="372">
      <c r="B372" s="44"/>
      <c r="D372" s="44"/>
      <c r="F372" s="44"/>
      <c r="G372" s="44"/>
      <c r="I372" s="44"/>
      <c r="J372" s="44"/>
      <c r="K372" s="44"/>
      <c r="L372" s="44"/>
      <c r="M372" s="44"/>
      <c r="O372" s="44"/>
      <c r="Q372" s="44"/>
    </row>
    <row r="373">
      <c r="B373" s="44"/>
      <c r="D373" s="44"/>
      <c r="F373" s="44"/>
      <c r="G373" s="44"/>
      <c r="I373" s="44"/>
      <c r="J373" s="44"/>
      <c r="K373" s="44"/>
      <c r="L373" s="44"/>
      <c r="M373" s="44"/>
      <c r="O373" s="44"/>
      <c r="Q373" s="44"/>
    </row>
    <row r="374">
      <c r="B374" s="44"/>
      <c r="D374" s="44"/>
      <c r="F374" s="44"/>
      <c r="G374" s="44"/>
      <c r="I374" s="44"/>
      <c r="J374" s="44"/>
      <c r="K374" s="44"/>
      <c r="L374" s="44"/>
      <c r="M374" s="44"/>
      <c r="O374" s="44"/>
      <c r="Q374" s="44"/>
    </row>
    <row r="375">
      <c r="B375" s="44"/>
      <c r="D375" s="44"/>
      <c r="F375" s="44"/>
      <c r="G375" s="44"/>
      <c r="I375" s="44"/>
      <c r="J375" s="44"/>
      <c r="K375" s="44"/>
      <c r="L375" s="44"/>
      <c r="M375" s="44"/>
      <c r="O375" s="44"/>
      <c r="Q375" s="44"/>
    </row>
    <row r="376">
      <c r="B376" s="44"/>
      <c r="D376" s="44"/>
      <c r="F376" s="44"/>
      <c r="G376" s="44"/>
      <c r="I376" s="44"/>
      <c r="J376" s="44"/>
      <c r="K376" s="44"/>
      <c r="L376" s="44"/>
      <c r="M376" s="44"/>
      <c r="O376" s="44"/>
      <c r="Q376" s="44"/>
    </row>
    <row r="377">
      <c r="B377" s="44"/>
      <c r="D377" s="44"/>
      <c r="F377" s="44"/>
      <c r="G377" s="44"/>
      <c r="I377" s="44"/>
      <c r="J377" s="44"/>
      <c r="K377" s="44"/>
      <c r="L377" s="44"/>
      <c r="M377" s="44"/>
      <c r="O377" s="44"/>
      <c r="Q377" s="44"/>
    </row>
    <row r="378">
      <c r="B378" s="44"/>
      <c r="D378" s="44"/>
      <c r="F378" s="44"/>
      <c r="G378" s="44"/>
      <c r="I378" s="44"/>
      <c r="J378" s="44"/>
      <c r="K378" s="44"/>
      <c r="L378" s="44"/>
      <c r="M378" s="44"/>
      <c r="O378" s="44"/>
      <c r="Q378" s="44"/>
    </row>
    <row r="379">
      <c r="B379" s="44"/>
      <c r="D379" s="44"/>
      <c r="F379" s="44"/>
      <c r="G379" s="44"/>
      <c r="I379" s="44"/>
      <c r="J379" s="44"/>
      <c r="K379" s="44"/>
      <c r="L379" s="44"/>
      <c r="M379" s="44"/>
      <c r="O379" s="44"/>
      <c r="Q379" s="44"/>
    </row>
    <row r="380">
      <c r="B380" s="44"/>
      <c r="D380" s="44"/>
      <c r="F380" s="44"/>
      <c r="G380" s="44"/>
      <c r="I380" s="44"/>
      <c r="J380" s="44"/>
      <c r="K380" s="44"/>
      <c r="L380" s="44"/>
      <c r="M380" s="44"/>
      <c r="O380" s="44"/>
      <c r="Q380" s="44"/>
    </row>
    <row r="381">
      <c r="B381" s="44"/>
      <c r="D381" s="44"/>
      <c r="F381" s="44"/>
      <c r="G381" s="44"/>
      <c r="I381" s="44"/>
      <c r="J381" s="44"/>
      <c r="K381" s="44"/>
      <c r="L381" s="44"/>
      <c r="M381" s="44"/>
      <c r="O381" s="44"/>
      <c r="Q381" s="44"/>
    </row>
    <row r="382">
      <c r="B382" s="44"/>
      <c r="D382" s="44"/>
      <c r="F382" s="44"/>
      <c r="G382" s="44"/>
      <c r="I382" s="44"/>
      <c r="J382" s="44"/>
      <c r="K382" s="44"/>
      <c r="L382" s="44"/>
      <c r="M382" s="44"/>
      <c r="O382" s="44"/>
      <c r="Q382" s="44"/>
    </row>
    <row r="383">
      <c r="B383" s="44"/>
      <c r="D383" s="44"/>
      <c r="F383" s="44"/>
      <c r="G383" s="44"/>
      <c r="I383" s="44"/>
      <c r="J383" s="44"/>
      <c r="K383" s="44"/>
      <c r="L383" s="44"/>
      <c r="M383" s="44"/>
      <c r="O383" s="44"/>
      <c r="Q383" s="44"/>
    </row>
    <row r="384">
      <c r="B384" s="44"/>
      <c r="D384" s="44"/>
      <c r="F384" s="44"/>
      <c r="G384" s="44"/>
      <c r="I384" s="44"/>
      <c r="J384" s="44"/>
      <c r="K384" s="44"/>
      <c r="L384" s="44"/>
      <c r="M384" s="44"/>
      <c r="O384" s="44"/>
      <c r="Q384" s="44"/>
    </row>
    <row r="385">
      <c r="B385" s="44"/>
      <c r="D385" s="44"/>
      <c r="F385" s="44"/>
      <c r="G385" s="44"/>
      <c r="I385" s="44"/>
      <c r="J385" s="44"/>
      <c r="K385" s="44"/>
      <c r="L385" s="44"/>
      <c r="M385" s="44"/>
      <c r="O385" s="44"/>
      <c r="Q385" s="44"/>
    </row>
    <row r="386">
      <c r="B386" s="44"/>
      <c r="D386" s="44"/>
      <c r="F386" s="44"/>
      <c r="G386" s="44"/>
      <c r="I386" s="44"/>
      <c r="J386" s="44"/>
      <c r="K386" s="44"/>
      <c r="L386" s="44"/>
      <c r="M386" s="44"/>
      <c r="O386" s="44"/>
      <c r="Q386" s="44"/>
    </row>
    <row r="387">
      <c r="B387" s="44"/>
      <c r="D387" s="44"/>
      <c r="F387" s="44"/>
      <c r="G387" s="44"/>
      <c r="I387" s="44"/>
      <c r="J387" s="44"/>
      <c r="K387" s="44"/>
      <c r="L387" s="44"/>
      <c r="M387" s="44"/>
      <c r="O387" s="44"/>
      <c r="Q387" s="44"/>
    </row>
    <row r="388">
      <c r="B388" s="44"/>
      <c r="D388" s="44"/>
      <c r="F388" s="44"/>
      <c r="G388" s="44"/>
      <c r="I388" s="44"/>
      <c r="J388" s="44"/>
      <c r="K388" s="44"/>
      <c r="L388" s="44"/>
      <c r="M388" s="44"/>
      <c r="O388" s="44"/>
      <c r="Q388" s="44"/>
    </row>
    <row r="389">
      <c r="B389" s="44"/>
      <c r="D389" s="44"/>
      <c r="F389" s="44"/>
      <c r="G389" s="44"/>
      <c r="I389" s="44"/>
      <c r="J389" s="44"/>
      <c r="K389" s="44"/>
      <c r="L389" s="44"/>
      <c r="M389" s="44"/>
      <c r="O389" s="44"/>
      <c r="Q389" s="44"/>
    </row>
    <row r="390">
      <c r="B390" s="44"/>
      <c r="D390" s="44"/>
      <c r="F390" s="44"/>
      <c r="G390" s="44"/>
      <c r="I390" s="44"/>
      <c r="J390" s="44"/>
      <c r="K390" s="44"/>
      <c r="L390" s="44"/>
      <c r="M390" s="44"/>
      <c r="O390" s="44"/>
      <c r="Q390" s="44"/>
    </row>
    <row r="391">
      <c r="B391" s="44"/>
      <c r="D391" s="44"/>
      <c r="F391" s="44"/>
      <c r="G391" s="44"/>
      <c r="I391" s="44"/>
      <c r="J391" s="44"/>
      <c r="K391" s="44"/>
      <c r="L391" s="44"/>
      <c r="M391" s="44"/>
      <c r="O391" s="44"/>
      <c r="Q391" s="44"/>
    </row>
    <row r="392">
      <c r="B392" s="44"/>
      <c r="D392" s="44"/>
      <c r="F392" s="44"/>
      <c r="G392" s="44"/>
      <c r="I392" s="44"/>
      <c r="J392" s="44"/>
      <c r="K392" s="44"/>
      <c r="L392" s="44"/>
      <c r="M392" s="44"/>
      <c r="O392" s="44"/>
      <c r="Q392" s="44"/>
    </row>
    <row r="393">
      <c r="B393" s="44"/>
      <c r="D393" s="44"/>
      <c r="F393" s="44"/>
      <c r="G393" s="44"/>
      <c r="I393" s="44"/>
      <c r="J393" s="44"/>
      <c r="K393" s="44"/>
      <c r="L393" s="44"/>
      <c r="M393" s="44"/>
      <c r="O393" s="44"/>
      <c r="Q393" s="44"/>
    </row>
    <row r="394">
      <c r="B394" s="44"/>
      <c r="D394" s="44"/>
      <c r="F394" s="44"/>
      <c r="G394" s="44"/>
      <c r="I394" s="44"/>
      <c r="J394" s="44"/>
      <c r="K394" s="44"/>
      <c r="L394" s="44"/>
      <c r="M394" s="44"/>
      <c r="O394" s="44"/>
      <c r="Q394" s="44"/>
    </row>
    <row r="395">
      <c r="B395" s="44"/>
      <c r="D395" s="44"/>
      <c r="F395" s="44"/>
      <c r="G395" s="44"/>
      <c r="I395" s="44"/>
      <c r="J395" s="44"/>
      <c r="K395" s="44"/>
      <c r="L395" s="44"/>
      <c r="M395" s="44"/>
      <c r="O395" s="44"/>
      <c r="Q395" s="44"/>
    </row>
    <row r="396">
      <c r="B396" s="44"/>
      <c r="D396" s="44"/>
      <c r="F396" s="44"/>
      <c r="G396" s="44"/>
      <c r="I396" s="44"/>
      <c r="J396" s="44"/>
      <c r="K396" s="44"/>
      <c r="L396" s="44"/>
      <c r="M396" s="44"/>
      <c r="O396" s="44"/>
      <c r="Q396" s="44"/>
    </row>
    <row r="397">
      <c r="B397" s="44"/>
      <c r="D397" s="44"/>
      <c r="F397" s="44"/>
      <c r="G397" s="44"/>
      <c r="I397" s="44"/>
      <c r="J397" s="44"/>
      <c r="K397" s="44"/>
      <c r="L397" s="44"/>
      <c r="M397" s="44"/>
      <c r="O397" s="44"/>
      <c r="Q397" s="44"/>
    </row>
    <row r="398">
      <c r="B398" s="44"/>
      <c r="D398" s="44"/>
      <c r="F398" s="44"/>
      <c r="G398" s="44"/>
      <c r="I398" s="44"/>
      <c r="J398" s="44"/>
      <c r="K398" s="44"/>
      <c r="L398" s="44"/>
      <c r="M398" s="44"/>
      <c r="O398" s="44"/>
      <c r="Q398" s="44"/>
    </row>
    <row r="399">
      <c r="B399" s="44"/>
      <c r="D399" s="44"/>
      <c r="F399" s="44"/>
      <c r="G399" s="44"/>
      <c r="I399" s="44"/>
      <c r="J399" s="44"/>
      <c r="K399" s="44"/>
      <c r="L399" s="44"/>
      <c r="M399" s="44"/>
      <c r="O399" s="44"/>
      <c r="Q399" s="44"/>
    </row>
    <row r="400">
      <c r="B400" s="44"/>
      <c r="D400" s="44"/>
      <c r="F400" s="44"/>
      <c r="G400" s="44"/>
      <c r="I400" s="44"/>
      <c r="J400" s="44"/>
      <c r="K400" s="44"/>
      <c r="L400" s="44"/>
      <c r="M400" s="44"/>
      <c r="O400" s="44"/>
      <c r="Q400" s="44"/>
    </row>
    <row r="401">
      <c r="B401" s="44"/>
      <c r="D401" s="44"/>
      <c r="F401" s="44"/>
      <c r="G401" s="44"/>
      <c r="I401" s="44"/>
      <c r="J401" s="44"/>
      <c r="K401" s="44"/>
      <c r="L401" s="44"/>
      <c r="M401" s="44"/>
      <c r="O401" s="44"/>
      <c r="Q401" s="44"/>
    </row>
    <row r="402">
      <c r="B402" s="44"/>
      <c r="D402" s="44"/>
      <c r="F402" s="44"/>
      <c r="G402" s="44"/>
      <c r="I402" s="44"/>
      <c r="J402" s="44"/>
      <c r="K402" s="44"/>
      <c r="L402" s="44"/>
      <c r="M402" s="44"/>
      <c r="O402" s="44"/>
      <c r="Q402" s="44"/>
    </row>
    <row r="403">
      <c r="B403" s="44"/>
      <c r="D403" s="44"/>
      <c r="F403" s="44"/>
      <c r="G403" s="44"/>
      <c r="I403" s="44"/>
      <c r="J403" s="44"/>
      <c r="K403" s="44"/>
      <c r="L403" s="44"/>
      <c r="M403" s="44"/>
      <c r="O403" s="44"/>
      <c r="Q403" s="44"/>
    </row>
    <row r="404">
      <c r="B404" s="44"/>
      <c r="D404" s="44"/>
      <c r="F404" s="44"/>
      <c r="G404" s="44"/>
      <c r="I404" s="44"/>
      <c r="J404" s="44"/>
      <c r="K404" s="44"/>
      <c r="L404" s="44"/>
      <c r="M404" s="44"/>
      <c r="O404" s="44"/>
      <c r="Q404" s="44"/>
    </row>
    <row r="405">
      <c r="B405" s="44"/>
      <c r="D405" s="44"/>
      <c r="F405" s="44"/>
      <c r="G405" s="44"/>
      <c r="I405" s="44"/>
      <c r="J405" s="44"/>
      <c r="K405" s="44"/>
      <c r="L405" s="44"/>
      <c r="M405" s="44"/>
      <c r="O405" s="44"/>
      <c r="Q405" s="44"/>
    </row>
    <row r="406">
      <c r="B406" s="44"/>
      <c r="D406" s="44"/>
      <c r="F406" s="44"/>
      <c r="G406" s="44"/>
      <c r="I406" s="44"/>
      <c r="J406" s="44"/>
      <c r="K406" s="44"/>
      <c r="L406" s="44"/>
      <c r="M406" s="44"/>
      <c r="O406" s="44"/>
      <c r="Q406" s="44"/>
    </row>
    <row r="407">
      <c r="B407" s="44"/>
      <c r="D407" s="44"/>
      <c r="F407" s="44"/>
      <c r="G407" s="44"/>
      <c r="I407" s="44"/>
      <c r="J407" s="44"/>
      <c r="K407" s="44"/>
      <c r="L407" s="44"/>
      <c r="M407" s="44"/>
      <c r="O407" s="44"/>
      <c r="Q407" s="44"/>
    </row>
    <row r="408">
      <c r="B408" s="44"/>
      <c r="D408" s="44"/>
      <c r="F408" s="44"/>
      <c r="G408" s="44"/>
      <c r="I408" s="44"/>
      <c r="J408" s="44"/>
      <c r="K408" s="44"/>
      <c r="L408" s="44"/>
      <c r="M408" s="44"/>
      <c r="O408" s="44"/>
      <c r="Q408" s="44"/>
    </row>
    <row r="409">
      <c r="B409" s="44"/>
      <c r="D409" s="44"/>
      <c r="F409" s="44"/>
      <c r="G409" s="44"/>
      <c r="I409" s="44"/>
      <c r="J409" s="44"/>
      <c r="K409" s="44"/>
      <c r="L409" s="44"/>
      <c r="M409" s="44"/>
      <c r="O409" s="44"/>
      <c r="Q409" s="44"/>
    </row>
    <row r="410">
      <c r="B410" s="44"/>
      <c r="D410" s="44"/>
      <c r="F410" s="44"/>
      <c r="G410" s="44"/>
      <c r="I410" s="44"/>
      <c r="J410" s="44"/>
      <c r="K410" s="44"/>
      <c r="L410" s="44"/>
      <c r="M410" s="44"/>
      <c r="O410" s="44"/>
      <c r="Q410" s="44"/>
    </row>
    <row r="411">
      <c r="B411" s="44"/>
      <c r="D411" s="44"/>
      <c r="F411" s="44"/>
      <c r="G411" s="44"/>
      <c r="I411" s="44"/>
      <c r="J411" s="44"/>
      <c r="K411" s="44"/>
      <c r="L411" s="44"/>
      <c r="M411" s="44"/>
      <c r="O411" s="44"/>
      <c r="Q411" s="44"/>
    </row>
    <row r="412">
      <c r="B412" s="44"/>
      <c r="D412" s="44"/>
      <c r="F412" s="44"/>
      <c r="G412" s="44"/>
      <c r="I412" s="44"/>
      <c r="J412" s="44"/>
      <c r="K412" s="44"/>
      <c r="L412" s="44"/>
      <c r="M412" s="44"/>
      <c r="O412" s="44"/>
      <c r="Q412" s="44"/>
    </row>
    <row r="413">
      <c r="B413" s="44"/>
      <c r="D413" s="44"/>
      <c r="F413" s="44"/>
      <c r="G413" s="44"/>
      <c r="I413" s="44"/>
      <c r="J413" s="44"/>
      <c r="K413" s="44"/>
      <c r="L413" s="44"/>
      <c r="M413" s="44"/>
      <c r="O413" s="44"/>
      <c r="Q413" s="44"/>
    </row>
    <row r="414">
      <c r="B414" s="44"/>
      <c r="D414" s="44"/>
      <c r="F414" s="44"/>
      <c r="G414" s="44"/>
      <c r="I414" s="44"/>
      <c r="J414" s="44"/>
      <c r="K414" s="44"/>
      <c r="L414" s="44"/>
      <c r="M414" s="44"/>
      <c r="O414" s="44"/>
      <c r="Q414" s="44"/>
    </row>
    <row r="415">
      <c r="B415" s="44"/>
      <c r="D415" s="44"/>
      <c r="F415" s="44"/>
      <c r="G415" s="44"/>
      <c r="I415" s="44"/>
      <c r="J415" s="44"/>
      <c r="K415" s="44"/>
      <c r="L415" s="44"/>
      <c r="M415" s="44"/>
      <c r="O415" s="44"/>
      <c r="Q415" s="44"/>
    </row>
    <row r="416">
      <c r="B416" s="44"/>
      <c r="D416" s="44"/>
      <c r="F416" s="44"/>
      <c r="G416" s="44"/>
      <c r="I416" s="44"/>
      <c r="J416" s="44"/>
      <c r="K416" s="44"/>
      <c r="L416" s="44"/>
      <c r="M416" s="44"/>
      <c r="O416" s="44"/>
      <c r="Q416" s="44"/>
    </row>
    <row r="417">
      <c r="B417" s="44"/>
      <c r="D417" s="44"/>
      <c r="F417" s="44"/>
      <c r="G417" s="44"/>
      <c r="I417" s="44"/>
      <c r="J417" s="44"/>
      <c r="K417" s="44"/>
      <c r="L417" s="44"/>
      <c r="M417" s="44"/>
      <c r="O417" s="44"/>
      <c r="Q417" s="44"/>
    </row>
    <row r="418">
      <c r="B418" s="44"/>
      <c r="D418" s="44"/>
      <c r="F418" s="44"/>
      <c r="G418" s="44"/>
      <c r="I418" s="44"/>
      <c r="J418" s="44"/>
      <c r="K418" s="44"/>
      <c r="L418" s="44"/>
      <c r="M418" s="44"/>
      <c r="O418" s="44"/>
      <c r="Q418" s="44"/>
    </row>
    <row r="419">
      <c r="B419" s="44"/>
      <c r="D419" s="44"/>
      <c r="F419" s="44"/>
      <c r="G419" s="44"/>
      <c r="I419" s="44"/>
      <c r="J419" s="44"/>
      <c r="K419" s="44"/>
      <c r="L419" s="44"/>
      <c r="M419" s="44"/>
      <c r="O419" s="44"/>
      <c r="Q419" s="44"/>
    </row>
    <row r="420">
      <c r="B420" s="44"/>
      <c r="D420" s="44"/>
      <c r="F420" s="44"/>
      <c r="G420" s="44"/>
      <c r="I420" s="44"/>
      <c r="J420" s="44"/>
      <c r="K420" s="44"/>
      <c r="L420" s="44"/>
      <c r="M420" s="44"/>
      <c r="O420" s="44"/>
      <c r="Q420" s="44"/>
    </row>
    <row r="421">
      <c r="B421" s="44"/>
      <c r="D421" s="44"/>
      <c r="F421" s="44"/>
      <c r="G421" s="44"/>
      <c r="I421" s="44"/>
      <c r="J421" s="44"/>
      <c r="K421" s="44"/>
      <c r="L421" s="44"/>
      <c r="M421" s="44"/>
      <c r="O421" s="44"/>
      <c r="Q421" s="44"/>
    </row>
    <row r="422">
      <c r="B422" s="44"/>
      <c r="D422" s="44"/>
      <c r="F422" s="44"/>
      <c r="G422" s="44"/>
      <c r="I422" s="44"/>
      <c r="J422" s="44"/>
      <c r="K422" s="44"/>
      <c r="L422" s="44"/>
      <c r="M422" s="44"/>
      <c r="O422" s="44"/>
      <c r="Q422" s="44"/>
    </row>
    <row r="423">
      <c r="B423" s="44"/>
      <c r="D423" s="44"/>
      <c r="F423" s="44"/>
      <c r="G423" s="44"/>
      <c r="I423" s="44"/>
      <c r="J423" s="44"/>
      <c r="K423" s="44"/>
      <c r="L423" s="44"/>
      <c r="M423" s="44"/>
      <c r="O423" s="44"/>
      <c r="Q423" s="44"/>
    </row>
    <row r="424">
      <c r="B424" s="44"/>
      <c r="D424" s="44"/>
      <c r="F424" s="44"/>
      <c r="G424" s="44"/>
      <c r="I424" s="44"/>
      <c r="J424" s="44"/>
      <c r="K424" s="44"/>
      <c r="L424" s="44"/>
      <c r="M424" s="44"/>
      <c r="O424" s="44"/>
      <c r="Q424" s="44"/>
    </row>
    <row r="425">
      <c r="B425" s="44"/>
      <c r="D425" s="44"/>
      <c r="F425" s="44"/>
      <c r="G425" s="44"/>
      <c r="I425" s="44"/>
      <c r="J425" s="44"/>
      <c r="K425" s="44"/>
      <c r="L425" s="44"/>
      <c r="M425" s="44"/>
      <c r="O425" s="44"/>
      <c r="Q425" s="44"/>
    </row>
    <row r="426">
      <c r="B426" s="44"/>
      <c r="D426" s="44"/>
      <c r="F426" s="44"/>
      <c r="G426" s="44"/>
      <c r="I426" s="44"/>
      <c r="J426" s="44"/>
      <c r="K426" s="44"/>
      <c r="L426" s="44"/>
      <c r="M426" s="44"/>
      <c r="O426" s="44"/>
      <c r="Q426" s="44"/>
    </row>
    <row r="427">
      <c r="B427" s="44"/>
      <c r="D427" s="44"/>
      <c r="F427" s="44"/>
      <c r="G427" s="44"/>
      <c r="I427" s="44"/>
      <c r="J427" s="44"/>
      <c r="K427" s="44"/>
      <c r="L427" s="44"/>
      <c r="M427" s="44"/>
      <c r="O427" s="44"/>
      <c r="Q427" s="44"/>
    </row>
    <row r="428">
      <c r="B428" s="44"/>
      <c r="D428" s="44"/>
      <c r="F428" s="44"/>
      <c r="G428" s="44"/>
      <c r="I428" s="44"/>
      <c r="J428" s="44"/>
      <c r="K428" s="44"/>
      <c r="L428" s="44"/>
      <c r="M428" s="44"/>
      <c r="O428" s="44"/>
      <c r="Q428" s="44"/>
    </row>
    <row r="429">
      <c r="B429" s="44"/>
      <c r="D429" s="44"/>
      <c r="F429" s="44"/>
      <c r="G429" s="44"/>
      <c r="I429" s="44"/>
      <c r="J429" s="44"/>
      <c r="K429" s="44"/>
      <c r="L429" s="44"/>
      <c r="M429" s="44"/>
      <c r="O429" s="44"/>
      <c r="Q429" s="44"/>
    </row>
    <row r="430">
      <c r="B430" s="44"/>
      <c r="D430" s="44"/>
      <c r="F430" s="44"/>
      <c r="G430" s="44"/>
      <c r="I430" s="44"/>
      <c r="J430" s="44"/>
      <c r="K430" s="44"/>
      <c r="L430" s="44"/>
      <c r="M430" s="44"/>
      <c r="O430" s="44"/>
      <c r="Q430" s="44"/>
    </row>
    <row r="431">
      <c r="B431" s="44"/>
      <c r="D431" s="44"/>
      <c r="F431" s="44"/>
      <c r="G431" s="44"/>
      <c r="I431" s="44"/>
      <c r="J431" s="44"/>
      <c r="K431" s="44"/>
      <c r="L431" s="44"/>
      <c r="M431" s="44"/>
      <c r="O431" s="44"/>
      <c r="Q431" s="44"/>
    </row>
    <row r="432">
      <c r="B432" s="44"/>
      <c r="D432" s="44"/>
      <c r="F432" s="44"/>
      <c r="G432" s="44"/>
      <c r="I432" s="44"/>
      <c r="J432" s="44"/>
      <c r="K432" s="44"/>
      <c r="L432" s="44"/>
      <c r="M432" s="44"/>
      <c r="O432" s="44"/>
      <c r="Q432" s="44"/>
    </row>
    <row r="433">
      <c r="B433" s="44"/>
      <c r="D433" s="44"/>
      <c r="F433" s="44"/>
      <c r="G433" s="44"/>
      <c r="I433" s="44"/>
      <c r="J433" s="44"/>
      <c r="K433" s="44"/>
      <c r="L433" s="44"/>
      <c r="M433" s="44"/>
      <c r="O433" s="44"/>
      <c r="Q433" s="44"/>
    </row>
    <row r="434">
      <c r="B434" s="44"/>
      <c r="D434" s="44"/>
      <c r="F434" s="44"/>
      <c r="G434" s="44"/>
      <c r="I434" s="44"/>
      <c r="J434" s="44"/>
      <c r="K434" s="44"/>
      <c r="L434" s="44"/>
      <c r="M434" s="44"/>
      <c r="O434" s="44"/>
      <c r="Q434" s="44"/>
    </row>
    <row r="435">
      <c r="B435" s="44"/>
      <c r="D435" s="44"/>
      <c r="F435" s="44"/>
      <c r="G435" s="44"/>
      <c r="I435" s="44"/>
      <c r="J435" s="44"/>
      <c r="K435" s="44"/>
      <c r="L435" s="44"/>
      <c r="M435" s="44"/>
      <c r="O435" s="44"/>
      <c r="Q435" s="44"/>
    </row>
    <row r="436">
      <c r="B436" s="44"/>
      <c r="D436" s="44"/>
      <c r="F436" s="44"/>
      <c r="G436" s="44"/>
      <c r="I436" s="44"/>
      <c r="J436" s="44"/>
      <c r="K436" s="44"/>
      <c r="L436" s="44"/>
      <c r="M436" s="44"/>
      <c r="O436" s="44"/>
      <c r="Q436" s="44"/>
    </row>
    <row r="437">
      <c r="B437" s="44"/>
      <c r="D437" s="44"/>
      <c r="F437" s="44"/>
      <c r="G437" s="44"/>
      <c r="I437" s="44"/>
      <c r="J437" s="44"/>
      <c r="K437" s="44"/>
      <c r="L437" s="44"/>
      <c r="M437" s="44"/>
      <c r="O437" s="44"/>
      <c r="Q437" s="44"/>
    </row>
    <row r="438">
      <c r="B438" s="44"/>
      <c r="D438" s="44"/>
      <c r="F438" s="44"/>
      <c r="G438" s="44"/>
      <c r="I438" s="44"/>
      <c r="J438" s="44"/>
      <c r="K438" s="44"/>
      <c r="L438" s="44"/>
      <c r="M438" s="44"/>
      <c r="O438" s="44"/>
      <c r="Q438" s="44"/>
    </row>
    <row r="439">
      <c r="B439" s="44"/>
      <c r="D439" s="44"/>
      <c r="F439" s="44"/>
      <c r="G439" s="44"/>
      <c r="I439" s="44"/>
      <c r="J439" s="44"/>
      <c r="K439" s="44"/>
      <c r="L439" s="44"/>
      <c r="M439" s="44"/>
      <c r="O439" s="44"/>
      <c r="Q439" s="44"/>
    </row>
    <row r="440">
      <c r="B440" s="44"/>
      <c r="D440" s="44"/>
      <c r="F440" s="44"/>
      <c r="G440" s="44"/>
      <c r="I440" s="44"/>
      <c r="J440" s="44"/>
      <c r="K440" s="44"/>
      <c r="L440" s="44"/>
      <c r="M440" s="44"/>
      <c r="O440" s="44"/>
      <c r="Q440" s="44"/>
    </row>
    <row r="441">
      <c r="B441" s="44"/>
      <c r="D441" s="44"/>
      <c r="F441" s="44"/>
      <c r="G441" s="44"/>
      <c r="I441" s="44"/>
      <c r="J441" s="44"/>
      <c r="K441" s="44"/>
      <c r="L441" s="44"/>
      <c r="M441" s="44"/>
      <c r="O441" s="44"/>
      <c r="Q441" s="44"/>
    </row>
    <row r="442">
      <c r="B442" s="44"/>
      <c r="D442" s="44"/>
      <c r="F442" s="44"/>
      <c r="G442" s="44"/>
      <c r="I442" s="44"/>
      <c r="J442" s="44"/>
      <c r="K442" s="44"/>
      <c r="L442" s="44"/>
      <c r="M442" s="44"/>
      <c r="O442" s="44"/>
      <c r="Q442" s="44"/>
    </row>
    <row r="443">
      <c r="B443" s="44"/>
      <c r="D443" s="44"/>
      <c r="F443" s="44"/>
      <c r="G443" s="44"/>
      <c r="I443" s="44"/>
      <c r="J443" s="44"/>
      <c r="K443" s="44"/>
      <c r="L443" s="44"/>
      <c r="M443" s="44"/>
      <c r="O443" s="44"/>
      <c r="Q443" s="44"/>
    </row>
    <row r="444">
      <c r="B444" s="44"/>
      <c r="D444" s="44"/>
      <c r="F444" s="44"/>
      <c r="G444" s="44"/>
      <c r="I444" s="44"/>
      <c r="J444" s="44"/>
      <c r="K444" s="44"/>
      <c r="L444" s="44"/>
      <c r="M444" s="44"/>
      <c r="O444" s="44"/>
      <c r="Q444" s="44"/>
    </row>
    <row r="445">
      <c r="B445" s="44"/>
      <c r="D445" s="44"/>
      <c r="F445" s="44"/>
      <c r="G445" s="44"/>
      <c r="I445" s="44"/>
      <c r="J445" s="44"/>
      <c r="K445" s="44"/>
      <c r="L445" s="44"/>
      <c r="M445" s="44"/>
      <c r="O445" s="44"/>
      <c r="Q445" s="44"/>
    </row>
    <row r="446">
      <c r="B446" s="44"/>
      <c r="D446" s="44"/>
      <c r="F446" s="44"/>
      <c r="G446" s="44"/>
      <c r="I446" s="44"/>
      <c r="J446" s="44"/>
      <c r="K446" s="44"/>
      <c r="L446" s="44"/>
      <c r="M446" s="44"/>
      <c r="O446" s="44"/>
      <c r="Q446" s="44"/>
    </row>
    <row r="447">
      <c r="B447" s="44"/>
      <c r="D447" s="44"/>
      <c r="F447" s="44"/>
      <c r="G447" s="44"/>
      <c r="I447" s="44"/>
      <c r="J447" s="44"/>
      <c r="K447" s="44"/>
      <c r="L447" s="44"/>
      <c r="M447" s="44"/>
      <c r="O447" s="44"/>
      <c r="Q447" s="44"/>
    </row>
    <row r="448">
      <c r="B448" s="44"/>
      <c r="D448" s="44"/>
      <c r="F448" s="44"/>
      <c r="G448" s="44"/>
      <c r="I448" s="44"/>
      <c r="J448" s="44"/>
      <c r="K448" s="44"/>
      <c r="L448" s="44"/>
      <c r="M448" s="44"/>
      <c r="O448" s="44"/>
      <c r="Q448" s="44"/>
    </row>
    <row r="449">
      <c r="B449" s="44"/>
      <c r="D449" s="44"/>
      <c r="F449" s="44"/>
      <c r="G449" s="44"/>
      <c r="I449" s="44"/>
      <c r="J449" s="44"/>
      <c r="K449" s="44"/>
      <c r="L449" s="44"/>
      <c r="M449" s="44"/>
      <c r="O449" s="44"/>
      <c r="Q449" s="44"/>
    </row>
    <row r="450">
      <c r="B450" s="44"/>
      <c r="D450" s="44"/>
      <c r="F450" s="44"/>
      <c r="G450" s="44"/>
      <c r="I450" s="44"/>
      <c r="J450" s="44"/>
      <c r="K450" s="44"/>
      <c r="L450" s="44"/>
      <c r="M450" s="44"/>
      <c r="O450" s="44"/>
      <c r="Q450" s="44"/>
    </row>
    <row r="451">
      <c r="B451" s="44"/>
      <c r="D451" s="44"/>
      <c r="F451" s="44"/>
      <c r="G451" s="44"/>
      <c r="I451" s="44"/>
      <c r="J451" s="44"/>
      <c r="K451" s="44"/>
      <c r="L451" s="44"/>
      <c r="M451" s="44"/>
      <c r="O451" s="44"/>
      <c r="Q451" s="44"/>
    </row>
    <row r="452">
      <c r="B452" s="44"/>
      <c r="D452" s="44"/>
      <c r="F452" s="44"/>
      <c r="G452" s="44"/>
      <c r="I452" s="44"/>
      <c r="J452" s="44"/>
      <c r="K452" s="44"/>
      <c r="L452" s="44"/>
      <c r="M452" s="44"/>
      <c r="O452" s="44"/>
      <c r="Q452" s="44"/>
    </row>
    <row r="453">
      <c r="B453" s="44"/>
      <c r="D453" s="44"/>
      <c r="F453" s="44"/>
      <c r="G453" s="44"/>
      <c r="I453" s="44"/>
      <c r="J453" s="44"/>
      <c r="K453" s="44"/>
      <c r="L453" s="44"/>
      <c r="M453" s="44"/>
      <c r="O453" s="44"/>
      <c r="Q453" s="44"/>
    </row>
    <row r="454">
      <c r="B454" s="44"/>
      <c r="D454" s="44"/>
      <c r="F454" s="44"/>
      <c r="G454" s="44"/>
      <c r="I454" s="44"/>
      <c r="J454" s="44"/>
      <c r="K454" s="44"/>
      <c r="L454" s="44"/>
      <c r="M454" s="44"/>
      <c r="O454" s="44"/>
      <c r="Q454" s="44"/>
    </row>
    <row r="455">
      <c r="B455" s="44"/>
      <c r="D455" s="44"/>
      <c r="F455" s="44"/>
      <c r="G455" s="44"/>
      <c r="I455" s="44"/>
      <c r="J455" s="44"/>
      <c r="K455" s="44"/>
      <c r="L455" s="44"/>
      <c r="M455" s="44"/>
      <c r="O455" s="44"/>
      <c r="Q455" s="44"/>
    </row>
    <row r="456">
      <c r="B456" s="44"/>
      <c r="D456" s="44"/>
      <c r="F456" s="44"/>
      <c r="G456" s="44"/>
      <c r="I456" s="44"/>
      <c r="J456" s="44"/>
      <c r="K456" s="44"/>
      <c r="L456" s="44"/>
      <c r="M456" s="44"/>
      <c r="O456" s="44"/>
      <c r="Q456" s="44"/>
    </row>
    <row r="457">
      <c r="B457" s="44"/>
      <c r="D457" s="44"/>
      <c r="F457" s="44"/>
      <c r="G457" s="44"/>
      <c r="I457" s="44"/>
      <c r="J457" s="44"/>
      <c r="K457" s="44"/>
      <c r="L457" s="44"/>
      <c r="M457" s="44"/>
      <c r="O457" s="44"/>
      <c r="Q457" s="44"/>
    </row>
    <row r="458">
      <c r="B458" s="44"/>
      <c r="D458" s="44"/>
      <c r="F458" s="44"/>
      <c r="G458" s="44"/>
      <c r="I458" s="44"/>
      <c r="J458" s="44"/>
      <c r="K458" s="44"/>
      <c r="L458" s="44"/>
      <c r="M458" s="44"/>
      <c r="O458" s="44"/>
      <c r="Q458" s="44"/>
    </row>
    <row r="459">
      <c r="B459" s="44"/>
      <c r="D459" s="44"/>
      <c r="F459" s="44"/>
      <c r="G459" s="44"/>
      <c r="I459" s="44"/>
      <c r="J459" s="44"/>
      <c r="K459" s="44"/>
      <c r="L459" s="44"/>
      <c r="M459" s="44"/>
      <c r="O459" s="44"/>
      <c r="Q459" s="44"/>
    </row>
    <row r="460">
      <c r="B460" s="44"/>
      <c r="D460" s="44"/>
      <c r="F460" s="44"/>
      <c r="G460" s="44"/>
      <c r="I460" s="44"/>
      <c r="J460" s="44"/>
      <c r="K460" s="44"/>
      <c r="L460" s="44"/>
      <c r="M460" s="44"/>
      <c r="O460" s="44"/>
      <c r="Q460" s="44"/>
    </row>
    <row r="461">
      <c r="B461" s="44"/>
      <c r="D461" s="44"/>
      <c r="F461" s="44"/>
      <c r="G461" s="44"/>
      <c r="I461" s="44"/>
      <c r="J461" s="44"/>
      <c r="K461" s="44"/>
      <c r="L461" s="44"/>
      <c r="M461" s="44"/>
      <c r="O461" s="44"/>
      <c r="Q461" s="44"/>
    </row>
    <row r="462">
      <c r="B462" s="44"/>
      <c r="D462" s="44"/>
      <c r="F462" s="44"/>
      <c r="G462" s="44"/>
      <c r="I462" s="44"/>
      <c r="J462" s="44"/>
      <c r="K462" s="44"/>
      <c r="L462" s="44"/>
      <c r="M462" s="44"/>
      <c r="O462" s="44"/>
      <c r="Q462" s="44"/>
    </row>
    <row r="463">
      <c r="B463" s="44"/>
      <c r="D463" s="44"/>
      <c r="F463" s="44"/>
      <c r="G463" s="44"/>
      <c r="I463" s="44"/>
      <c r="J463" s="44"/>
      <c r="K463" s="44"/>
      <c r="L463" s="44"/>
      <c r="M463" s="44"/>
      <c r="O463" s="44"/>
      <c r="Q463" s="44"/>
    </row>
    <row r="464">
      <c r="B464" s="44"/>
      <c r="D464" s="44"/>
      <c r="F464" s="44"/>
      <c r="G464" s="44"/>
      <c r="I464" s="44"/>
      <c r="J464" s="44"/>
      <c r="K464" s="44"/>
      <c r="L464" s="44"/>
      <c r="M464" s="44"/>
      <c r="O464" s="44"/>
      <c r="Q464" s="44"/>
    </row>
    <row r="465">
      <c r="B465" s="44"/>
      <c r="D465" s="44"/>
      <c r="F465" s="44"/>
      <c r="G465" s="44"/>
      <c r="I465" s="44"/>
      <c r="J465" s="44"/>
      <c r="K465" s="44"/>
      <c r="L465" s="44"/>
      <c r="M465" s="44"/>
      <c r="O465" s="44"/>
      <c r="Q465" s="44"/>
    </row>
    <row r="466">
      <c r="B466" s="44"/>
      <c r="D466" s="44"/>
      <c r="F466" s="44"/>
      <c r="G466" s="44"/>
      <c r="I466" s="44"/>
      <c r="J466" s="44"/>
      <c r="K466" s="44"/>
      <c r="L466" s="44"/>
      <c r="M466" s="44"/>
      <c r="O466" s="44"/>
      <c r="Q466" s="44"/>
    </row>
    <row r="467">
      <c r="B467" s="44"/>
      <c r="D467" s="44"/>
      <c r="F467" s="44"/>
      <c r="G467" s="44"/>
      <c r="I467" s="44"/>
      <c r="J467" s="44"/>
      <c r="K467" s="44"/>
      <c r="L467" s="44"/>
      <c r="M467" s="44"/>
      <c r="O467" s="44"/>
      <c r="Q467" s="44"/>
    </row>
    <row r="468">
      <c r="B468" s="44"/>
      <c r="D468" s="44"/>
      <c r="F468" s="44"/>
      <c r="G468" s="44"/>
      <c r="I468" s="44"/>
      <c r="J468" s="44"/>
      <c r="K468" s="44"/>
      <c r="L468" s="44"/>
      <c r="M468" s="44"/>
      <c r="O468" s="44"/>
      <c r="Q468" s="44"/>
    </row>
    <row r="469">
      <c r="B469" s="44"/>
      <c r="D469" s="44"/>
      <c r="F469" s="44"/>
      <c r="G469" s="44"/>
      <c r="I469" s="44"/>
      <c r="J469" s="44"/>
      <c r="K469" s="44"/>
      <c r="L469" s="44"/>
      <c r="M469" s="44"/>
      <c r="O469" s="44"/>
      <c r="Q469" s="44"/>
    </row>
    <row r="470">
      <c r="B470" s="44"/>
      <c r="D470" s="44"/>
      <c r="F470" s="44"/>
      <c r="G470" s="44"/>
      <c r="I470" s="44"/>
      <c r="J470" s="44"/>
      <c r="K470" s="44"/>
      <c r="L470" s="44"/>
      <c r="M470" s="44"/>
      <c r="O470" s="44"/>
      <c r="Q470" s="44"/>
    </row>
    <row r="471">
      <c r="B471" s="44"/>
      <c r="D471" s="44"/>
      <c r="F471" s="44"/>
      <c r="G471" s="44"/>
      <c r="I471" s="44"/>
      <c r="J471" s="44"/>
      <c r="K471" s="44"/>
      <c r="L471" s="44"/>
      <c r="M471" s="44"/>
      <c r="O471" s="44"/>
      <c r="Q471" s="44"/>
    </row>
    <row r="472">
      <c r="B472" s="44"/>
      <c r="D472" s="44"/>
      <c r="F472" s="44"/>
      <c r="G472" s="44"/>
      <c r="I472" s="44"/>
      <c r="J472" s="44"/>
      <c r="K472" s="44"/>
      <c r="L472" s="44"/>
      <c r="M472" s="44"/>
      <c r="O472" s="44"/>
      <c r="Q472" s="44"/>
    </row>
    <row r="473">
      <c r="B473" s="44"/>
      <c r="D473" s="44"/>
      <c r="F473" s="44"/>
      <c r="G473" s="44"/>
      <c r="I473" s="44"/>
      <c r="J473" s="44"/>
      <c r="K473" s="44"/>
      <c r="L473" s="44"/>
      <c r="M473" s="44"/>
      <c r="O473" s="44"/>
      <c r="Q473" s="44"/>
    </row>
    <row r="474">
      <c r="B474" s="44"/>
      <c r="D474" s="44"/>
      <c r="F474" s="44"/>
      <c r="G474" s="44"/>
      <c r="I474" s="44"/>
      <c r="J474" s="44"/>
      <c r="K474" s="44"/>
      <c r="L474" s="44"/>
      <c r="M474" s="44"/>
      <c r="O474" s="44"/>
      <c r="Q474" s="44"/>
    </row>
    <row r="475">
      <c r="B475" s="44"/>
      <c r="D475" s="44"/>
      <c r="F475" s="44"/>
      <c r="G475" s="44"/>
      <c r="I475" s="44"/>
      <c r="J475" s="44"/>
      <c r="K475" s="44"/>
      <c r="L475" s="44"/>
      <c r="M475" s="44"/>
      <c r="O475" s="44"/>
      <c r="Q475" s="44"/>
    </row>
    <row r="476">
      <c r="B476" s="44"/>
      <c r="D476" s="44"/>
      <c r="F476" s="44"/>
      <c r="G476" s="44"/>
      <c r="I476" s="44"/>
      <c r="J476" s="44"/>
      <c r="K476" s="44"/>
      <c r="L476" s="44"/>
      <c r="M476" s="44"/>
      <c r="O476" s="44"/>
      <c r="Q476" s="44"/>
    </row>
    <row r="477">
      <c r="B477" s="44"/>
      <c r="D477" s="44"/>
      <c r="F477" s="44"/>
      <c r="G477" s="44"/>
      <c r="I477" s="44"/>
      <c r="J477" s="44"/>
      <c r="K477" s="44"/>
      <c r="L477" s="44"/>
      <c r="M477" s="44"/>
      <c r="O477" s="44"/>
      <c r="Q477" s="44"/>
    </row>
    <row r="478">
      <c r="B478" s="44"/>
      <c r="D478" s="44"/>
      <c r="F478" s="44"/>
      <c r="G478" s="44"/>
      <c r="I478" s="44"/>
      <c r="J478" s="44"/>
      <c r="K478" s="44"/>
      <c r="L478" s="44"/>
      <c r="M478" s="44"/>
      <c r="O478" s="44"/>
      <c r="Q478" s="44"/>
    </row>
    <row r="479">
      <c r="B479" s="44"/>
      <c r="D479" s="44"/>
      <c r="F479" s="44"/>
      <c r="G479" s="44"/>
      <c r="I479" s="44"/>
      <c r="J479" s="44"/>
      <c r="K479" s="44"/>
      <c r="L479" s="44"/>
      <c r="M479" s="44"/>
      <c r="O479" s="44"/>
      <c r="Q479" s="44"/>
    </row>
    <row r="480">
      <c r="B480" s="44"/>
      <c r="D480" s="44"/>
      <c r="F480" s="44"/>
      <c r="G480" s="44"/>
      <c r="I480" s="44"/>
      <c r="J480" s="44"/>
      <c r="K480" s="44"/>
      <c r="L480" s="44"/>
      <c r="M480" s="44"/>
      <c r="O480" s="44"/>
      <c r="Q480" s="44"/>
    </row>
    <row r="481">
      <c r="B481" s="44"/>
      <c r="D481" s="44"/>
      <c r="F481" s="44"/>
      <c r="G481" s="44"/>
      <c r="I481" s="44"/>
      <c r="J481" s="44"/>
      <c r="K481" s="44"/>
      <c r="L481" s="44"/>
      <c r="M481" s="44"/>
      <c r="O481" s="44"/>
      <c r="Q481" s="44"/>
    </row>
    <row r="482">
      <c r="B482" s="44"/>
      <c r="D482" s="44"/>
      <c r="F482" s="44"/>
      <c r="G482" s="44"/>
      <c r="I482" s="44"/>
      <c r="J482" s="44"/>
      <c r="K482" s="44"/>
      <c r="L482" s="44"/>
      <c r="M482" s="44"/>
      <c r="O482" s="44"/>
      <c r="Q482" s="44"/>
    </row>
    <row r="483">
      <c r="B483" s="44"/>
      <c r="D483" s="44"/>
      <c r="F483" s="44"/>
      <c r="G483" s="44"/>
      <c r="I483" s="44"/>
      <c r="J483" s="44"/>
      <c r="K483" s="44"/>
      <c r="L483" s="44"/>
      <c r="M483" s="44"/>
      <c r="O483" s="44"/>
      <c r="Q483" s="44"/>
    </row>
    <row r="484">
      <c r="B484" s="44"/>
      <c r="D484" s="44"/>
      <c r="F484" s="44"/>
      <c r="G484" s="44"/>
      <c r="I484" s="44"/>
      <c r="J484" s="44"/>
      <c r="K484" s="44"/>
      <c r="L484" s="44"/>
      <c r="M484" s="44"/>
      <c r="O484" s="44"/>
      <c r="Q484" s="44"/>
    </row>
    <row r="485">
      <c r="B485" s="44"/>
      <c r="D485" s="44"/>
      <c r="F485" s="44"/>
      <c r="G485" s="44"/>
      <c r="I485" s="44"/>
      <c r="J485" s="44"/>
      <c r="K485" s="44"/>
      <c r="L485" s="44"/>
      <c r="M485" s="44"/>
      <c r="O485" s="44"/>
      <c r="Q485" s="44"/>
    </row>
    <row r="486">
      <c r="B486" s="44"/>
      <c r="D486" s="44"/>
      <c r="F486" s="44"/>
      <c r="G486" s="44"/>
      <c r="I486" s="44"/>
      <c r="J486" s="44"/>
      <c r="K486" s="44"/>
      <c r="L486" s="44"/>
      <c r="M486" s="44"/>
      <c r="O486" s="44"/>
      <c r="Q486" s="44"/>
    </row>
    <row r="487">
      <c r="B487" s="44"/>
      <c r="D487" s="44"/>
      <c r="F487" s="44"/>
      <c r="G487" s="44"/>
      <c r="I487" s="44"/>
      <c r="J487" s="44"/>
      <c r="K487" s="44"/>
      <c r="L487" s="44"/>
      <c r="M487" s="44"/>
      <c r="O487" s="44"/>
      <c r="Q487" s="44"/>
    </row>
    <row r="488">
      <c r="B488" s="44"/>
      <c r="D488" s="44"/>
      <c r="F488" s="44"/>
      <c r="G488" s="44"/>
      <c r="I488" s="44"/>
      <c r="J488" s="44"/>
      <c r="K488" s="44"/>
      <c r="L488" s="44"/>
      <c r="M488" s="44"/>
      <c r="O488" s="44"/>
      <c r="Q488" s="44"/>
    </row>
    <row r="489">
      <c r="B489" s="44"/>
      <c r="D489" s="44"/>
      <c r="F489" s="44"/>
      <c r="G489" s="44"/>
      <c r="I489" s="44"/>
      <c r="J489" s="44"/>
      <c r="K489" s="44"/>
      <c r="L489" s="44"/>
      <c r="M489" s="44"/>
      <c r="O489" s="44"/>
      <c r="Q489" s="44"/>
    </row>
    <row r="490">
      <c r="B490" s="44"/>
      <c r="D490" s="44"/>
      <c r="F490" s="44"/>
      <c r="G490" s="44"/>
      <c r="I490" s="44"/>
      <c r="J490" s="44"/>
      <c r="K490" s="44"/>
      <c r="L490" s="44"/>
      <c r="M490" s="44"/>
      <c r="O490" s="44"/>
      <c r="Q490" s="44"/>
    </row>
    <row r="491">
      <c r="B491" s="44"/>
      <c r="D491" s="44"/>
      <c r="F491" s="44"/>
      <c r="G491" s="44"/>
      <c r="I491" s="44"/>
      <c r="J491" s="44"/>
      <c r="K491" s="44"/>
      <c r="L491" s="44"/>
      <c r="M491" s="44"/>
      <c r="O491" s="44"/>
      <c r="Q491" s="44"/>
    </row>
    <row r="492">
      <c r="B492" s="44"/>
      <c r="D492" s="44"/>
      <c r="F492" s="44"/>
      <c r="G492" s="44"/>
      <c r="I492" s="44"/>
      <c r="J492" s="44"/>
      <c r="K492" s="44"/>
      <c r="L492" s="44"/>
      <c r="M492" s="44"/>
      <c r="O492" s="44"/>
      <c r="Q492" s="44"/>
    </row>
    <row r="493">
      <c r="B493" s="44"/>
      <c r="D493" s="44"/>
      <c r="F493" s="44"/>
      <c r="G493" s="44"/>
      <c r="I493" s="44"/>
      <c r="J493" s="44"/>
      <c r="K493" s="44"/>
      <c r="L493" s="44"/>
      <c r="M493" s="44"/>
      <c r="O493" s="44"/>
      <c r="Q493" s="44"/>
    </row>
    <row r="494">
      <c r="B494" s="44"/>
      <c r="D494" s="44"/>
      <c r="F494" s="44"/>
      <c r="G494" s="44"/>
      <c r="I494" s="44"/>
      <c r="J494" s="44"/>
      <c r="K494" s="44"/>
      <c r="L494" s="44"/>
      <c r="M494" s="44"/>
      <c r="O494" s="44"/>
      <c r="Q494" s="44"/>
    </row>
    <row r="495">
      <c r="B495" s="44"/>
      <c r="D495" s="44"/>
      <c r="F495" s="44"/>
      <c r="G495" s="44"/>
      <c r="I495" s="44"/>
      <c r="J495" s="44"/>
      <c r="K495" s="44"/>
      <c r="L495" s="44"/>
      <c r="M495" s="44"/>
      <c r="O495" s="44"/>
      <c r="Q495" s="44"/>
    </row>
    <row r="496">
      <c r="B496" s="44"/>
      <c r="D496" s="44"/>
      <c r="F496" s="44"/>
      <c r="G496" s="44"/>
      <c r="I496" s="44"/>
      <c r="J496" s="44"/>
      <c r="K496" s="44"/>
      <c r="L496" s="44"/>
      <c r="M496" s="44"/>
      <c r="O496" s="44"/>
      <c r="Q496" s="44"/>
    </row>
    <row r="497">
      <c r="B497" s="44"/>
      <c r="D497" s="44"/>
      <c r="F497" s="44"/>
      <c r="G497" s="44"/>
      <c r="I497" s="44"/>
      <c r="J497" s="44"/>
      <c r="K497" s="44"/>
      <c r="L497" s="44"/>
      <c r="M497" s="44"/>
      <c r="O497" s="44"/>
      <c r="Q497" s="44"/>
    </row>
    <row r="498">
      <c r="B498" s="44"/>
      <c r="D498" s="44"/>
      <c r="F498" s="44"/>
      <c r="G498" s="44"/>
      <c r="I498" s="44"/>
      <c r="J498" s="44"/>
      <c r="K498" s="44"/>
      <c r="L498" s="44"/>
      <c r="M498" s="44"/>
      <c r="O498" s="44"/>
      <c r="Q498" s="44"/>
    </row>
    <row r="499">
      <c r="B499" s="44"/>
      <c r="D499" s="44"/>
      <c r="F499" s="44"/>
      <c r="G499" s="44"/>
      <c r="I499" s="44"/>
      <c r="J499" s="44"/>
      <c r="K499" s="44"/>
      <c r="L499" s="44"/>
      <c r="M499" s="44"/>
      <c r="O499" s="44"/>
      <c r="Q499" s="44"/>
    </row>
    <row r="500">
      <c r="B500" s="44"/>
      <c r="D500" s="44"/>
      <c r="F500" s="44"/>
      <c r="G500" s="44"/>
      <c r="I500" s="44"/>
      <c r="J500" s="44"/>
      <c r="K500" s="44"/>
      <c r="L500" s="44"/>
      <c r="M500" s="44"/>
      <c r="O500" s="44"/>
      <c r="Q500" s="44"/>
    </row>
    <row r="501">
      <c r="B501" s="44"/>
      <c r="D501" s="44"/>
      <c r="F501" s="44"/>
      <c r="G501" s="44"/>
      <c r="I501" s="44"/>
      <c r="J501" s="44"/>
      <c r="K501" s="44"/>
      <c r="L501" s="44"/>
      <c r="M501" s="44"/>
      <c r="O501" s="44"/>
      <c r="Q501" s="44"/>
    </row>
    <row r="502">
      <c r="B502" s="44"/>
      <c r="D502" s="44"/>
      <c r="F502" s="44"/>
      <c r="G502" s="44"/>
      <c r="I502" s="44"/>
      <c r="J502" s="44"/>
      <c r="K502" s="44"/>
      <c r="L502" s="44"/>
      <c r="M502" s="44"/>
      <c r="O502" s="44"/>
      <c r="Q502" s="44"/>
    </row>
    <row r="503">
      <c r="B503" s="44"/>
      <c r="D503" s="44"/>
      <c r="F503" s="44"/>
      <c r="G503" s="44"/>
      <c r="I503" s="44"/>
      <c r="J503" s="44"/>
      <c r="K503" s="44"/>
      <c r="L503" s="44"/>
      <c r="M503" s="44"/>
      <c r="O503" s="44"/>
      <c r="Q503" s="44"/>
    </row>
    <row r="504">
      <c r="B504" s="44"/>
      <c r="D504" s="44"/>
      <c r="F504" s="44"/>
      <c r="G504" s="44"/>
      <c r="I504" s="44"/>
      <c r="J504" s="44"/>
      <c r="K504" s="44"/>
      <c r="L504" s="44"/>
      <c r="M504" s="44"/>
      <c r="O504" s="44"/>
      <c r="Q504" s="44"/>
    </row>
    <row r="505">
      <c r="B505" s="44"/>
      <c r="D505" s="44"/>
      <c r="F505" s="44"/>
      <c r="G505" s="44"/>
      <c r="I505" s="44"/>
      <c r="J505" s="44"/>
      <c r="K505" s="44"/>
      <c r="L505" s="44"/>
      <c r="M505" s="44"/>
      <c r="O505" s="44"/>
      <c r="Q505" s="44"/>
    </row>
    <row r="506">
      <c r="B506" s="44"/>
      <c r="D506" s="44"/>
      <c r="F506" s="44"/>
      <c r="G506" s="44"/>
      <c r="I506" s="44"/>
      <c r="J506" s="44"/>
      <c r="K506" s="44"/>
      <c r="L506" s="44"/>
      <c r="M506" s="44"/>
      <c r="O506" s="44"/>
      <c r="Q506" s="44"/>
    </row>
    <row r="507">
      <c r="B507" s="44"/>
      <c r="D507" s="44"/>
      <c r="F507" s="44"/>
      <c r="G507" s="44"/>
      <c r="I507" s="44"/>
      <c r="J507" s="44"/>
      <c r="K507" s="44"/>
      <c r="L507" s="44"/>
      <c r="M507" s="44"/>
      <c r="O507" s="44"/>
      <c r="Q507" s="44"/>
    </row>
    <row r="508">
      <c r="B508" s="44"/>
      <c r="D508" s="44"/>
      <c r="F508" s="44"/>
      <c r="G508" s="44"/>
      <c r="I508" s="44"/>
      <c r="J508" s="44"/>
      <c r="K508" s="44"/>
      <c r="L508" s="44"/>
      <c r="M508" s="44"/>
      <c r="O508" s="44"/>
      <c r="Q508" s="44"/>
    </row>
    <row r="509">
      <c r="B509" s="44"/>
      <c r="D509" s="44"/>
      <c r="F509" s="44"/>
      <c r="G509" s="44"/>
      <c r="I509" s="44"/>
      <c r="J509" s="44"/>
      <c r="K509" s="44"/>
      <c r="L509" s="44"/>
      <c r="M509" s="44"/>
      <c r="O509" s="44"/>
      <c r="Q509" s="44"/>
    </row>
    <row r="510">
      <c r="B510" s="44"/>
      <c r="D510" s="44"/>
      <c r="F510" s="44"/>
      <c r="G510" s="44"/>
      <c r="I510" s="44"/>
      <c r="J510" s="44"/>
      <c r="K510" s="44"/>
      <c r="L510" s="44"/>
      <c r="M510" s="44"/>
      <c r="O510" s="44"/>
      <c r="Q510" s="44"/>
    </row>
    <row r="511">
      <c r="B511" s="44"/>
      <c r="D511" s="44"/>
      <c r="F511" s="44"/>
      <c r="G511" s="44"/>
      <c r="I511" s="44"/>
      <c r="J511" s="44"/>
      <c r="K511" s="44"/>
      <c r="L511" s="44"/>
      <c r="M511" s="44"/>
      <c r="O511" s="44"/>
      <c r="Q511" s="44"/>
    </row>
    <row r="512">
      <c r="B512" s="44"/>
      <c r="D512" s="44"/>
      <c r="F512" s="44"/>
      <c r="G512" s="44"/>
      <c r="I512" s="44"/>
      <c r="J512" s="44"/>
      <c r="K512" s="44"/>
      <c r="L512" s="44"/>
      <c r="M512" s="44"/>
      <c r="O512" s="44"/>
      <c r="Q512" s="44"/>
    </row>
    <row r="513">
      <c r="B513" s="44"/>
      <c r="D513" s="44"/>
      <c r="F513" s="44"/>
      <c r="G513" s="44"/>
      <c r="I513" s="44"/>
      <c r="J513" s="44"/>
      <c r="K513" s="44"/>
      <c r="L513" s="44"/>
      <c r="M513" s="44"/>
      <c r="O513" s="44"/>
      <c r="Q513" s="44"/>
    </row>
    <row r="514">
      <c r="B514" s="44"/>
      <c r="D514" s="44"/>
      <c r="F514" s="44"/>
      <c r="G514" s="44"/>
      <c r="I514" s="44"/>
      <c r="J514" s="44"/>
      <c r="K514" s="44"/>
      <c r="L514" s="44"/>
      <c r="M514" s="44"/>
      <c r="O514" s="44"/>
      <c r="Q514" s="44"/>
    </row>
    <row r="515">
      <c r="B515" s="44"/>
      <c r="D515" s="44"/>
      <c r="F515" s="44"/>
      <c r="G515" s="44"/>
      <c r="I515" s="44"/>
      <c r="J515" s="44"/>
      <c r="K515" s="44"/>
      <c r="L515" s="44"/>
      <c r="M515" s="44"/>
      <c r="O515" s="44"/>
      <c r="Q515" s="44"/>
    </row>
    <row r="516">
      <c r="B516" s="44"/>
      <c r="D516" s="44"/>
      <c r="F516" s="44"/>
      <c r="G516" s="44"/>
      <c r="I516" s="44"/>
      <c r="J516" s="44"/>
      <c r="K516" s="44"/>
      <c r="L516" s="44"/>
      <c r="M516" s="44"/>
      <c r="O516" s="44"/>
      <c r="Q516" s="44"/>
    </row>
    <row r="517">
      <c r="B517" s="44"/>
      <c r="D517" s="44"/>
      <c r="F517" s="44"/>
      <c r="G517" s="44"/>
      <c r="I517" s="44"/>
      <c r="J517" s="44"/>
      <c r="K517" s="44"/>
      <c r="L517" s="44"/>
      <c r="M517" s="44"/>
      <c r="O517" s="44"/>
      <c r="Q517" s="44"/>
    </row>
    <row r="518">
      <c r="B518" s="44"/>
      <c r="D518" s="44"/>
      <c r="F518" s="44"/>
      <c r="G518" s="44"/>
      <c r="I518" s="44"/>
      <c r="J518" s="44"/>
      <c r="K518" s="44"/>
      <c r="L518" s="44"/>
      <c r="M518" s="44"/>
      <c r="O518" s="44"/>
      <c r="Q518" s="44"/>
    </row>
    <row r="519">
      <c r="B519" s="44"/>
      <c r="D519" s="44"/>
      <c r="F519" s="44"/>
      <c r="G519" s="44"/>
      <c r="I519" s="44"/>
      <c r="J519" s="44"/>
      <c r="K519" s="44"/>
      <c r="L519" s="44"/>
      <c r="M519" s="44"/>
      <c r="O519" s="44"/>
      <c r="Q519" s="44"/>
    </row>
    <row r="520">
      <c r="B520" s="44"/>
      <c r="D520" s="44"/>
      <c r="F520" s="44"/>
      <c r="G520" s="44"/>
      <c r="I520" s="44"/>
      <c r="J520" s="44"/>
      <c r="K520" s="44"/>
      <c r="L520" s="44"/>
      <c r="M520" s="44"/>
      <c r="O520" s="44"/>
      <c r="Q520" s="44"/>
    </row>
    <row r="521">
      <c r="B521" s="44"/>
      <c r="D521" s="44"/>
      <c r="F521" s="44"/>
      <c r="G521" s="44"/>
      <c r="I521" s="44"/>
      <c r="J521" s="44"/>
      <c r="K521" s="44"/>
      <c r="L521" s="44"/>
      <c r="M521" s="44"/>
      <c r="O521" s="44"/>
      <c r="Q521" s="44"/>
    </row>
    <row r="522">
      <c r="B522" s="44"/>
      <c r="D522" s="44"/>
      <c r="F522" s="44"/>
      <c r="G522" s="44"/>
      <c r="I522" s="44"/>
      <c r="J522" s="44"/>
      <c r="K522" s="44"/>
      <c r="L522" s="44"/>
      <c r="M522" s="44"/>
      <c r="O522" s="44"/>
      <c r="Q522" s="44"/>
    </row>
    <row r="523">
      <c r="B523" s="44"/>
      <c r="D523" s="44"/>
      <c r="F523" s="44"/>
      <c r="G523" s="44"/>
      <c r="I523" s="44"/>
      <c r="J523" s="44"/>
      <c r="K523" s="44"/>
      <c r="L523" s="44"/>
      <c r="M523" s="44"/>
      <c r="O523" s="44"/>
      <c r="Q523" s="44"/>
    </row>
    <row r="524">
      <c r="B524" s="44"/>
      <c r="D524" s="44"/>
      <c r="F524" s="44"/>
      <c r="G524" s="44"/>
      <c r="I524" s="44"/>
      <c r="J524" s="44"/>
      <c r="K524" s="44"/>
      <c r="L524" s="44"/>
      <c r="M524" s="44"/>
      <c r="O524" s="44"/>
      <c r="Q524" s="44"/>
    </row>
    <row r="525">
      <c r="B525" s="44"/>
      <c r="D525" s="44"/>
      <c r="F525" s="44"/>
      <c r="G525" s="44"/>
      <c r="I525" s="44"/>
      <c r="J525" s="44"/>
      <c r="K525" s="44"/>
      <c r="L525" s="44"/>
      <c r="M525" s="44"/>
      <c r="O525" s="44"/>
      <c r="Q525" s="44"/>
    </row>
    <row r="526">
      <c r="B526" s="44"/>
      <c r="D526" s="44"/>
      <c r="F526" s="44"/>
      <c r="G526" s="44"/>
      <c r="I526" s="44"/>
      <c r="J526" s="44"/>
      <c r="K526" s="44"/>
      <c r="L526" s="44"/>
      <c r="M526" s="44"/>
      <c r="O526" s="44"/>
      <c r="Q526" s="44"/>
    </row>
    <row r="527">
      <c r="B527" s="44"/>
      <c r="D527" s="44"/>
      <c r="F527" s="44"/>
      <c r="G527" s="44"/>
      <c r="I527" s="44"/>
      <c r="J527" s="44"/>
      <c r="K527" s="44"/>
      <c r="L527" s="44"/>
      <c r="M527" s="44"/>
      <c r="O527" s="44"/>
      <c r="Q527" s="44"/>
    </row>
    <row r="528">
      <c r="B528" s="44"/>
      <c r="D528" s="44"/>
      <c r="F528" s="44"/>
      <c r="G528" s="44"/>
      <c r="I528" s="44"/>
      <c r="J528" s="44"/>
      <c r="K528" s="44"/>
      <c r="L528" s="44"/>
      <c r="M528" s="44"/>
      <c r="O528" s="44"/>
      <c r="Q528" s="44"/>
    </row>
    <row r="529">
      <c r="B529" s="44"/>
      <c r="D529" s="44"/>
      <c r="F529" s="44"/>
      <c r="G529" s="44"/>
      <c r="I529" s="44"/>
      <c r="J529" s="44"/>
      <c r="K529" s="44"/>
      <c r="L529" s="44"/>
      <c r="M529" s="44"/>
      <c r="O529" s="44"/>
      <c r="Q529" s="44"/>
    </row>
    <row r="530">
      <c r="B530" s="44"/>
      <c r="D530" s="44"/>
      <c r="F530" s="44"/>
      <c r="G530" s="44"/>
      <c r="I530" s="44"/>
      <c r="J530" s="44"/>
      <c r="K530" s="44"/>
      <c r="L530" s="44"/>
      <c r="M530" s="44"/>
      <c r="O530" s="44"/>
      <c r="Q530" s="44"/>
    </row>
    <row r="531">
      <c r="B531" s="44"/>
      <c r="D531" s="44"/>
      <c r="F531" s="44"/>
      <c r="G531" s="44"/>
      <c r="I531" s="44"/>
      <c r="J531" s="44"/>
      <c r="K531" s="44"/>
      <c r="L531" s="44"/>
      <c r="M531" s="44"/>
      <c r="O531" s="44"/>
      <c r="Q531" s="44"/>
    </row>
    <row r="532">
      <c r="B532" s="44"/>
      <c r="D532" s="44"/>
      <c r="F532" s="44"/>
      <c r="G532" s="44"/>
      <c r="I532" s="44"/>
      <c r="J532" s="44"/>
      <c r="K532" s="44"/>
      <c r="L532" s="44"/>
      <c r="M532" s="44"/>
      <c r="O532" s="44"/>
      <c r="Q532" s="44"/>
    </row>
    <row r="533">
      <c r="B533" s="44"/>
      <c r="D533" s="44"/>
      <c r="F533" s="44"/>
      <c r="G533" s="44"/>
      <c r="I533" s="44"/>
      <c r="J533" s="44"/>
      <c r="K533" s="44"/>
      <c r="L533" s="44"/>
      <c r="M533" s="44"/>
      <c r="O533" s="44"/>
      <c r="Q533" s="44"/>
    </row>
    <row r="534">
      <c r="B534" s="44"/>
      <c r="D534" s="44"/>
      <c r="F534" s="44"/>
      <c r="G534" s="44"/>
      <c r="I534" s="44"/>
      <c r="J534" s="44"/>
      <c r="K534" s="44"/>
      <c r="L534" s="44"/>
      <c r="M534" s="44"/>
      <c r="O534" s="44"/>
      <c r="Q534" s="44"/>
    </row>
    <row r="535">
      <c r="B535" s="44"/>
      <c r="D535" s="44"/>
      <c r="F535" s="44"/>
      <c r="G535" s="44"/>
      <c r="I535" s="44"/>
      <c r="J535" s="44"/>
      <c r="K535" s="44"/>
      <c r="L535" s="44"/>
      <c r="M535" s="44"/>
      <c r="O535" s="44"/>
      <c r="Q535" s="44"/>
    </row>
    <row r="536">
      <c r="B536" s="44"/>
      <c r="D536" s="44"/>
      <c r="F536" s="44"/>
      <c r="G536" s="44"/>
      <c r="I536" s="44"/>
      <c r="J536" s="44"/>
      <c r="K536" s="44"/>
      <c r="L536" s="44"/>
      <c r="M536" s="44"/>
      <c r="O536" s="44"/>
      <c r="Q536" s="44"/>
    </row>
    <row r="537">
      <c r="B537" s="44"/>
      <c r="D537" s="44"/>
      <c r="F537" s="44"/>
      <c r="G537" s="44"/>
      <c r="I537" s="44"/>
      <c r="J537" s="44"/>
      <c r="K537" s="44"/>
      <c r="L537" s="44"/>
      <c r="M537" s="44"/>
      <c r="O537" s="44"/>
      <c r="Q537" s="44"/>
    </row>
    <row r="538">
      <c r="B538" s="44"/>
      <c r="D538" s="44"/>
      <c r="F538" s="44"/>
      <c r="G538" s="44"/>
      <c r="I538" s="44"/>
      <c r="J538" s="44"/>
      <c r="K538" s="44"/>
      <c r="L538" s="44"/>
      <c r="M538" s="44"/>
      <c r="O538" s="44"/>
      <c r="Q538" s="44"/>
    </row>
    <row r="539">
      <c r="B539" s="44"/>
      <c r="D539" s="44"/>
      <c r="F539" s="44"/>
      <c r="G539" s="44"/>
      <c r="I539" s="44"/>
      <c r="J539" s="44"/>
      <c r="K539" s="44"/>
      <c r="L539" s="44"/>
      <c r="M539" s="44"/>
      <c r="O539" s="44"/>
      <c r="Q539" s="44"/>
    </row>
    <row r="540">
      <c r="B540" s="44"/>
      <c r="D540" s="44"/>
      <c r="F540" s="44"/>
      <c r="G540" s="44"/>
      <c r="I540" s="44"/>
      <c r="J540" s="44"/>
      <c r="K540" s="44"/>
      <c r="L540" s="44"/>
      <c r="M540" s="44"/>
      <c r="O540" s="44"/>
      <c r="Q540" s="44"/>
    </row>
    <row r="541">
      <c r="B541" s="44"/>
      <c r="D541" s="44"/>
      <c r="F541" s="44"/>
      <c r="G541" s="44"/>
      <c r="I541" s="44"/>
      <c r="J541" s="44"/>
      <c r="K541" s="44"/>
      <c r="L541" s="44"/>
      <c r="M541" s="44"/>
      <c r="O541" s="44"/>
      <c r="Q541" s="44"/>
    </row>
    <row r="542">
      <c r="B542" s="44"/>
      <c r="D542" s="44"/>
      <c r="F542" s="44"/>
      <c r="G542" s="44"/>
      <c r="I542" s="44"/>
      <c r="J542" s="44"/>
      <c r="K542" s="44"/>
      <c r="L542" s="44"/>
      <c r="M542" s="44"/>
      <c r="O542" s="44"/>
      <c r="Q542" s="44"/>
    </row>
    <row r="543">
      <c r="B543" s="44"/>
      <c r="D543" s="44"/>
      <c r="F543" s="44"/>
      <c r="G543" s="44"/>
      <c r="I543" s="44"/>
      <c r="J543" s="44"/>
      <c r="K543" s="44"/>
      <c r="L543" s="44"/>
      <c r="M543" s="44"/>
      <c r="O543" s="44"/>
      <c r="Q543" s="44"/>
    </row>
    <row r="544">
      <c r="B544" s="44"/>
      <c r="D544" s="44"/>
      <c r="F544" s="44"/>
      <c r="G544" s="44"/>
      <c r="I544" s="44"/>
      <c r="J544" s="44"/>
      <c r="K544" s="44"/>
      <c r="L544" s="44"/>
      <c r="M544" s="44"/>
      <c r="O544" s="44"/>
      <c r="Q544" s="44"/>
    </row>
    <row r="545">
      <c r="B545" s="44"/>
      <c r="D545" s="44"/>
      <c r="F545" s="44"/>
      <c r="G545" s="44"/>
      <c r="I545" s="44"/>
      <c r="J545" s="44"/>
      <c r="K545" s="44"/>
      <c r="L545" s="44"/>
      <c r="M545" s="44"/>
      <c r="O545" s="44"/>
      <c r="Q545" s="44"/>
    </row>
    <row r="546">
      <c r="B546" s="44"/>
      <c r="D546" s="44"/>
      <c r="F546" s="44"/>
      <c r="G546" s="44"/>
      <c r="I546" s="44"/>
      <c r="J546" s="44"/>
      <c r="K546" s="44"/>
      <c r="L546" s="44"/>
      <c r="M546" s="44"/>
      <c r="O546" s="44"/>
      <c r="Q546" s="44"/>
    </row>
    <row r="547">
      <c r="B547" s="44"/>
      <c r="D547" s="44"/>
      <c r="F547" s="44"/>
      <c r="G547" s="44"/>
      <c r="I547" s="44"/>
      <c r="J547" s="44"/>
      <c r="K547" s="44"/>
      <c r="L547" s="44"/>
      <c r="M547" s="44"/>
      <c r="O547" s="44"/>
      <c r="Q547" s="44"/>
    </row>
    <row r="548">
      <c r="B548" s="44"/>
      <c r="D548" s="44"/>
      <c r="F548" s="44"/>
      <c r="G548" s="44"/>
      <c r="I548" s="44"/>
      <c r="J548" s="44"/>
      <c r="K548" s="44"/>
      <c r="L548" s="44"/>
      <c r="M548" s="44"/>
      <c r="O548" s="44"/>
      <c r="Q548" s="44"/>
    </row>
    <row r="549">
      <c r="B549" s="44"/>
      <c r="D549" s="44"/>
      <c r="F549" s="44"/>
      <c r="G549" s="44"/>
      <c r="I549" s="44"/>
      <c r="J549" s="44"/>
      <c r="K549" s="44"/>
      <c r="L549" s="44"/>
      <c r="M549" s="44"/>
      <c r="O549" s="44"/>
      <c r="Q549" s="44"/>
    </row>
    <row r="550">
      <c r="B550" s="44"/>
      <c r="D550" s="44"/>
      <c r="F550" s="44"/>
      <c r="G550" s="44"/>
      <c r="I550" s="44"/>
      <c r="J550" s="44"/>
      <c r="K550" s="44"/>
      <c r="L550" s="44"/>
      <c r="M550" s="44"/>
      <c r="O550" s="44"/>
      <c r="Q550" s="44"/>
    </row>
    <row r="551">
      <c r="B551" s="44"/>
      <c r="D551" s="44"/>
      <c r="F551" s="44"/>
      <c r="G551" s="44"/>
      <c r="I551" s="44"/>
      <c r="J551" s="44"/>
      <c r="K551" s="44"/>
      <c r="L551" s="44"/>
      <c r="M551" s="44"/>
      <c r="O551" s="44"/>
      <c r="Q551" s="44"/>
    </row>
    <row r="552">
      <c r="B552" s="44"/>
      <c r="D552" s="44"/>
      <c r="F552" s="44"/>
      <c r="G552" s="44"/>
      <c r="I552" s="44"/>
      <c r="J552" s="44"/>
      <c r="K552" s="44"/>
      <c r="L552" s="44"/>
      <c r="M552" s="44"/>
      <c r="O552" s="44"/>
      <c r="Q552" s="44"/>
    </row>
    <row r="553">
      <c r="B553" s="44"/>
      <c r="D553" s="44"/>
      <c r="F553" s="44"/>
      <c r="G553" s="44"/>
      <c r="I553" s="44"/>
      <c r="J553" s="44"/>
      <c r="K553" s="44"/>
      <c r="L553" s="44"/>
      <c r="M553" s="44"/>
      <c r="O553" s="44"/>
      <c r="Q553" s="44"/>
    </row>
    <row r="554">
      <c r="B554" s="44"/>
      <c r="D554" s="44"/>
      <c r="F554" s="44"/>
      <c r="G554" s="44"/>
      <c r="I554" s="44"/>
      <c r="J554" s="44"/>
      <c r="K554" s="44"/>
      <c r="L554" s="44"/>
      <c r="M554" s="44"/>
      <c r="O554" s="44"/>
      <c r="Q554" s="44"/>
    </row>
    <row r="555">
      <c r="B555" s="44"/>
      <c r="D555" s="44"/>
      <c r="F555" s="44"/>
      <c r="G555" s="44"/>
      <c r="I555" s="44"/>
      <c r="J555" s="44"/>
      <c r="K555" s="44"/>
      <c r="L555" s="44"/>
      <c r="M555" s="44"/>
      <c r="O555" s="44"/>
      <c r="Q555" s="44"/>
    </row>
    <row r="556">
      <c r="B556" s="44"/>
      <c r="D556" s="44"/>
      <c r="F556" s="44"/>
      <c r="G556" s="44"/>
      <c r="I556" s="44"/>
      <c r="J556" s="44"/>
      <c r="K556" s="44"/>
      <c r="L556" s="44"/>
      <c r="M556" s="44"/>
      <c r="O556" s="44"/>
      <c r="Q556" s="44"/>
    </row>
    <row r="557">
      <c r="B557" s="44"/>
      <c r="D557" s="44"/>
      <c r="F557" s="44"/>
      <c r="G557" s="44"/>
      <c r="I557" s="44"/>
      <c r="J557" s="44"/>
      <c r="K557" s="44"/>
      <c r="L557" s="44"/>
      <c r="M557" s="44"/>
      <c r="O557" s="44"/>
      <c r="Q557" s="44"/>
    </row>
    <row r="558">
      <c r="B558" s="44"/>
      <c r="D558" s="44"/>
      <c r="F558" s="44"/>
      <c r="G558" s="44"/>
      <c r="I558" s="44"/>
      <c r="J558" s="44"/>
      <c r="K558" s="44"/>
      <c r="L558" s="44"/>
      <c r="M558" s="44"/>
      <c r="O558" s="44"/>
      <c r="Q558" s="44"/>
    </row>
    <row r="559">
      <c r="B559" s="44"/>
      <c r="D559" s="44"/>
      <c r="F559" s="44"/>
      <c r="G559" s="44"/>
      <c r="I559" s="44"/>
      <c r="J559" s="44"/>
      <c r="K559" s="44"/>
      <c r="L559" s="44"/>
      <c r="M559" s="44"/>
      <c r="O559" s="44"/>
      <c r="Q559" s="44"/>
    </row>
    <row r="560">
      <c r="B560" s="44"/>
      <c r="D560" s="44"/>
      <c r="F560" s="44"/>
      <c r="G560" s="44"/>
      <c r="I560" s="44"/>
      <c r="J560" s="44"/>
      <c r="K560" s="44"/>
      <c r="L560" s="44"/>
      <c r="M560" s="44"/>
      <c r="O560" s="44"/>
      <c r="Q560" s="44"/>
    </row>
    <row r="561">
      <c r="B561" s="44"/>
      <c r="D561" s="44"/>
      <c r="F561" s="44"/>
      <c r="G561" s="44"/>
      <c r="I561" s="44"/>
      <c r="J561" s="44"/>
      <c r="K561" s="44"/>
      <c r="L561" s="44"/>
      <c r="M561" s="44"/>
      <c r="O561" s="44"/>
      <c r="Q561" s="44"/>
    </row>
    <row r="562">
      <c r="B562" s="44"/>
      <c r="D562" s="44"/>
      <c r="F562" s="44"/>
      <c r="G562" s="44"/>
      <c r="I562" s="44"/>
      <c r="J562" s="44"/>
      <c r="K562" s="44"/>
      <c r="L562" s="44"/>
      <c r="M562" s="44"/>
      <c r="O562" s="44"/>
      <c r="Q562" s="44"/>
    </row>
    <row r="563">
      <c r="B563" s="44"/>
      <c r="D563" s="44"/>
      <c r="F563" s="44"/>
      <c r="G563" s="44"/>
      <c r="I563" s="44"/>
      <c r="J563" s="44"/>
      <c r="K563" s="44"/>
      <c r="L563" s="44"/>
      <c r="M563" s="44"/>
      <c r="O563" s="44"/>
      <c r="Q563" s="44"/>
    </row>
    <row r="564">
      <c r="B564" s="44"/>
      <c r="D564" s="44"/>
      <c r="F564" s="44"/>
      <c r="G564" s="44"/>
      <c r="I564" s="44"/>
      <c r="J564" s="44"/>
      <c r="K564" s="44"/>
      <c r="L564" s="44"/>
      <c r="M564" s="44"/>
      <c r="O564" s="44"/>
      <c r="Q564" s="44"/>
    </row>
    <row r="565">
      <c r="B565" s="44"/>
      <c r="D565" s="44"/>
      <c r="F565" s="44"/>
      <c r="G565" s="44"/>
      <c r="I565" s="44"/>
      <c r="J565" s="44"/>
      <c r="K565" s="44"/>
      <c r="L565" s="44"/>
      <c r="M565" s="44"/>
      <c r="O565" s="44"/>
      <c r="Q565" s="44"/>
    </row>
    <row r="566">
      <c r="B566" s="44"/>
      <c r="D566" s="44"/>
      <c r="F566" s="44"/>
      <c r="G566" s="44"/>
      <c r="I566" s="44"/>
      <c r="J566" s="44"/>
      <c r="K566" s="44"/>
      <c r="L566" s="44"/>
      <c r="M566" s="44"/>
      <c r="O566" s="44"/>
      <c r="Q566" s="44"/>
    </row>
    <row r="567">
      <c r="B567" s="44"/>
      <c r="D567" s="44"/>
      <c r="F567" s="44"/>
      <c r="G567" s="44"/>
      <c r="I567" s="44"/>
      <c r="J567" s="44"/>
      <c r="K567" s="44"/>
      <c r="L567" s="44"/>
      <c r="M567" s="44"/>
      <c r="O567" s="44"/>
      <c r="Q567" s="44"/>
    </row>
    <row r="568">
      <c r="B568" s="44"/>
      <c r="D568" s="44"/>
      <c r="F568" s="44"/>
      <c r="G568" s="44"/>
      <c r="I568" s="44"/>
      <c r="J568" s="44"/>
      <c r="K568" s="44"/>
      <c r="L568" s="44"/>
      <c r="M568" s="44"/>
      <c r="O568" s="44"/>
      <c r="Q568" s="44"/>
    </row>
    <row r="569">
      <c r="B569" s="44"/>
      <c r="D569" s="44"/>
      <c r="F569" s="44"/>
      <c r="G569" s="44"/>
      <c r="I569" s="44"/>
      <c r="J569" s="44"/>
      <c r="K569" s="44"/>
      <c r="L569" s="44"/>
      <c r="M569" s="44"/>
      <c r="O569" s="44"/>
      <c r="Q569" s="44"/>
    </row>
    <row r="570">
      <c r="B570" s="44"/>
      <c r="D570" s="44"/>
      <c r="F570" s="44"/>
      <c r="G570" s="44"/>
      <c r="I570" s="44"/>
      <c r="J570" s="44"/>
      <c r="K570" s="44"/>
      <c r="L570" s="44"/>
      <c r="M570" s="44"/>
      <c r="O570" s="44"/>
      <c r="Q570" s="44"/>
    </row>
    <row r="571">
      <c r="B571" s="44"/>
      <c r="D571" s="44"/>
      <c r="F571" s="44"/>
      <c r="G571" s="44"/>
      <c r="I571" s="44"/>
      <c r="J571" s="44"/>
      <c r="K571" s="44"/>
      <c r="L571" s="44"/>
      <c r="M571" s="44"/>
      <c r="O571" s="44"/>
      <c r="Q571" s="44"/>
    </row>
    <row r="572">
      <c r="B572" s="44"/>
      <c r="D572" s="44"/>
      <c r="F572" s="44"/>
      <c r="G572" s="44"/>
      <c r="I572" s="44"/>
      <c r="J572" s="44"/>
      <c r="K572" s="44"/>
      <c r="L572" s="44"/>
      <c r="M572" s="44"/>
      <c r="O572" s="44"/>
      <c r="Q572" s="44"/>
    </row>
    <row r="573">
      <c r="B573" s="44"/>
      <c r="D573" s="44"/>
      <c r="F573" s="44"/>
      <c r="G573" s="44"/>
      <c r="I573" s="44"/>
      <c r="J573" s="44"/>
      <c r="K573" s="44"/>
      <c r="L573" s="44"/>
      <c r="M573" s="44"/>
      <c r="O573" s="44"/>
      <c r="Q573" s="44"/>
    </row>
    <row r="574">
      <c r="B574" s="44"/>
      <c r="D574" s="44"/>
      <c r="F574" s="44"/>
      <c r="G574" s="44"/>
      <c r="I574" s="44"/>
      <c r="J574" s="44"/>
      <c r="K574" s="44"/>
      <c r="L574" s="44"/>
      <c r="M574" s="44"/>
      <c r="O574" s="44"/>
      <c r="Q574" s="44"/>
    </row>
    <row r="575">
      <c r="B575" s="44"/>
      <c r="D575" s="44"/>
      <c r="F575" s="44"/>
      <c r="G575" s="44"/>
      <c r="I575" s="44"/>
      <c r="J575" s="44"/>
      <c r="K575" s="44"/>
      <c r="L575" s="44"/>
      <c r="M575" s="44"/>
      <c r="O575" s="44"/>
      <c r="Q575" s="44"/>
    </row>
    <row r="576">
      <c r="B576" s="44"/>
      <c r="D576" s="44"/>
      <c r="F576" s="44"/>
      <c r="G576" s="44"/>
      <c r="I576" s="44"/>
      <c r="J576" s="44"/>
      <c r="K576" s="44"/>
      <c r="L576" s="44"/>
      <c r="M576" s="44"/>
      <c r="O576" s="44"/>
      <c r="Q576" s="44"/>
    </row>
    <row r="577">
      <c r="B577" s="44"/>
      <c r="D577" s="44"/>
      <c r="F577" s="44"/>
      <c r="G577" s="44"/>
      <c r="I577" s="44"/>
      <c r="J577" s="44"/>
      <c r="K577" s="44"/>
      <c r="L577" s="44"/>
      <c r="M577" s="44"/>
      <c r="O577" s="44"/>
      <c r="Q577" s="44"/>
    </row>
    <row r="578">
      <c r="B578" s="44"/>
      <c r="D578" s="44"/>
      <c r="F578" s="44"/>
      <c r="G578" s="44"/>
      <c r="I578" s="44"/>
      <c r="J578" s="44"/>
      <c r="K578" s="44"/>
      <c r="L578" s="44"/>
      <c r="M578" s="44"/>
      <c r="O578" s="44"/>
      <c r="Q578" s="44"/>
    </row>
    <row r="579">
      <c r="B579" s="44"/>
      <c r="D579" s="44"/>
      <c r="F579" s="44"/>
      <c r="G579" s="44"/>
      <c r="I579" s="44"/>
      <c r="J579" s="44"/>
      <c r="K579" s="44"/>
      <c r="L579" s="44"/>
      <c r="M579" s="44"/>
      <c r="O579" s="44"/>
      <c r="Q579" s="44"/>
    </row>
    <row r="580">
      <c r="B580" s="44"/>
      <c r="D580" s="44"/>
      <c r="F580" s="44"/>
      <c r="G580" s="44"/>
      <c r="I580" s="44"/>
      <c r="J580" s="44"/>
      <c r="K580" s="44"/>
      <c r="L580" s="44"/>
      <c r="M580" s="44"/>
      <c r="O580" s="44"/>
      <c r="Q580" s="44"/>
    </row>
    <row r="581">
      <c r="B581" s="44"/>
      <c r="D581" s="44"/>
      <c r="F581" s="44"/>
      <c r="G581" s="44"/>
      <c r="I581" s="44"/>
      <c r="J581" s="44"/>
      <c r="K581" s="44"/>
      <c r="L581" s="44"/>
      <c r="M581" s="44"/>
      <c r="O581" s="44"/>
      <c r="Q581" s="44"/>
    </row>
    <row r="582">
      <c r="B582" s="44"/>
      <c r="D582" s="44"/>
      <c r="F582" s="44"/>
      <c r="G582" s="44"/>
      <c r="I582" s="44"/>
      <c r="J582" s="44"/>
      <c r="K582" s="44"/>
      <c r="L582" s="44"/>
      <c r="M582" s="44"/>
      <c r="O582" s="44"/>
      <c r="Q582" s="44"/>
    </row>
    <row r="583">
      <c r="B583" s="44"/>
      <c r="D583" s="44"/>
      <c r="F583" s="44"/>
      <c r="G583" s="44"/>
      <c r="I583" s="44"/>
      <c r="J583" s="44"/>
      <c r="K583" s="44"/>
      <c r="L583" s="44"/>
      <c r="M583" s="44"/>
      <c r="O583" s="44"/>
      <c r="Q583" s="44"/>
    </row>
    <row r="584">
      <c r="B584" s="44"/>
      <c r="D584" s="44"/>
      <c r="F584" s="44"/>
      <c r="G584" s="44"/>
      <c r="I584" s="44"/>
      <c r="J584" s="44"/>
      <c r="K584" s="44"/>
      <c r="L584" s="44"/>
      <c r="M584" s="44"/>
      <c r="O584" s="44"/>
      <c r="Q584" s="44"/>
    </row>
    <row r="585">
      <c r="B585" s="44"/>
      <c r="D585" s="44"/>
      <c r="F585" s="44"/>
      <c r="G585" s="44"/>
      <c r="I585" s="44"/>
      <c r="J585" s="44"/>
      <c r="K585" s="44"/>
      <c r="L585" s="44"/>
      <c r="M585" s="44"/>
      <c r="O585" s="44"/>
      <c r="Q585" s="44"/>
    </row>
    <row r="586">
      <c r="B586" s="44"/>
      <c r="D586" s="44"/>
      <c r="F586" s="44"/>
      <c r="G586" s="44"/>
      <c r="I586" s="44"/>
      <c r="J586" s="44"/>
      <c r="K586" s="44"/>
      <c r="L586" s="44"/>
      <c r="M586" s="44"/>
      <c r="O586" s="44"/>
      <c r="Q586" s="44"/>
    </row>
    <row r="587">
      <c r="B587" s="44"/>
      <c r="D587" s="44"/>
      <c r="F587" s="44"/>
      <c r="G587" s="44"/>
      <c r="I587" s="44"/>
      <c r="J587" s="44"/>
      <c r="K587" s="44"/>
      <c r="L587" s="44"/>
      <c r="M587" s="44"/>
      <c r="O587" s="44"/>
      <c r="Q587" s="44"/>
    </row>
    <row r="588">
      <c r="B588" s="44"/>
      <c r="D588" s="44"/>
      <c r="F588" s="44"/>
      <c r="G588" s="44"/>
      <c r="I588" s="44"/>
      <c r="J588" s="44"/>
      <c r="K588" s="44"/>
      <c r="L588" s="44"/>
      <c r="M588" s="44"/>
      <c r="O588" s="44"/>
      <c r="Q588" s="44"/>
    </row>
    <row r="589">
      <c r="B589" s="44"/>
      <c r="D589" s="44"/>
      <c r="F589" s="44"/>
      <c r="G589" s="44"/>
      <c r="I589" s="44"/>
      <c r="J589" s="44"/>
      <c r="K589" s="44"/>
      <c r="L589" s="44"/>
      <c r="M589" s="44"/>
      <c r="O589" s="44"/>
      <c r="Q589" s="44"/>
    </row>
    <row r="590">
      <c r="B590" s="44"/>
      <c r="D590" s="44"/>
      <c r="F590" s="44"/>
      <c r="G590" s="44"/>
      <c r="I590" s="44"/>
      <c r="J590" s="44"/>
      <c r="K590" s="44"/>
      <c r="L590" s="44"/>
      <c r="M590" s="44"/>
      <c r="O590" s="44"/>
      <c r="Q590" s="44"/>
    </row>
    <row r="591">
      <c r="B591" s="44"/>
      <c r="D591" s="44"/>
      <c r="F591" s="44"/>
      <c r="G591" s="44"/>
      <c r="I591" s="44"/>
      <c r="J591" s="44"/>
      <c r="K591" s="44"/>
      <c r="L591" s="44"/>
      <c r="M591" s="44"/>
      <c r="O591" s="44"/>
      <c r="Q591" s="44"/>
    </row>
    <row r="592">
      <c r="B592" s="44"/>
      <c r="D592" s="44"/>
      <c r="F592" s="44"/>
      <c r="G592" s="44"/>
      <c r="I592" s="44"/>
      <c r="J592" s="44"/>
      <c r="K592" s="44"/>
      <c r="L592" s="44"/>
      <c r="M592" s="44"/>
      <c r="O592" s="44"/>
      <c r="Q592" s="44"/>
    </row>
    <row r="593">
      <c r="B593" s="44"/>
      <c r="D593" s="44"/>
      <c r="F593" s="44"/>
      <c r="G593" s="44"/>
      <c r="I593" s="44"/>
      <c r="J593" s="44"/>
      <c r="K593" s="44"/>
      <c r="L593" s="44"/>
      <c r="M593" s="44"/>
      <c r="O593" s="44"/>
      <c r="Q593" s="44"/>
    </row>
    <row r="594">
      <c r="B594" s="44"/>
      <c r="D594" s="44"/>
      <c r="F594" s="44"/>
      <c r="G594" s="44"/>
      <c r="I594" s="44"/>
      <c r="J594" s="44"/>
      <c r="K594" s="44"/>
      <c r="L594" s="44"/>
      <c r="M594" s="44"/>
      <c r="O594" s="44"/>
      <c r="Q594" s="44"/>
    </row>
    <row r="595">
      <c r="B595" s="44"/>
      <c r="D595" s="44"/>
      <c r="F595" s="44"/>
      <c r="G595" s="44"/>
      <c r="I595" s="44"/>
      <c r="J595" s="44"/>
      <c r="K595" s="44"/>
      <c r="L595" s="44"/>
      <c r="M595" s="44"/>
      <c r="O595" s="44"/>
      <c r="Q595" s="44"/>
    </row>
    <row r="596">
      <c r="B596" s="44"/>
      <c r="D596" s="44"/>
      <c r="F596" s="44"/>
      <c r="G596" s="44"/>
      <c r="I596" s="44"/>
      <c r="J596" s="44"/>
      <c r="K596" s="44"/>
      <c r="L596" s="44"/>
      <c r="M596" s="44"/>
      <c r="O596" s="44"/>
      <c r="Q596" s="44"/>
    </row>
    <row r="597">
      <c r="B597" s="44"/>
      <c r="D597" s="44"/>
      <c r="F597" s="44"/>
      <c r="G597" s="44"/>
      <c r="I597" s="44"/>
      <c r="J597" s="44"/>
      <c r="K597" s="44"/>
      <c r="L597" s="44"/>
      <c r="M597" s="44"/>
      <c r="O597" s="44"/>
      <c r="Q597" s="44"/>
    </row>
    <row r="598">
      <c r="B598" s="44"/>
      <c r="D598" s="44"/>
      <c r="F598" s="44"/>
      <c r="G598" s="44"/>
      <c r="I598" s="44"/>
      <c r="J598" s="44"/>
      <c r="K598" s="44"/>
      <c r="L598" s="44"/>
      <c r="M598" s="44"/>
      <c r="O598" s="44"/>
      <c r="Q598" s="44"/>
    </row>
    <row r="599">
      <c r="B599" s="44"/>
      <c r="D599" s="44"/>
      <c r="F599" s="44"/>
      <c r="G599" s="44"/>
      <c r="I599" s="44"/>
      <c r="J599" s="44"/>
      <c r="K599" s="44"/>
      <c r="L599" s="44"/>
      <c r="M599" s="44"/>
      <c r="O599" s="44"/>
      <c r="Q599" s="44"/>
    </row>
    <row r="600">
      <c r="B600" s="44"/>
      <c r="D600" s="44"/>
      <c r="F600" s="44"/>
      <c r="G600" s="44"/>
      <c r="I600" s="44"/>
      <c r="J600" s="44"/>
      <c r="K600" s="44"/>
      <c r="L600" s="44"/>
      <c r="M600" s="44"/>
      <c r="O600" s="44"/>
      <c r="Q600" s="44"/>
    </row>
    <row r="601">
      <c r="B601" s="44"/>
      <c r="D601" s="44"/>
      <c r="F601" s="44"/>
      <c r="G601" s="44"/>
      <c r="I601" s="44"/>
      <c r="J601" s="44"/>
      <c r="K601" s="44"/>
      <c r="L601" s="44"/>
      <c r="M601" s="44"/>
      <c r="O601" s="44"/>
      <c r="Q601" s="44"/>
    </row>
    <row r="602">
      <c r="B602" s="44"/>
      <c r="D602" s="44"/>
      <c r="F602" s="44"/>
      <c r="G602" s="44"/>
      <c r="I602" s="44"/>
      <c r="J602" s="44"/>
      <c r="K602" s="44"/>
      <c r="L602" s="44"/>
      <c r="M602" s="44"/>
      <c r="O602" s="44"/>
      <c r="Q602" s="44"/>
    </row>
    <row r="603">
      <c r="B603" s="44"/>
      <c r="D603" s="44"/>
      <c r="F603" s="44"/>
      <c r="G603" s="44"/>
      <c r="I603" s="44"/>
      <c r="J603" s="44"/>
      <c r="K603" s="44"/>
      <c r="L603" s="44"/>
      <c r="M603" s="44"/>
      <c r="O603" s="44"/>
      <c r="Q603" s="44"/>
    </row>
    <row r="604">
      <c r="B604" s="44"/>
      <c r="D604" s="44"/>
      <c r="F604" s="44"/>
      <c r="G604" s="44"/>
      <c r="I604" s="44"/>
      <c r="J604" s="44"/>
      <c r="K604" s="44"/>
      <c r="L604" s="44"/>
      <c r="M604" s="44"/>
      <c r="O604" s="44"/>
      <c r="Q604" s="44"/>
    </row>
    <row r="605">
      <c r="B605" s="44"/>
      <c r="D605" s="44"/>
      <c r="F605" s="44"/>
      <c r="G605" s="44"/>
      <c r="I605" s="44"/>
      <c r="J605" s="44"/>
      <c r="K605" s="44"/>
      <c r="L605" s="44"/>
      <c r="M605" s="44"/>
      <c r="O605" s="44"/>
      <c r="Q605" s="44"/>
    </row>
    <row r="606">
      <c r="B606" s="44"/>
      <c r="D606" s="44"/>
      <c r="F606" s="44"/>
      <c r="G606" s="44"/>
      <c r="I606" s="44"/>
      <c r="J606" s="44"/>
      <c r="K606" s="44"/>
      <c r="L606" s="44"/>
      <c r="M606" s="44"/>
      <c r="O606" s="44"/>
      <c r="Q606" s="44"/>
    </row>
    <row r="607">
      <c r="B607" s="44"/>
      <c r="D607" s="44"/>
      <c r="F607" s="44"/>
      <c r="G607" s="44"/>
      <c r="I607" s="44"/>
      <c r="J607" s="44"/>
      <c r="K607" s="44"/>
      <c r="L607" s="44"/>
      <c r="M607" s="44"/>
      <c r="O607" s="44"/>
      <c r="Q607" s="44"/>
    </row>
    <row r="608">
      <c r="B608" s="44"/>
      <c r="D608" s="44"/>
      <c r="F608" s="44"/>
      <c r="G608" s="44"/>
      <c r="I608" s="44"/>
      <c r="J608" s="44"/>
      <c r="K608" s="44"/>
      <c r="L608" s="44"/>
      <c r="M608" s="44"/>
      <c r="O608" s="44"/>
      <c r="Q608" s="44"/>
    </row>
    <row r="609">
      <c r="B609" s="44"/>
      <c r="D609" s="44"/>
      <c r="F609" s="44"/>
      <c r="G609" s="44"/>
      <c r="I609" s="44"/>
      <c r="J609" s="44"/>
      <c r="K609" s="44"/>
      <c r="L609" s="44"/>
      <c r="M609" s="44"/>
      <c r="O609" s="44"/>
      <c r="Q609" s="44"/>
    </row>
    <row r="610">
      <c r="B610" s="44"/>
      <c r="D610" s="44"/>
      <c r="F610" s="44"/>
      <c r="G610" s="44"/>
      <c r="I610" s="44"/>
      <c r="J610" s="44"/>
      <c r="K610" s="44"/>
      <c r="L610" s="44"/>
      <c r="M610" s="44"/>
      <c r="O610" s="44"/>
      <c r="Q610" s="44"/>
    </row>
    <row r="611">
      <c r="B611" s="44"/>
      <c r="D611" s="44"/>
      <c r="F611" s="44"/>
      <c r="G611" s="44"/>
      <c r="I611" s="44"/>
      <c r="J611" s="44"/>
      <c r="K611" s="44"/>
      <c r="L611" s="44"/>
      <c r="M611" s="44"/>
      <c r="O611" s="44"/>
      <c r="Q611" s="44"/>
    </row>
    <row r="612">
      <c r="B612" s="44"/>
      <c r="D612" s="44"/>
      <c r="F612" s="44"/>
      <c r="G612" s="44"/>
      <c r="I612" s="44"/>
      <c r="J612" s="44"/>
      <c r="K612" s="44"/>
      <c r="L612" s="44"/>
      <c r="M612" s="44"/>
      <c r="O612" s="44"/>
      <c r="Q612" s="44"/>
    </row>
    <row r="613">
      <c r="B613" s="44"/>
      <c r="D613" s="44"/>
      <c r="F613" s="44"/>
      <c r="G613" s="44"/>
      <c r="I613" s="44"/>
      <c r="J613" s="44"/>
      <c r="K613" s="44"/>
      <c r="L613" s="44"/>
      <c r="M613" s="44"/>
      <c r="O613" s="44"/>
      <c r="Q613" s="44"/>
    </row>
    <row r="614">
      <c r="B614" s="44"/>
      <c r="D614" s="44"/>
      <c r="F614" s="44"/>
      <c r="G614" s="44"/>
      <c r="I614" s="44"/>
      <c r="J614" s="44"/>
      <c r="K614" s="44"/>
      <c r="L614" s="44"/>
      <c r="M614" s="44"/>
      <c r="O614" s="44"/>
      <c r="Q614" s="44"/>
    </row>
    <row r="615">
      <c r="B615" s="44"/>
      <c r="D615" s="44"/>
      <c r="F615" s="44"/>
      <c r="G615" s="44"/>
      <c r="I615" s="44"/>
      <c r="J615" s="44"/>
      <c r="K615" s="44"/>
      <c r="L615" s="44"/>
      <c r="M615" s="44"/>
      <c r="O615" s="44"/>
      <c r="Q615" s="44"/>
    </row>
    <row r="616">
      <c r="B616" s="44"/>
      <c r="D616" s="44"/>
      <c r="F616" s="44"/>
      <c r="G616" s="44"/>
      <c r="I616" s="44"/>
      <c r="J616" s="44"/>
      <c r="K616" s="44"/>
      <c r="L616" s="44"/>
      <c r="M616" s="44"/>
      <c r="O616" s="44"/>
      <c r="Q616" s="44"/>
    </row>
    <row r="617">
      <c r="B617" s="44"/>
      <c r="D617" s="44"/>
      <c r="F617" s="44"/>
      <c r="G617" s="44"/>
      <c r="I617" s="44"/>
      <c r="J617" s="44"/>
      <c r="K617" s="44"/>
      <c r="L617" s="44"/>
      <c r="M617" s="44"/>
      <c r="O617" s="44"/>
      <c r="Q617" s="44"/>
    </row>
    <row r="618">
      <c r="B618" s="44"/>
      <c r="D618" s="44"/>
      <c r="F618" s="44"/>
      <c r="G618" s="44"/>
      <c r="I618" s="44"/>
      <c r="J618" s="44"/>
      <c r="K618" s="44"/>
      <c r="L618" s="44"/>
      <c r="M618" s="44"/>
      <c r="O618" s="44"/>
      <c r="Q618" s="44"/>
    </row>
    <row r="619">
      <c r="B619" s="44"/>
      <c r="D619" s="44"/>
      <c r="F619" s="44"/>
      <c r="G619" s="44"/>
      <c r="I619" s="44"/>
      <c r="J619" s="44"/>
      <c r="K619" s="44"/>
      <c r="L619" s="44"/>
      <c r="M619" s="44"/>
      <c r="O619" s="44"/>
      <c r="Q619" s="44"/>
    </row>
    <row r="620">
      <c r="B620" s="44"/>
      <c r="D620" s="44"/>
      <c r="F620" s="44"/>
      <c r="G620" s="44"/>
      <c r="I620" s="44"/>
      <c r="J620" s="44"/>
      <c r="K620" s="44"/>
      <c r="L620" s="44"/>
      <c r="M620" s="44"/>
      <c r="O620" s="44"/>
      <c r="Q620" s="44"/>
    </row>
    <row r="621">
      <c r="B621" s="44"/>
      <c r="D621" s="44"/>
      <c r="F621" s="44"/>
      <c r="G621" s="44"/>
      <c r="I621" s="44"/>
      <c r="J621" s="44"/>
      <c r="K621" s="44"/>
      <c r="L621" s="44"/>
      <c r="M621" s="44"/>
      <c r="O621" s="44"/>
      <c r="Q621" s="44"/>
    </row>
    <row r="622">
      <c r="B622" s="44"/>
      <c r="D622" s="44"/>
      <c r="F622" s="44"/>
      <c r="G622" s="44"/>
      <c r="I622" s="44"/>
      <c r="J622" s="44"/>
      <c r="K622" s="44"/>
      <c r="L622" s="44"/>
      <c r="M622" s="44"/>
      <c r="O622" s="44"/>
      <c r="Q622" s="44"/>
    </row>
    <row r="623">
      <c r="B623" s="44"/>
      <c r="D623" s="44"/>
      <c r="F623" s="44"/>
      <c r="G623" s="44"/>
      <c r="I623" s="44"/>
      <c r="J623" s="44"/>
      <c r="K623" s="44"/>
      <c r="L623" s="44"/>
      <c r="M623" s="44"/>
      <c r="O623" s="44"/>
      <c r="Q623" s="44"/>
    </row>
    <row r="624">
      <c r="B624" s="44"/>
      <c r="D624" s="44"/>
      <c r="F624" s="44"/>
      <c r="G624" s="44"/>
      <c r="I624" s="44"/>
      <c r="J624" s="44"/>
      <c r="K624" s="44"/>
      <c r="L624" s="44"/>
      <c r="M624" s="44"/>
      <c r="O624" s="44"/>
      <c r="Q624" s="44"/>
    </row>
    <row r="625">
      <c r="B625" s="44"/>
      <c r="D625" s="44"/>
      <c r="F625" s="44"/>
      <c r="G625" s="44"/>
      <c r="I625" s="44"/>
      <c r="J625" s="44"/>
      <c r="K625" s="44"/>
      <c r="L625" s="44"/>
      <c r="M625" s="44"/>
      <c r="O625" s="44"/>
      <c r="Q625" s="44"/>
    </row>
    <row r="626">
      <c r="B626" s="44"/>
      <c r="D626" s="44"/>
      <c r="F626" s="44"/>
      <c r="G626" s="44"/>
      <c r="I626" s="44"/>
      <c r="J626" s="44"/>
      <c r="K626" s="44"/>
      <c r="L626" s="44"/>
      <c r="M626" s="44"/>
      <c r="O626" s="44"/>
      <c r="Q626" s="44"/>
    </row>
    <row r="627">
      <c r="B627" s="44"/>
      <c r="D627" s="44"/>
      <c r="F627" s="44"/>
      <c r="G627" s="44"/>
      <c r="I627" s="44"/>
      <c r="J627" s="44"/>
      <c r="K627" s="44"/>
      <c r="L627" s="44"/>
      <c r="M627" s="44"/>
      <c r="O627" s="44"/>
      <c r="Q627" s="44"/>
    </row>
    <row r="628">
      <c r="B628" s="44"/>
      <c r="D628" s="44"/>
      <c r="F628" s="44"/>
      <c r="G628" s="44"/>
      <c r="I628" s="44"/>
      <c r="J628" s="44"/>
      <c r="K628" s="44"/>
      <c r="L628" s="44"/>
      <c r="M628" s="44"/>
      <c r="O628" s="44"/>
      <c r="Q628" s="44"/>
    </row>
    <row r="629">
      <c r="B629" s="44"/>
      <c r="D629" s="44"/>
      <c r="F629" s="44"/>
      <c r="G629" s="44"/>
      <c r="I629" s="44"/>
      <c r="J629" s="44"/>
      <c r="K629" s="44"/>
      <c r="L629" s="44"/>
      <c r="M629" s="44"/>
      <c r="O629" s="44"/>
      <c r="Q629" s="44"/>
    </row>
    <row r="630">
      <c r="B630" s="44"/>
      <c r="D630" s="44"/>
      <c r="F630" s="44"/>
      <c r="G630" s="44"/>
      <c r="I630" s="44"/>
      <c r="J630" s="44"/>
      <c r="K630" s="44"/>
      <c r="L630" s="44"/>
      <c r="M630" s="44"/>
      <c r="O630" s="44"/>
      <c r="Q630" s="44"/>
    </row>
    <row r="631">
      <c r="B631" s="44"/>
      <c r="D631" s="44"/>
      <c r="F631" s="44"/>
      <c r="G631" s="44"/>
      <c r="I631" s="44"/>
      <c r="J631" s="44"/>
      <c r="K631" s="44"/>
      <c r="L631" s="44"/>
      <c r="M631" s="44"/>
      <c r="O631" s="44"/>
      <c r="Q631" s="44"/>
    </row>
    <row r="632">
      <c r="B632" s="44"/>
      <c r="D632" s="44"/>
      <c r="F632" s="44"/>
      <c r="G632" s="44"/>
      <c r="I632" s="44"/>
      <c r="J632" s="44"/>
      <c r="K632" s="44"/>
      <c r="L632" s="44"/>
      <c r="M632" s="44"/>
      <c r="O632" s="44"/>
      <c r="Q632" s="44"/>
    </row>
    <row r="633">
      <c r="B633" s="44"/>
      <c r="D633" s="44"/>
      <c r="F633" s="44"/>
      <c r="G633" s="44"/>
      <c r="I633" s="44"/>
      <c r="J633" s="44"/>
      <c r="K633" s="44"/>
      <c r="L633" s="44"/>
      <c r="M633" s="44"/>
      <c r="O633" s="44"/>
      <c r="Q633" s="44"/>
    </row>
    <row r="634">
      <c r="B634" s="44"/>
      <c r="D634" s="44"/>
      <c r="F634" s="44"/>
      <c r="G634" s="44"/>
      <c r="I634" s="44"/>
      <c r="J634" s="44"/>
      <c r="K634" s="44"/>
      <c r="L634" s="44"/>
      <c r="M634" s="44"/>
      <c r="O634" s="44"/>
      <c r="Q634" s="44"/>
    </row>
    <row r="635">
      <c r="B635" s="44"/>
      <c r="D635" s="44"/>
      <c r="F635" s="44"/>
      <c r="G635" s="44"/>
      <c r="I635" s="44"/>
      <c r="J635" s="44"/>
      <c r="K635" s="44"/>
      <c r="L635" s="44"/>
      <c r="M635" s="44"/>
      <c r="O635" s="44"/>
      <c r="Q635" s="44"/>
    </row>
    <row r="636">
      <c r="B636" s="44"/>
      <c r="D636" s="44"/>
      <c r="F636" s="44"/>
      <c r="G636" s="44"/>
      <c r="I636" s="44"/>
      <c r="J636" s="44"/>
      <c r="K636" s="44"/>
      <c r="L636" s="44"/>
      <c r="M636" s="44"/>
      <c r="O636" s="44"/>
      <c r="Q636" s="44"/>
    </row>
    <row r="637">
      <c r="B637" s="44"/>
      <c r="D637" s="44"/>
      <c r="F637" s="44"/>
      <c r="G637" s="44"/>
      <c r="I637" s="44"/>
      <c r="J637" s="44"/>
      <c r="K637" s="44"/>
      <c r="L637" s="44"/>
      <c r="M637" s="44"/>
      <c r="O637" s="44"/>
      <c r="Q637" s="44"/>
    </row>
    <row r="638">
      <c r="B638" s="44"/>
      <c r="D638" s="44"/>
      <c r="F638" s="44"/>
      <c r="G638" s="44"/>
      <c r="I638" s="44"/>
      <c r="J638" s="44"/>
      <c r="K638" s="44"/>
      <c r="L638" s="44"/>
      <c r="M638" s="44"/>
      <c r="O638" s="44"/>
      <c r="Q638" s="44"/>
    </row>
    <row r="639">
      <c r="B639" s="44"/>
      <c r="D639" s="44"/>
      <c r="F639" s="44"/>
      <c r="G639" s="44"/>
      <c r="I639" s="44"/>
      <c r="J639" s="44"/>
      <c r="K639" s="44"/>
      <c r="L639" s="44"/>
      <c r="M639" s="44"/>
      <c r="O639" s="44"/>
      <c r="Q639" s="44"/>
    </row>
    <row r="640">
      <c r="B640" s="44"/>
      <c r="D640" s="44"/>
      <c r="F640" s="44"/>
      <c r="G640" s="44"/>
      <c r="I640" s="44"/>
      <c r="J640" s="44"/>
      <c r="K640" s="44"/>
      <c r="L640" s="44"/>
      <c r="M640" s="44"/>
      <c r="O640" s="44"/>
      <c r="Q640" s="44"/>
    </row>
    <row r="641">
      <c r="B641" s="44"/>
      <c r="D641" s="44"/>
      <c r="F641" s="44"/>
      <c r="G641" s="44"/>
      <c r="I641" s="44"/>
      <c r="J641" s="44"/>
      <c r="K641" s="44"/>
      <c r="L641" s="44"/>
      <c r="M641" s="44"/>
      <c r="O641" s="44"/>
      <c r="Q641" s="44"/>
    </row>
    <row r="642">
      <c r="B642" s="44"/>
      <c r="D642" s="44"/>
      <c r="F642" s="44"/>
      <c r="G642" s="44"/>
      <c r="I642" s="44"/>
      <c r="J642" s="44"/>
      <c r="K642" s="44"/>
      <c r="L642" s="44"/>
      <c r="M642" s="44"/>
      <c r="O642" s="44"/>
      <c r="Q642" s="44"/>
    </row>
    <row r="643">
      <c r="B643" s="44"/>
      <c r="D643" s="44"/>
      <c r="F643" s="44"/>
      <c r="G643" s="44"/>
      <c r="I643" s="44"/>
      <c r="J643" s="44"/>
      <c r="K643" s="44"/>
      <c r="L643" s="44"/>
      <c r="M643" s="44"/>
      <c r="O643" s="44"/>
      <c r="Q643" s="44"/>
    </row>
    <row r="644">
      <c r="B644" s="44"/>
      <c r="D644" s="44"/>
      <c r="F644" s="44"/>
      <c r="G644" s="44"/>
      <c r="I644" s="44"/>
      <c r="J644" s="44"/>
      <c r="K644" s="44"/>
      <c r="L644" s="44"/>
      <c r="M644" s="44"/>
      <c r="O644" s="44"/>
      <c r="Q644" s="44"/>
    </row>
    <row r="645">
      <c r="B645" s="44"/>
      <c r="D645" s="44"/>
      <c r="F645" s="44"/>
      <c r="G645" s="44"/>
      <c r="I645" s="44"/>
      <c r="J645" s="44"/>
      <c r="K645" s="44"/>
      <c r="L645" s="44"/>
      <c r="M645" s="44"/>
      <c r="O645" s="44"/>
      <c r="Q645" s="44"/>
    </row>
    <row r="646">
      <c r="B646" s="44"/>
      <c r="D646" s="44"/>
      <c r="F646" s="44"/>
      <c r="G646" s="44"/>
      <c r="I646" s="44"/>
      <c r="J646" s="44"/>
      <c r="K646" s="44"/>
      <c r="L646" s="44"/>
      <c r="M646" s="44"/>
      <c r="O646" s="44"/>
      <c r="Q646" s="44"/>
    </row>
    <row r="647">
      <c r="B647" s="44"/>
      <c r="D647" s="44"/>
      <c r="F647" s="44"/>
      <c r="G647" s="44"/>
      <c r="I647" s="44"/>
      <c r="J647" s="44"/>
      <c r="K647" s="44"/>
      <c r="L647" s="44"/>
      <c r="M647" s="44"/>
      <c r="O647" s="44"/>
      <c r="Q647" s="44"/>
    </row>
    <row r="648">
      <c r="B648" s="44"/>
      <c r="D648" s="44"/>
      <c r="F648" s="44"/>
      <c r="G648" s="44"/>
      <c r="I648" s="44"/>
      <c r="J648" s="44"/>
      <c r="K648" s="44"/>
      <c r="L648" s="44"/>
      <c r="M648" s="44"/>
      <c r="O648" s="44"/>
      <c r="Q648" s="44"/>
    </row>
    <row r="649">
      <c r="B649" s="44"/>
      <c r="D649" s="44"/>
      <c r="F649" s="44"/>
      <c r="G649" s="44"/>
      <c r="I649" s="44"/>
      <c r="J649" s="44"/>
      <c r="K649" s="44"/>
      <c r="L649" s="44"/>
      <c r="M649" s="44"/>
      <c r="O649" s="44"/>
      <c r="Q649" s="44"/>
    </row>
    <row r="650">
      <c r="B650" s="44"/>
      <c r="D650" s="44"/>
      <c r="F650" s="44"/>
      <c r="G650" s="44"/>
      <c r="I650" s="44"/>
      <c r="J650" s="44"/>
      <c r="K650" s="44"/>
      <c r="L650" s="44"/>
      <c r="M650" s="44"/>
      <c r="O650" s="44"/>
      <c r="Q650" s="44"/>
    </row>
    <row r="651">
      <c r="B651" s="44"/>
      <c r="D651" s="44"/>
      <c r="F651" s="44"/>
      <c r="G651" s="44"/>
      <c r="I651" s="44"/>
      <c r="J651" s="44"/>
      <c r="K651" s="44"/>
      <c r="L651" s="44"/>
      <c r="M651" s="44"/>
      <c r="O651" s="44"/>
      <c r="Q651" s="44"/>
    </row>
    <row r="652">
      <c r="B652" s="44"/>
      <c r="D652" s="44"/>
      <c r="F652" s="44"/>
      <c r="G652" s="44"/>
      <c r="I652" s="44"/>
      <c r="J652" s="44"/>
      <c r="K652" s="44"/>
      <c r="L652" s="44"/>
      <c r="M652" s="44"/>
      <c r="O652" s="44"/>
      <c r="Q652" s="44"/>
    </row>
    <row r="653">
      <c r="B653" s="44"/>
      <c r="D653" s="44"/>
      <c r="F653" s="44"/>
      <c r="G653" s="44"/>
      <c r="I653" s="44"/>
      <c r="J653" s="44"/>
      <c r="K653" s="44"/>
      <c r="L653" s="44"/>
      <c r="M653" s="44"/>
      <c r="O653" s="44"/>
      <c r="Q653" s="44"/>
    </row>
    <row r="654">
      <c r="B654" s="44"/>
      <c r="D654" s="44"/>
      <c r="F654" s="44"/>
      <c r="G654" s="44"/>
      <c r="I654" s="44"/>
      <c r="J654" s="44"/>
      <c r="K654" s="44"/>
      <c r="L654" s="44"/>
      <c r="M654" s="44"/>
      <c r="O654" s="44"/>
      <c r="Q654" s="44"/>
    </row>
    <row r="655">
      <c r="B655" s="44"/>
      <c r="D655" s="44"/>
      <c r="F655" s="44"/>
      <c r="G655" s="44"/>
      <c r="I655" s="44"/>
      <c r="J655" s="44"/>
      <c r="K655" s="44"/>
      <c r="L655" s="44"/>
      <c r="M655" s="44"/>
      <c r="O655" s="44"/>
      <c r="Q655" s="44"/>
    </row>
    <row r="656">
      <c r="B656" s="44"/>
      <c r="D656" s="44"/>
      <c r="F656" s="44"/>
      <c r="G656" s="44"/>
      <c r="I656" s="44"/>
      <c r="J656" s="44"/>
      <c r="K656" s="44"/>
      <c r="L656" s="44"/>
      <c r="M656" s="44"/>
      <c r="O656" s="44"/>
      <c r="Q656" s="44"/>
    </row>
    <row r="657">
      <c r="B657" s="44"/>
      <c r="D657" s="44"/>
      <c r="F657" s="44"/>
      <c r="G657" s="44"/>
      <c r="I657" s="44"/>
      <c r="J657" s="44"/>
      <c r="K657" s="44"/>
      <c r="L657" s="44"/>
      <c r="M657" s="44"/>
      <c r="O657" s="44"/>
      <c r="Q657" s="44"/>
    </row>
    <row r="658">
      <c r="B658" s="44"/>
      <c r="D658" s="44"/>
      <c r="F658" s="44"/>
      <c r="G658" s="44"/>
      <c r="I658" s="44"/>
      <c r="J658" s="44"/>
      <c r="K658" s="44"/>
      <c r="L658" s="44"/>
      <c r="M658" s="44"/>
      <c r="O658" s="44"/>
      <c r="Q658" s="44"/>
    </row>
    <row r="659">
      <c r="B659" s="44"/>
      <c r="D659" s="44"/>
      <c r="F659" s="44"/>
      <c r="G659" s="44"/>
      <c r="I659" s="44"/>
      <c r="J659" s="44"/>
      <c r="K659" s="44"/>
      <c r="L659" s="44"/>
      <c r="M659" s="44"/>
      <c r="O659" s="44"/>
      <c r="Q659" s="44"/>
    </row>
    <row r="660">
      <c r="B660" s="44"/>
      <c r="D660" s="44"/>
      <c r="F660" s="44"/>
      <c r="G660" s="44"/>
      <c r="I660" s="44"/>
      <c r="J660" s="44"/>
      <c r="K660" s="44"/>
      <c r="L660" s="44"/>
      <c r="M660" s="44"/>
      <c r="O660" s="44"/>
      <c r="Q660" s="44"/>
    </row>
    <row r="661">
      <c r="B661" s="44"/>
      <c r="D661" s="44"/>
      <c r="F661" s="44"/>
      <c r="G661" s="44"/>
      <c r="I661" s="44"/>
      <c r="J661" s="44"/>
      <c r="K661" s="44"/>
      <c r="L661" s="44"/>
      <c r="M661" s="44"/>
      <c r="O661" s="44"/>
      <c r="Q661" s="44"/>
    </row>
    <row r="662">
      <c r="B662" s="44"/>
      <c r="D662" s="44"/>
      <c r="F662" s="44"/>
      <c r="G662" s="44"/>
      <c r="I662" s="44"/>
      <c r="J662" s="44"/>
      <c r="K662" s="44"/>
      <c r="L662" s="44"/>
      <c r="M662" s="44"/>
      <c r="O662" s="44"/>
      <c r="Q662" s="44"/>
    </row>
    <row r="663">
      <c r="B663" s="44"/>
      <c r="D663" s="44"/>
      <c r="F663" s="44"/>
      <c r="G663" s="44"/>
      <c r="I663" s="44"/>
      <c r="J663" s="44"/>
      <c r="K663" s="44"/>
      <c r="L663" s="44"/>
      <c r="M663" s="44"/>
      <c r="O663" s="44"/>
      <c r="Q663" s="44"/>
    </row>
    <row r="664">
      <c r="B664" s="44"/>
      <c r="D664" s="44"/>
      <c r="F664" s="44"/>
      <c r="G664" s="44"/>
      <c r="I664" s="44"/>
      <c r="J664" s="44"/>
      <c r="K664" s="44"/>
      <c r="L664" s="44"/>
      <c r="M664" s="44"/>
      <c r="O664" s="44"/>
      <c r="Q664" s="44"/>
    </row>
    <row r="665">
      <c r="B665" s="44"/>
      <c r="D665" s="44"/>
      <c r="F665" s="44"/>
      <c r="G665" s="44"/>
      <c r="I665" s="44"/>
      <c r="J665" s="44"/>
      <c r="K665" s="44"/>
      <c r="L665" s="44"/>
      <c r="M665" s="44"/>
      <c r="O665" s="44"/>
      <c r="Q665" s="44"/>
    </row>
    <row r="666">
      <c r="B666" s="44"/>
      <c r="D666" s="44"/>
      <c r="F666" s="44"/>
      <c r="G666" s="44"/>
      <c r="I666" s="44"/>
      <c r="J666" s="44"/>
      <c r="K666" s="44"/>
      <c r="L666" s="44"/>
      <c r="M666" s="44"/>
      <c r="O666" s="44"/>
      <c r="Q666" s="44"/>
    </row>
    <row r="667">
      <c r="B667" s="44"/>
      <c r="D667" s="44"/>
      <c r="F667" s="44"/>
      <c r="G667" s="44"/>
      <c r="I667" s="44"/>
      <c r="J667" s="44"/>
      <c r="K667" s="44"/>
      <c r="L667" s="44"/>
      <c r="M667" s="44"/>
      <c r="O667" s="44"/>
      <c r="Q667" s="44"/>
    </row>
    <row r="668">
      <c r="B668" s="44"/>
      <c r="D668" s="44"/>
      <c r="F668" s="44"/>
      <c r="G668" s="44"/>
      <c r="I668" s="44"/>
      <c r="J668" s="44"/>
      <c r="K668" s="44"/>
      <c r="L668" s="44"/>
      <c r="M668" s="44"/>
      <c r="O668" s="44"/>
      <c r="Q668" s="44"/>
    </row>
    <row r="669">
      <c r="B669" s="44"/>
      <c r="D669" s="44"/>
      <c r="F669" s="44"/>
      <c r="G669" s="44"/>
      <c r="I669" s="44"/>
      <c r="J669" s="44"/>
      <c r="K669" s="44"/>
      <c r="L669" s="44"/>
      <c r="M669" s="44"/>
      <c r="O669" s="44"/>
      <c r="Q669" s="44"/>
    </row>
    <row r="670">
      <c r="B670" s="44"/>
      <c r="D670" s="44"/>
      <c r="F670" s="44"/>
      <c r="G670" s="44"/>
      <c r="I670" s="44"/>
      <c r="J670" s="44"/>
      <c r="K670" s="44"/>
      <c r="L670" s="44"/>
      <c r="M670" s="44"/>
      <c r="O670" s="44"/>
      <c r="Q670" s="44"/>
    </row>
    <row r="671">
      <c r="B671" s="44"/>
      <c r="D671" s="44"/>
      <c r="F671" s="44"/>
      <c r="G671" s="44"/>
      <c r="I671" s="44"/>
      <c r="J671" s="44"/>
      <c r="K671" s="44"/>
      <c r="L671" s="44"/>
      <c r="M671" s="44"/>
      <c r="O671" s="44"/>
      <c r="Q671" s="44"/>
    </row>
    <row r="672">
      <c r="B672" s="44"/>
      <c r="D672" s="44"/>
      <c r="F672" s="44"/>
      <c r="G672" s="44"/>
      <c r="I672" s="44"/>
      <c r="J672" s="44"/>
      <c r="K672" s="44"/>
      <c r="L672" s="44"/>
      <c r="M672" s="44"/>
      <c r="O672" s="44"/>
      <c r="Q672" s="44"/>
    </row>
    <row r="673">
      <c r="B673" s="44"/>
      <c r="D673" s="44"/>
      <c r="F673" s="44"/>
      <c r="G673" s="44"/>
      <c r="I673" s="44"/>
      <c r="J673" s="44"/>
      <c r="K673" s="44"/>
      <c r="L673" s="44"/>
      <c r="M673" s="44"/>
      <c r="O673" s="44"/>
      <c r="Q673" s="44"/>
    </row>
    <row r="674">
      <c r="B674" s="44"/>
      <c r="D674" s="44"/>
      <c r="F674" s="44"/>
      <c r="G674" s="44"/>
      <c r="I674" s="44"/>
      <c r="J674" s="44"/>
      <c r="K674" s="44"/>
      <c r="L674" s="44"/>
      <c r="M674" s="44"/>
      <c r="O674" s="44"/>
      <c r="Q674" s="44"/>
    </row>
    <row r="675">
      <c r="B675" s="44"/>
      <c r="D675" s="44"/>
      <c r="F675" s="44"/>
      <c r="G675" s="44"/>
      <c r="I675" s="44"/>
      <c r="J675" s="44"/>
      <c r="K675" s="44"/>
      <c r="L675" s="44"/>
      <c r="M675" s="44"/>
      <c r="O675" s="44"/>
      <c r="Q675" s="44"/>
    </row>
    <row r="676">
      <c r="B676" s="44"/>
      <c r="D676" s="44"/>
      <c r="F676" s="44"/>
      <c r="G676" s="44"/>
      <c r="I676" s="44"/>
      <c r="J676" s="44"/>
      <c r="K676" s="44"/>
      <c r="L676" s="44"/>
      <c r="M676" s="44"/>
      <c r="O676" s="44"/>
      <c r="Q676" s="44"/>
    </row>
    <row r="677">
      <c r="B677" s="44"/>
      <c r="D677" s="44"/>
      <c r="F677" s="44"/>
      <c r="G677" s="44"/>
      <c r="I677" s="44"/>
      <c r="J677" s="44"/>
      <c r="K677" s="44"/>
      <c r="L677" s="44"/>
      <c r="M677" s="44"/>
      <c r="O677" s="44"/>
      <c r="Q677" s="44"/>
    </row>
    <row r="678">
      <c r="B678" s="44"/>
      <c r="D678" s="44"/>
      <c r="F678" s="44"/>
      <c r="G678" s="44"/>
      <c r="I678" s="44"/>
      <c r="J678" s="44"/>
      <c r="K678" s="44"/>
      <c r="L678" s="44"/>
      <c r="M678" s="44"/>
      <c r="O678" s="44"/>
      <c r="Q678" s="44"/>
    </row>
    <row r="679">
      <c r="B679" s="44"/>
      <c r="D679" s="44"/>
      <c r="F679" s="44"/>
      <c r="G679" s="44"/>
      <c r="I679" s="44"/>
      <c r="J679" s="44"/>
      <c r="K679" s="44"/>
      <c r="L679" s="44"/>
      <c r="M679" s="44"/>
      <c r="O679" s="44"/>
      <c r="Q679" s="44"/>
    </row>
    <row r="680">
      <c r="B680" s="44"/>
      <c r="D680" s="44"/>
      <c r="F680" s="44"/>
      <c r="G680" s="44"/>
      <c r="I680" s="44"/>
      <c r="J680" s="44"/>
      <c r="K680" s="44"/>
      <c r="L680" s="44"/>
      <c r="M680" s="44"/>
      <c r="O680" s="44"/>
      <c r="Q680" s="44"/>
    </row>
    <row r="681">
      <c r="B681" s="44"/>
      <c r="D681" s="44"/>
      <c r="F681" s="44"/>
      <c r="G681" s="44"/>
      <c r="I681" s="44"/>
      <c r="J681" s="44"/>
      <c r="K681" s="44"/>
      <c r="L681" s="44"/>
      <c r="M681" s="44"/>
      <c r="O681" s="44"/>
      <c r="Q681" s="44"/>
    </row>
    <row r="682">
      <c r="B682" s="44"/>
      <c r="D682" s="44"/>
      <c r="F682" s="44"/>
      <c r="G682" s="44"/>
      <c r="I682" s="44"/>
      <c r="J682" s="44"/>
      <c r="K682" s="44"/>
      <c r="L682" s="44"/>
      <c r="M682" s="44"/>
      <c r="O682" s="44"/>
      <c r="Q682" s="44"/>
    </row>
    <row r="683">
      <c r="B683" s="44"/>
      <c r="D683" s="44"/>
      <c r="F683" s="44"/>
      <c r="G683" s="44"/>
      <c r="I683" s="44"/>
      <c r="J683" s="44"/>
      <c r="K683" s="44"/>
      <c r="L683" s="44"/>
      <c r="M683" s="44"/>
      <c r="O683" s="44"/>
      <c r="Q683" s="44"/>
    </row>
    <row r="684">
      <c r="B684" s="44"/>
      <c r="D684" s="44"/>
      <c r="F684" s="44"/>
      <c r="G684" s="44"/>
      <c r="I684" s="44"/>
      <c r="J684" s="44"/>
      <c r="K684" s="44"/>
      <c r="L684" s="44"/>
      <c r="M684" s="44"/>
      <c r="O684" s="44"/>
      <c r="Q684" s="44"/>
    </row>
    <row r="685">
      <c r="B685" s="44"/>
      <c r="D685" s="44"/>
      <c r="F685" s="44"/>
      <c r="G685" s="44"/>
      <c r="I685" s="44"/>
      <c r="J685" s="44"/>
      <c r="K685" s="44"/>
      <c r="L685" s="44"/>
      <c r="M685" s="44"/>
      <c r="O685" s="44"/>
      <c r="Q685" s="44"/>
    </row>
    <row r="686">
      <c r="B686" s="44"/>
      <c r="D686" s="44"/>
      <c r="F686" s="44"/>
      <c r="G686" s="44"/>
      <c r="I686" s="44"/>
      <c r="J686" s="44"/>
      <c r="K686" s="44"/>
      <c r="L686" s="44"/>
      <c r="M686" s="44"/>
      <c r="O686" s="44"/>
      <c r="Q686" s="44"/>
    </row>
    <row r="687">
      <c r="B687" s="44"/>
      <c r="D687" s="44"/>
      <c r="F687" s="44"/>
      <c r="G687" s="44"/>
      <c r="I687" s="44"/>
      <c r="J687" s="44"/>
      <c r="K687" s="44"/>
      <c r="L687" s="44"/>
      <c r="M687" s="44"/>
      <c r="O687" s="44"/>
      <c r="Q687" s="44"/>
    </row>
    <row r="688">
      <c r="B688" s="44"/>
      <c r="D688" s="44"/>
      <c r="F688" s="44"/>
      <c r="G688" s="44"/>
      <c r="I688" s="44"/>
      <c r="J688" s="44"/>
      <c r="K688" s="44"/>
      <c r="L688" s="44"/>
      <c r="M688" s="44"/>
      <c r="O688" s="44"/>
      <c r="Q688" s="44"/>
    </row>
    <row r="689">
      <c r="B689" s="44"/>
      <c r="D689" s="44"/>
      <c r="F689" s="44"/>
      <c r="G689" s="44"/>
      <c r="I689" s="44"/>
      <c r="J689" s="44"/>
      <c r="K689" s="44"/>
      <c r="L689" s="44"/>
      <c r="M689" s="44"/>
      <c r="O689" s="44"/>
      <c r="Q689" s="44"/>
    </row>
    <row r="690">
      <c r="B690" s="44"/>
      <c r="D690" s="44"/>
      <c r="F690" s="44"/>
      <c r="G690" s="44"/>
      <c r="I690" s="44"/>
      <c r="J690" s="44"/>
      <c r="K690" s="44"/>
      <c r="L690" s="44"/>
      <c r="M690" s="44"/>
      <c r="O690" s="44"/>
      <c r="Q690" s="44"/>
    </row>
    <row r="691">
      <c r="B691" s="44"/>
      <c r="D691" s="44"/>
      <c r="F691" s="44"/>
      <c r="G691" s="44"/>
      <c r="I691" s="44"/>
      <c r="J691" s="44"/>
      <c r="K691" s="44"/>
      <c r="L691" s="44"/>
      <c r="M691" s="44"/>
      <c r="O691" s="44"/>
      <c r="Q691" s="44"/>
    </row>
    <row r="692">
      <c r="B692" s="44"/>
      <c r="D692" s="44"/>
      <c r="F692" s="44"/>
      <c r="G692" s="44"/>
      <c r="I692" s="44"/>
      <c r="J692" s="44"/>
      <c r="K692" s="44"/>
      <c r="L692" s="44"/>
      <c r="M692" s="44"/>
      <c r="O692" s="44"/>
      <c r="Q692" s="44"/>
    </row>
    <row r="693">
      <c r="B693" s="44"/>
      <c r="D693" s="44"/>
      <c r="F693" s="44"/>
      <c r="G693" s="44"/>
      <c r="I693" s="44"/>
      <c r="J693" s="44"/>
      <c r="K693" s="44"/>
      <c r="L693" s="44"/>
      <c r="M693" s="44"/>
      <c r="O693" s="44"/>
      <c r="Q693" s="44"/>
    </row>
    <row r="694">
      <c r="B694" s="44"/>
      <c r="D694" s="44"/>
      <c r="F694" s="44"/>
      <c r="G694" s="44"/>
      <c r="I694" s="44"/>
      <c r="J694" s="44"/>
      <c r="K694" s="44"/>
      <c r="L694" s="44"/>
      <c r="M694" s="44"/>
      <c r="O694" s="44"/>
      <c r="Q694" s="44"/>
    </row>
    <row r="695">
      <c r="B695" s="44"/>
      <c r="D695" s="44"/>
      <c r="F695" s="44"/>
      <c r="G695" s="44"/>
      <c r="I695" s="44"/>
      <c r="J695" s="44"/>
      <c r="K695" s="44"/>
      <c r="L695" s="44"/>
      <c r="M695" s="44"/>
      <c r="O695" s="44"/>
      <c r="Q695" s="44"/>
    </row>
    <row r="696">
      <c r="B696" s="44"/>
      <c r="D696" s="44"/>
      <c r="F696" s="44"/>
      <c r="G696" s="44"/>
      <c r="I696" s="44"/>
      <c r="J696" s="44"/>
      <c r="K696" s="44"/>
      <c r="L696" s="44"/>
      <c r="M696" s="44"/>
      <c r="O696" s="44"/>
      <c r="Q696" s="44"/>
    </row>
    <row r="697">
      <c r="B697" s="44"/>
      <c r="D697" s="44"/>
      <c r="F697" s="44"/>
      <c r="G697" s="44"/>
      <c r="I697" s="44"/>
      <c r="J697" s="44"/>
      <c r="K697" s="44"/>
      <c r="L697" s="44"/>
      <c r="M697" s="44"/>
      <c r="O697" s="44"/>
      <c r="Q697" s="44"/>
    </row>
    <row r="698">
      <c r="B698" s="44"/>
      <c r="D698" s="44"/>
      <c r="F698" s="44"/>
      <c r="G698" s="44"/>
      <c r="I698" s="44"/>
      <c r="J698" s="44"/>
      <c r="K698" s="44"/>
      <c r="L698" s="44"/>
      <c r="M698" s="44"/>
      <c r="O698" s="44"/>
      <c r="Q698" s="44"/>
    </row>
    <row r="699">
      <c r="B699" s="44"/>
      <c r="D699" s="44"/>
      <c r="F699" s="44"/>
      <c r="G699" s="44"/>
      <c r="I699" s="44"/>
      <c r="J699" s="44"/>
      <c r="K699" s="44"/>
      <c r="L699" s="44"/>
      <c r="M699" s="44"/>
      <c r="O699" s="44"/>
      <c r="Q699" s="44"/>
    </row>
    <row r="700">
      <c r="B700" s="44"/>
      <c r="D700" s="44"/>
      <c r="F700" s="44"/>
      <c r="G700" s="44"/>
      <c r="I700" s="44"/>
      <c r="J700" s="44"/>
      <c r="K700" s="44"/>
      <c r="L700" s="44"/>
      <c r="M700" s="44"/>
      <c r="O700" s="44"/>
      <c r="Q700" s="44"/>
    </row>
    <row r="701">
      <c r="B701" s="44"/>
      <c r="D701" s="44"/>
      <c r="F701" s="44"/>
      <c r="G701" s="44"/>
      <c r="I701" s="44"/>
      <c r="J701" s="44"/>
      <c r="K701" s="44"/>
      <c r="L701" s="44"/>
      <c r="M701" s="44"/>
      <c r="O701" s="44"/>
      <c r="Q701" s="44"/>
    </row>
    <row r="702">
      <c r="B702" s="44"/>
      <c r="D702" s="44"/>
      <c r="F702" s="44"/>
      <c r="G702" s="44"/>
      <c r="I702" s="44"/>
      <c r="J702" s="44"/>
      <c r="K702" s="44"/>
      <c r="L702" s="44"/>
      <c r="M702" s="44"/>
      <c r="O702" s="44"/>
      <c r="Q702" s="44"/>
    </row>
    <row r="703">
      <c r="B703" s="44"/>
      <c r="D703" s="44"/>
      <c r="F703" s="44"/>
      <c r="G703" s="44"/>
      <c r="I703" s="44"/>
      <c r="J703" s="44"/>
      <c r="K703" s="44"/>
      <c r="L703" s="44"/>
      <c r="M703" s="44"/>
      <c r="O703" s="44"/>
      <c r="Q703" s="44"/>
    </row>
    <row r="704">
      <c r="B704" s="44"/>
      <c r="D704" s="44"/>
      <c r="F704" s="44"/>
      <c r="G704" s="44"/>
      <c r="I704" s="44"/>
      <c r="J704" s="44"/>
      <c r="K704" s="44"/>
      <c r="L704" s="44"/>
      <c r="M704" s="44"/>
      <c r="O704" s="44"/>
      <c r="Q704" s="44"/>
    </row>
    <row r="705">
      <c r="B705" s="44"/>
      <c r="D705" s="44"/>
      <c r="F705" s="44"/>
      <c r="G705" s="44"/>
      <c r="I705" s="44"/>
      <c r="J705" s="44"/>
      <c r="K705" s="44"/>
      <c r="L705" s="44"/>
      <c r="M705" s="44"/>
      <c r="O705" s="44"/>
      <c r="Q705" s="44"/>
    </row>
    <row r="706">
      <c r="B706" s="44"/>
      <c r="D706" s="44"/>
      <c r="F706" s="44"/>
      <c r="G706" s="44"/>
      <c r="I706" s="44"/>
      <c r="J706" s="44"/>
      <c r="K706" s="44"/>
      <c r="L706" s="44"/>
      <c r="M706" s="44"/>
      <c r="O706" s="44"/>
      <c r="Q706" s="44"/>
    </row>
    <row r="707">
      <c r="B707" s="44"/>
      <c r="D707" s="44"/>
      <c r="F707" s="44"/>
      <c r="G707" s="44"/>
      <c r="I707" s="44"/>
      <c r="J707" s="44"/>
      <c r="K707" s="44"/>
      <c r="L707" s="44"/>
      <c r="M707" s="44"/>
      <c r="O707" s="44"/>
      <c r="Q707" s="44"/>
    </row>
    <row r="708">
      <c r="B708" s="44"/>
      <c r="D708" s="44"/>
      <c r="F708" s="44"/>
      <c r="G708" s="44"/>
      <c r="I708" s="44"/>
      <c r="J708" s="44"/>
      <c r="K708" s="44"/>
      <c r="L708" s="44"/>
      <c r="M708" s="44"/>
      <c r="O708" s="44"/>
      <c r="Q708" s="44"/>
    </row>
    <row r="709">
      <c r="B709" s="44"/>
      <c r="D709" s="44"/>
      <c r="F709" s="44"/>
      <c r="G709" s="44"/>
      <c r="I709" s="44"/>
      <c r="J709" s="44"/>
      <c r="K709" s="44"/>
      <c r="L709" s="44"/>
      <c r="M709" s="44"/>
      <c r="O709" s="44"/>
      <c r="Q709" s="44"/>
    </row>
    <row r="710">
      <c r="B710" s="44"/>
      <c r="D710" s="44"/>
      <c r="F710" s="44"/>
      <c r="G710" s="44"/>
      <c r="I710" s="44"/>
      <c r="J710" s="44"/>
      <c r="K710" s="44"/>
      <c r="L710" s="44"/>
      <c r="M710" s="44"/>
      <c r="O710" s="44"/>
      <c r="Q710" s="44"/>
    </row>
    <row r="711">
      <c r="B711" s="44"/>
      <c r="D711" s="44"/>
      <c r="F711" s="44"/>
      <c r="G711" s="44"/>
      <c r="I711" s="44"/>
      <c r="J711" s="44"/>
      <c r="K711" s="44"/>
      <c r="L711" s="44"/>
      <c r="M711" s="44"/>
      <c r="O711" s="44"/>
      <c r="Q711" s="44"/>
    </row>
    <row r="712">
      <c r="B712" s="44"/>
      <c r="D712" s="44"/>
      <c r="F712" s="44"/>
      <c r="G712" s="44"/>
      <c r="I712" s="44"/>
      <c r="J712" s="44"/>
      <c r="K712" s="44"/>
      <c r="L712" s="44"/>
      <c r="M712" s="44"/>
      <c r="O712" s="44"/>
      <c r="Q712" s="44"/>
    </row>
    <row r="713">
      <c r="B713" s="44"/>
      <c r="D713" s="44"/>
      <c r="F713" s="44"/>
      <c r="G713" s="44"/>
      <c r="I713" s="44"/>
      <c r="J713" s="44"/>
      <c r="K713" s="44"/>
      <c r="L713" s="44"/>
      <c r="M713" s="44"/>
      <c r="O713" s="44"/>
      <c r="Q713" s="44"/>
    </row>
    <row r="714">
      <c r="B714" s="44"/>
      <c r="D714" s="44"/>
      <c r="F714" s="44"/>
      <c r="G714" s="44"/>
      <c r="I714" s="44"/>
      <c r="J714" s="44"/>
      <c r="K714" s="44"/>
      <c r="L714" s="44"/>
      <c r="M714" s="44"/>
      <c r="O714" s="44"/>
      <c r="Q714" s="44"/>
    </row>
    <row r="715">
      <c r="B715" s="44"/>
      <c r="D715" s="44"/>
      <c r="F715" s="44"/>
      <c r="G715" s="44"/>
      <c r="I715" s="44"/>
      <c r="J715" s="44"/>
      <c r="K715" s="44"/>
      <c r="L715" s="44"/>
      <c r="M715" s="44"/>
      <c r="O715" s="44"/>
      <c r="Q715" s="44"/>
    </row>
    <row r="716">
      <c r="B716" s="44"/>
      <c r="D716" s="44"/>
      <c r="F716" s="44"/>
      <c r="G716" s="44"/>
      <c r="I716" s="44"/>
      <c r="J716" s="44"/>
      <c r="K716" s="44"/>
      <c r="L716" s="44"/>
      <c r="M716" s="44"/>
      <c r="O716" s="44"/>
      <c r="Q716" s="44"/>
    </row>
    <row r="717">
      <c r="B717" s="44"/>
      <c r="D717" s="44"/>
      <c r="F717" s="44"/>
      <c r="G717" s="44"/>
      <c r="I717" s="44"/>
      <c r="J717" s="44"/>
      <c r="K717" s="44"/>
      <c r="L717" s="44"/>
      <c r="M717" s="44"/>
      <c r="O717" s="44"/>
      <c r="Q717" s="44"/>
    </row>
    <row r="718">
      <c r="B718" s="44"/>
      <c r="D718" s="44"/>
      <c r="F718" s="44"/>
      <c r="G718" s="44"/>
      <c r="I718" s="44"/>
      <c r="J718" s="44"/>
      <c r="K718" s="44"/>
      <c r="L718" s="44"/>
      <c r="M718" s="44"/>
      <c r="O718" s="44"/>
      <c r="Q718" s="44"/>
    </row>
    <row r="719">
      <c r="B719" s="44"/>
      <c r="D719" s="44"/>
      <c r="F719" s="44"/>
      <c r="G719" s="44"/>
      <c r="I719" s="44"/>
      <c r="J719" s="44"/>
      <c r="K719" s="44"/>
      <c r="L719" s="44"/>
      <c r="M719" s="44"/>
      <c r="O719" s="44"/>
      <c r="Q719" s="44"/>
    </row>
    <row r="720">
      <c r="B720" s="44"/>
      <c r="D720" s="44"/>
      <c r="F720" s="44"/>
      <c r="G720" s="44"/>
      <c r="I720" s="44"/>
      <c r="J720" s="44"/>
      <c r="K720" s="44"/>
      <c r="L720" s="44"/>
      <c r="M720" s="44"/>
      <c r="O720" s="44"/>
      <c r="Q720" s="44"/>
    </row>
    <row r="721">
      <c r="B721" s="44"/>
      <c r="D721" s="44"/>
      <c r="F721" s="44"/>
      <c r="G721" s="44"/>
      <c r="I721" s="44"/>
      <c r="J721" s="44"/>
      <c r="K721" s="44"/>
      <c r="L721" s="44"/>
      <c r="M721" s="44"/>
      <c r="O721" s="44"/>
      <c r="Q721" s="44"/>
    </row>
    <row r="722">
      <c r="B722" s="44"/>
      <c r="D722" s="44"/>
      <c r="F722" s="44"/>
      <c r="G722" s="44"/>
      <c r="I722" s="44"/>
      <c r="J722" s="44"/>
      <c r="K722" s="44"/>
      <c r="L722" s="44"/>
      <c r="M722" s="44"/>
      <c r="O722" s="44"/>
      <c r="Q722" s="44"/>
    </row>
    <row r="723">
      <c r="B723" s="44"/>
      <c r="D723" s="44"/>
      <c r="F723" s="44"/>
      <c r="G723" s="44"/>
      <c r="I723" s="44"/>
      <c r="J723" s="44"/>
      <c r="K723" s="44"/>
      <c r="L723" s="44"/>
      <c r="M723" s="44"/>
      <c r="O723" s="44"/>
      <c r="Q723" s="44"/>
    </row>
    <row r="724">
      <c r="B724" s="44"/>
      <c r="D724" s="44"/>
      <c r="F724" s="44"/>
      <c r="G724" s="44"/>
      <c r="I724" s="44"/>
      <c r="J724" s="44"/>
      <c r="K724" s="44"/>
      <c r="L724" s="44"/>
      <c r="M724" s="44"/>
      <c r="O724" s="44"/>
      <c r="Q724" s="44"/>
    </row>
    <row r="725">
      <c r="B725" s="44"/>
      <c r="D725" s="44"/>
      <c r="F725" s="44"/>
      <c r="G725" s="44"/>
      <c r="I725" s="44"/>
      <c r="J725" s="44"/>
      <c r="K725" s="44"/>
      <c r="L725" s="44"/>
      <c r="M725" s="44"/>
      <c r="O725" s="44"/>
      <c r="Q725" s="44"/>
    </row>
    <row r="726">
      <c r="B726" s="44"/>
      <c r="D726" s="44"/>
      <c r="F726" s="44"/>
      <c r="G726" s="44"/>
      <c r="I726" s="44"/>
      <c r="J726" s="44"/>
      <c r="K726" s="44"/>
      <c r="L726" s="44"/>
      <c r="M726" s="44"/>
      <c r="O726" s="44"/>
      <c r="Q726" s="44"/>
    </row>
    <row r="727">
      <c r="B727" s="44"/>
      <c r="D727" s="44"/>
      <c r="F727" s="44"/>
      <c r="G727" s="44"/>
      <c r="I727" s="44"/>
      <c r="J727" s="44"/>
      <c r="K727" s="44"/>
      <c r="L727" s="44"/>
      <c r="M727" s="44"/>
      <c r="O727" s="44"/>
      <c r="Q727" s="44"/>
    </row>
    <row r="728">
      <c r="B728" s="44"/>
      <c r="D728" s="44"/>
      <c r="F728" s="44"/>
      <c r="G728" s="44"/>
      <c r="I728" s="44"/>
      <c r="J728" s="44"/>
      <c r="K728" s="44"/>
      <c r="L728" s="44"/>
      <c r="M728" s="44"/>
      <c r="O728" s="44"/>
      <c r="Q728" s="44"/>
    </row>
    <row r="729">
      <c r="B729" s="44"/>
      <c r="D729" s="44"/>
      <c r="F729" s="44"/>
      <c r="G729" s="44"/>
      <c r="I729" s="44"/>
      <c r="J729" s="44"/>
      <c r="K729" s="44"/>
      <c r="L729" s="44"/>
      <c r="M729" s="44"/>
      <c r="O729" s="44"/>
      <c r="Q729" s="44"/>
    </row>
    <row r="730">
      <c r="B730" s="44"/>
      <c r="D730" s="44"/>
      <c r="F730" s="44"/>
      <c r="G730" s="44"/>
      <c r="I730" s="44"/>
      <c r="J730" s="44"/>
      <c r="K730" s="44"/>
      <c r="L730" s="44"/>
      <c r="M730" s="44"/>
      <c r="O730" s="44"/>
      <c r="Q730" s="44"/>
    </row>
    <row r="731">
      <c r="B731" s="44"/>
      <c r="D731" s="44"/>
      <c r="F731" s="44"/>
      <c r="G731" s="44"/>
      <c r="I731" s="44"/>
      <c r="J731" s="44"/>
      <c r="K731" s="44"/>
      <c r="L731" s="44"/>
      <c r="M731" s="44"/>
      <c r="O731" s="44"/>
      <c r="Q731" s="44"/>
    </row>
    <row r="732">
      <c r="B732" s="44"/>
      <c r="D732" s="44"/>
      <c r="F732" s="44"/>
      <c r="G732" s="44"/>
      <c r="I732" s="44"/>
      <c r="J732" s="44"/>
      <c r="K732" s="44"/>
      <c r="L732" s="44"/>
      <c r="M732" s="44"/>
      <c r="O732" s="44"/>
      <c r="Q732" s="44"/>
    </row>
    <row r="733">
      <c r="B733" s="44"/>
      <c r="D733" s="44"/>
      <c r="F733" s="44"/>
      <c r="G733" s="44"/>
      <c r="I733" s="44"/>
      <c r="J733" s="44"/>
      <c r="K733" s="44"/>
      <c r="L733" s="44"/>
      <c r="M733" s="44"/>
      <c r="O733" s="44"/>
      <c r="Q733" s="44"/>
    </row>
    <row r="734">
      <c r="B734" s="44"/>
      <c r="D734" s="44"/>
      <c r="F734" s="44"/>
      <c r="G734" s="44"/>
      <c r="I734" s="44"/>
      <c r="J734" s="44"/>
      <c r="K734" s="44"/>
      <c r="L734" s="44"/>
      <c r="M734" s="44"/>
      <c r="O734" s="44"/>
      <c r="Q734" s="44"/>
    </row>
    <row r="735">
      <c r="B735" s="44"/>
      <c r="D735" s="44"/>
      <c r="F735" s="44"/>
      <c r="G735" s="44"/>
      <c r="I735" s="44"/>
      <c r="J735" s="44"/>
      <c r="K735" s="44"/>
      <c r="L735" s="44"/>
      <c r="M735" s="44"/>
      <c r="O735" s="44"/>
      <c r="Q735" s="44"/>
    </row>
    <row r="736">
      <c r="B736" s="44"/>
      <c r="D736" s="44"/>
      <c r="F736" s="44"/>
      <c r="G736" s="44"/>
      <c r="I736" s="44"/>
      <c r="J736" s="44"/>
      <c r="K736" s="44"/>
      <c r="L736" s="44"/>
      <c r="M736" s="44"/>
      <c r="O736" s="44"/>
      <c r="Q736" s="44"/>
    </row>
    <row r="737">
      <c r="B737" s="44"/>
      <c r="D737" s="44"/>
      <c r="F737" s="44"/>
      <c r="G737" s="44"/>
      <c r="I737" s="44"/>
      <c r="J737" s="44"/>
      <c r="K737" s="44"/>
      <c r="L737" s="44"/>
      <c r="M737" s="44"/>
      <c r="O737" s="44"/>
      <c r="Q737" s="44"/>
    </row>
    <row r="738">
      <c r="B738" s="44"/>
      <c r="D738" s="44"/>
      <c r="F738" s="44"/>
      <c r="G738" s="44"/>
      <c r="I738" s="44"/>
      <c r="J738" s="44"/>
      <c r="K738" s="44"/>
      <c r="L738" s="44"/>
      <c r="M738" s="44"/>
      <c r="O738" s="44"/>
      <c r="Q738" s="44"/>
    </row>
    <row r="739">
      <c r="B739" s="44"/>
      <c r="D739" s="44"/>
      <c r="F739" s="44"/>
      <c r="G739" s="44"/>
      <c r="I739" s="44"/>
      <c r="J739" s="44"/>
      <c r="K739" s="44"/>
      <c r="L739" s="44"/>
      <c r="M739" s="44"/>
      <c r="O739" s="44"/>
      <c r="Q739" s="44"/>
    </row>
    <row r="740">
      <c r="B740" s="44"/>
      <c r="D740" s="44"/>
      <c r="F740" s="44"/>
      <c r="G740" s="44"/>
      <c r="I740" s="44"/>
      <c r="J740" s="44"/>
      <c r="K740" s="44"/>
      <c r="L740" s="44"/>
      <c r="M740" s="44"/>
      <c r="O740" s="44"/>
      <c r="Q740" s="44"/>
    </row>
    <row r="741">
      <c r="B741" s="44"/>
      <c r="D741" s="44"/>
      <c r="F741" s="44"/>
      <c r="G741" s="44"/>
      <c r="I741" s="44"/>
      <c r="J741" s="44"/>
      <c r="K741" s="44"/>
      <c r="L741" s="44"/>
      <c r="M741" s="44"/>
      <c r="O741" s="44"/>
      <c r="Q741" s="44"/>
    </row>
    <row r="742">
      <c r="B742" s="44"/>
      <c r="D742" s="44"/>
      <c r="F742" s="44"/>
      <c r="G742" s="44"/>
      <c r="I742" s="44"/>
      <c r="J742" s="44"/>
      <c r="K742" s="44"/>
      <c r="L742" s="44"/>
      <c r="M742" s="44"/>
      <c r="O742" s="44"/>
      <c r="Q742" s="44"/>
    </row>
    <row r="743">
      <c r="B743" s="44"/>
      <c r="D743" s="44"/>
      <c r="F743" s="44"/>
      <c r="G743" s="44"/>
      <c r="I743" s="44"/>
      <c r="J743" s="44"/>
      <c r="K743" s="44"/>
      <c r="L743" s="44"/>
      <c r="M743" s="44"/>
      <c r="O743" s="44"/>
      <c r="Q743" s="44"/>
    </row>
    <row r="744">
      <c r="B744" s="44"/>
      <c r="D744" s="44"/>
      <c r="F744" s="44"/>
      <c r="G744" s="44"/>
      <c r="I744" s="44"/>
      <c r="J744" s="44"/>
      <c r="K744" s="44"/>
      <c r="L744" s="44"/>
      <c r="M744" s="44"/>
      <c r="O744" s="44"/>
      <c r="Q744" s="44"/>
    </row>
    <row r="745">
      <c r="B745" s="44"/>
      <c r="D745" s="44"/>
      <c r="F745" s="44"/>
      <c r="G745" s="44"/>
      <c r="I745" s="44"/>
      <c r="J745" s="44"/>
      <c r="K745" s="44"/>
      <c r="L745" s="44"/>
      <c r="M745" s="44"/>
      <c r="O745" s="44"/>
      <c r="Q745" s="44"/>
    </row>
    <row r="746">
      <c r="B746" s="44"/>
      <c r="D746" s="44"/>
      <c r="F746" s="44"/>
      <c r="G746" s="44"/>
      <c r="I746" s="44"/>
      <c r="J746" s="44"/>
      <c r="K746" s="44"/>
      <c r="L746" s="44"/>
      <c r="M746" s="44"/>
      <c r="O746" s="44"/>
      <c r="Q746" s="44"/>
    </row>
    <row r="747">
      <c r="B747" s="44"/>
      <c r="D747" s="44"/>
      <c r="F747" s="44"/>
      <c r="G747" s="44"/>
      <c r="I747" s="44"/>
      <c r="J747" s="44"/>
      <c r="K747" s="44"/>
      <c r="L747" s="44"/>
      <c r="M747" s="44"/>
      <c r="O747" s="44"/>
      <c r="Q747" s="44"/>
    </row>
    <row r="748">
      <c r="B748" s="44"/>
      <c r="D748" s="44"/>
      <c r="F748" s="44"/>
      <c r="G748" s="44"/>
      <c r="I748" s="44"/>
      <c r="J748" s="44"/>
      <c r="K748" s="44"/>
      <c r="L748" s="44"/>
      <c r="M748" s="44"/>
      <c r="O748" s="44"/>
      <c r="Q748" s="44"/>
    </row>
    <row r="749">
      <c r="B749" s="44"/>
      <c r="D749" s="44"/>
      <c r="F749" s="44"/>
      <c r="G749" s="44"/>
      <c r="I749" s="44"/>
      <c r="J749" s="44"/>
      <c r="K749" s="44"/>
      <c r="L749" s="44"/>
      <c r="M749" s="44"/>
      <c r="O749" s="44"/>
      <c r="Q749" s="44"/>
    </row>
    <row r="750">
      <c r="B750" s="44"/>
      <c r="D750" s="44"/>
      <c r="F750" s="44"/>
      <c r="G750" s="44"/>
      <c r="I750" s="44"/>
      <c r="J750" s="44"/>
      <c r="K750" s="44"/>
      <c r="L750" s="44"/>
      <c r="M750" s="44"/>
      <c r="O750" s="44"/>
      <c r="Q750" s="44"/>
    </row>
    <row r="751">
      <c r="B751" s="44"/>
      <c r="D751" s="44"/>
      <c r="F751" s="44"/>
      <c r="G751" s="44"/>
      <c r="I751" s="44"/>
      <c r="J751" s="44"/>
      <c r="K751" s="44"/>
      <c r="L751" s="44"/>
      <c r="M751" s="44"/>
      <c r="O751" s="44"/>
      <c r="Q751" s="44"/>
    </row>
    <row r="752">
      <c r="B752" s="44"/>
      <c r="D752" s="44"/>
      <c r="F752" s="44"/>
      <c r="G752" s="44"/>
      <c r="I752" s="44"/>
      <c r="J752" s="44"/>
      <c r="K752" s="44"/>
      <c r="L752" s="44"/>
      <c r="M752" s="44"/>
      <c r="O752" s="44"/>
      <c r="Q752" s="44"/>
    </row>
    <row r="753">
      <c r="B753" s="44"/>
      <c r="D753" s="44"/>
      <c r="F753" s="44"/>
      <c r="G753" s="44"/>
      <c r="I753" s="44"/>
      <c r="J753" s="44"/>
      <c r="K753" s="44"/>
      <c r="L753" s="44"/>
      <c r="M753" s="44"/>
      <c r="O753" s="44"/>
      <c r="Q753" s="44"/>
    </row>
    <row r="754">
      <c r="B754" s="44"/>
      <c r="D754" s="44"/>
      <c r="F754" s="44"/>
      <c r="G754" s="44"/>
      <c r="I754" s="44"/>
      <c r="J754" s="44"/>
      <c r="K754" s="44"/>
      <c r="L754" s="44"/>
      <c r="M754" s="44"/>
      <c r="O754" s="44"/>
      <c r="Q754" s="44"/>
    </row>
    <row r="755">
      <c r="B755" s="44"/>
      <c r="D755" s="44"/>
      <c r="F755" s="44"/>
      <c r="G755" s="44"/>
      <c r="I755" s="44"/>
      <c r="J755" s="44"/>
      <c r="K755" s="44"/>
      <c r="L755" s="44"/>
      <c r="M755" s="44"/>
      <c r="O755" s="44"/>
      <c r="Q755" s="44"/>
    </row>
    <row r="756">
      <c r="B756" s="44"/>
      <c r="D756" s="44"/>
      <c r="F756" s="44"/>
      <c r="G756" s="44"/>
      <c r="I756" s="44"/>
      <c r="J756" s="44"/>
      <c r="K756" s="44"/>
      <c r="L756" s="44"/>
      <c r="M756" s="44"/>
      <c r="O756" s="44"/>
      <c r="Q756" s="44"/>
    </row>
    <row r="757">
      <c r="B757" s="44"/>
      <c r="D757" s="44"/>
      <c r="F757" s="44"/>
      <c r="G757" s="44"/>
      <c r="I757" s="44"/>
      <c r="J757" s="44"/>
      <c r="K757" s="44"/>
      <c r="L757" s="44"/>
      <c r="M757" s="44"/>
      <c r="O757" s="44"/>
      <c r="Q757" s="44"/>
    </row>
    <row r="758">
      <c r="B758" s="44"/>
      <c r="D758" s="44"/>
      <c r="F758" s="44"/>
      <c r="G758" s="44"/>
      <c r="I758" s="44"/>
      <c r="J758" s="44"/>
      <c r="K758" s="44"/>
      <c r="L758" s="44"/>
      <c r="M758" s="44"/>
      <c r="O758" s="44"/>
      <c r="Q758" s="44"/>
    </row>
    <row r="759">
      <c r="B759" s="44"/>
      <c r="D759" s="44"/>
      <c r="F759" s="44"/>
      <c r="G759" s="44"/>
      <c r="I759" s="44"/>
      <c r="J759" s="44"/>
      <c r="K759" s="44"/>
      <c r="L759" s="44"/>
      <c r="M759" s="44"/>
      <c r="O759" s="44"/>
      <c r="Q759" s="44"/>
    </row>
    <row r="760">
      <c r="B760" s="44"/>
      <c r="D760" s="44"/>
      <c r="F760" s="44"/>
      <c r="G760" s="44"/>
      <c r="I760" s="44"/>
      <c r="J760" s="44"/>
      <c r="K760" s="44"/>
      <c r="L760" s="44"/>
      <c r="M760" s="44"/>
      <c r="O760" s="44"/>
      <c r="Q760" s="44"/>
    </row>
    <row r="761">
      <c r="B761" s="44"/>
      <c r="D761" s="44"/>
      <c r="F761" s="44"/>
      <c r="G761" s="44"/>
      <c r="I761" s="44"/>
      <c r="J761" s="44"/>
      <c r="K761" s="44"/>
      <c r="L761" s="44"/>
      <c r="M761" s="44"/>
      <c r="O761" s="44"/>
      <c r="Q761" s="44"/>
    </row>
    <row r="762">
      <c r="B762" s="44"/>
      <c r="D762" s="44"/>
      <c r="F762" s="44"/>
      <c r="G762" s="44"/>
      <c r="I762" s="44"/>
      <c r="J762" s="44"/>
      <c r="K762" s="44"/>
      <c r="L762" s="44"/>
      <c r="M762" s="44"/>
      <c r="O762" s="44"/>
      <c r="Q762" s="44"/>
    </row>
    <row r="763">
      <c r="B763" s="44"/>
      <c r="D763" s="44"/>
      <c r="F763" s="44"/>
      <c r="G763" s="44"/>
      <c r="I763" s="44"/>
      <c r="J763" s="44"/>
      <c r="K763" s="44"/>
      <c r="L763" s="44"/>
      <c r="M763" s="44"/>
      <c r="O763" s="44"/>
      <c r="Q763" s="44"/>
    </row>
    <row r="764">
      <c r="B764" s="44"/>
      <c r="D764" s="44"/>
      <c r="F764" s="44"/>
      <c r="G764" s="44"/>
      <c r="I764" s="44"/>
      <c r="J764" s="44"/>
      <c r="K764" s="44"/>
      <c r="L764" s="44"/>
      <c r="M764" s="44"/>
      <c r="O764" s="44"/>
      <c r="Q764" s="44"/>
    </row>
    <row r="765">
      <c r="B765" s="44"/>
      <c r="D765" s="44"/>
      <c r="F765" s="44"/>
      <c r="G765" s="44"/>
      <c r="I765" s="44"/>
      <c r="J765" s="44"/>
      <c r="K765" s="44"/>
      <c r="L765" s="44"/>
      <c r="M765" s="44"/>
      <c r="O765" s="44"/>
      <c r="Q765" s="44"/>
    </row>
    <row r="766">
      <c r="B766" s="44"/>
      <c r="D766" s="44"/>
      <c r="F766" s="44"/>
      <c r="G766" s="44"/>
      <c r="I766" s="44"/>
      <c r="J766" s="44"/>
      <c r="K766" s="44"/>
      <c r="L766" s="44"/>
      <c r="M766" s="44"/>
      <c r="O766" s="44"/>
      <c r="Q766" s="44"/>
    </row>
    <row r="767">
      <c r="B767" s="44"/>
      <c r="D767" s="44"/>
      <c r="F767" s="44"/>
      <c r="G767" s="44"/>
      <c r="I767" s="44"/>
      <c r="J767" s="44"/>
      <c r="K767" s="44"/>
      <c r="L767" s="44"/>
      <c r="M767" s="44"/>
      <c r="O767" s="44"/>
      <c r="Q767" s="44"/>
    </row>
    <row r="768">
      <c r="B768" s="44"/>
      <c r="D768" s="44"/>
      <c r="F768" s="44"/>
      <c r="G768" s="44"/>
      <c r="I768" s="44"/>
      <c r="J768" s="44"/>
      <c r="K768" s="44"/>
      <c r="L768" s="44"/>
      <c r="M768" s="44"/>
      <c r="O768" s="44"/>
      <c r="Q768" s="44"/>
    </row>
    <row r="769">
      <c r="B769" s="44"/>
      <c r="D769" s="44"/>
      <c r="F769" s="44"/>
      <c r="G769" s="44"/>
      <c r="I769" s="44"/>
      <c r="J769" s="44"/>
      <c r="K769" s="44"/>
      <c r="L769" s="44"/>
      <c r="M769" s="44"/>
      <c r="O769" s="44"/>
      <c r="Q769" s="44"/>
    </row>
    <row r="770">
      <c r="B770" s="44"/>
      <c r="D770" s="44"/>
      <c r="F770" s="44"/>
      <c r="G770" s="44"/>
      <c r="I770" s="44"/>
      <c r="J770" s="44"/>
      <c r="K770" s="44"/>
      <c r="L770" s="44"/>
      <c r="M770" s="44"/>
      <c r="O770" s="44"/>
      <c r="Q770" s="44"/>
    </row>
    <row r="771">
      <c r="B771" s="44"/>
      <c r="D771" s="44"/>
      <c r="F771" s="44"/>
      <c r="G771" s="44"/>
      <c r="I771" s="44"/>
      <c r="J771" s="44"/>
      <c r="K771" s="44"/>
      <c r="L771" s="44"/>
      <c r="M771" s="44"/>
      <c r="O771" s="44"/>
      <c r="Q771" s="44"/>
    </row>
    <row r="772">
      <c r="B772" s="44"/>
      <c r="D772" s="44"/>
      <c r="F772" s="44"/>
      <c r="G772" s="44"/>
      <c r="I772" s="44"/>
      <c r="J772" s="44"/>
      <c r="K772" s="44"/>
      <c r="L772" s="44"/>
      <c r="M772" s="44"/>
      <c r="O772" s="44"/>
      <c r="Q772" s="44"/>
    </row>
    <row r="773">
      <c r="B773" s="44"/>
      <c r="D773" s="44"/>
      <c r="F773" s="44"/>
      <c r="G773" s="44"/>
      <c r="I773" s="44"/>
      <c r="J773" s="44"/>
      <c r="K773" s="44"/>
      <c r="L773" s="44"/>
      <c r="M773" s="44"/>
      <c r="O773" s="44"/>
      <c r="Q773" s="44"/>
    </row>
    <row r="774">
      <c r="B774" s="44"/>
      <c r="D774" s="44"/>
      <c r="F774" s="44"/>
      <c r="G774" s="44"/>
      <c r="I774" s="44"/>
      <c r="J774" s="44"/>
      <c r="K774" s="44"/>
      <c r="L774" s="44"/>
      <c r="M774" s="44"/>
      <c r="O774" s="44"/>
      <c r="Q774" s="44"/>
    </row>
    <row r="775">
      <c r="B775" s="44"/>
      <c r="D775" s="44"/>
      <c r="F775" s="44"/>
      <c r="G775" s="44"/>
      <c r="I775" s="44"/>
      <c r="J775" s="44"/>
      <c r="K775" s="44"/>
      <c r="L775" s="44"/>
      <c r="M775" s="44"/>
      <c r="O775" s="44"/>
      <c r="Q775" s="44"/>
    </row>
    <row r="776">
      <c r="B776" s="44"/>
      <c r="D776" s="44"/>
      <c r="F776" s="44"/>
      <c r="G776" s="44"/>
      <c r="I776" s="44"/>
      <c r="J776" s="44"/>
      <c r="K776" s="44"/>
      <c r="L776" s="44"/>
      <c r="M776" s="44"/>
      <c r="O776" s="44"/>
      <c r="Q776" s="44"/>
    </row>
    <row r="777">
      <c r="B777" s="44"/>
      <c r="D777" s="44"/>
      <c r="F777" s="44"/>
      <c r="G777" s="44"/>
      <c r="I777" s="44"/>
      <c r="J777" s="44"/>
      <c r="K777" s="44"/>
      <c r="L777" s="44"/>
      <c r="M777" s="44"/>
      <c r="O777" s="44"/>
      <c r="Q777" s="44"/>
    </row>
    <row r="778">
      <c r="B778" s="44"/>
      <c r="D778" s="44"/>
      <c r="F778" s="44"/>
      <c r="G778" s="44"/>
      <c r="I778" s="44"/>
      <c r="J778" s="44"/>
      <c r="K778" s="44"/>
      <c r="L778" s="44"/>
      <c r="M778" s="44"/>
      <c r="O778" s="44"/>
      <c r="Q778" s="44"/>
    </row>
    <row r="779">
      <c r="B779" s="44"/>
      <c r="D779" s="44"/>
      <c r="F779" s="44"/>
      <c r="G779" s="44"/>
      <c r="I779" s="44"/>
      <c r="J779" s="44"/>
      <c r="K779" s="44"/>
      <c r="L779" s="44"/>
      <c r="M779" s="44"/>
      <c r="O779" s="44"/>
      <c r="Q779" s="44"/>
    </row>
    <row r="780">
      <c r="B780" s="44"/>
      <c r="D780" s="44"/>
      <c r="F780" s="44"/>
      <c r="G780" s="44"/>
      <c r="I780" s="44"/>
      <c r="J780" s="44"/>
      <c r="K780" s="44"/>
      <c r="L780" s="44"/>
      <c r="M780" s="44"/>
      <c r="O780" s="44"/>
      <c r="Q780" s="44"/>
    </row>
    <row r="781">
      <c r="B781" s="44"/>
      <c r="D781" s="44"/>
      <c r="F781" s="44"/>
      <c r="G781" s="44"/>
      <c r="I781" s="44"/>
      <c r="J781" s="44"/>
      <c r="K781" s="44"/>
      <c r="L781" s="44"/>
      <c r="M781" s="44"/>
      <c r="O781" s="44"/>
      <c r="Q781" s="44"/>
    </row>
    <row r="782">
      <c r="B782" s="44"/>
      <c r="D782" s="44"/>
      <c r="F782" s="44"/>
      <c r="G782" s="44"/>
      <c r="I782" s="44"/>
      <c r="J782" s="44"/>
      <c r="K782" s="44"/>
      <c r="L782" s="44"/>
      <c r="M782" s="44"/>
      <c r="O782" s="44"/>
      <c r="Q782" s="44"/>
    </row>
    <row r="783">
      <c r="B783" s="44"/>
      <c r="D783" s="44"/>
      <c r="F783" s="44"/>
      <c r="G783" s="44"/>
      <c r="I783" s="44"/>
      <c r="J783" s="44"/>
      <c r="K783" s="44"/>
      <c r="L783" s="44"/>
      <c r="M783" s="44"/>
      <c r="O783" s="44"/>
      <c r="Q783" s="44"/>
    </row>
    <row r="784">
      <c r="B784" s="44"/>
      <c r="D784" s="44"/>
      <c r="F784" s="44"/>
      <c r="G784" s="44"/>
      <c r="I784" s="44"/>
      <c r="J784" s="44"/>
      <c r="K784" s="44"/>
      <c r="L784" s="44"/>
      <c r="M784" s="44"/>
      <c r="O784" s="44"/>
      <c r="Q784" s="44"/>
    </row>
    <row r="785">
      <c r="B785" s="44"/>
      <c r="D785" s="44"/>
      <c r="F785" s="44"/>
      <c r="G785" s="44"/>
      <c r="I785" s="44"/>
      <c r="J785" s="44"/>
      <c r="K785" s="44"/>
      <c r="L785" s="44"/>
      <c r="M785" s="44"/>
      <c r="O785" s="44"/>
      <c r="Q785" s="44"/>
    </row>
    <row r="786">
      <c r="B786" s="44"/>
      <c r="D786" s="44"/>
      <c r="F786" s="44"/>
      <c r="G786" s="44"/>
      <c r="I786" s="44"/>
      <c r="J786" s="44"/>
      <c r="K786" s="44"/>
      <c r="L786" s="44"/>
      <c r="M786" s="44"/>
      <c r="O786" s="44"/>
      <c r="Q786" s="44"/>
    </row>
    <row r="787">
      <c r="B787" s="44"/>
      <c r="D787" s="44"/>
      <c r="F787" s="44"/>
      <c r="G787" s="44"/>
      <c r="I787" s="44"/>
      <c r="J787" s="44"/>
      <c r="K787" s="44"/>
      <c r="L787" s="44"/>
      <c r="M787" s="44"/>
      <c r="O787" s="44"/>
      <c r="Q787" s="44"/>
    </row>
    <row r="788">
      <c r="B788" s="44"/>
      <c r="D788" s="44"/>
      <c r="F788" s="44"/>
      <c r="G788" s="44"/>
      <c r="I788" s="44"/>
      <c r="J788" s="44"/>
      <c r="K788" s="44"/>
      <c r="L788" s="44"/>
      <c r="M788" s="44"/>
      <c r="O788" s="44"/>
      <c r="Q788" s="44"/>
    </row>
    <row r="789">
      <c r="B789" s="44"/>
      <c r="D789" s="44"/>
      <c r="F789" s="44"/>
      <c r="G789" s="44"/>
      <c r="I789" s="44"/>
      <c r="J789" s="44"/>
      <c r="K789" s="44"/>
      <c r="L789" s="44"/>
      <c r="M789" s="44"/>
      <c r="O789" s="44"/>
      <c r="Q789" s="44"/>
    </row>
    <row r="790">
      <c r="B790" s="44"/>
      <c r="D790" s="44"/>
      <c r="F790" s="44"/>
      <c r="G790" s="44"/>
      <c r="I790" s="44"/>
      <c r="J790" s="44"/>
      <c r="K790" s="44"/>
      <c r="L790" s="44"/>
      <c r="M790" s="44"/>
      <c r="O790" s="44"/>
      <c r="Q790" s="44"/>
    </row>
    <row r="791">
      <c r="B791" s="44"/>
      <c r="D791" s="44"/>
      <c r="F791" s="44"/>
      <c r="G791" s="44"/>
      <c r="I791" s="44"/>
      <c r="J791" s="44"/>
      <c r="K791" s="44"/>
      <c r="L791" s="44"/>
      <c r="M791" s="44"/>
      <c r="O791" s="44"/>
      <c r="Q791" s="44"/>
    </row>
    <row r="792">
      <c r="B792" s="44"/>
      <c r="D792" s="44"/>
      <c r="F792" s="44"/>
      <c r="G792" s="44"/>
      <c r="I792" s="44"/>
      <c r="J792" s="44"/>
      <c r="K792" s="44"/>
      <c r="L792" s="44"/>
      <c r="M792" s="44"/>
      <c r="O792" s="44"/>
      <c r="Q792" s="44"/>
    </row>
    <row r="793">
      <c r="B793" s="44"/>
      <c r="D793" s="44"/>
      <c r="F793" s="44"/>
      <c r="G793" s="44"/>
      <c r="I793" s="44"/>
      <c r="J793" s="44"/>
      <c r="K793" s="44"/>
      <c r="L793" s="44"/>
      <c r="M793" s="44"/>
      <c r="O793" s="44"/>
      <c r="Q793" s="44"/>
    </row>
    <row r="794">
      <c r="B794" s="44"/>
      <c r="D794" s="44"/>
      <c r="F794" s="44"/>
      <c r="G794" s="44"/>
      <c r="I794" s="44"/>
      <c r="J794" s="44"/>
      <c r="K794" s="44"/>
      <c r="L794" s="44"/>
      <c r="M794" s="44"/>
      <c r="O794" s="44"/>
      <c r="Q794" s="44"/>
    </row>
    <row r="795">
      <c r="B795" s="44"/>
      <c r="D795" s="44"/>
      <c r="F795" s="44"/>
      <c r="G795" s="44"/>
      <c r="I795" s="44"/>
      <c r="J795" s="44"/>
      <c r="K795" s="44"/>
      <c r="L795" s="44"/>
      <c r="M795" s="44"/>
      <c r="O795" s="44"/>
      <c r="Q795" s="44"/>
    </row>
    <row r="796">
      <c r="B796" s="44"/>
      <c r="D796" s="44"/>
      <c r="F796" s="44"/>
      <c r="G796" s="44"/>
      <c r="I796" s="44"/>
      <c r="J796" s="44"/>
      <c r="K796" s="44"/>
      <c r="L796" s="44"/>
      <c r="M796" s="44"/>
      <c r="O796" s="44"/>
      <c r="Q796" s="44"/>
    </row>
    <row r="797">
      <c r="B797" s="44"/>
      <c r="D797" s="44"/>
      <c r="F797" s="44"/>
      <c r="G797" s="44"/>
      <c r="I797" s="44"/>
      <c r="J797" s="44"/>
      <c r="K797" s="44"/>
      <c r="L797" s="44"/>
      <c r="M797" s="44"/>
      <c r="O797" s="44"/>
      <c r="Q797" s="44"/>
    </row>
    <row r="798">
      <c r="B798" s="44"/>
      <c r="D798" s="44"/>
      <c r="F798" s="44"/>
      <c r="G798" s="44"/>
      <c r="I798" s="44"/>
      <c r="J798" s="44"/>
      <c r="K798" s="44"/>
      <c r="L798" s="44"/>
      <c r="M798" s="44"/>
      <c r="O798" s="44"/>
      <c r="Q798" s="44"/>
    </row>
    <row r="799">
      <c r="B799" s="44"/>
      <c r="D799" s="44"/>
      <c r="F799" s="44"/>
      <c r="G799" s="44"/>
      <c r="I799" s="44"/>
      <c r="J799" s="44"/>
      <c r="K799" s="44"/>
      <c r="L799" s="44"/>
      <c r="M799" s="44"/>
      <c r="O799" s="44"/>
      <c r="Q799" s="44"/>
    </row>
    <row r="800">
      <c r="B800" s="44"/>
      <c r="D800" s="44"/>
      <c r="F800" s="44"/>
      <c r="G800" s="44"/>
      <c r="I800" s="44"/>
      <c r="J800" s="44"/>
      <c r="K800" s="44"/>
      <c r="L800" s="44"/>
      <c r="M800" s="44"/>
      <c r="O800" s="44"/>
      <c r="Q800" s="44"/>
    </row>
    <row r="801">
      <c r="B801" s="44"/>
      <c r="D801" s="44"/>
      <c r="F801" s="44"/>
      <c r="G801" s="44"/>
      <c r="I801" s="44"/>
      <c r="J801" s="44"/>
      <c r="K801" s="44"/>
      <c r="L801" s="44"/>
      <c r="M801" s="44"/>
      <c r="O801" s="44"/>
      <c r="Q801" s="44"/>
    </row>
    <row r="802">
      <c r="B802" s="44"/>
      <c r="D802" s="44"/>
      <c r="F802" s="44"/>
      <c r="G802" s="44"/>
      <c r="I802" s="44"/>
      <c r="J802" s="44"/>
      <c r="K802" s="44"/>
      <c r="L802" s="44"/>
      <c r="M802" s="44"/>
      <c r="O802" s="44"/>
      <c r="Q802" s="44"/>
    </row>
    <row r="803">
      <c r="B803" s="44"/>
      <c r="D803" s="44"/>
      <c r="F803" s="44"/>
      <c r="G803" s="44"/>
      <c r="I803" s="44"/>
      <c r="J803" s="44"/>
      <c r="K803" s="44"/>
      <c r="L803" s="44"/>
      <c r="M803" s="44"/>
      <c r="O803" s="44"/>
      <c r="Q803" s="44"/>
    </row>
    <row r="804">
      <c r="B804" s="44"/>
      <c r="D804" s="44"/>
      <c r="F804" s="44"/>
      <c r="G804" s="44"/>
      <c r="I804" s="44"/>
      <c r="J804" s="44"/>
      <c r="K804" s="44"/>
      <c r="L804" s="44"/>
      <c r="M804" s="44"/>
      <c r="O804" s="44"/>
      <c r="Q804" s="44"/>
    </row>
    <row r="805">
      <c r="B805" s="44"/>
      <c r="D805" s="44"/>
      <c r="F805" s="44"/>
      <c r="G805" s="44"/>
      <c r="I805" s="44"/>
      <c r="J805" s="44"/>
      <c r="K805" s="44"/>
      <c r="L805" s="44"/>
      <c r="M805" s="44"/>
      <c r="O805" s="44"/>
      <c r="Q805" s="44"/>
    </row>
    <row r="806">
      <c r="B806" s="44"/>
      <c r="D806" s="44"/>
      <c r="F806" s="44"/>
      <c r="G806" s="44"/>
      <c r="I806" s="44"/>
      <c r="J806" s="44"/>
      <c r="K806" s="44"/>
      <c r="L806" s="44"/>
      <c r="M806" s="44"/>
      <c r="O806" s="44"/>
      <c r="Q806" s="44"/>
    </row>
    <row r="807">
      <c r="B807" s="44"/>
      <c r="D807" s="44"/>
      <c r="F807" s="44"/>
      <c r="G807" s="44"/>
      <c r="I807" s="44"/>
      <c r="J807" s="44"/>
      <c r="K807" s="44"/>
      <c r="L807" s="44"/>
      <c r="M807" s="44"/>
      <c r="O807" s="44"/>
      <c r="Q807" s="44"/>
    </row>
    <row r="808">
      <c r="B808" s="44"/>
      <c r="D808" s="44"/>
      <c r="F808" s="44"/>
      <c r="G808" s="44"/>
      <c r="I808" s="44"/>
      <c r="J808" s="44"/>
      <c r="K808" s="44"/>
      <c r="L808" s="44"/>
      <c r="M808" s="44"/>
      <c r="O808" s="44"/>
      <c r="Q808" s="44"/>
    </row>
    <row r="809">
      <c r="B809" s="44"/>
      <c r="D809" s="44"/>
      <c r="F809" s="44"/>
      <c r="G809" s="44"/>
      <c r="I809" s="44"/>
      <c r="J809" s="44"/>
      <c r="K809" s="44"/>
      <c r="L809" s="44"/>
      <c r="M809" s="44"/>
      <c r="O809" s="44"/>
      <c r="Q809" s="44"/>
    </row>
    <row r="810">
      <c r="B810" s="44"/>
      <c r="D810" s="44"/>
      <c r="F810" s="44"/>
      <c r="G810" s="44"/>
      <c r="I810" s="44"/>
      <c r="J810" s="44"/>
      <c r="K810" s="44"/>
      <c r="L810" s="44"/>
      <c r="M810" s="44"/>
      <c r="O810" s="44"/>
      <c r="Q810" s="44"/>
    </row>
    <row r="811">
      <c r="B811" s="44"/>
      <c r="D811" s="44"/>
      <c r="F811" s="44"/>
      <c r="G811" s="44"/>
      <c r="I811" s="44"/>
      <c r="J811" s="44"/>
      <c r="K811" s="44"/>
      <c r="L811" s="44"/>
      <c r="M811" s="44"/>
      <c r="O811" s="44"/>
      <c r="Q811" s="44"/>
    </row>
    <row r="812">
      <c r="B812" s="44"/>
      <c r="D812" s="44"/>
      <c r="F812" s="44"/>
      <c r="G812" s="44"/>
      <c r="I812" s="44"/>
      <c r="J812" s="44"/>
      <c r="K812" s="44"/>
      <c r="L812" s="44"/>
      <c r="M812" s="44"/>
      <c r="O812" s="44"/>
      <c r="Q812" s="44"/>
    </row>
    <row r="813">
      <c r="B813" s="44"/>
      <c r="D813" s="44"/>
      <c r="F813" s="44"/>
      <c r="G813" s="44"/>
      <c r="I813" s="44"/>
      <c r="J813" s="44"/>
      <c r="K813" s="44"/>
      <c r="L813" s="44"/>
      <c r="M813" s="44"/>
      <c r="O813" s="44"/>
      <c r="Q813" s="44"/>
    </row>
    <row r="814">
      <c r="B814" s="44"/>
      <c r="D814" s="44"/>
      <c r="F814" s="44"/>
      <c r="G814" s="44"/>
      <c r="I814" s="44"/>
      <c r="J814" s="44"/>
      <c r="K814" s="44"/>
      <c r="L814" s="44"/>
      <c r="M814" s="44"/>
      <c r="O814" s="44"/>
      <c r="Q814" s="44"/>
    </row>
    <row r="815">
      <c r="B815" s="44"/>
      <c r="D815" s="44"/>
      <c r="F815" s="44"/>
      <c r="G815" s="44"/>
      <c r="I815" s="44"/>
      <c r="J815" s="44"/>
      <c r="K815" s="44"/>
      <c r="L815" s="44"/>
      <c r="M815" s="44"/>
      <c r="O815" s="44"/>
      <c r="Q815" s="44"/>
    </row>
    <row r="816">
      <c r="B816" s="44"/>
      <c r="D816" s="44"/>
      <c r="F816" s="44"/>
      <c r="G816" s="44"/>
      <c r="I816" s="44"/>
      <c r="J816" s="44"/>
      <c r="K816" s="44"/>
      <c r="L816" s="44"/>
      <c r="M816" s="44"/>
      <c r="O816" s="44"/>
      <c r="Q816" s="44"/>
    </row>
    <row r="817">
      <c r="B817" s="44"/>
      <c r="D817" s="44"/>
      <c r="F817" s="44"/>
      <c r="G817" s="44"/>
      <c r="I817" s="44"/>
      <c r="J817" s="44"/>
      <c r="K817" s="44"/>
      <c r="L817" s="44"/>
      <c r="M817" s="44"/>
      <c r="O817" s="44"/>
      <c r="Q817" s="44"/>
    </row>
    <row r="818">
      <c r="B818" s="44"/>
      <c r="D818" s="44"/>
      <c r="F818" s="44"/>
      <c r="G818" s="44"/>
      <c r="I818" s="44"/>
      <c r="J818" s="44"/>
      <c r="K818" s="44"/>
      <c r="L818" s="44"/>
      <c r="M818" s="44"/>
      <c r="O818" s="44"/>
      <c r="Q818" s="44"/>
    </row>
    <row r="819">
      <c r="B819" s="44"/>
      <c r="D819" s="44"/>
      <c r="F819" s="44"/>
      <c r="G819" s="44"/>
      <c r="I819" s="44"/>
      <c r="J819" s="44"/>
      <c r="K819" s="44"/>
      <c r="L819" s="44"/>
      <c r="M819" s="44"/>
      <c r="O819" s="44"/>
      <c r="Q819" s="44"/>
    </row>
    <row r="820">
      <c r="B820" s="44"/>
      <c r="D820" s="44"/>
      <c r="F820" s="44"/>
      <c r="G820" s="44"/>
      <c r="I820" s="44"/>
      <c r="J820" s="44"/>
      <c r="K820" s="44"/>
      <c r="L820" s="44"/>
      <c r="M820" s="44"/>
      <c r="O820" s="44"/>
      <c r="Q820" s="44"/>
    </row>
    <row r="821">
      <c r="B821" s="44"/>
      <c r="D821" s="44"/>
      <c r="F821" s="44"/>
      <c r="G821" s="44"/>
      <c r="I821" s="44"/>
      <c r="J821" s="44"/>
      <c r="K821" s="44"/>
      <c r="L821" s="44"/>
      <c r="M821" s="44"/>
      <c r="O821" s="44"/>
      <c r="Q821" s="44"/>
    </row>
    <row r="822">
      <c r="B822" s="44"/>
      <c r="D822" s="44"/>
      <c r="F822" s="44"/>
      <c r="G822" s="44"/>
      <c r="I822" s="44"/>
      <c r="J822" s="44"/>
      <c r="K822" s="44"/>
      <c r="L822" s="44"/>
      <c r="M822" s="44"/>
      <c r="O822" s="44"/>
      <c r="Q822" s="44"/>
    </row>
    <row r="823">
      <c r="B823" s="44"/>
      <c r="D823" s="44"/>
      <c r="F823" s="44"/>
      <c r="G823" s="44"/>
      <c r="I823" s="44"/>
      <c r="J823" s="44"/>
      <c r="K823" s="44"/>
      <c r="L823" s="44"/>
      <c r="M823" s="44"/>
      <c r="O823" s="44"/>
      <c r="Q823" s="44"/>
    </row>
    <row r="824">
      <c r="B824" s="44"/>
      <c r="D824" s="44"/>
      <c r="F824" s="44"/>
      <c r="G824" s="44"/>
      <c r="I824" s="44"/>
      <c r="J824" s="44"/>
      <c r="K824" s="44"/>
      <c r="L824" s="44"/>
      <c r="M824" s="44"/>
      <c r="O824" s="44"/>
      <c r="Q824" s="44"/>
    </row>
    <row r="825">
      <c r="B825" s="44"/>
      <c r="D825" s="44"/>
      <c r="F825" s="44"/>
      <c r="G825" s="44"/>
      <c r="I825" s="44"/>
      <c r="J825" s="44"/>
      <c r="K825" s="44"/>
      <c r="L825" s="44"/>
      <c r="M825" s="44"/>
      <c r="O825" s="44"/>
      <c r="Q825" s="44"/>
    </row>
    <row r="826">
      <c r="B826" s="44"/>
      <c r="D826" s="44"/>
      <c r="F826" s="44"/>
      <c r="G826" s="44"/>
      <c r="I826" s="44"/>
      <c r="J826" s="44"/>
      <c r="K826" s="44"/>
      <c r="L826" s="44"/>
      <c r="M826" s="44"/>
      <c r="O826" s="44"/>
      <c r="Q826" s="44"/>
    </row>
    <row r="827">
      <c r="B827" s="44"/>
      <c r="D827" s="44"/>
      <c r="F827" s="44"/>
      <c r="G827" s="44"/>
      <c r="I827" s="44"/>
      <c r="J827" s="44"/>
      <c r="K827" s="44"/>
      <c r="L827" s="44"/>
      <c r="M827" s="44"/>
      <c r="O827" s="44"/>
      <c r="Q827" s="44"/>
    </row>
    <row r="828">
      <c r="B828" s="44"/>
      <c r="D828" s="44"/>
      <c r="F828" s="44"/>
      <c r="G828" s="44"/>
      <c r="I828" s="44"/>
      <c r="J828" s="44"/>
      <c r="K828" s="44"/>
      <c r="L828" s="44"/>
      <c r="M828" s="44"/>
      <c r="O828" s="44"/>
      <c r="Q828" s="44"/>
    </row>
    <row r="829">
      <c r="B829" s="44"/>
      <c r="D829" s="44"/>
      <c r="F829" s="44"/>
      <c r="G829" s="44"/>
      <c r="I829" s="44"/>
      <c r="J829" s="44"/>
      <c r="K829" s="44"/>
      <c r="L829" s="44"/>
      <c r="M829" s="44"/>
      <c r="O829" s="44"/>
      <c r="Q829" s="44"/>
    </row>
    <row r="830">
      <c r="B830" s="44"/>
      <c r="D830" s="44"/>
      <c r="F830" s="44"/>
      <c r="G830" s="44"/>
      <c r="I830" s="44"/>
      <c r="J830" s="44"/>
      <c r="K830" s="44"/>
      <c r="L830" s="44"/>
      <c r="M830" s="44"/>
      <c r="O830" s="44"/>
      <c r="Q830" s="44"/>
    </row>
    <row r="831">
      <c r="B831" s="44"/>
      <c r="D831" s="44"/>
      <c r="F831" s="44"/>
      <c r="G831" s="44"/>
      <c r="I831" s="44"/>
      <c r="J831" s="44"/>
      <c r="K831" s="44"/>
      <c r="L831" s="44"/>
      <c r="M831" s="44"/>
      <c r="O831" s="44"/>
      <c r="Q831" s="44"/>
    </row>
    <row r="832">
      <c r="B832" s="44"/>
      <c r="D832" s="44"/>
      <c r="F832" s="44"/>
      <c r="G832" s="44"/>
      <c r="I832" s="44"/>
      <c r="J832" s="44"/>
      <c r="K832" s="44"/>
      <c r="L832" s="44"/>
      <c r="M832" s="44"/>
      <c r="O832" s="44"/>
      <c r="Q832" s="44"/>
    </row>
    <row r="833">
      <c r="B833" s="44"/>
      <c r="D833" s="44"/>
      <c r="F833" s="44"/>
      <c r="G833" s="44"/>
      <c r="I833" s="44"/>
      <c r="J833" s="44"/>
      <c r="K833" s="44"/>
      <c r="L833" s="44"/>
      <c r="M833" s="44"/>
      <c r="O833" s="44"/>
      <c r="Q833" s="44"/>
    </row>
    <row r="834">
      <c r="B834" s="44"/>
      <c r="D834" s="44"/>
      <c r="F834" s="44"/>
      <c r="G834" s="44"/>
      <c r="I834" s="44"/>
      <c r="J834" s="44"/>
      <c r="K834" s="44"/>
      <c r="L834" s="44"/>
      <c r="M834" s="44"/>
      <c r="O834" s="44"/>
      <c r="Q834" s="44"/>
    </row>
    <row r="835">
      <c r="B835" s="44"/>
      <c r="D835" s="44"/>
      <c r="F835" s="44"/>
      <c r="G835" s="44"/>
      <c r="I835" s="44"/>
      <c r="J835" s="44"/>
      <c r="K835" s="44"/>
      <c r="L835" s="44"/>
      <c r="M835" s="44"/>
      <c r="O835" s="44"/>
      <c r="Q835" s="44"/>
    </row>
    <row r="836">
      <c r="B836" s="44"/>
      <c r="D836" s="44"/>
      <c r="F836" s="44"/>
      <c r="G836" s="44"/>
      <c r="I836" s="44"/>
      <c r="J836" s="44"/>
      <c r="K836" s="44"/>
      <c r="L836" s="44"/>
      <c r="M836" s="44"/>
      <c r="O836" s="44"/>
      <c r="Q836" s="44"/>
    </row>
    <row r="837">
      <c r="B837" s="44"/>
      <c r="D837" s="44"/>
      <c r="F837" s="44"/>
      <c r="G837" s="44"/>
      <c r="I837" s="44"/>
      <c r="J837" s="44"/>
      <c r="K837" s="44"/>
      <c r="L837" s="44"/>
      <c r="M837" s="44"/>
      <c r="O837" s="44"/>
      <c r="Q837" s="44"/>
    </row>
    <row r="838">
      <c r="B838" s="44"/>
      <c r="D838" s="44"/>
      <c r="F838" s="44"/>
      <c r="G838" s="44"/>
      <c r="I838" s="44"/>
      <c r="J838" s="44"/>
      <c r="K838" s="44"/>
      <c r="L838" s="44"/>
      <c r="M838" s="44"/>
      <c r="O838" s="44"/>
      <c r="Q838" s="44"/>
    </row>
    <row r="839">
      <c r="B839" s="44"/>
      <c r="D839" s="44"/>
      <c r="F839" s="44"/>
      <c r="G839" s="44"/>
      <c r="I839" s="44"/>
      <c r="J839" s="44"/>
      <c r="K839" s="44"/>
      <c r="L839" s="44"/>
      <c r="M839" s="44"/>
      <c r="O839" s="44"/>
      <c r="Q839" s="44"/>
    </row>
    <row r="840">
      <c r="B840" s="44"/>
      <c r="D840" s="44"/>
      <c r="F840" s="44"/>
      <c r="G840" s="44"/>
      <c r="I840" s="44"/>
      <c r="J840" s="44"/>
      <c r="K840" s="44"/>
      <c r="L840" s="44"/>
      <c r="M840" s="44"/>
      <c r="O840" s="44"/>
      <c r="Q840" s="44"/>
    </row>
    <row r="841">
      <c r="B841" s="44"/>
      <c r="D841" s="44"/>
      <c r="F841" s="44"/>
      <c r="G841" s="44"/>
      <c r="I841" s="44"/>
      <c r="J841" s="44"/>
      <c r="K841" s="44"/>
      <c r="L841" s="44"/>
      <c r="M841" s="44"/>
      <c r="O841" s="44"/>
      <c r="Q841" s="44"/>
    </row>
    <row r="842">
      <c r="B842" s="44"/>
      <c r="D842" s="44"/>
      <c r="F842" s="44"/>
      <c r="G842" s="44"/>
      <c r="I842" s="44"/>
      <c r="J842" s="44"/>
      <c r="K842" s="44"/>
      <c r="L842" s="44"/>
      <c r="M842" s="44"/>
      <c r="O842" s="44"/>
      <c r="Q842" s="44"/>
    </row>
    <row r="843">
      <c r="B843" s="44"/>
      <c r="D843" s="44"/>
      <c r="F843" s="44"/>
      <c r="G843" s="44"/>
      <c r="I843" s="44"/>
      <c r="J843" s="44"/>
      <c r="K843" s="44"/>
      <c r="L843" s="44"/>
      <c r="M843" s="44"/>
      <c r="O843" s="44"/>
      <c r="Q843" s="44"/>
    </row>
    <row r="844">
      <c r="B844" s="44"/>
      <c r="D844" s="44"/>
      <c r="F844" s="44"/>
      <c r="G844" s="44"/>
      <c r="I844" s="44"/>
      <c r="J844" s="44"/>
      <c r="K844" s="44"/>
      <c r="L844" s="44"/>
      <c r="M844" s="44"/>
      <c r="O844" s="44"/>
      <c r="Q844" s="44"/>
    </row>
    <row r="845">
      <c r="B845" s="44"/>
      <c r="D845" s="44"/>
      <c r="F845" s="44"/>
      <c r="G845" s="44"/>
      <c r="I845" s="44"/>
      <c r="J845" s="44"/>
      <c r="K845" s="44"/>
      <c r="L845" s="44"/>
      <c r="M845" s="44"/>
      <c r="O845" s="44"/>
      <c r="Q845" s="44"/>
    </row>
    <row r="846">
      <c r="B846" s="44"/>
      <c r="D846" s="44"/>
      <c r="F846" s="44"/>
      <c r="G846" s="44"/>
      <c r="I846" s="44"/>
      <c r="J846" s="44"/>
      <c r="K846" s="44"/>
      <c r="L846" s="44"/>
      <c r="M846" s="44"/>
      <c r="O846" s="44"/>
      <c r="Q846" s="44"/>
    </row>
    <row r="847">
      <c r="B847" s="44"/>
      <c r="D847" s="44"/>
      <c r="F847" s="44"/>
      <c r="G847" s="44"/>
      <c r="I847" s="44"/>
      <c r="J847" s="44"/>
      <c r="K847" s="44"/>
      <c r="L847" s="44"/>
      <c r="M847" s="44"/>
      <c r="O847" s="44"/>
      <c r="Q847" s="44"/>
    </row>
    <row r="848">
      <c r="B848" s="44"/>
      <c r="D848" s="44"/>
      <c r="F848" s="44"/>
      <c r="G848" s="44"/>
      <c r="I848" s="44"/>
      <c r="J848" s="44"/>
      <c r="K848" s="44"/>
      <c r="L848" s="44"/>
      <c r="M848" s="44"/>
      <c r="O848" s="44"/>
      <c r="Q848" s="44"/>
    </row>
    <row r="849">
      <c r="B849" s="44"/>
      <c r="D849" s="44"/>
      <c r="F849" s="44"/>
      <c r="G849" s="44"/>
      <c r="I849" s="44"/>
      <c r="J849" s="44"/>
      <c r="K849" s="44"/>
      <c r="L849" s="44"/>
      <c r="M849" s="44"/>
      <c r="O849" s="44"/>
      <c r="Q849" s="44"/>
    </row>
    <row r="850">
      <c r="B850" s="44"/>
      <c r="D850" s="44"/>
      <c r="F850" s="44"/>
      <c r="G850" s="44"/>
      <c r="I850" s="44"/>
      <c r="J850" s="44"/>
      <c r="K850" s="44"/>
      <c r="L850" s="44"/>
      <c r="M850" s="44"/>
      <c r="O850" s="44"/>
      <c r="Q850" s="44"/>
    </row>
    <row r="851">
      <c r="B851" s="44"/>
      <c r="D851" s="44"/>
      <c r="F851" s="44"/>
      <c r="G851" s="44"/>
      <c r="I851" s="44"/>
      <c r="J851" s="44"/>
      <c r="K851" s="44"/>
      <c r="L851" s="44"/>
      <c r="M851" s="44"/>
      <c r="O851" s="44"/>
      <c r="Q851" s="44"/>
    </row>
    <row r="852">
      <c r="B852" s="44"/>
      <c r="D852" s="44"/>
      <c r="F852" s="44"/>
      <c r="G852" s="44"/>
      <c r="I852" s="44"/>
      <c r="J852" s="44"/>
      <c r="K852" s="44"/>
      <c r="L852" s="44"/>
      <c r="M852" s="44"/>
      <c r="O852" s="44"/>
      <c r="Q852" s="44"/>
    </row>
    <row r="853">
      <c r="B853" s="44"/>
      <c r="D853" s="44"/>
      <c r="F853" s="44"/>
      <c r="G853" s="44"/>
      <c r="I853" s="44"/>
      <c r="J853" s="44"/>
      <c r="K853" s="44"/>
      <c r="L853" s="44"/>
      <c r="M853" s="44"/>
      <c r="O853" s="44"/>
      <c r="Q853" s="44"/>
    </row>
    <row r="854">
      <c r="B854" s="44"/>
      <c r="D854" s="44"/>
      <c r="F854" s="44"/>
      <c r="G854" s="44"/>
      <c r="I854" s="44"/>
      <c r="J854" s="44"/>
      <c r="K854" s="44"/>
      <c r="L854" s="44"/>
      <c r="M854" s="44"/>
      <c r="O854" s="44"/>
      <c r="Q854" s="44"/>
    </row>
    <row r="855">
      <c r="B855" s="44"/>
      <c r="D855" s="44"/>
      <c r="F855" s="44"/>
      <c r="G855" s="44"/>
      <c r="I855" s="44"/>
      <c r="J855" s="44"/>
      <c r="K855" s="44"/>
      <c r="L855" s="44"/>
      <c r="M855" s="44"/>
      <c r="O855" s="44"/>
      <c r="Q855" s="44"/>
    </row>
    <row r="856">
      <c r="B856" s="44"/>
      <c r="D856" s="44"/>
      <c r="F856" s="44"/>
      <c r="G856" s="44"/>
      <c r="I856" s="44"/>
      <c r="J856" s="44"/>
      <c r="K856" s="44"/>
      <c r="L856" s="44"/>
      <c r="M856" s="44"/>
      <c r="O856" s="44"/>
      <c r="Q856" s="44"/>
    </row>
    <row r="857">
      <c r="B857" s="44"/>
      <c r="D857" s="44"/>
      <c r="F857" s="44"/>
      <c r="G857" s="44"/>
      <c r="I857" s="44"/>
      <c r="J857" s="44"/>
      <c r="K857" s="44"/>
      <c r="L857" s="44"/>
      <c r="M857" s="44"/>
      <c r="O857" s="44"/>
      <c r="Q857" s="44"/>
    </row>
    <row r="858">
      <c r="B858" s="44"/>
      <c r="D858" s="44"/>
      <c r="F858" s="44"/>
      <c r="G858" s="44"/>
      <c r="I858" s="44"/>
      <c r="J858" s="44"/>
      <c r="K858" s="44"/>
      <c r="L858" s="44"/>
      <c r="M858" s="44"/>
      <c r="O858" s="44"/>
      <c r="Q858" s="44"/>
    </row>
    <row r="859">
      <c r="B859" s="44"/>
      <c r="D859" s="44"/>
      <c r="F859" s="44"/>
      <c r="G859" s="44"/>
      <c r="I859" s="44"/>
      <c r="J859" s="44"/>
      <c r="K859" s="44"/>
      <c r="L859" s="44"/>
      <c r="M859" s="44"/>
      <c r="O859" s="44"/>
      <c r="Q859" s="44"/>
    </row>
    <row r="860">
      <c r="B860" s="44"/>
      <c r="D860" s="44"/>
      <c r="F860" s="44"/>
      <c r="G860" s="44"/>
      <c r="I860" s="44"/>
      <c r="J860" s="44"/>
      <c r="K860" s="44"/>
      <c r="L860" s="44"/>
      <c r="M860" s="44"/>
      <c r="O860" s="44"/>
      <c r="Q860" s="44"/>
    </row>
    <row r="861">
      <c r="B861" s="44"/>
      <c r="D861" s="44"/>
      <c r="F861" s="44"/>
      <c r="G861" s="44"/>
      <c r="I861" s="44"/>
      <c r="J861" s="44"/>
      <c r="K861" s="44"/>
      <c r="L861" s="44"/>
      <c r="M861" s="44"/>
      <c r="O861" s="44"/>
      <c r="Q861" s="44"/>
    </row>
    <row r="862">
      <c r="B862" s="44"/>
      <c r="D862" s="44"/>
      <c r="F862" s="44"/>
      <c r="G862" s="44"/>
      <c r="I862" s="44"/>
      <c r="J862" s="44"/>
      <c r="K862" s="44"/>
      <c r="L862" s="44"/>
      <c r="M862" s="44"/>
      <c r="O862" s="44"/>
      <c r="Q862" s="44"/>
    </row>
    <row r="863">
      <c r="B863" s="44"/>
      <c r="D863" s="44"/>
      <c r="F863" s="44"/>
      <c r="G863" s="44"/>
      <c r="I863" s="44"/>
      <c r="J863" s="44"/>
      <c r="K863" s="44"/>
      <c r="L863" s="44"/>
      <c r="M863" s="44"/>
      <c r="O863" s="44"/>
      <c r="Q863" s="44"/>
    </row>
    <row r="864">
      <c r="B864" s="44"/>
      <c r="D864" s="44"/>
      <c r="F864" s="44"/>
      <c r="G864" s="44"/>
      <c r="I864" s="44"/>
      <c r="J864" s="44"/>
      <c r="K864" s="44"/>
      <c r="L864" s="44"/>
      <c r="M864" s="44"/>
      <c r="O864" s="44"/>
      <c r="Q864" s="44"/>
    </row>
    <row r="865">
      <c r="B865" s="44"/>
      <c r="D865" s="44"/>
      <c r="F865" s="44"/>
      <c r="G865" s="44"/>
      <c r="I865" s="44"/>
      <c r="J865" s="44"/>
      <c r="K865" s="44"/>
      <c r="L865" s="44"/>
      <c r="M865" s="44"/>
      <c r="O865" s="44"/>
      <c r="Q865" s="44"/>
    </row>
    <row r="866">
      <c r="B866" s="44"/>
      <c r="D866" s="44"/>
      <c r="F866" s="44"/>
      <c r="G866" s="44"/>
      <c r="I866" s="44"/>
      <c r="J866" s="44"/>
      <c r="K866" s="44"/>
      <c r="L866" s="44"/>
      <c r="M866" s="44"/>
      <c r="O866" s="44"/>
      <c r="Q866" s="44"/>
    </row>
    <row r="867">
      <c r="B867" s="44"/>
      <c r="D867" s="44"/>
      <c r="F867" s="44"/>
      <c r="G867" s="44"/>
      <c r="I867" s="44"/>
      <c r="J867" s="44"/>
      <c r="K867" s="44"/>
      <c r="L867" s="44"/>
      <c r="M867" s="44"/>
      <c r="O867" s="44"/>
      <c r="Q867" s="44"/>
    </row>
    <row r="868">
      <c r="B868" s="44"/>
      <c r="D868" s="44"/>
      <c r="F868" s="44"/>
      <c r="G868" s="44"/>
      <c r="I868" s="44"/>
      <c r="J868" s="44"/>
      <c r="K868" s="44"/>
      <c r="L868" s="44"/>
      <c r="M868" s="44"/>
      <c r="O868" s="44"/>
      <c r="Q868" s="44"/>
    </row>
    <row r="869">
      <c r="B869" s="44"/>
      <c r="D869" s="44"/>
      <c r="F869" s="44"/>
      <c r="G869" s="44"/>
      <c r="I869" s="44"/>
      <c r="J869" s="44"/>
      <c r="K869" s="44"/>
      <c r="L869" s="44"/>
      <c r="M869" s="44"/>
      <c r="O869" s="44"/>
      <c r="Q869" s="44"/>
    </row>
    <row r="870">
      <c r="B870" s="44"/>
      <c r="D870" s="44"/>
      <c r="F870" s="44"/>
      <c r="G870" s="44"/>
      <c r="I870" s="44"/>
      <c r="J870" s="44"/>
      <c r="K870" s="44"/>
      <c r="L870" s="44"/>
      <c r="M870" s="44"/>
      <c r="O870" s="44"/>
      <c r="Q870" s="44"/>
    </row>
    <row r="871">
      <c r="B871" s="44"/>
      <c r="D871" s="44"/>
      <c r="F871" s="44"/>
      <c r="G871" s="44"/>
      <c r="I871" s="44"/>
      <c r="J871" s="44"/>
      <c r="K871" s="44"/>
      <c r="L871" s="44"/>
      <c r="M871" s="44"/>
      <c r="O871" s="44"/>
      <c r="Q871" s="44"/>
    </row>
    <row r="872">
      <c r="B872" s="44"/>
      <c r="D872" s="44"/>
      <c r="F872" s="44"/>
      <c r="G872" s="44"/>
      <c r="I872" s="44"/>
      <c r="J872" s="44"/>
      <c r="K872" s="44"/>
      <c r="L872" s="44"/>
      <c r="M872" s="44"/>
      <c r="O872" s="44"/>
      <c r="Q872" s="44"/>
    </row>
    <row r="873">
      <c r="B873" s="44"/>
      <c r="D873" s="44"/>
      <c r="F873" s="44"/>
      <c r="G873" s="44"/>
      <c r="I873" s="44"/>
      <c r="J873" s="44"/>
      <c r="K873" s="44"/>
      <c r="L873" s="44"/>
      <c r="M873" s="44"/>
      <c r="O873" s="44"/>
      <c r="Q873" s="44"/>
    </row>
    <row r="874">
      <c r="B874" s="44"/>
      <c r="D874" s="44"/>
      <c r="F874" s="44"/>
      <c r="G874" s="44"/>
      <c r="I874" s="44"/>
      <c r="J874" s="44"/>
      <c r="K874" s="44"/>
      <c r="L874" s="44"/>
      <c r="M874" s="44"/>
      <c r="O874" s="44"/>
      <c r="Q874" s="44"/>
    </row>
    <row r="875">
      <c r="B875" s="44"/>
      <c r="D875" s="44"/>
      <c r="F875" s="44"/>
      <c r="G875" s="44"/>
      <c r="I875" s="44"/>
      <c r="J875" s="44"/>
      <c r="K875" s="44"/>
      <c r="L875" s="44"/>
      <c r="M875" s="44"/>
      <c r="O875" s="44"/>
      <c r="Q875" s="44"/>
    </row>
    <row r="876">
      <c r="B876" s="44"/>
      <c r="D876" s="44"/>
      <c r="F876" s="44"/>
      <c r="G876" s="44"/>
      <c r="I876" s="44"/>
      <c r="J876" s="44"/>
      <c r="K876" s="44"/>
      <c r="L876" s="44"/>
      <c r="M876" s="44"/>
      <c r="O876" s="44"/>
      <c r="Q876" s="44"/>
    </row>
    <row r="877">
      <c r="B877" s="44"/>
      <c r="D877" s="44"/>
      <c r="F877" s="44"/>
      <c r="G877" s="44"/>
      <c r="I877" s="44"/>
      <c r="J877" s="44"/>
      <c r="K877" s="44"/>
      <c r="L877" s="44"/>
      <c r="M877" s="44"/>
      <c r="O877" s="44"/>
      <c r="Q877" s="44"/>
    </row>
    <row r="878">
      <c r="B878" s="44"/>
      <c r="D878" s="44"/>
      <c r="F878" s="44"/>
      <c r="G878" s="44"/>
      <c r="I878" s="44"/>
      <c r="J878" s="44"/>
      <c r="K878" s="44"/>
      <c r="L878" s="44"/>
      <c r="M878" s="44"/>
      <c r="O878" s="44"/>
      <c r="Q878" s="44"/>
    </row>
    <row r="879">
      <c r="B879" s="44"/>
      <c r="D879" s="44"/>
      <c r="F879" s="44"/>
      <c r="G879" s="44"/>
      <c r="I879" s="44"/>
      <c r="J879" s="44"/>
      <c r="K879" s="44"/>
      <c r="L879" s="44"/>
      <c r="M879" s="44"/>
      <c r="O879" s="44"/>
      <c r="Q879" s="44"/>
    </row>
    <row r="880">
      <c r="B880" s="44"/>
      <c r="D880" s="44"/>
      <c r="F880" s="44"/>
      <c r="G880" s="44"/>
      <c r="I880" s="44"/>
      <c r="J880" s="44"/>
      <c r="K880" s="44"/>
      <c r="L880" s="44"/>
      <c r="M880" s="44"/>
      <c r="O880" s="44"/>
      <c r="Q880" s="44"/>
    </row>
    <row r="881">
      <c r="B881" s="44"/>
      <c r="D881" s="44"/>
      <c r="F881" s="44"/>
      <c r="G881" s="44"/>
      <c r="I881" s="44"/>
      <c r="J881" s="44"/>
      <c r="K881" s="44"/>
      <c r="L881" s="44"/>
      <c r="M881" s="44"/>
      <c r="O881" s="44"/>
      <c r="Q881" s="44"/>
    </row>
    <row r="882">
      <c r="B882" s="44"/>
      <c r="D882" s="44"/>
      <c r="F882" s="44"/>
      <c r="G882" s="44"/>
      <c r="I882" s="44"/>
      <c r="J882" s="44"/>
      <c r="K882" s="44"/>
      <c r="L882" s="44"/>
      <c r="M882" s="44"/>
      <c r="O882" s="44"/>
      <c r="Q882" s="44"/>
    </row>
    <row r="883">
      <c r="B883" s="44"/>
      <c r="D883" s="44"/>
      <c r="F883" s="44"/>
      <c r="G883" s="44"/>
      <c r="I883" s="44"/>
      <c r="J883" s="44"/>
      <c r="K883" s="44"/>
      <c r="L883" s="44"/>
      <c r="M883" s="44"/>
      <c r="O883" s="44"/>
      <c r="Q883" s="44"/>
    </row>
    <row r="884">
      <c r="B884" s="44"/>
      <c r="D884" s="44"/>
      <c r="F884" s="44"/>
      <c r="G884" s="44"/>
      <c r="I884" s="44"/>
      <c r="J884" s="44"/>
      <c r="K884" s="44"/>
      <c r="L884" s="44"/>
      <c r="M884" s="44"/>
      <c r="O884" s="44"/>
      <c r="Q884" s="44"/>
    </row>
    <row r="885">
      <c r="B885" s="44"/>
      <c r="D885" s="44"/>
      <c r="F885" s="44"/>
      <c r="G885" s="44"/>
      <c r="I885" s="44"/>
      <c r="J885" s="44"/>
      <c r="K885" s="44"/>
      <c r="L885" s="44"/>
      <c r="M885" s="44"/>
      <c r="O885" s="44"/>
      <c r="Q885" s="44"/>
    </row>
    <row r="886">
      <c r="B886" s="44"/>
      <c r="D886" s="44"/>
      <c r="F886" s="44"/>
      <c r="G886" s="44"/>
      <c r="I886" s="44"/>
      <c r="J886" s="44"/>
      <c r="K886" s="44"/>
      <c r="L886" s="44"/>
      <c r="M886" s="44"/>
      <c r="O886" s="44"/>
      <c r="Q886" s="44"/>
    </row>
    <row r="887">
      <c r="B887" s="44"/>
      <c r="D887" s="44"/>
      <c r="F887" s="44"/>
      <c r="G887" s="44"/>
      <c r="I887" s="44"/>
      <c r="J887" s="44"/>
      <c r="K887" s="44"/>
      <c r="L887" s="44"/>
      <c r="M887" s="44"/>
      <c r="O887" s="44"/>
      <c r="Q887" s="44"/>
    </row>
    <row r="888">
      <c r="B888" s="44"/>
      <c r="D888" s="44"/>
      <c r="F888" s="44"/>
      <c r="G888" s="44"/>
      <c r="I888" s="44"/>
      <c r="J888" s="44"/>
      <c r="K888" s="44"/>
      <c r="L888" s="44"/>
      <c r="M888" s="44"/>
      <c r="O888" s="44"/>
      <c r="Q888" s="44"/>
    </row>
    <row r="889">
      <c r="B889" s="44"/>
      <c r="D889" s="44"/>
      <c r="F889" s="44"/>
      <c r="G889" s="44"/>
      <c r="I889" s="44"/>
      <c r="J889" s="44"/>
      <c r="K889" s="44"/>
      <c r="L889" s="44"/>
      <c r="M889" s="44"/>
      <c r="O889" s="44"/>
      <c r="Q889" s="44"/>
    </row>
    <row r="890">
      <c r="B890" s="44"/>
      <c r="D890" s="44"/>
      <c r="F890" s="44"/>
      <c r="G890" s="44"/>
      <c r="I890" s="44"/>
      <c r="J890" s="44"/>
      <c r="K890" s="44"/>
      <c r="L890" s="44"/>
      <c r="M890" s="44"/>
      <c r="O890" s="44"/>
      <c r="Q890" s="44"/>
    </row>
    <row r="891">
      <c r="B891" s="44"/>
      <c r="D891" s="44"/>
      <c r="F891" s="44"/>
      <c r="G891" s="44"/>
      <c r="I891" s="44"/>
      <c r="J891" s="44"/>
      <c r="K891" s="44"/>
      <c r="L891" s="44"/>
      <c r="M891" s="44"/>
      <c r="O891" s="44"/>
      <c r="Q891" s="44"/>
    </row>
    <row r="892">
      <c r="B892" s="44"/>
      <c r="D892" s="44"/>
      <c r="F892" s="44"/>
      <c r="G892" s="44"/>
      <c r="I892" s="44"/>
      <c r="J892" s="44"/>
      <c r="K892" s="44"/>
      <c r="L892" s="44"/>
      <c r="M892" s="44"/>
      <c r="O892" s="44"/>
      <c r="Q892" s="44"/>
    </row>
    <row r="893">
      <c r="B893" s="44"/>
      <c r="D893" s="44"/>
      <c r="F893" s="44"/>
      <c r="G893" s="44"/>
      <c r="I893" s="44"/>
      <c r="J893" s="44"/>
      <c r="K893" s="44"/>
      <c r="L893" s="44"/>
      <c r="M893" s="44"/>
      <c r="O893" s="44"/>
      <c r="Q893" s="44"/>
    </row>
    <row r="894">
      <c r="B894" s="44"/>
      <c r="D894" s="44"/>
      <c r="F894" s="44"/>
      <c r="G894" s="44"/>
      <c r="I894" s="44"/>
      <c r="J894" s="44"/>
      <c r="K894" s="44"/>
      <c r="L894" s="44"/>
      <c r="M894" s="44"/>
      <c r="O894" s="44"/>
      <c r="Q894" s="44"/>
    </row>
    <row r="895">
      <c r="B895" s="44"/>
      <c r="D895" s="44"/>
      <c r="F895" s="44"/>
      <c r="G895" s="44"/>
      <c r="I895" s="44"/>
      <c r="J895" s="44"/>
      <c r="K895" s="44"/>
      <c r="L895" s="44"/>
      <c r="M895" s="44"/>
      <c r="O895" s="44"/>
      <c r="Q895" s="44"/>
    </row>
    <row r="896">
      <c r="B896" s="44"/>
      <c r="D896" s="44"/>
      <c r="F896" s="44"/>
      <c r="G896" s="44"/>
      <c r="I896" s="44"/>
      <c r="J896" s="44"/>
      <c r="K896" s="44"/>
      <c r="L896" s="44"/>
      <c r="M896" s="44"/>
      <c r="O896" s="44"/>
      <c r="Q896" s="44"/>
    </row>
    <row r="897">
      <c r="B897" s="44"/>
      <c r="D897" s="44"/>
      <c r="F897" s="44"/>
      <c r="G897" s="44"/>
      <c r="I897" s="44"/>
      <c r="J897" s="44"/>
      <c r="K897" s="44"/>
      <c r="L897" s="44"/>
      <c r="M897" s="44"/>
      <c r="O897" s="44"/>
      <c r="Q897" s="44"/>
    </row>
    <row r="898">
      <c r="B898" s="44"/>
      <c r="D898" s="44"/>
      <c r="F898" s="44"/>
      <c r="G898" s="44"/>
      <c r="I898" s="44"/>
      <c r="J898" s="44"/>
      <c r="K898" s="44"/>
      <c r="L898" s="44"/>
      <c r="M898" s="44"/>
      <c r="O898" s="44"/>
      <c r="Q898" s="44"/>
    </row>
    <row r="899">
      <c r="B899" s="44"/>
      <c r="D899" s="44"/>
      <c r="F899" s="44"/>
      <c r="G899" s="44"/>
      <c r="I899" s="44"/>
      <c r="J899" s="44"/>
      <c r="K899" s="44"/>
      <c r="L899" s="44"/>
      <c r="M899" s="44"/>
      <c r="O899" s="44"/>
      <c r="Q899" s="44"/>
    </row>
    <row r="900">
      <c r="B900" s="44"/>
      <c r="D900" s="44"/>
      <c r="F900" s="44"/>
      <c r="G900" s="44"/>
      <c r="I900" s="44"/>
      <c r="J900" s="44"/>
      <c r="K900" s="44"/>
      <c r="L900" s="44"/>
      <c r="M900" s="44"/>
      <c r="O900" s="44"/>
      <c r="Q900" s="44"/>
    </row>
    <row r="901">
      <c r="B901" s="44"/>
      <c r="D901" s="44"/>
      <c r="F901" s="44"/>
      <c r="G901" s="44"/>
      <c r="I901" s="44"/>
      <c r="J901" s="44"/>
      <c r="K901" s="44"/>
      <c r="L901" s="44"/>
      <c r="M901" s="44"/>
      <c r="O901" s="44"/>
      <c r="Q901" s="44"/>
    </row>
    <row r="902">
      <c r="B902" s="44"/>
      <c r="D902" s="44"/>
      <c r="F902" s="44"/>
      <c r="G902" s="44"/>
      <c r="I902" s="44"/>
      <c r="J902" s="44"/>
      <c r="K902" s="44"/>
      <c r="L902" s="44"/>
      <c r="M902" s="44"/>
      <c r="O902" s="44"/>
      <c r="Q902" s="44"/>
    </row>
    <row r="903">
      <c r="B903" s="44"/>
      <c r="D903" s="44"/>
      <c r="F903" s="44"/>
      <c r="G903" s="44"/>
      <c r="I903" s="44"/>
      <c r="J903" s="44"/>
      <c r="K903" s="44"/>
      <c r="L903" s="44"/>
      <c r="M903" s="44"/>
      <c r="O903" s="44"/>
      <c r="Q903" s="44"/>
    </row>
    <row r="904">
      <c r="B904" s="44"/>
      <c r="D904" s="44"/>
      <c r="F904" s="44"/>
      <c r="G904" s="44"/>
      <c r="I904" s="44"/>
      <c r="J904" s="44"/>
      <c r="K904" s="44"/>
      <c r="L904" s="44"/>
      <c r="M904" s="44"/>
      <c r="O904" s="44"/>
      <c r="Q904" s="44"/>
    </row>
    <row r="905">
      <c r="B905" s="44"/>
      <c r="D905" s="44"/>
      <c r="F905" s="44"/>
      <c r="G905" s="44"/>
      <c r="I905" s="44"/>
      <c r="J905" s="44"/>
      <c r="K905" s="44"/>
      <c r="L905" s="44"/>
      <c r="M905" s="44"/>
      <c r="O905" s="44"/>
      <c r="Q905" s="44"/>
    </row>
    <row r="906">
      <c r="B906" s="44"/>
      <c r="D906" s="44"/>
      <c r="F906" s="44"/>
      <c r="G906" s="44"/>
      <c r="I906" s="44"/>
      <c r="J906" s="44"/>
      <c r="K906" s="44"/>
      <c r="L906" s="44"/>
      <c r="M906" s="44"/>
      <c r="O906" s="44"/>
      <c r="Q906" s="44"/>
    </row>
    <row r="907">
      <c r="B907" s="44"/>
      <c r="D907" s="44"/>
      <c r="F907" s="44"/>
      <c r="G907" s="44"/>
      <c r="I907" s="44"/>
      <c r="J907" s="44"/>
      <c r="K907" s="44"/>
      <c r="L907" s="44"/>
      <c r="M907" s="44"/>
      <c r="O907" s="44"/>
      <c r="Q907" s="44"/>
    </row>
    <row r="908">
      <c r="B908" s="44"/>
      <c r="D908" s="44"/>
      <c r="F908" s="44"/>
      <c r="G908" s="44"/>
      <c r="I908" s="44"/>
      <c r="J908" s="44"/>
      <c r="K908" s="44"/>
      <c r="L908" s="44"/>
      <c r="M908" s="44"/>
      <c r="O908" s="44"/>
      <c r="Q908" s="44"/>
    </row>
    <row r="909">
      <c r="B909" s="44"/>
      <c r="D909" s="44"/>
      <c r="F909" s="44"/>
      <c r="G909" s="44"/>
      <c r="I909" s="44"/>
      <c r="J909" s="44"/>
      <c r="K909" s="44"/>
      <c r="L909" s="44"/>
      <c r="M909" s="44"/>
      <c r="O909" s="44"/>
      <c r="Q909" s="44"/>
    </row>
    <row r="910">
      <c r="B910" s="44"/>
      <c r="D910" s="44"/>
      <c r="F910" s="44"/>
      <c r="G910" s="44"/>
      <c r="I910" s="44"/>
      <c r="J910" s="44"/>
      <c r="K910" s="44"/>
      <c r="L910" s="44"/>
      <c r="M910" s="44"/>
      <c r="O910" s="44"/>
      <c r="Q910" s="44"/>
    </row>
    <row r="911">
      <c r="B911" s="44"/>
      <c r="D911" s="44"/>
      <c r="F911" s="44"/>
      <c r="G911" s="44"/>
      <c r="I911" s="44"/>
      <c r="J911" s="44"/>
      <c r="K911" s="44"/>
      <c r="L911" s="44"/>
      <c r="M911" s="44"/>
      <c r="O911" s="44"/>
      <c r="Q911" s="44"/>
    </row>
    <row r="912">
      <c r="B912" s="44"/>
      <c r="D912" s="44"/>
      <c r="F912" s="44"/>
      <c r="G912" s="44"/>
      <c r="I912" s="44"/>
      <c r="J912" s="44"/>
      <c r="K912" s="44"/>
      <c r="L912" s="44"/>
      <c r="M912" s="44"/>
      <c r="O912" s="44"/>
      <c r="Q912" s="44"/>
    </row>
    <row r="913">
      <c r="B913" s="44"/>
      <c r="D913" s="44"/>
      <c r="F913" s="44"/>
      <c r="G913" s="44"/>
      <c r="I913" s="44"/>
      <c r="J913" s="44"/>
      <c r="K913" s="44"/>
      <c r="L913" s="44"/>
      <c r="M913" s="44"/>
      <c r="O913" s="44"/>
      <c r="Q913" s="44"/>
    </row>
    <row r="914">
      <c r="B914" s="44"/>
      <c r="D914" s="44"/>
      <c r="F914" s="44"/>
      <c r="G914" s="44"/>
      <c r="I914" s="44"/>
      <c r="J914" s="44"/>
      <c r="K914" s="44"/>
      <c r="L914" s="44"/>
      <c r="M914" s="44"/>
      <c r="O914" s="44"/>
      <c r="Q914" s="44"/>
    </row>
    <row r="915">
      <c r="B915" s="44"/>
      <c r="D915" s="44"/>
      <c r="F915" s="44"/>
      <c r="G915" s="44"/>
      <c r="I915" s="44"/>
      <c r="J915" s="44"/>
      <c r="K915" s="44"/>
      <c r="L915" s="44"/>
      <c r="M915" s="44"/>
      <c r="O915" s="44"/>
      <c r="Q915" s="44"/>
    </row>
    <row r="916">
      <c r="B916" s="44"/>
      <c r="D916" s="44"/>
      <c r="F916" s="44"/>
      <c r="G916" s="44"/>
      <c r="I916" s="44"/>
      <c r="J916" s="44"/>
      <c r="K916" s="44"/>
      <c r="L916" s="44"/>
      <c r="M916" s="44"/>
      <c r="O916" s="44"/>
      <c r="Q916" s="44"/>
    </row>
    <row r="917">
      <c r="B917" s="44"/>
      <c r="D917" s="44"/>
      <c r="F917" s="44"/>
      <c r="G917" s="44"/>
      <c r="I917" s="44"/>
      <c r="J917" s="44"/>
      <c r="K917" s="44"/>
      <c r="L917" s="44"/>
      <c r="M917" s="44"/>
      <c r="O917" s="44"/>
      <c r="Q917" s="44"/>
    </row>
    <row r="918">
      <c r="B918" s="44"/>
      <c r="D918" s="44"/>
      <c r="F918" s="44"/>
      <c r="G918" s="44"/>
      <c r="I918" s="44"/>
      <c r="J918" s="44"/>
      <c r="K918" s="44"/>
      <c r="L918" s="44"/>
      <c r="M918" s="44"/>
      <c r="O918" s="44"/>
      <c r="Q918" s="44"/>
    </row>
    <row r="919">
      <c r="B919" s="44"/>
      <c r="D919" s="44"/>
      <c r="F919" s="44"/>
      <c r="G919" s="44"/>
      <c r="I919" s="44"/>
      <c r="J919" s="44"/>
      <c r="K919" s="44"/>
      <c r="L919" s="44"/>
      <c r="M919" s="44"/>
      <c r="O919" s="44"/>
      <c r="Q919" s="44"/>
    </row>
    <row r="920">
      <c r="B920" s="44"/>
      <c r="D920" s="44"/>
      <c r="F920" s="44"/>
      <c r="G920" s="44"/>
      <c r="I920" s="44"/>
      <c r="J920" s="44"/>
      <c r="K920" s="44"/>
      <c r="L920" s="44"/>
      <c r="M920" s="44"/>
      <c r="O920" s="44"/>
      <c r="Q920" s="44"/>
    </row>
    <row r="921">
      <c r="B921" s="44"/>
      <c r="D921" s="44"/>
      <c r="F921" s="44"/>
      <c r="G921" s="44"/>
      <c r="I921" s="44"/>
      <c r="J921" s="44"/>
      <c r="K921" s="44"/>
      <c r="L921" s="44"/>
      <c r="M921" s="44"/>
      <c r="O921" s="44"/>
      <c r="Q921" s="44"/>
    </row>
    <row r="922">
      <c r="B922" s="44"/>
      <c r="D922" s="44"/>
      <c r="F922" s="44"/>
      <c r="G922" s="44"/>
      <c r="I922" s="44"/>
      <c r="J922" s="44"/>
      <c r="K922" s="44"/>
      <c r="L922" s="44"/>
      <c r="M922" s="44"/>
      <c r="O922" s="44"/>
      <c r="Q922" s="44"/>
    </row>
    <row r="923">
      <c r="B923" s="44"/>
      <c r="D923" s="44"/>
      <c r="F923" s="44"/>
      <c r="G923" s="44"/>
      <c r="I923" s="44"/>
      <c r="J923" s="44"/>
      <c r="K923" s="44"/>
      <c r="L923" s="44"/>
      <c r="M923" s="44"/>
      <c r="O923" s="44"/>
      <c r="Q923" s="44"/>
    </row>
    <row r="924">
      <c r="B924" s="44"/>
      <c r="D924" s="44"/>
      <c r="F924" s="44"/>
      <c r="G924" s="44"/>
      <c r="I924" s="44"/>
      <c r="J924" s="44"/>
      <c r="K924" s="44"/>
      <c r="L924" s="44"/>
      <c r="M924" s="44"/>
      <c r="O924" s="44"/>
      <c r="Q924" s="44"/>
    </row>
    <row r="925">
      <c r="B925" s="44"/>
      <c r="D925" s="44"/>
      <c r="F925" s="44"/>
      <c r="G925" s="44"/>
      <c r="I925" s="44"/>
      <c r="J925" s="44"/>
      <c r="K925" s="44"/>
      <c r="L925" s="44"/>
      <c r="M925" s="44"/>
      <c r="O925" s="44"/>
      <c r="Q925" s="44"/>
    </row>
    <row r="926">
      <c r="B926" s="44"/>
      <c r="D926" s="44"/>
      <c r="F926" s="44"/>
      <c r="G926" s="44"/>
      <c r="I926" s="44"/>
      <c r="J926" s="44"/>
      <c r="K926" s="44"/>
      <c r="L926" s="44"/>
      <c r="M926" s="44"/>
      <c r="O926" s="44"/>
      <c r="Q926" s="44"/>
    </row>
    <row r="927">
      <c r="B927" s="44"/>
      <c r="D927" s="44"/>
      <c r="F927" s="44"/>
      <c r="G927" s="44"/>
      <c r="I927" s="44"/>
      <c r="J927" s="44"/>
      <c r="K927" s="44"/>
      <c r="L927" s="44"/>
      <c r="M927" s="44"/>
      <c r="O927" s="44"/>
      <c r="Q927" s="44"/>
    </row>
    <row r="928">
      <c r="B928" s="44"/>
      <c r="D928" s="44"/>
      <c r="F928" s="44"/>
      <c r="G928" s="44"/>
      <c r="I928" s="44"/>
      <c r="J928" s="44"/>
      <c r="K928" s="44"/>
      <c r="L928" s="44"/>
      <c r="M928" s="44"/>
      <c r="O928" s="44"/>
      <c r="Q928" s="44"/>
    </row>
    <row r="929">
      <c r="B929" s="44"/>
      <c r="D929" s="44"/>
      <c r="F929" s="44"/>
      <c r="G929" s="44"/>
      <c r="I929" s="44"/>
      <c r="J929" s="44"/>
      <c r="K929" s="44"/>
      <c r="L929" s="44"/>
      <c r="M929" s="44"/>
      <c r="O929" s="44"/>
      <c r="Q929" s="44"/>
    </row>
    <row r="930">
      <c r="B930" s="44"/>
      <c r="D930" s="44"/>
      <c r="F930" s="44"/>
      <c r="G930" s="44"/>
      <c r="I930" s="44"/>
      <c r="J930" s="44"/>
      <c r="K930" s="44"/>
      <c r="L930" s="44"/>
      <c r="M930" s="44"/>
      <c r="O930" s="44"/>
      <c r="Q930" s="44"/>
    </row>
    <row r="931">
      <c r="B931" s="44"/>
      <c r="D931" s="44"/>
      <c r="F931" s="44"/>
      <c r="G931" s="44"/>
      <c r="I931" s="44"/>
      <c r="J931" s="44"/>
      <c r="K931" s="44"/>
      <c r="L931" s="44"/>
      <c r="M931" s="44"/>
      <c r="O931" s="44"/>
      <c r="Q931" s="44"/>
    </row>
    <row r="932">
      <c r="B932" s="44"/>
      <c r="D932" s="44"/>
      <c r="F932" s="44"/>
      <c r="G932" s="44"/>
      <c r="I932" s="44"/>
      <c r="J932" s="44"/>
      <c r="K932" s="44"/>
      <c r="L932" s="44"/>
      <c r="M932" s="44"/>
      <c r="O932" s="44"/>
      <c r="Q932" s="44"/>
    </row>
    <row r="933">
      <c r="B933" s="44"/>
      <c r="D933" s="44"/>
      <c r="F933" s="44"/>
      <c r="G933" s="44"/>
      <c r="I933" s="44"/>
      <c r="J933" s="44"/>
      <c r="K933" s="44"/>
      <c r="L933" s="44"/>
      <c r="M933" s="44"/>
      <c r="O933" s="44"/>
      <c r="Q933" s="44"/>
    </row>
    <row r="934">
      <c r="B934" s="44"/>
      <c r="D934" s="44"/>
      <c r="F934" s="44"/>
      <c r="G934" s="44"/>
      <c r="I934" s="44"/>
      <c r="J934" s="44"/>
      <c r="K934" s="44"/>
      <c r="L934" s="44"/>
      <c r="M934" s="44"/>
      <c r="O934" s="44"/>
      <c r="Q934" s="44"/>
    </row>
    <row r="935">
      <c r="B935" s="44"/>
      <c r="D935" s="44"/>
      <c r="F935" s="44"/>
      <c r="G935" s="44"/>
      <c r="I935" s="44"/>
      <c r="J935" s="44"/>
      <c r="K935" s="44"/>
      <c r="L935" s="44"/>
      <c r="M935" s="44"/>
      <c r="O935" s="44"/>
      <c r="Q935" s="44"/>
    </row>
    <row r="936">
      <c r="B936" s="44"/>
      <c r="D936" s="44"/>
      <c r="F936" s="44"/>
      <c r="G936" s="44"/>
      <c r="I936" s="44"/>
      <c r="J936" s="44"/>
      <c r="K936" s="44"/>
      <c r="L936" s="44"/>
      <c r="M936" s="44"/>
      <c r="O936" s="44"/>
      <c r="Q936" s="44"/>
    </row>
    <row r="937">
      <c r="B937" s="44"/>
      <c r="D937" s="44"/>
      <c r="F937" s="44"/>
      <c r="G937" s="44"/>
      <c r="I937" s="44"/>
      <c r="J937" s="44"/>
      <c r="K937" s="44"/>
      <c r="L937" s="44"/>
      <c r="M937" s="44"/>
      <c r="O937" s="44"/>
      <c r="Q937" s="44"/>
    </row>
    <row r="938">
      <c r="B938" s="44"/>
      <c r="D938" s="44"/>
      <c r="F938" s="44"/>
      <c r="G938" s="44"/>
      <c r="I938" s="44"/>
      <c r="J938" s="44"/>
      <c r="K938" s="44"/>
      <c r="L938" s="44"/>
      <c r="M938" s="44"/>
      <c r="O938" s="44"/>
      <c r="Q938" s="44"/>
    </row>
    <row r="939">
      <c r="B939" s="44"/>
      <c r="D939" s="44"/>
      <c r="F939" s="44"/>
      <c r="G939" s="44"/>
      <c r="I939" s="44"/>
      <c r="J939" s="44"/>
      <c r="K939" s="44"/>
      <c r="L939" s="44"/>
      <c r="M939" s="44"/>
      <c r="O939" s="44"/>
      <c r="Q939" s="44"/>
    </row>
    <row r="940">
      <c r="B940" s="44"/>
      <c r="D940" s="44"/>
      <c r="F940" s="44"/>
      <c r="G940" s="44"/>
      <c r="I940" s="44"/>
      <c r="J940" s="44"/>
      <c r="K940" s="44"/>
      <c r="L940" s="44"/>
      <c r="M940" s="44"/>
      <c r="O940" s="44"/>
      <c r="Q940" s="44"/>
    </row>
    <row r="941">
      <c r="B941" s="44"/>
      <c r="D941" s="44"/>
      <c r="F941" s="44"/>
      <c r="G941" s="44"/>
      <c r="I941" s="44"/>
      <c r="J941" s="44"/>
      <c r="K941" s="44"/>
      <c r="L941" s="44"/>
      <c r="M941" s="44"/>
      <c r="O941" s="44"/>
      <c r="Q941" s="44"/>
    </row>
    <row r="942">
      <c r="B942" s="44"/>
      <c r="D942" s="44"/>
      <c r="F942" s="44"/>
      <c r="G942" s="44"/>
      <c r="I942" s="44"/>
      <c r="J942" s="44"/>
      <c r="K942" s="44"/>
      <c r="L942" s="44"/>
      <c r="M942" s="44"/>
      <c r="O942" s="44"/>
      <c r="Q942" s="44"/>
    </row>
    <row r="943">
      <c r="B943" s="44"/>
      <c r="D943" s="44"/>
      <c r="F943" s="44"/>
      <c r="G943" s="44"/>
      <c r="I943" s="44"/>
      <c r="J943" s="44"/>
      <c r="K943" s="44"/>
      <c r="L943" s="44"/>
      <c r="M943" s="44"/>
      <c r="O943" s="44"/>
      <c r="Q943" s="44"/>
    </row>
    <row r="944">
      <c r="B944" s="44"/>
      <c r="D944" s="44"/>
      <c r="F944" s="44"/>
      <c r="G944" s="44"/>
      <c r="I944" s="44"/>
      <c r="J944" s="44"/>
      <c r="K944" s="44"/>
      <c r="L944" s="44"/>
      <c r="M944" s="44"/>
      <c r="O944" s="44"/>
      <c r="Q944" s="44"/>
    </row>
    <row r="945">
      <c r="B945" s="44"/>
      <c r="D945" s="44"/>
      <c r="F945" s="44"/>
      <c r="G945" s="44"/>
      <c r="I945" s="44"/>
      <c r="J945" s="44"/>
      <c r="K945" s="44"/>
      <c r="L945" s="44"/>
      <c r="M945" s="44"/>
      <c r="O945" s="44"/>
      <c r="Q945" s="44"/>
    </row>
    <row r="946">
      <c r="B946" s="44"/>
      <c r="D946" s="44"/>
      <c r="F946" s="44"/>
      <c r="G946" s="44"/>
      <c r="I946" s="44"/>
      <c r="J946" s="44"/>
      <c r="K946" s="44"/>
      <c r="L946" s="44"/>
      <c r="M946" s="44"/>
      <c r="O946" s="44"/>
      <c r="Q946" s="44"/>
    </row>
    <row r="947">
      <c r="B947" s="44"/>
      <c r="D947" s="44"/>
      <c r="F947" s="44"/>
      <c r="G947" s="44"/>
      <c r="I947" s="44"/>
      <c r="J947" s="44"/>
      <c r="K947" s="44"/>
      <c r="L947" s="44"/>
      <c r="M947" s="44"/>
      <c r="O947" s="44"/>
      <c r="Q947" s="44"/>
    </row>
    <row r="948">
      <c r="B948" s="44"/>
      <c r="D948" s="44"/>
      <c r="F948" s="44"/>
      <c r="G948" s="44"/>
      <c r="I948" s="44"/>
      <c r="J948" s="44"/>
      <c r="K948" s="44"/>
      <c r="L948" s="44"/>
      <c r="M948" s="44"/>
      <c r="O948" s="44"/>
      <c r="Q948" s="44"/>
    </row>
    <row r="949">
      <c r="B949" s="44"/>
      <c r="D949" s="44"/>
      <c r="F949" s="44"/>
      <c r="G949" s="44"/>
      <c r="I949" s="44"/>
      <c r="J949" s="44"/>
      <c r="K949" s="44"/>
      <c r="L949" s="44"/>
      <c r="M949" s="44"/>
      <c r="O949" s="44"/>
      <c r="Q949" s="44"/>
    </row>
    <row r="950">
      <c r="B950" s="44"/>
      <c r="D950" s="44"/>
      <c r="F950" s="44"/>
      <c r="G950" s="44"/>
      <c r="I950" s="44"/>
      <c r="J950" s="44"/>
      <c r="K950" s="44"/>
      <c r="L950" s="44"/>
      <c r="M950" s="44"/>
      <c r="O950" s="44"/>
      <c r="Q950" s="44"/>
    </row>
    <row r="951">
      <c r="B951" s="44"/>
      <c r="D951" s="44"/>
      <c r="F951" s="44"/>
      <c r="G951" s="44"/>
      <c r="I951" s="44"/>
      <c r="J951" s="44"/>
      <c r="K951" s="44"/>
      <c r="L951" s="44"/>
      <c r="M951" s="44"/>
      <c r="O951" s="44"/>
      <c r="Q951" s="44"/>
    </row>
    <row r="952">
      <c r="B952" s="44"/>
      <c r="D952" s="44"/>
      <c r="F952" s="44"/>
      <c r="G952" s="44"/>
      <c r="I952" s="44"/>
      <c r="J952" s="44"/>
      <c r="K952" s="44"/>
      <c r="L952" s="44"/>
      <c r="M952" s="44"/>
      <c r="O952" s="44"/>
      <c r="Q952" s="44"/>
    </row>
    <row r="953">
      <c r="B953" s="44"/>
      <c r="D953" s="44"/>
      <c r="F953" s="44"/>
      <c r="G953" s="44"/>
      <c r="I953" s="44"/>
      <c r="J953" s="44"/>
      <c r="K953" s="44"/>
      <c r="L953" s="44"/>
      <c r="M953" s="44"/>
      <c r="O953" s="44"/>
      <c r="Q953" s="44"/>
    </row>
    <row r="954">
      <c r="B954" s="44"/>
      <c r="D954" s="44"/>
      <c r="F954" s="44"/>
      <c r="G954" s="44"/>
      <c r="I954" s="44"/>
      <c r="J954" s="44"/>
      <c r="K954" s="44"/>
      <c r="L954" s="44"/>
      <c r="M954" s="44"/>
      <c r="O954" s="44"/>
      <c r="Q954" s="44"/>
    </row>
    <row r="955">
      <c r="B955" s="44"/>
      <c r="D955" s="44"/>
      <c r="F955" s="44"/>
      <c r="G955" s="44"/>
      <c r="I955" s="44"/>
      <c r="J955" s="44"/>
      <c r="K955" s="44"/>
      <c r="L955" s="44"/>
      <c r="M955" s="44"/>
      <c r="O955" s="44"/>
      <c r="Q955" s="44"/>
    </row>
    <row r="956">
      <c r="B956" s="44"/>
      <c r="D956" s="44"/>
      <c r="F956" s="44"/>
      <c r="G956" s="44"/>
      <c r="I956" s="44"/>
      <c r="J956" s="44"/>
      <c r="K956" s="44"/>
      <c r="L956" s="44"/>
      <c r="M956" s="44"/>
      <c r="O956" s="44"/>
      <c r="Q956" s="44"/>
    </row>
    <row r="957">
      <c r="B957" s="44"/>
      <c r="D957" s="44"/>
      <c r="F957" s="44"/>
      <c r="G957" s="44"/>
      <c r="I957" s="44"/>
      <c r="J957" s="44"/>
      <c r="K957" s="44"/>
      <c r="L957" s="44"/>
      <c r="M957" s="44"/>
      <c r="O957" s="44"/>
      <c r="Q957" s="44"/>
    </row>
    <row r="958">
      <c r="B958" s="44"/>
      <c r="D958" s="44"/>
      <c r="F958" s="44"/>
      <c r="G958" s="44"/>
      <c r="I958" s="44"/>
      <c r="J958" s="44"/>
      <c r="K958" s="44"/>
      <c r="L958" s="44"/>
      <c r="M958" s="44"/>
      <c r="O958" s="44"/>
      <c r="Q958" s="44"/>
    </row>
    <row r="959">
      <c r="B959" s="44"/>
      <c r="D959" s="44"/>
      <c r="F959" s="44"/>
      <c r="G959" s="44"/>
      <c r="I959" s="44"/>
      <c r="J959" s="44"/>
      <c r="K959" s="44"/>
      <c r="L959" s="44"/>
      <c r="M959" s="44"/>
      <c r="O959" s="44"/>
      <c r="Q959" s="44"/>
    </row>
    <row r="960">
      <c r="B960" s="44"/>
      <c r="D960" s="44"/>
      <c r="F960" s="44"/>
      <c r="G960" s="44"/>
      <c r="I960" s="44"/>
      <c r="J960" s="44"/>
      <c r="K960" s="44"/>
      <c r="L960" s="44"/>
      <c r="M960" s="44"/>
      <c r="O960" s="44"/>
      <c r="Q960" s="44"/>
    </row>
    <row r="961">
      <c r="B961" s="44"/>
      <c r="D961" s="44"/>
      <c r="F961" s="44"/>
      <c r="G961" s="44"/>
      <c r="I961" s="44"/>
      <c r="J961" s="44"/>
      <c r="K961" s="44"/>
      <c r="L961" s="44"/>
      <c r="M961" s="44"/>
      <c r="O961" s="44"/>
      <c r="Q961" s="44"/>
    </row>
    <row r="962">
      <c r="B962" s="44"/>
      <c r="D962" s="44"/>
      <c r="F962" s="44"/>
      <c r="G962" s="44"/>
      <c r="I962" s="44"/>
      <c r="J962" s="44"/>
      <c r="K962" s="44"/>
      <c r="L962" s="44"/>
      <c r="M962" s="44"/>
      <c r="O962" s="44"/>
      <c r="Q962" s="44"/>
    </row>
    <row r="963">
      <c r="B963" s="44"/>
      <c r="D963" s="44"/>
      <c r="F963" s="44"/>
      <c r="G963" s="44"/>
      <c r="I963" s="44"/>
      <c r="J963" s="44"/>
      <c r="K963" s="44"/>
      <c r="L963" s="44"/>
      <c r="M963" s="44"/>
      <c r="O963" s="44"/>
      <c r="Q963" s="44"/>
    </row>
    <row r="964">
      <c r="B964" s="44"/>
      <c r="D964" s="44"/>
      <c r="F964" s="44"/>
      <c r="G964" s="44"/>
      <c r="I964" s="44"/>
      <c r="J964" s="44"/>
      <c r="K964" s="44"/>
      <c r="L964" s="44"/>
      <c r="M964" s="44"/>
      <c r="O964" s="44"/>
      <c r="Q964" s="44"/>
    </row>
    <row r="965">
      <c r="B965" s="44"/>
      <c r="D965" s="44"/>
      <c r="F965" s="44"/>
      <c r="G965" s="44"/>
      <c r="I965" s="44"/>
      <c r="J965" s="44"/>
      <c r="K965" s="44"/>
      <c r="L965" s="44"/>
      <c r="M965" s="44"/>
      <c r="O965" s="44"/>
      <c r="Q965" s="44"/>
    </row>
    <row r="966">
      <c r="B966" s="44"/>
      <c r="D966" s="44"/>
      <c r="F966" s="44"/>
      <c r="G966" s="44"/>
      <c r="I966" s="44"/>
      <c r="J966" s="44"/>
      <c r="K966" s="44"/>
      <c r="L966" s="44"/>
      <c r="M966" s="44"/>
      <c r="O966" s="44"/>
      <c r="Q966" s="44"/>
    </row>
    <row r="967">
      <c r="B967" s="44"/>
      <c r="D967" s="44"/>
      <c r="F967" s="44"/>
      <c r="G967" s="44"/>
      <c r="I967" s="44"/>
      <c r="J967" s="44"/>
      <c r="K967" s="44"/>
      <c r="L967" s="44"/>
      <c r="M967" s="44"/>
      <c r="O967" s="44"/>
      <c r="Q967" s="44"/>
    </row>
    <row r="968">
      <c r="B968" s="44"/>
      <c r="D968" s="44"/>
      <c r="F968" s="44"/>
      <c r="G968" s="44"/>
      <c r="I968" s="44"/>
      <c r="J968" s="44"/>
      <c r="K968" s="44"/>
      <c r="L968" s="44"/>
      <c r="M968" s="44"/>
      <c r="O968" s="44"/>
      <c r="Q968" s="44"/>
    </row>
    <row r="969">
      <c r="B969" s="44"/>
      <c r="D969" s="44"/>
      <c r="F969" s="44"/>
      <c r="G969" s="44"/>
      <c r="I969" s="44"/>
      <c r="J969" s="44"/>
      <c r="K969" s="44"/>
      <c r="L969" s="44"/>
      <c r="M969" s="44"/>
      <c r="O969" s="44"/>
      <c r="Q969" s="44"/>
    </row>
    <row r="970">
      <c r="B970" s="44"/>
      <c r="D970" s="44"/>
      <c r="F970" s="44"/>
      <c r="G970" s="44"/>
      <c r="I970" s="44"/>
      <c r="J970" s="44"/>
      <c r="K970" s="44"/>
      <c r="L970" s="44"/>
      <c r="M970" s="44"/>
      <c r="O970" s="44"/>
      <c r="Q970" s="44"/>
    </row>
    <row r="971">
      <c r="B971" s="44"/>
      <c r="D971" s="44"/>
      <c r="F971" s="44"/>
      <c r="G971" s="44"/>
      <c r="I971" s="44"/>
      <c r="J971" s="44"/>
      <c r="K971" s="44"/>
      <c r="L971" s="44"/>
      <c r="M971" s="44"/>
      <c r="O971" s="44"/>
      <c r="Q971" s="44"/>
    </row>
    <row r="972">
      <c r="B972" s="44"/>
      <c r="D972" s="44"/>
      <c r="F972" s="44"/>
      <c r="G972" s="44"/>
      <c r="I972" s="44"/>
      <c r="J972" s="44"/>
      <c r="K972" s="44"/>
      <c r="L972" s="44"/>
      <c r="M972" s="44"/>
      <c r="O972" s="44"/>
      <c r="Q972" s="44"/>
    </row>
    <row r="973">
      <c r="B973" s="44"/>
      <c r="D973" s="44"/>
      <c r="F973" s="44"/>
      <c r="G973" s="44"/>
      <c r="I973" s="44"/>
      <c r="J973" s="44"/>
      <c r="K973" s="44"/>
      <c r="L973" s="44"/>
      <c r="M973" s="44"/>
      <c r="O973" s="44"/>
      <c r="Q973" s="44"/>
    </row>
    <row r="974">
      <c r="B974" s="44"/>
      <c r="D974" s="44"/>
      <c r="F974" s="44"/>
      <c r="G974" s="44"/>
      <c r="I974" s="44"/>
      <c r="J974" s="44"/>
      <c r="K974" s="44"/>
      <c r="L974" s="44"/>
      <c r="M974" s="44"/>
      <c r="O974" s="44"/>
      <c r="Q974" s="44"/>
    </row>
    <row r="975">
      <c r="B975" s="44"/>
      <c r="D975" s="44"/>
      <c r="F975" s="44"/>
      <c r="G975" s="44"/>
      <c r="I975" s="44"/>
      <c r="J975" s="44"/>
      <c r="K975" s="44"/>
      <c r="L975" s="44"/>
      <c r="M975" s="44"/>
      <c r="O975" s="44"/>
      <c r="Q975" s="44"/>
    </row>
    <row r="976">
      <c r="B976" s="44"/>
      <c r="D976" s="44"/>
      <c r="F976" s="44"/>
      <c r="G976" s="44"/>
      <c r="I976" s="44"/>
      <c r="J976" s="44"/>
      <c r="K976" s="44"/>
      <c r="L976" s="44"/>
      <c r="M976" s="44"/>
      <c r="O976" s="44"/>
      <c r="Q976" s="44"/>
    </row>
    <row r="977">
      <c r="B977" s="44"/>
      <c r="D977" s="44"/>
      <c r="F977" s="44"/>
      <c r="G977" s="44"/>
      <c r="I977" s="44"/>
      <c r="J977" s="44"/>
      <c r="K977" s="44"/>
      <c r="L977" s="44"/>
      <c r="M977" s="44"/>
      <c r="O977" s="44"/>
      <c r="Q977" s="44"/>
    </row>
    <row r="978">
      <c r="B978" s="44"/>
      <c r="D978" s="44"/>
      <c r="F978" s="44"/>
      <c r="G978" s="44"/>
      <c r="I978" s="44"/>
      <c r="J978" s="44"/>
      <c r="K978" s="44"/>
      <c r="L978" s="44"/>
      <c r="M978" s="44"/>
      <c r="O978" s="44"/>
      <c r="Q978" s="44"/>
    </row>
    <row r="979">
      <c r="B979" s="44"/>
      <c r="D979" s="44"/>
      <c r="F979" s="44"/>
      <c r="G979" s="44"/>
      <c r="I979" s="44"/>
      <c r="J979" s="44"/>
      <c r="K979" s="44"/>
      <c r="L979" s="44"/>
      <c r="M979" s="44"/>
      <c r="O979" s="44"/>
      <c r="Q979" s="44"/>
    </row>
    <row r="980">
      <c r="B980" s="44"/>
      <c r="D980" s="44"/>
      <c r="F980" s="44"/>
      <c r="G980" s="44"/>
      <c r="I980" s="44"/>
      <c r="J980" s="44"/>
      <c r="K980" s="44"/>
      <c r="L980" s="44"/>
      <c r="M980" s="44"/>
      <c r="O980" s="44"/>
      <c r="Q980" s="44"/>
    </row>
    <row r="981">
      <c r="B981" s="44"/>
      <c r="D981" s="44"/>
      <c r="F981" s="44"/>
      <c r="G981" s="44"/>
      <c r="I981" s="44"/>
      <c r="J981" s="44"/>
      <c r="K981" s="44"/>
      <c r="L981" s="44"/>
      <c r="M981" s="44"/>
      <c r="O981" s="44"/>
      <c r="Q981" s="44"/>
    </row>
    <row r="982">
      <c r="B982" s="44"/>
      <c r="D982" s="44"/>
      <c r="F982" s="44"/>
      <c r="G982" s="44"/>
      <c r="I982" s="44"/>
      <c r="J982" s="44"/>
      <c r="K982" s="44"/>
      <c r="L982" s="44"/>
      <c r="M982" s="44"/>
      <c r="O982" s="44"/>
      <c r="Q982" s="44"/>
    </row>
    <row r="983">
      <c r="B983" s="44"/>
      <c r="D983" s="44"/>
      <c r="F983" s="44"/>
      <c r="G983" s="44"/>
      <c r="I983" s="44"/>
      <c r="J983" s="44"/>
      <c r="K983" s="44"/>
      <c r="L983" s="44"/>
      <c r="M983" s="44"/>
      <c r="O983" s="44"/>
      <c r="Q983" s="44"/>
    </row>
    <row r="984">
      <c r="B984" s="44"/>
      <c r="D984" s="44"/>
      <c r="F984" s="44"/>
      <c r="G984" s="44"/>
      <c r="I984" s="44"/>
      <c r="J984" s="44"/>
      <c r="K984" s="44"/>
      <c r="L984" s="44"/>
      <c r="M984" s="44"/>
      <c r="O984" s="44"/>
      <c r="Q984" s="44"/>
    </row>
    <row r="985">
      <c r="B985" s="44"/>
      <c r="D985" s="44"/>
      <c r="F985" s="44"/>
      <c r="G985" s="44"/>
      <c r="I985" s="44"/>
      <c r="J985" s="44"/>
      <c r="K985" s="44"/>
      <c r="L985" s="44"/>
      <c r="M985" s="44"/>
      <c r="O985" s="44"/>
      <c r="Q985" s="44"/>
    </row>
    <row r="986">
      <c r="B986" s="44"/>
      <c r="D986" s="44"/>
      <c r="F986" s="44"/>
      <c r="G986" s="44"/>
      <c r="I986" s="44"/>
      <c r="J986" s="44"/>
      <c r="K986" s="44"/>
      <c r="L986" s="44"/>
      <c r="M986" s="44"/>
      <c r="O986" s="44"/>
      <c r="Q986" s="44"/>
    </row>
    <row r="987">
      <c r="B987" s="44"/>
      <c r="D987" s="44"/>
      <c r="F987" s="44"/>
      <c r="G987" s="44"/>
      <c r="I987" s="44"/>
      <c r="J987" s="44"/>
      <c r="K987" s="44"/>
      <c r="L987" s="44"/>
      <c r="M987" s="44"/>
      <c r="O987" s="44"/>
      <c r="Q987" s="44"/>
    </row>
    <row r="988">
      <c r="B988" s="44"/>
      <c r="D988" s="44"/>
      <c r="F988" s="44"/>
      <c r="G988" s="44"/>
      <c r="I988" s="44"/>
      <c r="J988" s="44"/>
      <c r="K988" s="44"/>
      <c r="L988" s="44"/>
      <c r="M988" s="44"/>
      <c r="O988" s="44"/>
      <c r="Q988" s="44"/>
    </row>
    <row r="989">
      <c r="B989" s="44"/>
      <c r="D989" s="44"/>
      <c r="F989" s="44"/>
      <c r="G989" s="44"/>
      <c r="I989" s="44"/>
      <c r="J989" s="44"/>
      <c r="K989" s="44"/>
      <c r="L989" s="44"/>
      <c r="M989" s="44"/>
      <c r="O989" s="44"/>
      <c r="Q989" s="44"/>
    </row>
    <row r="990">
      <c r="B990" s="44"/>
      <c r="D990" s="44"/>
      <c r="F990" s="44"/>
      <c r="G990" s="44"/>
      <c r="I990" s="44"/>
      <c r="J990" s="44"/>
      <c r="K990" s="44"/>
      <c r="L990" s="44"/>
      <c r="M990" s="44"/>
      <c r="O990" s="44"/>
      <c r="Q990" s="44"/>
    </row>
    <row r="991">
      <c r="B991" s="44"/>
      <c r="D991" s="44"/>
      <c r="F991" s="44"/>
      <c r="G991" s="44"/>
      <c r="I991" s="44"/>
      <c r="J991" s="44"/>
      <c r="K991" s="44"/>
      <c r="L991" s="44"/>
      <c r="M991" s="44"/>
      <c r="O991" s="44"/>
      <c r="Q991" s="44"/>
    </row>
    <row r="992">
      <c r="B992" s="44"/>
      <c r="D992" s="44"/>
      <c r="F992" s="44"/>
      <c r="G992" s="44"/>
      <c r="I992" s="44"/>
      <c r="J992" s="44"/>
      <c r="K992" s="44"/>
      <c r="L992" s="44"/>
      <c r="M992" s="44"/>
      <c r="O992" s="44"/>
      <c r="Q992" s="44"/>
    </row>
    <row r="993">
      <c r="B993" s="44"/>
      <c r="D993" s="44"/>
      <c r="F993" s="44"/>
      <c r="G993" s="44"/>
      <c r="I993" s="44"/>
      <c r="J993" s="44"/>
      <c r="K993" s="44"/>
      <c r="L993" s="44"/>
      <c r="M993" s="44"/>
      <c r="O993" s="44"/>
      <c r="Q993" s="44"/>
    </row>
    <row r="994">
      <c r="B994" s="44"/>
      <c r="D994" s="44"/>
      <c r="F994" s="44"/>
      <c r="G994" s="44"/>
      <c r="I994" s="44"/>
      <c r="J994" s="44"/>
      <c r="K994" s="44"/>
      <c r="L994" s="44"/>
      <c r="M994" s="44"/>
      <c r="O994" s="44"/>
      <c r="Q994" s="44"/>
    </row>
    <row r="995">
      <c r="B995" s="44"/>
      <c r="D995" s="44"/>
      <c r="F995" s="44"/>
      <c r="G995" s="44"/>
      <c r="I995" s="44"/>
      <c r="J995" s="44"/>
      <c r="K995" s="44"/>
      <c r="L995" s="44"/>
      <c r="M995" s="44"/>
      <c r="O995" s="44"/>
      <c r="Q995" s="44"/>
    </row>
    <row r="996">
      <c r="B996" s="44"/>
      <c r="D996" s="44"/>
      <c r="F996" s="44"/>
      <c r="G996" s="44"/>
      <c r="I996" s="44"/>
      <c r="J996" s="44"/>
      <c r="K996" s="44"/>
      <c r="L996" s="44"/>
      <c r="M996" s="44"/>
      <c r="O996" s="44"/>
      <c r="Q996" s="44"/>
    </row>
    <row r="997">
      <c r="B997" s="44"/>
      <c r="D997" s="44"/>
      <c r="F997" s="44"/>
      <c r="G997" s="44"/>
      <c r="I997" s="44"/>
      <c r="J997" s="44"/>
      <c r="K997" s="44"/>
      <c r="L997" s="44"/>
      <c r="M997" s="44"/>
      <c r="O997" s="44"/>
      <c r="Q997" s="44"/>
    </row>
    <row r="998">
      <c r="B998" s="44"/>
      <c r="D998" s="44"/>
      <c r="F998" s="44"/>
      <c r="G998" s="44"/>
      <c r="I998" s="44"/>
      <c r="J998" s="44"/>
      <c r="K998" s="44"/>
      <c r="L998" s="44"/>
      <c r="M998" s="44"/>
      <c r="O998" s="44"/>
      <c r="Q998" s="44"/>
    </row>
    <row r="999">
      <c r="B999" s="44"/>
      <c r="D999" s="44"/>
      <c r="F999" s="44"/>
      <c r="G999" s="44"/>
      <c r="I999" s="44"/>
      <c r="J999" s="44"/>
      <c r="K999" s="44"/>
      <c r="L999" s="44"/>
      <c r="M999" s="44"/>
      <c r="O999" s="44"/>
      <c r="Q999" s="44"/>
    </row>
    <row r="1000">
      <c r="B1000" s="44"/>
      <c r="D1000" s="44"/>
      <c r="F1000" s="44"/>
      <c r="G1000" s="44"/>
      <c r="I1000" s="44"/>
      <c r="J1000" s="44"/>
      <c r="K1000" s="44"/>
      <c r="L1000" s="44"/>
      <c r="M1000" s="44"/>
      <c r="O1000" s="44"/>
      <c r="Q1000" s="44"/>
    </row>
  </sheetData>
  <hyperlinks>
    <hyperlink r:id="rId1" location="?keyword=Hydrogen%20Peroxide%20(30%%20in%20Water)" ref="O2"/>
    <hyperlink r:id="rId2" ref="O9"/>
    <hyperlink r:id="rId3" ref="O15"/>
    <hyperlink r:id="rId4" ref="O18"/>
    <hyperlink r:id="rId5" ref="O19"/>
    <hyperlink r:id="rId6" ref="O20"/>
    <hyperlink r:id="rId7" ref="B23"/>
    <hyperlink r:id="rId8" ref="F23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17.75"/>
    <col customWidth="1" min="3" max="3" width="16.38"/>
    <col customWidth="1" min="5" max="5" width="18.5"/>
    <col customWidth="1" min="6" max="6" width="17.63"/>
    <col customWidth="1" min="7" max="7" width="12.13"/>
    <col customWidth="1" min="8" max="8" width="13.88"/>
    <col customWidth="1" min="11" max="11" width="32.0"/>
    <col customWidth="1" min="13" max="13" width="46.13"/>
    <col customWidth="1" min="14" max="14" width="18.38"/>
    <col customWidth="1" min="15" max="15" width="29.88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15670.69</v>
      </c>
      <c r="R1" s="23"/>
      <c r="S1" s="23"/>
      <c r="T1" s="23"/>
    </row>
    <row r="2">
      <c r="A2" s="12" t="s">
        <v>499</v>
      </c>
      <c r="B2" s="36"/>
      <c r="C2" s="27">
        <v>1.0</v>
      </c>
      <c r="D2" s="31">
        <v>1.0</v>
      </c>
      <c r="E2" s="12" t="s">
        <v>500</v>
      </c>
      <c r="F2" s="58" t="s">
        <v>500</v>
      </c>
      <c r="G2" s="58">
        <v>177.15</v>
      </c>
      <c r="H2" s="3">
        <f t="shared" ref="H2:H30" si="1">G2*D2</f>
        <v>177.15</v>
      </c>
      <c r="I2" s="31" t="s">
        <v>501</v>
      </c>
      <c r="J2" s="27" t="s">
        <v>43</v>
      </c>
      <c r="K2" s="31" t="s">
        <v>501</v>
      </c>
      <c r="L2" s="27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37" t="s">
        <v>502</v>
      </c>
      <c r="B3" s="54">
        <v>563794.0</v>
      </c>
      <c r="C3" s="62" t="s">
        <v>356</v>
      </c>
      <c r="D3" s="31">
        <v>1.0</v>
      </c>
      <c r="E3" s="68" t="s">
        <v>357</v>
      </c>
      <c r="F3" s="68" t="s">
        <v>86</v>
      </c>
      <c r="G3" s="95">
        <v>76.41</v>
      </c>
      <c r="H3" s="3">
        <f t="shared" si="1"/>
        <v>76.41</v>
      </c>
      <c r="I3" s="31" t="s">
        <v>475</v>
      </c>
      <c r="J3" s="27" t="s">
        <v>43</v>
      </c>
      <c r="K3" s="67" t="s">
        <v>503</v>
      </c>
      <c r="L3" s="27" t="s">
        <v>43</v>
      </c>
      <c r="M3" s="58" t="s">
        <v>504</v>
      </c>
      <c r="N3" s="12" t="s">
        <v>505</v>
      </c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45" t="s">
        <v>70</v>
      </c>
      <c r="B4" s="61" t="s">
        <v>71</v>
      </c>
      <c r="C4" s="46" t="s">
        <v>72</v>
      </c>
      <c r="D4" s="27">
        <v>3.0</v>
      </c>
      <c r="E4" s="59" t="s">
        <v>73</v>
      </c>
      <c r="F4" s="94" t="s">
        <v>74</v>
      </c>
      <c r="G4" s="95">
        <v>103.0</v>
      </c>
      <c r="H4" s="3">
        <f t="shared" si="1"/>
        <v>309</v>
      </c>
      <c r="I4" s="31" t="s">
        <v>475</v>
      </c>
      <c r="J4" s="27" t="s">
        <v>43</v>
      </c>
      <c r="K4" s="122" t="s">
        <v>506</v>
      </c>
      <c r="L4" s="27" t="s">
        <v>43</v>
      </c>
      <c r="M4" s="58" t="s">
        <v>504</v>
      </c>
      <c r="N4" s="12" t="s">
        <v>507</v>
      </c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18" t="s">
        <v>508</v>
      </c>
      <c r="B5" s="65" t="s">
        <v>509</v>
      </c>
      <c r="C5" s="39">
        <v>1000.0</v>
      </c>
      <c r="D5" s="27">
        <v>4.0</v>
      </c>
      <c r="E5" s="118" t="s">
        <v>510</v>
      </c>
      <c r="F5" s="68" t="s">
        <v>119</v>
      </c>
      <c r="G5" s="117">
        <v>24.5</v>
      </c>
      <c r="H5" s="3">
        <f t="shared" si="1"/>
        <v>98</v>
      </c>
      <c r="I5" s="31" t="s">
        <v>479</v>
      </c>
      <c r="J5" s="27" t="s">
        <v>43</v>
      </c>
      <c r="K5" s="122" t="s">
        <v>511</v>
      </c>
      <c r="L5" s="27" t="s">
        <v>43</v>
      </c>
      <c r="M5" s="58" t="s">
        <v>504</v>
      </c>
      <c r="N5" s="3"/>
      <c r="O5" s="36"/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18" t="s">
        <v>512</v>
      </c>
      <c r="B6" s="54">
        <v>3.0123328E7</v>
      </c>
      <c r="C6" s="39">
        <v>1000.0</v>
      </c>
      <c r="D6" s="27">
        <v>4.0</v>
      </c>
      <c r="E6" s="118" t="s">
        <v>425</v>
      </c>
      <c r="F6" s="118" t="s">
        <v>272</v>
      </c>
      <c r="G6" s="65">
        <v>53.2</v>
      </c>
      <c r="H6" s="3">
        <f t="shared" si="1"/>
        <v>212.8</v>
      </c>
      <c r="I6" s="31" t="s">
        <v>479</v>
      </c>
      <c r="J6" s="27" t="s">
        <v>43</v>
      </c>
      <c r="K6" s="32" t="s">
        <v>513</v>
      </c>
      <c r="L6" s="27" t="s">
        <v>43</v>
      </c>
      <c r="M6" s="58" t="s">
        <v>504</v>
      </c>
      <c r="O6" s="44"/>
      <c r="Q6" s="44"/>
    </row>
    <row r="7">
      <c r="A7" s="37" t="s">
        <v>116</v>
      </c>
      <c r="B7" s="54">
        <v>1.4175053E7</v>
      </c>
      <c r="C7" s="39" t="s">
        <v>117</v>
      </c>
      <c r="D7" s="27">
        <v>10.0</v>
      </c>
      <c r="E7" s="118" t="s">
        <v>118</v>
      </c>
      <c r="F7" s="94" t="s">
        <v>119</v>
      </c>
      <c r="G7" s="117">
        <v>15.51</v>
      </c>
      <c r="H7" s="3">
        <f t="shared" si="1"/>
        <v>155.1</v>
      </c>
      <c r="I7" s="31" t="s">
        <v>514</v>
      </c>
      <c r="J7" s="27" t="s">
        <v>43</v>
      </c>
      <c r="K7" s="31" t="s">
        <v>314</v>
      </c>
      <c r="L7" s="27" t="s">
        <v>43</v>
      </c>
      <c r="M7" s="58" t="s">
        <v>504</v>
      </c>
      <c r="N7" s="12" t="s">
        <v>515</v>
      </c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2" t="s">
        <v>310</v>
      </c>
      <c r="B8" s="31">
        <v>3.009737E7</v>
      </c>
      <c r="C8" s="31" t="s">
        <v>311</v>
      </c>
      <c r="D8" s="27">
        <v>1.0</v>
      </c>
      <c r="E8" s="158" t="s">
        <v>312</v>
      </c>
      <c r="F8" s="58" t="s">
        <v>313</v>
      </c>
      <c r="G8" s="122">
        <v>1607.3</v>
      </c>
      <c r="H8" s="3">
        <f t="shared" si="1"/>
        <v>1607.3</v>
      </c>
      <c r="I8" s="31" t="s">
        <v>314</v>
      </c>
      <c r="J8" s="27" t="s">
        <v>43</v>
      </c>
      <c r="K8" s="32" t="s">
        <v>513</v>
      </c>
      <c r="L8" s="27" t="s">
        <v>43</v>
      </c>
      <c r="M8" s="58" t="s">
        <v>504</v>
      </c>
      <c r="N8" s="3"/>
      <c r="O8" s="58" t="s">
        <v>316</v>
      </c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516</v>
      </c>
      <c r="B9" s="36"/>
      <c r="C9" s="3"/>
      <c r="D9" s="31">
        <v>1.0</v>
      </c>
      <c r="E9" s="12" t="s">
        <v>79</v>
      </c>
      <c r="F9" s="58" t="s">
        <v>79</v>
      </c>
      <c r="G9" s="58">
        <v>852.0</v>
      </c>
      <c r="H9" s="3">
        <f t="shared" si="1"/>
        <v>852</v>
      </c>
      <c r="I9" s="31" t="s">
        <v>441</v>
      </c>
      <c r="J9" s="27" t="s">
        <v>43</v>
      </c>
      <c r="K9" s="31" t="s">
        <v>467</v>
      </c>
      <c r="L9" s="27" t="s">
        <v>43</v>
      </c>
      <c r="M9" s="100" t="s">
        <v>156</v>
      </c>
      <c r="N9" s="3"/>
      <c r="O9" s="36"/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101" t="s">
        <v>517</v>
      </c>
      <c r="B10" s="39">
        <v>791002.0</v>
      </c>
      <c r="C10" s="39" t="s">
        <v>84</v>
      </c>
      <c r="D10" s="207">
        <v>2.0</v>
      </c>
      <c r="E10" s="101" t="s">
        <v>85</v>
      </c>
      <c r="F10" s="101" t="s">
        <v>86</v>
      </c>
      <c r="G10" s="71">
        <v>38.29</v>
      </c>
      <c r="H10" s="3">
        <f t="shared" si="1"/>
        <v>76.58</v>
      </c>
      <c r="I10" s="31" t="s">
        <v>518</v>
      </c>
      <c r="J10" s="27" t="s">
        <v>43</v>
      </c>
      <c r="K10" s="32" t="s">
        <v>513</v>
      </c>
      <c r="L10" s="27" t="s">
        <v>43</v>
      </c>
      <c r="M10" s="58" t="s">
        <v>504</v>
      </c>
      <c r="O10" s="44"/>
      <c r="Q10" s="44"/>
    </row>
    <row r="11">
      <c r="A11" s="68" t="s">
        <v>98</v>
      </c>
      <c r="B11" s="39" t="s">
        <v>99</v>
      </c>
      <c r="C11" s="39" t="s">
        <v>84</v>
      </c>
      <c r="D11" s="207">
        <v>2.0</v>
      </c>
      <c r="E11" s="101" t="s">
        <v>85</v>
      </c>
      <c r="F11" s="101" t="s">
        <v>86</v>
      </c>
      <c r="G11" s="71">
        <v>83.6</v>
      </c>
      <c r="H11" s="3">
        <f t="shared" si="1"/>
        <v>167.2</v>
      </c>
      <c r="I11" s="31" t="s">
        <v>518</v>
      </c>
      <c r="J11" s="27" t="s">
        <v>43</v>
      </c>
      <c r="K11" s="32" t="s">
        <v>513</v>
      </c>
      <c r="L11" s="27" t="s">
        <v>43</v>
      </c>
      <c r="M11" s="58" t="s">
        <v>504</v>
      </c>
      <c r="O11" s="44"/>
      <c r="Q11" s="44"/>
    </row>
    <row r="12">
      <c r="A12" s="101" t="s">
        <v>95</v>
      </c>
      <c r="B12" s="39" t="s">
        <v>96</v>
      </c>
      <c r="C12" s="39" t="s">
        <v>84</v>
      </c>
      <c r="D12" s="207">
        <v>2.0</v>
      </c>
      <c r="E12" s="101" t="s">
        <v>85</v>
      </c>
      <c r="F12" s="101" t="s">
        <v>86</v>
      </c>
      <c r="G12" s="71">
        <v>83.6</v>
      </c>
      <c r="H12" s="3">
        <f t="shared" si="1"/>
        <v>167.2</v>
      </c>
      <c r="I12" s="31" t="s">
        <v>518</v>
      </c>
      <c r="J12" s="27" t="s">
        <v>43</v>
      </c>
      <c r="K12" s="32" t="s">
        <v>513</v>
      </c>
      <c r="L12" s="27" t="s">
        <v>43</v>
      </c>
      <c r="M12" s="58" t="s">
        <v>504</v>
      </c>
      <c r="O12" s="44"/>
      <c r="Q12" s="44"/>
    </row>
    <row r="13">
      <c r="A13" s="68" t="s">
        <v>82</v>
      </c>
      <c r="B13" s="39" t="s">
        <v>83</v>
      </c>
      <c r="C13" s="39" t="s">
        <v>84</v>
      </c>
      <c r="D13" s="207">
        <v>4.0</v>
      </c>
      <c r="E13" s="101" t="s">
        <v>85</v>
      </c>
      <c r="F13" s="101" t="s">
        <v>86</v>
      </c>
      <c r="G13" s="71">
        <v>83.6</v>
      </c>
      <c r="H13" s="3">
        <f t="shared" si="1"/>
        <v>334.4</v>
      </c>
      <c r="I13" s="31" t="s">
        <v>518</v>
      </c>
      <c r="J13" s="27" t="s">
        <v>43</v>
      </c>
      <c r="K13" s="32" t="s">
        <v>513</v>
      </c>
      <c r="L13" s="27" t="s">
        <v>43</v>
      </c>
      <c r="M13" s="58" t="s">
        <v>504</v>
      </c>
      <c r="O13" s="44"/>
      <c r="Q13" s="44"/>
    </row>
    <row r="14">
      <c r="A14" s="12" t="s">
        <v>519</v>
      </c>
      <c r="B14" s="36"/>
      <c r="C14" s="31">
        <v>1.0</v>
      </c>
      <c r="D14" s="31">
        <v>1.0</v>
      </c>
      <c r="E14" s="12" t="s">
        <v>520</v>
      </c>
      <c r="F14" s="58" t="s">
        <v>520</v>
      </c>
      <c r="G14" s="73">
        <v>401.0</v>
      </c>
      <c r="H14" s="3">
        <f t="shared" si="1"/>
        <v>401</v>
      </c>
      <c r="I14" s="31" t="s">
        <v>521</v>
      </c>
      <c r="J14" s="27" t="s">
        <v>43</v>
      </c>
      <c r="K14" s="31" t="s">
        <v>521</v>
      </c>
      <c r="L14" s="27" t="s">
        <v>43</v>
      </c>
      <c r="M14" s="58" t="s">
        <v>504</v>
      </c>
      <c r="N14" s="3"/>
      <c r="O14" s="36"/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522</v>
      </c>
      <c r="B15" s="36"/>
      <c r="C15" s="31">
        <v>1.0</v>
      </c>
      <c r="D15" s="31">
        <v>1.0</v>
      </c>
      <c r="E15" s="73" t="s">
        <v>523</v>
      </c>
      <c r="F15" s="12" t="s">
        <v>523</v>
      </c>
      <c r="G15" s="58">
        <v>53.0</v>
      </c>
      <c r="H15" s="3">
        <f t="shared" si="1"/>
        <v>53</v>
      </c>
      <c r="I15" s="31" t="s">
        <v>521</v>
      </c>
      <c r="J15" s="27" t="s">
        <v>43</v>
      </c>
      <c r="K15" s="31" t="s">
        <v>521</v>
      </c>
      <c r="L15" s="27" t="s">
        <v>43</v>
      </c>
      <c r="M15" s="50" t="s">
        <v>62</v>
      </c>
      <c r="N15" s="3"/>
      <c r="O15" s="36"/>
      <c r="P15" s="3"/>
      <c r="Q15" s="36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 t="s">
        <v>524</v>
      </c>
      <c r="B16" s="36"/>
      <c r="C16" s="31">
        <v>1.0</v>
      </c>
      <c r="D16" s="31">
        <v>1.0</v>
      </c>
      <c r="E16" s="73" t="s">
        <v>523</v>
      </c>
      <c r="F16" s="12" t="s">
        <v>523</v>
      </c>
      <c r="G16" s="58">
        <v>53.0</v>
      </c>
      <c r="H16" s="3">
        <f t="shared" si="1"/>
        <v>53</v>
      </c>
      <c r="I16" s="31" t="s">
        <v>521</v>
      </c>
      <c r="J16" s="27" t="s">
        <v>43</v>
      </c>
      <c r="K16" s="31" t="s">
        <v>521</v>
      </c>
      <c r="L16" s="27" t="s">
        <v>43</v>
      </c>
      <c r="M16" s="50" t="s">
        <v>62</v>
      </c>
      <c r="N16" s="3"/>
      <c r="O16" s="36"/>
      <c r="P16" s="3"/>
      <c r="Q16" s="36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525</v>
      </c>
      <c r="B17" s="36"/>
      <c r="C17" s="31">
        <v>1.0</v>
      </c>
      <c r="D17" s="31">
        <v>1.0</v>
      </c>
      <c r="E17" s="73" t="s">
        <v>523</v>
      </c>
      <c r="F17" s="12" t="s">
        <v>523</v>
      </c>
      <c r="G17" s="58">
        <v>53.0</v>
      </c>
      <c r="H17" s="3">
        <f t="shared" si="1"/>
        <v>53</v>
      </c>
      <c r="I17" s="31" t="s">
        <v>521</v>
      </c>
      <c r="J17" s="27" t="s">
        <v>43</v>
      </c>
      <c r="K17" s="31" t="s">
        <v>521</v>
      </c>
      <c r="L17" s="27" t="s">
        <v>43</v>
      </c>
      <c r="M17" s="50" t="s">
        <v>62</v>
      </c>
      <c r="N17" s="3"/>
      <c r="O17" s="36"/>
      <c r="P17" s="3"/>
      <c r="Q17" s="36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 t="s">
        <v>526</v>
      </c>
      <c r="B18" s="36"/>
      <c r="C18" s="31">
        <v>1.0</v>
      </c>
      <c r="D18" s="31">
        <v>1.0</v>
      </c>
      <c r="E18" s="12" t="s">
        <v>527</v>
      </c>
      <c r="F18" s="58" t="s">
        <v>527</v>
      </c>
      <c r="G18" s="58">
        <v>277.54</v>
      </c>
      <c r="H18" s="3">
        <f t="shared" si="1"/>
        <v>277.54</v>
      </c>
      <c r="I18" s="31" t="s">
        <v>521</v>
      </c>
      <c r="J18" s="27" t="s">
        <v>43</v>
      </c>
      <c r="K18" s="31" t="s">
        <v>521</v>
      </c>
      <c r="L18" s="27" t="s">
        <v>43</v>
      </c>
      <c r="M18" s="58" t="s">
        <v>528</v>
      </c>
      <c r="N18" s="3"/>
      <c r="O18" s="36"/>
      <c r="P18" s="3"/>
      <c r="Q18" s="36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 t="s">
        <v>529</v>
      </c>
      <c r="B19" s="36"/>
      <c r="C19" s="31">
        <v>1.0</v>
      </c>
      <c r="D19" s="31">
        <v>1.0</v>
      </c>
      <c r="E19" s="12" t="s">
        <v>79</v>
      </c>
      <c r="F19" s="58" t="s">
        <v>79</v>
      </c>
      <c r="G19" s="58">
        <v>10600.01</v>
      </c>
      <c r="H19" s="3">
        <f t="shared" si="1"/>
        <v>10600.01</v>
      </c>
      <c r="I19" s="31" t="s">
        <v>530</v>
      </c>
      <c r="J19" s="27" t="s">
        <v>43</v>
      </c>
      <c r="K19" s="196" t="s">
        <v>531</v>
      </c>
      <c r="L19" s="27" t="s">
        <v>43</v>
      </c>
      <c r="M19" s="50" t="s">
        <v>62</v>
      </c>
      <c r="N19" s="3"/>
      <c r="O19" s="36"/>
      <c r="P19" s="3"/>
      <c r="Q19" s="36"/>
      <c r="R19" s="3"/>
      <c r="S19" s="3"/>
      <c r="T19" s="3"/>
      <c r="U19" s="3"/>
      <c r="V19" s="3"/>
      <c r="W19" s="3"/>
      <c r="X19" s="3"/>
      <c r="Y19" s="3"/>
      <c r="Z19" s="3"/>
    </row>
    <row r="20">
      <c r="B20" s="44"/>
      <c r="D20" s="44"/>
      <c r="F20" s="44"/>
      <c r="G20" s="44"/>
      <c r="H20" s="3">
        <f t="shared" si="1"/>
        <v>0</v>
      </c>
      <c r="I20" s="44"/>
      <c r="K20" s="44"/>
      <c r="M20" s="44"/>
      <c r="O20" s="44"/>
      <c r="Q20" s="44"/>
    </row>
    <row r="21">
      <c r="B21" s="44"/>
      <c r="D21" s="44"/>
      <c r="F21" s="44"/>
      <c r="G21" s="44"/>
      <c r="H21" s="3">
        <f t="shared" si="1"/>
        <v>0</v>
      </c>
      <c r="I21" s="44"/>
      <c r="K21" s="44"/>
      <c r="M21" s="44"/>
      <c r="O21" s="44"/>
      <c r="Q21" s="44"/>
    </row>
    <row r="22">
      <c r="B22" s="44"/>
      <c r="D22" s="44"/>
      <c r="F22" s="44"/>
      <c r="G22" s="44"/>
      <c r="H22" s="3">
        <f t="shared" si="1"/>
        <v>0</v>
      </c>
      <c r="I22" s="44"/>
      <c r="K22" s="44"/>
      <c r="M22" s="44"/>
      <c r="O22" s="44"/>
      <c r="Q22" s="44"/>
    </row>
    <row r="23">
      <c r="B23" s="44"/>
      <c r="D23" s="44"/>
      <c r="F23" s="44"/>
      <c r="G23" s="44"/>
      <c r="H23" s="3">
        <f t="shared" si="1"/>
        <v>0</v>
      </c>
      <c r="I23" s="44"/>
      <c r="K23" s="44"/>
      <c r="M23" s="44"/>
      <c r="O23" s="44"/>
      <c r="Q23" s="44"/>
    </row>
    <row r="24">
      <c r="B24" s="44"/>
      <c r="D24" s="44"/>
      <c r="F24" s="44"/>
      <c r="G24" s="44"/>
      <c r="H24" s="3">
        <f t="shared" si="1"/>
        <v>0</v>
      </c>
      <c r="I24" s="44"/>
      <c r="K24" s="44"/>
      <c r="M24" s="44"/>
      <c r="O24" s="44"/>
      <c r="Q24" s="44"/>
    </row>
    <row r="25">
      <c r="B25" s="44"/>
      <c r="D25" s="44"/>
      <c r="F25" s="44"/>
      <c r="G25" s="44"/>
      <c r="H25" s="3">
        <f t="shared" si="1"/>
        <v>0</v>
      </c>
      <c r="I25" s="44"/>
      <c r="K25" s="44"/>
      <c r="M25" s="44"/>
      <c r="O25" s="44"/>
      <c r="Q25" s="44"/>
    </row>
    <row r="26">
      <c r="B26" s="44"/>
      <c r="D26" s="44"/>
      <c r="F26" s="44"/>
      <c r="G26" s="44"/>
      <c r="H26" s="3">
        <f t="shared" si="1"/>
        <v>0</v>
      </c>
      <c r="I26" s="44"/>
      <c r="K26" s="44"/>
      <c r="M26" s="44"/>
      <c r="O26" s="44"/>
      <c r="Q26" s="44"/>
    </row>
    <row r="27">
      <c r="B27" s="44"/>
      <c r="D27" s="44"/>
      <c r="F27" s="44"/>
      <c r="G27" s="44"/>
      <c r="H27" s="3">
        <f t="shared" si="1"/>
        <v>0</v>
      </c>
      <c r="I27" s="44"/>
      <c r="K27" s="44"/>
      <c r="M27" s="44"/>
      <c r="O27" s="44"/>
      <c r="Q27" s="44"/>
    </row>
    <row r="28">
      <c r="B28" s="44"/>
      <c r="D28" s="44"/>
      <c r="F28" s="44"/>
      <c r="G28" s="44"/>
      <c r="H28" s="3">
        <f t="shared" si="1"/>
        <v>0</v>
      </c>
      <c r="I28" s="44"/>
      <c r="K28" s="44"/>
      <c r="M28" s="44"/>
      <c r="O28" s="44"/>
      <c r="Q28" s="44"/>
    </row>
    <row r="29">
      <c r="B29" s="44"/>
      <c r="D29" s="44"/>
      <c r="F29" s="44"/>
      <c r="G29" s="44"/>
      <c r="H29" s="3">
        <f t="shared" si="1"/>
        <v>0</v>
      </c>
      <c r="I29" s="44"/>
      <c r="K29" s="44"/>
      <c r="M29" s="44"/>
      <c r="O29" s="44"/>
      <c r="Q29" s="44"/>
    </row>
    <row r="30">
      <c r="B30" s="44"/>
      <c r="D30" s="44"/>
      <c r="F30" s="44"/>
      <c r="G30" s="44"/>
      <c r="H30" s="3">
        <f t="shared" si="1"/>
        <v>0</v>
      </c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75"/>
    <col customWidth="1" min="3" max="3" width="15.38"/>
    <col customWidth="1" min="4" max="4" width="14.0"/>
    <col customWidth="1" min="5" max="5" width="22.63"/>
    <col customWidth="1" min="6" max="6" width="19.88"/>
    <col customWidth="1" min="7" max="7" width="12.13"/>
    <col customWidth="1" min="8" max="8" width="13.88"/>
    <col customWidth="1" min="9" max="9" width="15.75"/>
    <col customWidth="1" min="11" max="11" width="32.38"/>
    <col customWidth="1" min="13" max="13" width="51.25"/>
    <col customWidth="1" min="15" max="15" width="96.88"/>
    <col customWidth="1" min="16" max="16" width="18.5"/>
    <col customWidth="1" min="17" max="17" width="21.13"/>
    <col customWidth="1" min="18" max="18" width="30.38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SUM(H2:H25)</f>
        <v>8984.13</v>
      </c>
      <c r="R1" s="23"/>
      <c r="S1" s="23"/>
      <c r="T1" s="23"/>
    </row>
    <row r="2">
      <c r="A2" s="12" t="s">
        <v>532</v>
      </c>
      <c r="B2" s="36"/>
      <c r="C2" s="31">
        <v>1.0</v>
      </c>
      <c r="D2" s="31">
        <v>1.0</v>
      </c>
      <c r="E2" s="3"/>
      <c r="F2" s="58" t="s">
        <v>533</v>
      </c>
      <c r="G2" s="31">
        <v>297.6</v>
      </c>
      <c r="H2" s="3">
        <f t="shared" ref="H2:H12" si="1">G2*D2</f>
        <v>297.6</v>
      </c>
      <c r="I2" s="31" t="s">
        <v>534</v>
      </c>
      <c r="J2" s="27" t="s">
        <v>43</v>
      </c>
      <c r="K2" s="31" t="s">
        <v>534</v>
      </c>
      <c r="L2" s="27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535</v>
      </c>
      <c r="B3" s="36"/>
      <c r="C3" s="31">
        <v>1.0</v>
      </c>
      <c r="D3" s="31">
        <v>1.0</v>
      </c>
      <c r="E3" s="3"/>
      <c r="F3" s="58" t="s">
        <v>536</v>
      </c>
      <c r="G3" s="31">
        <v>1180.68</v>
      </c>
      <c r="H3" s="3">
        <f t="shared" si="1"/>
        <v>1180.68</v>
      </c>
      <c r="I3" s="31" t="s">
        <v>534</v>
      </c>
      <c r="J3" s="27" t="s">
        <v>43</v>
      </c>
      <c r="K3" s="31" t="s">
        <v>534</v>
      </c>
      <c r="L3" s="27" t="s">
        <v>43</v>
      </c>
      <c r="M3" s="50" t="s">
        <v>62</v>
      </c>
      <c r="N3" s="3"/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537</v>
      </c>
      <c r="B4" s="36"/>
      <c r="C4" s="3"/>
      <c r="D4" s="31">
        <v>1.0</v>
      </c>
      <c r="E4" s="3"/>
      <c r="F4" s="58" t="s">
        <v>538</v>
      </c>
      <c r="G4" s="31">
        <v>66.97</v>
      </c>
      <c r="H4" s="3">
        <f t="shared" si="1"/>
        <v>66.97</v>
      </c>
      <c r="I4" s="31" t="s">
        <v>539</v>
      </c>
      <c r="J4" s="27" t="s">
        <v>43</v>
      </c>
      <c r="K4" s="31" t="s">
        <v>534</v>
      </c>
      <c r="L4" s="27" t="s">
        <v>43</v>
      </c>
      <c r="M4" s="58" t="s">
        <v>540</v>
      </c>
      <c r="N4" s="3"/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541</v>
      </c>
      <c r="B5" s="36"/>
      <c r="C5" s="3"/>
      <c r="D5" s="31">
        <v>1.0</v>
      </c>
      <c r="E5" s="3"/>
      <c r="F5" s="58" t="s">
        <v>538</v>
      </c>
      <c r="G5" s="31">
        <v>35.06</v>
      </c>
      <c r="H5" s="3">
        <f t="shared" si="1"/>
        <v>35.06</v>
      </c>
      <c r="I5" s="31" t="s">
        <v>513</v>
      </c>
      <c r="J5" s="27" t="s">
        <v>43</v>
      </c>
      <c r="K5" s="31" t="s">
        <v>534</v>
      </c>
      <c r="L5" s="27" t="s">
        <v>43</v>
      </c>
      <c r="M5" s="58" t="s">
        <v>540</v>
      </c>
      <c r="N5" s="3"/>
      <c r="O5" s="36"/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526</v>
      </c>
      <c r="B6" s="36"/>
      <c r="C6" s="3"/>
      <c r="D6" s="31">
        <v>1.0</v>
      </c>
      <c r="E6" s="3"/>
      <c r="F6" s="58" t="s">
        <v>527</v>
      </c>
      <c r="G6" s="31">
        <v>277.54</v>
      </c>
      <c r="H6" s="3">
        <f t="shared" si="1"/>
        <v>277.54</v>
      </c>
      <c r="I6" s="31" t="s">
        <v>521</v>
      </c>
      <c r="J6" s="27" t="s">
        <v>43</v>
      </c>
      <c r="K6" s="31" t="s">
        <v>534</v>
      </c>
      <c r="L6" s="27" t="s">
        <v>43</v>
      </c>
      <c r="M6" s="58" t="s">
        <v>540</v>
      </c>
      <c r="N6" s="3"/>
      <c r="O6" s="36"/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542</v>
      </c>
      <c r="B7" s="36"/>
      <c r="C7" s="31">
        <v>1.0</v>
      </c>
      <c r="D7" s="31">
        <v>1.0</v>
      </c>
      <c r="E7" s="3"/>
      <c r="F7" s="58" t="s">
        <v>533</v>
      </c>
      <c r="G7" s="31">
        <v>297.6</v>
      </c>
      <c r="H7" s="3">
        <f t="shared" si="1"/>
        <v>297.6</v>
      </c>
      <c r="I7" s="31" t="s">
        <v>534</v>
      </c>
      <c r="J7" s="27" t="s">
        <v>43</v>
      </c>
      <c r="K7" s="31" t="s">
        <v>534</v>
      </c>
      <c r="L7" s="27" t="s">
        <v>43</v>
      </c>
      <c r="M7" s="50" t="s">
        <v>62</v>
      </c>
      <c r="N7" s="3"/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12" t="s">
        <v>543</v>
      </c>
      <c r="B8" s="36"/>
      <c r="C8" s="31">
        <v>1.0</v>
      </c>
      <c r="D8" s="31">
        <v>1.0</v>
      </c>
      <c r="E8" s="3"/>
      <c r="F8" s="58" t="s">
        <v>79</v>
      </c>
      <c r="G8" s="31">
        <v>852.0</v>
      </c>
      <c r="H8" s="3">
        <f t="shared" si="1"/>
        <v>852</v>
      </c>
      <c r="I8" s="31" t="s">
        <v>544</v>
      </c>
      <c r="J8" s="27" t="s">
        <v>43</v>
      </c>
      <c r="K8" s="32" t="s">
        <v>545</v>
      </c>
      <c r="L8" s="27" t="s">
        <v>43</v>
      </c>
      <c r="M8" s="100" t="s">
        <v>156</v>
      </c>
      <c r="N8" s="3"/>
      <c r="O8" s="36"/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94" t="s">
        <v>546</v>
      </c>
      <c r="B9" s="63" t="s">
        <v>547</v>
      </c>
      <c r="C9" s="46">
        <v>1.0</v>
      </c>
      <c r="D9" s="57">
        <v>10.0</v>
      </c>
      <c r="E9" s="208" t="s">
        <v>548</v>
      </c>
      <c r="F9" s="208" t="s">
        <v>119</v>
      </c>
      <c r="G9" s="170">
        <v>13.49</v>
      </c>
      <c r="H9" s="3">
        <f t="shared" si="1"/>
        <v>134.9</v>
      </c>
      <c r="I9" s="31" t="s">
        <v>549</v>
      </c>
      <c r="J9" s="27" t="s">
        <v>43</v>
      </c>
      <c r="K9" s="196" t="s">
        <v>550</v>
      </c>
      <c r="L9" s="27" t="s">
        <v>43</v>
      </c>
      <c r="M9" s="58" t="s">
        <v>504</v>
      </c>
      <c r="N9" s="3"/>
      <c r="O9" s="36"/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94" t="s">
        <v>551</v>
      </c>
      <c r="B10" s="63" t="s">
        <v>552</v>
      </c>
      <c r="C10" s="46">
        <v>1.0</v>
      </c>
      <c r="D10" s="57">
        <v>10.0</v>
      </c>
      <c r="E10" s="208" t="s">
        <v>332</v>
      </c>
      <c r="F10" s="208" t="s">
        <v>332</v>
      </c>
      <c r="G10" s="170">
        <v>7.72</v>
      </c>
      <c r="H10" s="3">
        <f t="shared" si="1"/>
        <v>77.2</v>
      </c>
      <c r="I10" s="31" t="s">
        <v>549</v>
      </c>
      <c r="J10" s="27" t="s">
        <v>43</v>
      </c>
      <c r="K10" s="32" t="s">
        <v>553</v>
      </c>
      <c r="L10" s="27" t="s">
        <v>43</v>
      </c>
      <c r="M10" s="58" t="s">
        <v>504</v>
      </c>
      <c r="N10" s="3"/>
      <c r="O10" s="58" t="s">
        <v>554</v>
      </c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A11" s="208" t="s">
        <v>555</v>
      </c>
      <c r="B11" s="63" t="s">
        <v>556</v>
      </c>
      <c r="C11" s="39">
        <v>1.0</v>
      </c>
      <c r="D11" s="39">
        <v>20.0</v>
      </c>
      <c r="E11" s="208" t="s">
        <v>557</v>
      </c>
      <c r="F11" s="208" t="s">
        <v>558</v>
      </c>
      <c r="G11" s="39">
        <v>4.0</v>
      </c>
      <c r="H11" s="71">
        <f t="shared" si="1"/>
        <v>80</v>
      </c>
      <c r="I11" s="31" t="s">
        <v>549</v>
      </c>
      <c r="J11" s="27" t="s">
        <v>43</v>
      </c>
      <c r="K11" s="32" t="s">
        <v>553</v>
      </c>
      <c r="L11" s="27" t="s">
        <v>43</v>
      </c>
      <c r="M11" s="58" t="s">
        <v>504</v>
      </c>
      <c r="N11" s="3"/>
      <c r="O11" s="36"/>
      <c r="P11" s="3"/>
      <c r="Q11" s="36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559</v>
      </c>
      <c r="B12" s="36"/>
      <c r="C12" s="39">
        <v>1.0</v>
      </c>
      <c r="D12" s="31">
        <v>5.0</v>
      </c>
      <c r="E12" s="12" t="s">
        <v>560</v>
      </c>
      <c r="F12" s="58" t="s">
        <v>561</v>
      </c>
      <c r="G12" s="31">
        <v>402.0</v>
      </c>
      <c r="H12" s="71">
        <f t="shared" si="1"/>
        <v>2010</v>
      </c>
      <c r="I12" s="31" t="s">
        <v>553</v>
      </c>
      <c r="J12" s="27" t="s">
        <v>43</v>
      </c>
      <c r="K12" s="209">
        <v>44835.0</v>
      </c>
      <c r="L12" s="27" t="s">
        <v>43</v>
      </c>
      <c r="M12" s="193" t="s">
        <v>456</v>
      </c>
      <c r="N12" s="3"/>
      <c r="O12" s="58" t="s">
        <v>562</v>
      </c>
      <c r="P12" s="3"/>
      <c r="Q12" s="36"/>
      <c r="R12" s="12" t="s">
        <v>563</v>
      </c>
      <c r="S12" s="3"/>
      <c r="T12" s="3"/>
      <c r="U12" s="3"/>
      <c r="V12" s="3"/>
      <c r="W12" s="3"/>
      <c r="X12" s="3"/>
      <c r="Y12" s="3"/>
      <c r="Z12" s="3"/>
    </row>
    <row r="13">
      <c r="A13" s="12" t="s">
        <v>564</v>
      </c>
      <c r="B13" s="36"/>
      <c r="C13" s="39">
        <v>1.0</v>
      </c>
      <c r="D13" s="31">
        <v>1.0</v>
      </c>
      <c r="E13" s="12" t="s">
        <v>500</v>
      </c>
      <c r="F13" s="58" t="s">
        <v>500</v>
      </c>
      <c r="G13" s="31">
        <v>242.41</v>
      </c>
      <c r="H13" s="3">
        <f t="shared" ref="H13:H25" si="2">G13*$D$2</f>
        <v>242.41</v>
      </c>
      <c r="I13" s="31" t="s">
        <v>565</v>
      </c>
      <c r="J13" s="27" t="s">
        <v>43</v>
      </c>
      <c r="K13" s="31" t="s">
        <v>565</v>
      </c>
      <c r="L13" s="27" t="s">
        <v>43</v>
      </c>
      <c r="M13" s="50" t="s">
        <v>62</v>
      </c>
      <c r="N13" s="3"/>
      <c r="O13" s="36"/>
      <c r="P13" s="3"/>
      <c r="Q13" s="36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 t="s">
        <v>566</v>
      </c>
      <c r="B14" s="36"/>
      <c r="C14" s="39">
        <v>1.0</v>
      </c>
      <c r="D14" s="31">
        <v>1.0</v>
      </c>
      <c r="E14" s="12" t="s">
        <v>500</v>
      </c>
      <c r="F14" s="58" t="s">
        <v>500</v>
      </c>
      <c r="G14" s="31">
        <v>147.92</v>
      </c>
      <c r="H14" s="3">
        <f t="shared" si="2"/>
        <v>147.92</v>
      </c>
      <c r="I14" s="31" t="s">
        <v>565</v>
      </c>
      <c r="J14" s="27" t="s">
        <v>43</v>
      </c>
      <c r="K14" s="31" t="s">
        <v>565</v>
      </c>
      <c r="L14" s="27" t="s">
        <v>43</v>
      </c>
      <c r="M14" s="50" t="s">
        <v>62</v>
      </c>
      <c r="N14" s="3"/>
      <c r="O14" s="36"/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567</v>
      </c>
      <c r="B15" s="36"/>
      <c r="C15" s="39">
        <v>1.0</v>
      </c>
      <c r="D15" s="31">
        <v>1.0</v>
      </c>
      <c r="E15" s="12" t="s">
        <v>500</v>
      </c>
      <c r="F15" s="58" t="s">
        <v>500</v>
      </c>
      <c r="G15" s="31">
        <v>242.41</v>
      </c>
      <c r="H15" s="3">
        <f t="shared" si="2"/>
        <v>242.41</v>
      </c>
      <c r="I15" s="31" t="s">
        <v>565</v>
      </c>
      <c r="J15" s="27" t="s">
        <v>43</v>
      </c>
      <c r="K15" s="31" t="s">
        <v>565</v>
      </c>
      <c r="L15" s="27" t="s">
        <v>43</v>
      </c>
      <c r="M15" s="50" t="s">
        <v>62</v>
      </c>
      <c r="N15" s="3"/>
      <c r="O15" s="36"/>
      <c r="P15" s="3"/>
      <c r="Q15" s="36"/>
      <c r="R15" s="3"/>
      <c r="S15" s="3"/>
      <c r="T15" s="3"/>
      <c r="U15" s="3"/>
      <c r="V15" s="3"/>
      <c r="W15" s="3"/>
      <c r="X15" s="3"/>
      <c r="Y15" s="3"/>
      <c r="Z15" s="3"/>
    </row>
    <row r="16">
      <c r="A16" s="210" t="s">
        <v>568</v>
      </c>
      <c r="B16" s="39" t="s">
        <v>569</v>
      </c>
      <c r="C16" s="39" t="s">
        <v>206</v>
      </c>
      <c r="D16" s="31">
        <v>1.0</v>
      </c>
      <c r="E16" s="101" t="s">
        <v>199</v>
      </c>
      <c r="F16" s="208" t="s">
        <v>200</v>
      </c>
      <c r="G16" s="170">
        <v>492.9</v>
      </c>
      <c r="H16" s="3">
        <f t="shared" si="2"/>
        <v>492.9</v>
      </c>
      <c r="I16" s="31" t="s">
        <v>565</v>
      </c>
      <c r="J16" s="27" t="s">
        <v>43</v>
      </c>
      <c r="K16" s="32" t="s">
        <v>570</v>
      </c>
      <c r="L16" s="27" t="s">
        <v>43</v>
      </c>
      <c r="M16" s="100" t="s">
        <v>156</v>
      </c>
      <c r="N16" s="56"/>
      <c r="O16" s="211" t="s">
        <v>571</v>
      </c>
      <c r="P16" s="128"/>
      <c r="Q16" s="36"/>
      <c r="R16" s="12" t="s">
        <v>572</v>
      </c>
      <c r="S16" s="3"/>
      <c r="T16" s="3"/>
      <c r="U16" s="3"/>
      <c r="V16" s="3"/>
      <c r="W16" s="3"/>
      <c r="X16" s="3"/>
      <c r="Y16" s="3"/>
      <c r="Z16" s="3"/>
    </row>
    <row r="17">
      <c r="A17" s="206" t="s">
        <v>573</v>
      </c>
      <c r="B17" s="31" t="s">
        <v>574</v>
      </c>
      <c r="C17" s="39" t="s">
        <v>206</v>
      </c>
      <c r="D17" s="31">
        <v>1.0</v>
      </c>
      <c r="E17" s="77" t="s">
        <v>207</v>
      </c>
      <c r="F17" s="58" t="s">
        <v>207</v>
      </c>
      <c r="G17" s="212"/>
      <c r="H17" s="3">
        <f t="shared" si="2"/>
        <v>0</v>
      </c>
      <c r="I17" s="31" t="s">
        <v>565</v>
      </c>
      <c r="J17" s="27" t="s">
        <v>43</v>
      </c>
      <c r="K17" s="191"/>
      <c r="L17" s="213"/>
      <c r="M17" s="100" t="s">
        <v>156</v>
      </c>
      <c r="N17" s="3"/>
      <c r="O17" s="76" t="s">
        <v>575</v>
      </c>
      <c r="P17" s="3"/>
      <c r="Q17" s="36"/>
      <c r="R17" s="3"/>
      <c r="S17" s="3"/>
      <c r="T17" s="3"/>
      <c r="U17" s="3"/>
      <c r="V17" s="3"/>
      <c r="W17" s="3"/>
      <c r="X17" s="3"/>
      <c r="Y17" s="3"/>
      <c r="Z17" s="3"/>
    </row>
    <row r="18">
      <c r="A18" s="206" t="s">
        <v>576</v>
      </c>
      <c r="B18" s="31" t="s">
        <v>577</v>
      </c>
      <c r="C18" s="39" t="s">
        <v>206</v>
      </c>
      <c r="D18" s="31">
        <v>1.0</v>
      </c>
      <c r="E18" s="77" t="s">
        <v>207</v>
      </c>
      <c r="F18" s="58" t="s">
        <v>207</v>
      </c>
      <c r="G18" s="212"/>
      <c r="H18" s="3">
        <f t="shared" si="2"/>
        <v>0</v>
      </c>
      <c r="I18" s="31" t="s">
        <v>565</v>
      </c>
      <c r="J18" s="27" t="s">
        <v>43</v>
      </c>
      <c r="K18" s="191"/>
      <c r="L18" s="213"/>
      <c r="M18" s="100" t="s">
        <v>156</v>
      </c>
      <c r="N18" s="3"/>
      <c r="O18" s="76" t="s">
        <v>578</v>
      </c>
      <c r="P18" s="3"/>
      <c r="Q18" s="36"/>
      <c r="R18" s="3"/>
      <c r="S18" s="3"/>
      <c r="T18" s="3"/>
      <c r="U18" s="3"/>
      <c r="V18" s="3"/>
      <c r="W18" s="3"/>
      <c r="X18" s="3"/>
      <c r="Y18" s="3"/>
      <c r="Z18" s="3"/>
    </row>
    <row r="19">
      <c r="A19" s="206" t="s">
        <v>579</v>
      </c>
      <c r="B19" s="31" t="s">
        <v>580</v>
      </c>
      <c r="C19" s="39" t="s">
        <v>206</v>
      </c>
      <c r="D19" s="31">
        <v>1.0</v>
      </c>
      <c r="E19" s="77" t="s">
        <v>207</v>
      </c>
      <c r="F19" s="58" t="s">
        <v>207</v>
      </c>
      <c r="G19" s="212"/>
      <c r="H19" s="3">
        <f t="shared" si="2"/>
        <v>0</v>
      </c>
      <c r="I19" s="31" t="s">
        <v>565</v>
      </c>
      <c r="J19" s="27" t="s">
        <v>43</v>
      </c>
      <c r="K19" s="191"/>
      <c r="L19" s="213"/>
      <c r="M19" s="100" t="s">
        <v>156</v>
      </c>
      <c r="N19" s="3"/>
      <c r="O19" s="76" t="s">
        <v>581</v>
      </c>
      <c r="P19" s="3"/>
      <c r="Q19" s="36"/>
      <c r="R19" s="3"/>
      <c r="S19" s="3"/>
      <c r="T19" s="3"/>
      <c r="U19" s="3"/>
      <c r="V19" s="3"/>
      <c r="W19" s="3"/>
      <c r="X19" s="3"/>
      <c r="Y19" s="3"/>
      <c r="Z19" s="3"/>
    </row>
    <row r="20">
      <c r="A20" s="214" t="s">
        <v>582</v>
      </c>
      <c r="B20" s="39" t="s">
        <v>337</v>
      </c>
      <c r="C20" s="39" t="s">
        <v>206</v>
      </c>
      <c r="D20" s="31">
        <v>1.0</v>
      </c>
      <c r="E20" s="215" t="s">
        <v>207</v>
      </c>
      <c r="F20" s="58" t="s">
        <v>207</v>
      </c>
      <c r="G20" s="32">
        <v>565.0</v>
      </c>
      <c r="H20" s="3">
        <f t="shared" si="2"/>
        <v>565</v>
      </c>
      <c r="I20" s="31" t="s">
        <v>565</v>
      </c>
      <c r="J20" s="27" t="s">
        <v>43</v>
      </c>
      <c r="K20" s="191"/>
      <c r="L20" s="213"/>
      <c r="M20" s="100" t="s">
        <v>156</v>
      </c>
      <c r="N20" s="3"/>
      <c r="O20" s="76" t="s">
        <v>339</v>
      </c>
      <c r="P20" s="3"/>
      <c r="Q20" s="36"/>
      <c r="R20" s="3"/>
      <c r="S20" s="3"/>
      <c r="T20" s="3"/>
      <c r="U20" s="3"/>
      <c r="V20" s="3"/>
      <c r="W20" s="3"/>
      <c r="X20" s="3"/>
      <c r="Y20" s="3"/>
      <c r="Z20" s="3"/>
    </row>
    <row r="21">
      <c r="A21" s="216" t="s">
        <v>583</v>
      </c>
      <c r="B21" s="31" t="s">
        <v>584</v>
      </c>
      <c r="C21" s="217" t="s">
        <v>585</v>
      </c>
      <c r="D21" s="31">
        <v>1.0</v>
      </c>
      <c r="E21" s="215" t="s">
        <v>207</v>
      </c>
      <c r="F21" s="58" t="s">
        <v>207</v>
      </c>
      <c r="G21" s="212"/>
      <c r="H21" s="3">
        <f t="shared" si="2"/>
        <v>0</v>
      </c>
      <c r="I21" s="31" t="s">
        <v>565</v>
      </c>
      <c r="J21" s="27" t="s">
        <v>43</v>
      </c>
      <c r="K21" s="218" t="s">
        <v>586</v>
      </c>
      <c r="L21" s="213"/>
      <c r="M21" s="100" t="s">
        <v>156</v>
      </c>
      <c r="N21" s="3"/>
      <c r="O21" s="76" t="s">
        <v>587</v>
      </c>
      <c r="P21" s="3"/>
      <c r="Q21" s="36"/>
      <c r="R21" s="3"/>
      <c r="S21" s="3"/>
      <c r="T21" s="3"/>
      <c r="U21" s="3"/>
      <c r="V21" s="3"/>
      <c r="W21" s="3"/>
      <c r="X21" s="3"/>
      <c r="Y21" s="3"/>
      <c r="Z21" s="3"/>
    </row>
    <row r="22">
      <c r="A22" s="73" t="s">
        <v>588</v>
      </c>
      <c r="B22" s="27">
        <v>741065.0</v>
      </c>
      <c r="C22" s="69" t="s">
        <v>356</v>
      </c>
      <c r="D22" s="39">
        <v>1.0</v>
      </c>
      <c r="E22" s="12" t="s">
        <v>40</v>
      </c>
      <c r="F22" s="134" t="s">
        <v>41</v>
      </c>
      <c r="G22" s="32">
        <v>1494.0</v>
      </c>
      <c r="H22" s="3">
        <f t="shared" si="2"/>
        <v>1494</v>
      </c>
      <c r="I22" s="69" t="s">
        <v>589</v>
      </c>
      <c r="J22" s="39" t="s">
        <v>43</v>
      </c>
      <c r="K22" s="170" t="s">
        <v>590</v>
      </c>
      <c r="L22" s="170" t="s">
        <v>43</v>
      </c>
      <c r="M22" s="50" t="s">
        <v>62</v>
      </c>
      <c r="N22" s="3"/>
      <c r="O22" s="219" t="s">
        <v>591</v>
      </c>
      <c r="Q22" s="36"/>
      <c r="R22" s="158" t="s">
        <v>46</v>
      </c>
      <c r="S22" s="3"/>
      <c r="T22" s="3"/>
      <c r="U22" s="3"/>
      <c r="V22" s="3"/>
      <c r="W22" s="3"/>
      <c r="X22" s="3"/>
      <c r="Y22" s="3"/>
      <c r="Z22" s="3"/>
    </row>
    <row r="23">
      <c r="A23" s="101" t="s">
        <v>592</v>
      </c>
      <c r="B23" s="101"/>
      <c r="C23" s="54">
        <v>1.0</v>
      </c>
      <c r="D23" s="39">
        <v>1.0</v>
      </c>
      <c r="E23" s="101" t="s">
        <v>593</v>
      </c>
      <c r="F23" s="101" t="s">
        <v>593</v>
      </c>
      <c r="G23" s="66">
        <v>100.44</v>
      </c>
      <c r="H23" s="3">
        <f t="shared" si="2"/>
        <v>100.44</v>
      </c>
      <c r="I23" s="31" t="s">
        <v>594</v>
      </c>
      <c r="J23" s="39" t="s">
        <v>43</v>
      </c>
      <c r="K23" s="31" t="s">
        <v>594</v>
      </c>
      <c r="L23" s="39" t="s">
        <v>43</v>
      </c>
      <c r="M23" s="50" t="s">
        <v>62</v>
      </c>
      <c r="N23" s="3"/>
      <c r="O23" s="58" t="s">
        <v>595</v>
      </c>
      <c r="P23" s="3"/>
      <c r="Q23" s="36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596</v>
      </c>
      <c r="B24" s="31" t="s">
        <v>597</v>
      </c>
      <c r="C24" s="58" t="s">
        <v>598</v>
      </c>
      <c r="D24" s="39">
        <v>1.0</v>
      </c>
      <c r="E24" s="12" t="s">
        <v>218</v>
      </c>
      <c r="F24" s="139" t="s">
        <v>272</v>
      </c>
      <c r="G24" s="31">
        <v>310.5</v>
      </c>
      <c r="H24" s="3">
        <f t="shared" si="2"/>
        <v>310.5</v>
      </c>
      <c r="I24" s="31" t="s">
        <v>599</v>
      </c>
      <c r="J24" s="27" t="s">
        <v>600</v>
      </c>
      <c r="K24" s="32" t="s">
        <v>601</v>
      </c>
      <c r="L24" s="39" t="s">
        <v>43</v>
      </c>
      <c r="M24" s="100" t="s">
        <v>156</v>
      </c>
      <c r="N24" s="3"/>
      <c r="O24" s="58" t="s">
        <v>602</v>
      </c>
      <c r="P24" s="3"/>
      <c r="Q24" s="36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 t="s">
        <v>603</v>
      </c>
      <c r="B25" s="36"/>
      <c r="C25" s="57">
        <v>1.0</v>
      </c>
      <c r="D25" s="39">
        <v>1.0</v>
      </c>
      <c r="E25" s="12" t="s">
        <v>604</v>
      </c>
      <c r="F25" s="158" t="s">
        <v>604</v>
      </c>
      <c r="G25" s="31">
        <v>79.0</v>
      </c>
      <c r="H25" s="3">
        <f t="shared" si="2"/>
        <v>79</v>
      </c>
      <c r="I25" s="31" t="s">
        <v>605</v>
      </c>
      <c r="J25" s="27" t="s">
        <v>43</v>
      </c>
      <c r="K25" s="31" t="s">
        <v>605</v>
      </c>
      <c r="L25" s="27" t="s">
        <v>43</v>
      </c>
      <c r="M25" s="58" t="s">
        <v>504</v>
      </c>
      <c r="N25" s="3"/>
      <c r="O25" s="36"/>
      <c r="P25" s="3"/>
      <c r="Q25" s="36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606</v>
      </c>
      <c r="B26" s="31">
        <v>740379.0</v>
      </c>
      <c r="C26" s="57">
        <v>1.0</v>
      </c>
      <c r="D26" s="31">
        <v>10.0</v>
      </c>
      <c r="E26" s="12" t="s">
        <v>40</v>
      </c>
      <c r="F26" s="134" t="s">
        <v>41</v>
      </c>
      <c r="G26" s="32">
        <v>23.4</v>
      </c>
      <c r="H26" s="12">
        <v>234.0</v>
      </c>
      <c r="I26" s="31" t="s">
        <v>605</v>
      </c>
      <c r="J26" s="27" t="s">
        <v>43</v>
      </c>
      <c r="K26" s="32" t="s">
        <v>607</v>
      </c>
      <c r="L26" s="27" t="s">
        <v>43</v>
      </c>
      <c r="M26" s="100" t="s">
        <v>156</v>
      </c>
      <c r="N26" s="3"/>
      <c r="O26" s="76" t="s">
        <v>608</v>
      </c>
      <c r="Q26" s="36"/>
      <c r="R26" s="119" t="s">
        <v>609</v>
      </c>
      <c r="S26" s="12" t="s">
        <v>46</v>
      </c>
      <c r="T26" s="3"/>
      <c r="U26" s="3"/>
      <c r="V26" s="3"/>
      <c r="W26" s="3"/>
      <c r="X26" s="3"/>
      <c r="Y26" s="3"/>
      <c r="Z26" s="3"/>
    </row>
    <row r="27">
      <c r="A27" s="94" t="s">
        <v>610</v>
      </c>
      <c r="B27" s="39">
        <v>1.1597273E7</v>
      </c>
      <c r="C27" s="39">
        <v>1.0</v>
      </c>
      <c r="D27" s="64">
        <v>2.0</v>
      </c>
      <c r="E27" s="101" t="s">
        <v>611</v>
      </c>
      <c r="F27" s="101" t="s">
        <v>86</v>
      </c>
      <c r="G27" s="66">
        <v>2.89</v>
      </c>
      <c r="H27" s="12">
        <f>$D$27*G27</f>
        <v>5.78</v>
      </c>
      <c r="I27" s="31" t="s">
        <v>605</v>
      </c>
      <c r="J27" s="27" t="s">
        <v>43</v>
      </c>
      <c r="K27" s="32" t="s">
        <v>612</v>
      </c>
      <c r="L27" s="27" t="s">
        <v>43</v>
      </c>
      <c r="M27" s="50" t="s">
        <v>62</v>
      </c>
      <c r="N27" s="220"/>
      <c r="O27" s="221" t="s">
        <v>613</v>
      </c>
      <c r="Q27" s="44"/>
    </row>
    <row r="28">
      <c r="A28" s="12" t="s">
        <v>614</v>
      </c>
      <c r="B28" s="36"/>
      <c r="C28" s="27">
        <v>1.0</v>
      </c>
      <c r="D28" s="31">
        <v>1.0</v>
      </c>
      <c r="E28" s="3"/>
      <c r="F28" s="36"/>
      <c r="G28" s="31">
        <v>1043.15</v>
      </c>
      <c r="H28" s="12">
        <v>1043.15</v>
      </c>
      <c r="I28" s="31" t="s">
        <v>615</v>
      </c>
      <c r="J28" s="27" t="s">
        <v>43</v>
      </c>
      <c r="K28" s="31" t="s">
        <v>615</v>
      </c>
      <c r="L28" s="27" t="s">
        <v>43</v>
      </c>
      <c r="M28" s="50" t="s">
        <v>62</v>
      </c>
      <c r="N28" s="3"/>
      <c r="O28" s="36"/>
      <c r="P28" s="3"/>
      <c r="Q28" s="36"/>
      <c r="R28" s="3"/>
      <c r="S28" s="3"/>
      <c r="T28" s="3"/>
      <c r="U28" s="3"/>
      <c r="V28" s="3"/>
      <c r="W28" s="3"/>
      <c r="X28" s="3"/>
      <c r="Y28" s="3"/>
      <c r="Z28" s="3"/>
    </row>
    <row r="29">
      <c r="B29" s="44"/>
      <c r="D29" s="44"/>
      <c r="F29" s="44"/>
      <c r="G29" s="44"/>
      <c r="H29" s="12">
        <f t="shared" ref="H29:H35" si="3">$D$27*G29</f>
        <v>0</v>
      </c>
      <c r="I29" s="44"/>
      <c r="K29" s="44"/>
      <c r="M29" s="44"/>
      <c r="O29" s="44"/>
      <c r="Q29" s="44"/>
    </row>
    <row r="30">
      <c r="B30" s="44"/>
      <c r="D30" s="44"/>
      <c r="F30" s="44"/>
      <c r="G30" s="44"/>
      <c r="H30" s="12">
        <f t="shared" si="3"/>
        <v>0</v>
      </c>
      <c r="I30" s="44"/>
      <c r="K30" s="44"/>
      <c r="M30" s="44"/>
      <c r="O30" s="44"/>
      <c r="Q30" s="44"/>
    </row>
    <row r="31">
      <c r="B31" s="44"/>
      <c r="D31" s="44"/>
      <c r="F31" s="44"/>
      <c r="G31" s="44"/>
      <c r="H31" s="12">
        <f t="shared" si="3"/>
        <v>0</v>
      </c>
      <c r="I31" s="44"/>
      <c r="K31" s="44"/>
      <c r="M31" s="44"/>
      <c r="O31" s="44"/>
      <c r="Q31" s="44"/>
    </row>
    <row r="32">
      <c r="B32" s="44"/>
      <c r="D32" s="44"/>
      <c r="F32" s="44"/>
      <c r="G32" s="44"/>
      <c r="H32" s="12">
        <f t="shared" si="3"/>
        <v>0</v>
      </c>
      <c r="I32" s="44"/>
      <c r="K32" s="44"/>
      <c r="M32" s="44"/>
      <c r="O32" s="44"/>
      <c r="Q32" s="44"/>
    </row>
    <row r="33">
      <c r="B33" s="44"/>
      <c r="D33" s="44"/>
      <c r="F33" s="44"/>
      <c r="G33" s="44"/>
      <c r="H33" s="12">
        <f t="shared" si="3"/>
        <v>0</v>
      </c>
      <c r="I33" s="44"/>
      <c r="K33" s="44"/>
      <c r="M33" s="44"/>
      <c r="O33" s="44"/>
      <c r="Q33" s="44"/>
    </row>
    <row r="34">
      <c r="B34" s="44"/>
      <c r="D34" s="44"/>
      <c r="F34" s="44"/>
      <c r="G34" s="44"/>
      <c r="H34" s="12">
        <f t="shared" si="3"/>
        <v>0</v>
      </c>
      <c r="I34" s="44"/>
      <c r="K34" s="44"/>
      <c r="M34" s="44"/>
      <c r="O34" s="44"/>
      <c r="Q34" s="44"/>
    </row>
    <row r="35">
      <c r="B35" s="44"/>
      <c r="D35" s="44"/>
      <c r="F35" s="44"/>
      <c r="G35" s="44"/>
      <c r="H35" s="12">
        <f t="shared" si="3"/>
        <v>0</v>
      </c>
      <c r="I35" s="44"/>
      <c r="K35" s="44"/>
      <c r="M35" s="44"/>
      <c r="O35" s="44"/>
      <c r="Q35" s="44"/>
    </row>
    <row r="36">
      <c r="B36" s="44"/>
      <c r="D36" s="44"/>
      <c r="F36" s="44"/>
      <c r="G36" s="44"/>
      <c r="H36" s="3">
        <f>G36*$D$2</f>
        <v>0</v>
      </c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</sheetData>
  <hyperlinks>
    <hyperlink r:id="rId4" ref="O16"/>
    <hyperlink r:id="rId5" ref="O17"/>
    <hyperlink r:id="rId6" ref="O18"/>
    <hyperlink r:id="rId7" ref="O19"/>
    <hyperlink r:id="rId8" ref="O20"/>
    <hyperlink r:id="rId9" ref="O21"/>
    <hyperlink r:id="rId10" ref="O22"/>
    <hyperlink r:id="rId11" ref="O26"/>
    <hyperlink r:id="rId12" ref="O27"/>
  </hyperlinks>
  <drawing r:id="rId13"/>
  <legacy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6.38"/>
    <col customWidth="1" min="2" max="2" width="30.25"/>
    <col customWidth="1" min="3" max="3" width="16.13"/>
    <col customWidth="1" min="5" max="5" width="28.63"/>
    <col customWidth="1" min="6" max="6" width="18.25"/>
    <col customWidth="1" min="7" max="7" width="12.13"/>
    <col customWidth="1" min="8" max="8" width="22.75"/>
    <col customWidth="1" min="11" max="11" width="24.75"/>
    <col customWidth="1" min="13" max="13" width="43.38"/>
    <col customWidth="1" min="14" max="14" width="45.25"/>
    <col customWidth="1" min="15" max="15" width="91.38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SUM(H2:H25)</f>
        <v>30241.93</v>
      </c>
      <c r="R1" s="23"/>
      <c r="S1" s="23"/>
      <c r="T1" s="23"/>
    </row>
    <row r="2">
      <c r="A2" s="12" t="s">
        <v>616</v>
      </c>
      <c r="B2" s="36"/>
      <c r="C2" s="3"/>
      <c r="D2" s="31">
        <v>1.0</v>
      </c>
      <c r="E2" s="161"/>
      <c r="F2" s="93"/>
      <c r="G2" s="31">
        <v>652.0</v>
      </c>
      <c r="H2" s="3">
        <f t="shared" ref="H2:H18" si="1">$D$2*G2</f>
        <v>652</v>
      </c>
      <c r="I2" s="31" t="s">
        <v>607</v>
      </c>
      <c r="J2" s="27" t="s">
        <v>43</v>
      </c>
      <c r="K2" s="31" t="s">
        <v>607</v>
      </c>
      <c r="L2" s="27" t="s">
        <v>43</v>
      </c>
      <c r="M2" s="50" t="s">
        <v>62</v>
      </c>
      <c r="N2" s="3"/>
      <c r="O2" s="36"/>
      <c r="P2" s="3"/>
      <c r="Q2" s="36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617</v>
      </c>
      <c r="B3" s="36"/>
      <c r="C3" s="3"/>
      <c r="D3" s="31">
        <v>1.0</v>
      </c>
      <c r="E3" s="3"/>
      <c r="F3" s="36"/>
      <c r="G3" s="31">
        <v>1123.43</v>
      </c>
      <c r="H3" s="3">
        <f t="shared" si="1"/>
        <v>1123.43</v>
      </c>
      <c r="I3" s="31" t="s">
        <v>607</v>
      </c>
      <c r="J3" s="27" t="s">
        <v>43</v>
      </c>
      <c r="K3" s="31" t="s">
        <v>607</v>
      </c>
      <c r="L3" s="27" t="s">
        <v>43</v>
      </c>
      <c r="M3" s="50" t="s">
        <v>62</v>
      </c>
      <c r="N3" s="3"/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618</v>
      </c>
      <c r="B4" s="36"/>
      <c r="C4" s="3"/>
      <c r="D4" s="31">
        <v>1.0</v>
      </c>
      <c r="E4" s="12" t="s">
        <v>619</v>
      </c>
      <c r="F4" s="36"/>
      <c r="G4" s="31">
        <v>25.0</v>
      </c>
      <c r="H4" s="3">
        <f t="shared" si="1"/>
        <v>25</v>
      </c>
      <c r="I4" s="31" t="s">
        <v>620</v>
      </c>
      <c r="J4" s="27" t="s">
        <v>43</v>
      </c>
      <c r="K4" s="222" t="s">
        <v>621</v>
      </c>
      <c r="L4" s="223" t="s">
        <v>43</v>
      </c>
      <c r="M4" s="50" t="s">
        <v>62</v>
      </c>
      <c r="N4" s="3"/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101" t="s">
        <v>622</v>
      </c>
      <c r="B5" s="39">
        <v>563130.0</v>
      </c>
      <c r="C5" s="39" t="s">
        <v>623</v>
      </c>
      <c r="D5" s="31">
        <v>1.0</v>
      </c>
      <c r="E5" s="101" t="s">
        <v>624</v>
      </c>
      <c r="F5" s="208" t="s">
        <v>86</v>
      </c>
      <c r="G5" s="170">
        <v>245.34</v>
      </c>
      <c r="H5" s="224">
        <f t="shared" si="1"/>
        <v>245.34</v>
      </c>
      <c r="I5" s="31" t="s">
        <v>601</v>
      </c>
      <c r="J5" s="27" t="s">
        <v>43</v>
      </c>
      <c r="K5" s="41" t="s">
        <v>625</v>
      </c>
      <c r="L5" s="223" t="s">
        <v>43</v>
      </c>
      <c r="M5" s="100" t="s">
        <v>156</v>
      </c>
      <c r="N5" s="3"/>
      <c r="O5" s="36"/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101" t="s">
        <v>626</v>
      </c>
      <c r="B6" s="39">
        <v>552764.0</v>
      </c>
      <c r="C6" s="46" t="s">
        <v>623</v>
      </c>
      <c r="D6" s="31">
        <v>1.0</v>
      </c>
      <c r="E6" s="101" t="s">
        <v>627</v>
      </c>
      <c r="F6" s="208" t="s">
        <v>86</v>
      </c>
      <c r="G6" s="170">
        <v>372.33</v>
      </c>
      <c r="H6" s="224">
        <f t="shared" si="1"/>
        <v>372.33</v>
      </c>
      <c r="I6" s="31" t="s">
        <v>601</v>
      </c>
      <c r="J6" s="27" t="s">
        <v>43</v>
      </c>
      <c r="K6" s="41" t="s">
        <v>625</v>
      </c>
      <c r="L6" s="223" t="s">
        <v>43</v>
      </c>
      <c r="M6" s="100" t="s">
        <v>156</v>
      </c>
      <c r="N6" s="3"/>
      <c r="O6" s="36"/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01" t="s">
        <v>628</v>
      </c>
      <c r="B7" s="39">
        <v>563800.0</v>
      </c>
      <c r="C7" s="27" t="s">
        <v>356</v>
      </c>
      <c r="D7" s="31">
        <v>1.0</v>
      </c>
      <c r="E7" s="101" t="s">
        <v>624</v>
      </c>
      <c r="F7" s="208" t="s">
        <v>86</v>
      </c>
      <c r="G7" s="170">
        <v>308.34</v>
      </c>
      <c r="H7" s="224">
        <f t="shared" si="1"/>
        <v>308.34</v>
      </c>
      <c r="I7" s="31" t="s">
        <v>601</v>
      </c>
      <c r="J7" s="27" t="s">
        <v>43</v>
      </c>
      <c r="K7" s="41" t="s">
        <v>625</v>
      </c>
      <c r="L7" s="223" t="s">
        <v>43</v>
      </c>
      <c r="M7" s="100" t="s">
        <v>156</v>
      </c>
      <c r="N7" s="3"/>
      <c r="O7" s="36"/>
      <c r="P7" s="3"/>
      <c r="Q7" s="36"/>
      <c r="R7" s="3"/>
      <c r="S7" s="3"/>
      <c r="T7" s="3"/>
      <c r="U7" s="3"/>
      <c r="V7" s="3"/>
      <c r="W7" s="3"/>
      <c r="X7" s="3"/>
      <c r="Y7" s="3"/>
      <c r="Z7" s="3"/>
    </row>
    <row r="8">
      <c r="A8" s="78" t="s">
        <v>629</v>
      </c>
      <c r="B8" s="80" t="s">
        <v>630</v>
      </c>
      <c r="C8" s="81" t="s">
        <v>631</v>
      </c>
      <c r="D8" s="80">
        <v>1.0</v>
      </c>
      <c r="E8" s="142" t="s">
        <v>632</v>
      </c>
      <c r="F8" s="225" t="s">
        <v>119</v>
      </c>
      <c r="G8" s="178">
        <v>162.27</v>
      </c>
      <c r="H8" s="82">
        <f t="shared" si="1"/>
        <v>162.27</v>
      </c>
      <c r="I8" s="80" t="s">
        <v>601</v>
      </c>
      <c r="J8" s="81" t="s">
        <v>43</v>
      </c>
      <c r="K8" s="226" t="s">
        <v>633</v>
      </c>
      <c r="L8" s="84"/>
      <c r="M8" s="227" t="s">
        <v>156</v>
      </c>
      <c r="N8" s="82"/>
      <c r="O8" s="87"/>
      <c r="P8" s="82"/>
      <c r="Q8" s="87"/>
      <c r="R8" s="82"/>
      <c r="S8" s="82"/>
      <c r="T8" s="82"/>
      <c r="U8" s="82"/>
      <c r="V8" s="82"/>
      <c r="W8" s="82"/>
      <c r="X8" s="82"/>
      <c r="Y8" s="82"/>
      <c r="Z8" s="82"/>
    </row>
    <row r="9">
      <c r="A9" s="94" t="s">
        <v>355</v>
      </c>
      <c r="B9" s="228">
        <v>552843.0</v>
      </c>
      <c r="C9" s="46" t="s">
        <v>356</v>
      </c>
      <c r="D9" s="32">
        <v>1.0</v>
      </c>
      <c r="E9" s="208" t="s">
        <v>357</v>
      </c>
      <c r="F9" s="208" t="s">
        <v>86</v>
      </c>
      <c r="G9" s="46">
        <v>164.16</v>
      </c>
      <c r="H9" s="229">
        <f t="shared" si="1"/>
        <v>164.16</v>
      </c>
      <c r="I9" s="32" t="s">
        <v>601</v>
      </c>
      <c r="J9" s="33" t="s">
        <v>43</v>
      </c>
      <c r="K9" s="32" t="s">
        <v>634</v>
      </c>
      <c r="L9" s="33" t="s">
        <v>43</v>
      </c>
      <c r="M9" s="230" t="s">
        <v>156</v>
      </c>
      <c r="N9" s="229"/>
      <c r="O9" s="231"/>
      <c r="P9" s="229"/>
      <c r="Q9" s="231"/>
      <c r="R9" s="229"/>
      <c r="S9" s="229"/>
      <c r="T9" s="229"/>
      <c r="U9" s="229"/>
      <c r="V9" s="229"/>
      <c r="W9" s="229"/>
      <c r="X9" s="229"/>
      <c r="Y9" s="229"/>
      <c r="Z9" s="229"/>
    </row>
    <row r="10">
      <c r="A10" s="101" t="s">
        <v>635</v>
      </c>
      <c r="B10" s="39" t="s">
        <v>636</v>
      </c>
      <c r="C10" s="39" t="s">
        <v>637</v>
      </c>
      <c r="D10" s="31">
        <v>1.0</v>
      </c>
      <c r="E10" s="101" t="s">
        <v>638</v>
      </c>
      <c r="F10" s="101" t="s">
        <v>347</v>
      </c>
      <c r="G10" s="66">
        <v>359.0</v>
      </c>
      <c r="H10" s="3">
        <f t="shared" si="1"/>
        <v>359</v>
      </c>
      <c r="I10" s="31" t="s">
        <v>639</v>
      </c>
      <c r="J10" s="27" t="s">
        <v>43</v>
      </c>
      <c r="K10" s="31" t="s">
        <v>640</v>
      </c>
      <c r="L10" s="27" t="s">
        <v>641</v>
      </c>
      <c r="M10" s="100" t="s">
        <v>156</v>
      </c>
      <c r="N10" s="12" t="s">
        <v>642</v>
      </c>
      <c r="O10" s="58" t="s">
        <v>643</v>
      </c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 t="s">
        <v>644</v>
      </c>
      <c r="B11" s="36"/>
      <c r="C11" s="27">
        <v>1.0</v>
      </c>
      <c r="D11" s="31">
        <v>1.0</v>
      </c>
      <c r="E11" s="73" t="s">
        <v>523</v>
      </c>
      <c r="F11" s="73" t="s">
        <v>523</v>
      </c>
      <c r="G11" s="31">
        <v>64.0</v>
      </c>
      <c r="H11" s="3">
        <f t="shared" si="1"/>
        <v>64</v>
      </c>
      <c r="I11" s="31" t="s">
        <v>645</v>
      </c>
      <c r="J11" s="27" t="s">
        <v>43</v>
      </c>
      <c r="K11" s="31" t="s">
        <v>645</v>
      </c>
      <c r="L11" s="27" t="s">
        <v>43</v>
      </c>
      <c r="M11" s="50" t="s">
        <v>62</v>
      </c>
      <c r="N11" s="3"/>
      <c r="O11" s="36"/>
      <c r="P11" s="3"/>
      <c r="Q11" s="36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646</v>
      </c>
      <c r="B12" s="31">
        <v>3.125000095E9</v>
      </c>
      <c r="C12" s="27">
        <v>1.0</v>
      </c>
      <c r="D12" s="31">
        <v>1.0</v>
      </c>
      <c r="E12" s="12" t="s">
        <v>425</v>
      </c>
      <c r="F12" s="58" t="s">
        <v>200</v>
      </c>
      <c r="G12" s="31">
        <v>825.3</v>
      </c>
      <c r="H12" s="3">
        <f t="shared" si="1"/>
        <v>825.3</v>
      </c>
      <c r="I12" s="31" t="s">
        <v>647</v>
      </c>
      <c r="J12" s="27" t="s">
        <v>43</v>
      </c>
      <c r="K12" s="32" t="s">
        <v>615</v>
      </c>
      <c r="L12" s="33" t="s">
        <v>43</v>
      </c>
      <c r="M12" s="100" t="s">
        <v>156</v>
      </c>
      <c r="N12" s="3"/>
      <c r="O12" s="58" t="s">
        <v>648</v>
      </c>
      <c r="P12" s="3"/>
      <c r="Q12" s="36"/>
      <c r="R12" s="3"/>
      <c r="S12" s="3"/>
      <c r="T12" s="3"/>
      <c r="U12" s="3"/>
      <c r="V12" s="3"/>
      <c r="W12" s="3"/>
      <c r="X12" s="3"/>
      <c r="Y12" s="3"/>
      <c r="Z12" s="3"/>
    </row>
    <row r="13">
      <c r="A13" s="101" t="s">
        <v>649</v>
      </c>
      <c r="B13" s="71" t="s">
        <v>650</v>
      </c>
      <c r="C13" s="39" t="s">
        <v>440</v>
      </c>
      <c r="D13" s="31">
        <v>1.0</v>
      </c>
      <c r="E13" s="101" t="s">
        <v>425</v>
      </c>
      <c r="F13" s="101" t="s">
        <v>119</v>
      </c>
      <c r="G13" s="170">
        <v>492.19</v>
      </c>
      <c r="H13" s="3">
        <f t="shared" si="1"/>
        <v>492.19</v>
      </c>
      <c r="I13" s="31" t="s">
        <v>647</v>
      </c>
      <c r="J13" s="27" t="s">
        <v>43</v>
      </c>
      <c r="K13" s="32" t="s">
        <v>615</v>
      </c>
      <c r="L13" s="33" t="s">
        <v>43</v>
      </c>
      <c r="M13" s="100" t="s">
        <v>156</v>
      </c>
      <c r="O13" s="44"/>
      <c r="Q13" s="44"/>
    </row>
    <row r="14">
      <c r="A14" s="12" t="s">
        <v>651</v>
      </c>
      <c r="B14" s="36"/>
      <c r="C14" s="27" t="s">
        <v>652</v>
      </c>
      <c r="D14" s="31">
        <v>1.0</v>
      </c>
      <c r="E14" s="12" t="s">
        <v>653</v>
      </c>
      <c r="F14" s="58" t="s">
        <v>653</v>
      </c>
      <c r="G14" s="31">
        <v>143.0</v>
      </c>
      <c r="H14" s="3">
        <f t="shared" si="1"/>
        <v>143</v>
      </c>
      <c r="I14" s="31" t="s">
        <v>647</v>
      </c>
      <c r="J14" s="27" t="s">
        <v>43</v>
      </c>
      <c r="K14" s="31" t="s">
        <v>647</v>
      </c>
      <c r="L14" s="27" t="s">
        <v>43</v>
      </c>
      <c r="M14" s="58" t="s">
        <v>8</v>
      </c>
      <c r="N14" s="3"/>
      <c r="O14" s="58" t="s">
        <v>654</v>
      </c>
      <c r="P14" s="3"/>
      <c r="Q14" s="36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655</v>
      </c>
      <c r="B15" s="36"/>
      <c r="C15" s="3"/>
      <c r="D15" s="31">
        <v>1.0</v>
      </c>
      <c r="E15" s="12" t="s">
        <v>656</v>
      </c>
      <c r="F15" s="158" t="s">
        <v>656</v>
      </c>
      <c r="G15" s="58">
        <v>23947.32</v>
      </c>
      <c r="H15" s="3">
        <f t="shared" si="1"/>
        <v>23947.32</v>
      </c>
      <c r="I15" s="31" t="s">
        <v>657</v>
      </c>
      <c r="J15" s="27" t="s">
        <v>43</v>
      </c>
      <c r="K15" s="31" t="s">
        <v>657</v>
      </c>
      <c r="L15" s="27" t="s">
        <v>43</v>
      </c>
      <c r="M15" s="50" t="s">
        <v>62</v>
      </c>
      <c r="N15" s="3"/>
      <c r="O15" s="58" t="s">
        <v>658</v>
      </c>
      <c r="P15" s="3"/>
      <c r="Q15" s="36"/>
      <c r="R15" s="3"/>
      <c r="S15" s="3"/>
      <c r="T15" s="3"/>
      <c r="U15" s="3"/>
      <c r="V15" s="3"/>
      <c r="W15" s="3"/>
      <c r="X15" s="3"/>
      <c r="Y15" s="3"/>
      <c r="Z15" s="3"/>
    </row>
    <row r="16">
      <c r="A16" s="111" t="s">
        <v>659</v>
      </c>
      <c r="B16" s="172">
        <v>264058.0</v>
      </c>
      <c r="C16" s="27">
        <v>1.0</v>
      </c>
      <c r="D16" s="31">
        <v>1.0</v>
      </c>
      <c r="E16" s="219" t="s">
        <v>251</v>
      </c>
      <c r="F16" s="232" t="s">
        <v>251</v>
      </c>
      <c r="G16" s="58">
        <v>16.99</v>
      </c>
      <c r="H16" s="3">
        <f t="shared" si="1"/>
        <v>16.99</v>
      </c>
      <c r="I16" s="31" t="s">
        <v>660</v>
      </c>
      <c r="J16" s="27" t="s">
        <v>43</v>
      </c>
      <c r="K16" s="32" t="s">
        <v>661</v>
      </c>
      <c r="L16" s="27" t="s">
        <v>43</v>
      </c>
      <c r="M16" s="58" t="s">
        <v>487</v>
      </c>
      <c r="N16" s="12" t="s">
        <v>662</v>
      </c>
      <c r="O16" s="76" t="s">
        <v>663</v>
      </c>
      <c r="P16" s="3"/>
      <c r="Q16" s="36"/>
      <c r="R16" s="12" t="s">
        <v>483</v>
      </c>
      <c r="S16" s="3"/>
      <c r="T16" s="3"/>
      <c r="U16" s="3"/>
      <c r="V16" s="3"/>
      <c r="W16" s="3"/>
      <c r="X16" s="3"/>
      <c r="Y16" s="3"/>
      <c r="Z16" s="3"/>
    </row>
    <row r="17" ht="18.0" customHeight="1">
      <c r="A17" s="58" t="s">
        <v>664</v>
      </c>
      <c r="B17" s="172">
        <v>194915.0</v>
      </c>
      <c r="C17" s="27">
        <v>1.0</v>
      </c>
      <c r="D17" s="31">
        <v>1.0</v>
      </c>
      <c r="E17" s="219" t="s">
        <v>251</v>
      </c>
      <c r="F17" s="232" t="s">
        <v>251</v>
      </c>
      <c r="G17" s="58">
        <v>32.99</v>
      </c>
      <c r="H17" s="3">
        <f t="shared" si="1"/>
        <v>32.99</v>
      </c>
      <c r="I17" s="31" t="s">
        <v>660</v>
      </c>
      <c r="J17" s="27" t="s">
        <v>43</v>
      </c>
      <c r="K17" s="32" t="s">
        <v>661</v>
      </c>
      <c r="L17" s="27" t="s">
        <v>43</v>
      </c>
      <c r="M17" s="58" t="s">
        <v>487</v>
      </c>
      <c r="N17" s="12" t="s">
        <v>662</v>
      </c>
      <c r="O17" s="76" t="s">
        <v>665</v>
      </c>
      <c r="P17" s="3"/>
      <c r="Q17" s="36"/>
      <c r="R17" s="3"/>
      <c r="S17" s="3"/>
      <c r="T17" s="3"/>
      <c r="U17" s="3"/>
      <c r="V17" s="3"/>
      <c r="W17" s="3"/>
      <c r="X17" s="3"/>
      <c r="Y17" s="3"/>
      <c r="Z17" s="3"/>
    </row>
    <row r="18">
      <c r="A18" s="58" t="s">
        <v>666</v>
      </c>
      <c r="B18" s="172">
        <v>93930.0</v>
      </c>
      <c r="C18" s="27">
        <v>1.0</v>
      </c>
      <c r="D18" s="31">
        <v>1.0</v>
      </c>
      <c r="E18" s="219" t="s">
        <v>251</v>
      </c>
      <c r="F18" s="232" t="s">
        <v>251</v>
      </c>
      <c r="G18" s="58">
        <v>39.99</v>
      </c>
      <c r="H18" s="3">
        <f t="shared" si="1"/>
        <v>39.99</v>
      </c>
      <c r="I18" s="31" t="s">
        <v>660</v>
      </c>
      <c r="J18" s="27" t="s">
        <v>43</v>
      </c>
      <c r="K18" s="32" t="s">
        <v>661</v>
      </c>
      <c r="L18" s="27" t="s">
        <v>43</v>
      </c>
      <c r="M18" s="58" t="s">
        <v>487</v>
      </c>
      <c r="N18" s="12" t="s">
        <v>662</v>
      </c>
      <c r="O18" s="76" t="s">
        <v>667</v>
      </c>
      <c r="P18" s="3"/>
      <c r="Q18" s="36"/>
      <c r="R18" s="3"/>
      <c r="S18" s="3"/>
      <c r="T18" s="3"/>
      <c r="U18" s="3"/>
      <c r="V18" s="3"/>
      <c r="W18" s="3"/>
      <c r="X18" s="3"/>
      <c r="Y18" s="3"/>
      <c r="Z18" s="3"/>
    </row>
    <row r="19">
      <c r="A19" s="58" t="s">
        <v>668</v>
      </c>
      <c r="B19" s="172">
        <v>395285.0</v>
      </c>
      <c r="C19" s="27">
        <v>1.0</v>
      </c>
      <c r="D19" s="31">
        <v>2.0</v>
      </c>
      <c r="E19" s="219" t="s">
        <v>251</v>
      </c>
      <c r="F19" s="232" t="s">
        <v>251</v>
      </c>
      <c r="G19" s="58">
        <v>44.99</v>
      </c>
      <c r="H19" s="3">
        <f t="shared" ref="H19:H45" si="2">D19*G19</f>
        <v>89.98</v>
      </c>
      <c r="I19" s="31" t="s">
        <v>660</v>
      </c>
      <c r="J19" s="27" t="s">
        <v>43</v>
      </c>
      <c r="K19" s="32" t="s">
        <v>661</v>
      </c>
      <c r="L19" s="27" t="s">
        <v>43</v>
      </c>
      <c r="M19" s="58" t="s">
        <v>487</v>
      </c>
      <c r="N19" s="12" t="s">
        <v>662</v>
      </c>
      <c r="O19" s="76" t="s">
        <v>669</v>
      </c>
      <c r="P19" s="3"/>
      <c r="Q19" s="36"/>
      <c r="R19" s="3"/>
      <c r="S19" s="3"/>
      <c r="T19" s="3"/>
      <c r="U19" s="3"/>
      <c r="V19" s="3"/>
      <c r="W19" s="3"/>
      <c r="X19" s="3"/>
      <c r="Y19" s="3"/>
      <c r="Z19" s="3"/>
    </row>
    <row r="20">
      <c r="A20" s="58" t="s">
        <v>670</v>
      </c>
      <c r="B20" s="233">
        <v>519326.0</v>
      </c>
      <c r="C20" s="27">
        <v>1.0</v>
      </c>
      <c r="D20" s="31">
        <v>2.0</v>
      </c>
      <c r="E20" s="219" t="s">
        <v>251</v>
      </c>
      <c r="F20" s="232" t="s">
        <v>251</v>
      </c>
      <c r="G20" s="58">
        <v>49.99</v>
      </c>
      <c r="H20" s="3">
        <f t="shared" si="2"/>
        <v>99.98</v>
      </c>
      <c r="I20" s="31" t="s">
        <v>660</v>
      </c>
      <c r="J20" s="27" t="s">
        <v>43</v>
      </c>
      <c r="K20" s="32" t="s">
        <v>661</v>
      </c>
      <c r="L20" s="27" t="s">
        <v>43</v>
      </c>
      <c r="M20" s="58" t="s">
        <v>487</v>
      </c>
      <c r="N20" s="12" t="s">
        <v>662</v>
      </c>
      <c r="O20" s="76" t="s">
        <v>671</v>
      </c>
      <c r="P20" s="3"/>
      <c r="Q20" s="36"/>
      <c r="R20" s="3"/>
      <c r="S20" s="3"/>
      <c r="T20" s="3"/>
      <c r="U20" s="3"/>
      <c r="V20" s="3"/>
      <c r="W20" s="3"/>
      <c r="X20" s="3"/>
      <c r="Y20" s="3"/>
      <c r="Z20" s="3"/>
    </row>
    <row r="21">
      <c r="A21" s="138" t="s">
        <v>672</v>
      </c>
      <c r="B21" s="233">
        <v>641041.0</v>
      </c>
      <c r="C21" s="27">
        <v>1.0</v>
      </c>
      <c r="D21" s="31">
        <v>1.0</v>
      </c>
      <c r="E21" s="219" t="s">
        <v>251</v>
      </c>
      <c r="F21" s="232" t="s">
        <v>251</v>
      </c>
      <c r="G21" s="58">
        <v>249.99</v>
      </c>
      <c r="H21" s="3">
        <f t="shared" si="2"/>
        <v>249.99</v>
      </c>
      <c r="I21" s="31" t="s">
        <v>660</v>
      </c>
      <c r="J21" s="27" t="s">
        <v>43</v>
      </c>
      <c r="K21" s="32" t="s">
        <v>661</v>
      </c>
      <c r="L21" s="27" t="s">
        <v>43</v>
      </c>
      <c r="M21" s="58" t="s">
        <v>487</v>
      </c>
      <c r="N21" s="12" t="s">
        <v>662</v>
      </c>
      <c r="O21" s="76" t="s">
        <v>277</v>
      </c>
      <c r="P21" s="3"/>
      <c r="Q21" s="36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 t="s">
        <v>673</v>
      </c>
      <c r="B22" s="36"/>
      <c r="C22" s="27">
        <v>1.0</v>
      </c>
      <c r="D22" s="31">
        <v>1.0</v>
      </c>
      <c r="E22" s="234" t="s">
        <v>520</v>
      </c>
      <c r="F22" s="234" t="s">
        <v>520</v>
      </c>
      <c r="G22" s="58">
        <v>287.0</v>
      </c>
      <c r="H22" s="3">
        <f t="shared" si="2"/>
        <v>287</v>
      </c>
      <c r="I22" s="31" t="s">
        <v>660</v>
      </c>
      <c r="J22" s="27" t="s">
        <v>43</v>
      </c>
      <c r="K22" s="31" t="s">
        <v>660</v>
      </c>
      <c r="L22" s="27" t="s">
        <v>43</v>
      </c>
      <c r="M22" s="100" t="s">
        <v>156</v>
      </c>
      <c r="N22" s="3"/>
      <c r="O22" s="36"/>
      <c r="P22" s="3"/>
      <c r="Q22" s="36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 t="s">
        <v>674</v>
      </c>
      <c r="B23" s="36"/>
      <c r="C23" s="27">
        <v>1.0</v>
      </c>
      <c r="D23" s="31">
        <v>1.0</v>
      </c>
      <c r="E23" s="234" t="s">
        <v>61</v>
      </c>
      <c r="F23" s="234" t="s">
        <v>61</v>
      </c>
      <c r="G23" s="58">
        <v>51.0</v>
      </c>
      <c r="H23" s="3">
        <f t="shared" si="2"/>
        <v>51</v>
      </c>
      <c r="I23" s="31" t="s">
        <v>675</v>
      </c>
      <c r="J23" s="27" t="s">
        <v>43</v>
      </c>
      <c r="K23" s="31" t="s">
        <v>675</v>
      </c>
      <c r="L23" s="27" t="s">
        <v>43</v>
      </c>
      <c r="M23" s="100" t="s">
        <v>156</v>
      </c>
      <c r="N23" s="3"/>
      <c r="O23" s="36"/>
      <c r="P23" s="3"/>
      <c r="Q23" s="36"/>
      <c r="R23" s="3"/>
      <c r="S23" s="3"/>
      <c r="T23" s="3"/>
      <c r="U23" s="3"/>
      <c r="V23" s="3"/>
      <c r="W23" s="3"/>
      <c r="X23" s="3"/>
      <c r="Y23" s="3"/>
      <c r="Z23" s="3"/>
    </row>
    <row r="24">
      <c r="A24" s="68" t="s">
        <v>676</v>
      </c>
      <c r="B24" s="39" t="s">
        <v>677</v>
      </c>
      <c r="C24" s="46" t="s">
        <v>678</v>
      </c>
      <c r="D24" s="31">
        <v>1.0</v>
      </c>
      <c r="E24" s="101" t="s">
        <v>679</v>
      </c>
      <c r="F24" s="208" t="s">
        <v>119</v>
      </c>
      <c r="G24" s="95">
        <v>390.0</v>
      </c>
      <c r="H24" s="3">
        <f t="shared" si="2"/>
        <v>390</v>
      </c>
      <c r="I24" s="31" t="s">
        <v>675</v>
      </c>
      <c r="J24" s="27" t="s">
        <v>43</v>
      </c>
      <c r="K24" s="32" t="s">
        <v>634</v>
      </c>
      <c r="L24" s="27" t="s">
        <v>43</v>
      </c>
      <c r="M24" s="100" t="s">
        <v>156</v>
      </c>
      <c r="N24" s="36"/>
      <c r="O24" s="76" t="s">
        <v>680</v>
      </c>
      <c r="P24" s="3"/>
      <c r="Q24" s="36"/>
      <c r="R24" s="3"/>
      <c r="S24" s="3"/>
      <c r="T24" s="3"/>
      <c r="U24" s="3"/>
      <c r="V24" s="3"/>
      <c r="W24" s="3"/>
      <c r="X24" s="3"/>
      <c r="Y24" s="3"/>
      <c r="Z24" s="3"/>
    </row>
    <row r="25">
      <c r="A25" s="45" t="s">
        <v>681</v>
      </c>
      <c r="B25" s="61" t="s">
        <v>682</v>
      </c>
      <c r="C25" s="46" t="s">
        <v>162</v>
      </c>
      <c r="D25" s="27">
        <v>1.0</v>
      </c>
      <c r="E25" s="59" t="s">
        <v>683</v>
      </c>
      <c r="F25" s="94" t="s">
        <v>119</v>
      </c>
      <c r="G25" s="95">
        <v>100.33</v>
      </c>
      <c r="H25" s="3">
        <f t="shared" si="2"/>
        <v>100.33</v>
      </c>
      <c r="I25" s="31" t="s">
        <v>675</v>
      </c>
      <c r="J25" s="27" t="s">
        <v>43</v>
      </c>
      <c r="K25" s="235" t="s">
        <v>684</v>
      </c>
      <c r="L25" s="27" t="s">
        <v>685</v>
      </c>
      <c r="M25" s="100" t="s">
        <v>156</v>
      </c>
      <c r="N25" s="36"/>
      <c r="O25" s="76" t="s">
        <v>686</v>
      </c>
      <c r="P25" s="3"/>
      <c r="Q25" s="36"/>
      <c r="R25" s="3"/>
      <c r="S25" s="3"/>
      <c r="T25" s="3"/>
      <c r="U25" s="3"/>
      <c r="V25" s="3"/>
      <c r="W25" s="3"/>
      <c r="X25" s="3"/>
      <c r="Y25" s="3"/>
      <c r="Z25" s="3"/>
    </row>
    <row r="26">
      <c r="A26" s="236" t="s">
        <v>687</v>
      </c>
      <c r="B26" s="237" t="s">
        <v>688</v>
      </c>
      <c r="C26" s="39" t="s">
        <v>49</v>
      </c>
      <c r="D26" s="27">
        <v>1.0</v>
      </c>
      <c r="E26" s="162" t="s">
        <v>50</v>
      </c>
      <c r="F26" s="238" t="s">
        <v>50</v>
      </c>
      <c r="G26" s="239">
        <v>567.0</v>
      </c>
      <c r="H26" s="3">
        <f t="shared" si="2"/>
        <v>567</v>
      </c>
      <c r="I26" s="31" t="s">
        <v>689</v>
      </c>
      <c r="J26" s="27" t="s">
        <v>43</v>
      </c>
      <c r="K26" s="240" t="s">
        <v>690</v>
      </c>
      <c r="L26" s="27" t="s">
        <v>43</v>
      </c>
      <c r="M26" s="241" t="s">
        <v>9</v>
      </c>
      <c r="N26" s="58" t="s">
        <v>691</v>
      </c>
      <c r="O26" s="101" t="s">
        <v>53</v>
      </c>
      <c r="P26" s="3"/>
      <c r="Q26" s="36"/>
      <c r="R26" s="3"/>
      <c r="S26" s="3"/>
      <c r="T26" s="3"/>
      <c r="U26" s="3"/>
      <c r="V26" s="3"/>
      <c r="W26" s="3"/>
      <c r="X26" s="3"/>
      <c r="Y26" s="3"/>
      <c r="Z26" s="3"/>
    </row>
    <row r="27">
      <c r="A27" s="101" t="s">
        <v>692</v>
      </c>
      <c r="B27" s="39" t="s">
        <v>693</v>
      </c>
      <c r="C27" s="39" t="s">
        <v>395</v>
      </c>
      <c r="D27" s="27">
        <v>1.0</v>
      </c>
      <c r="E27" s="162" t="s">
        <v>50</v>
      </c>
      <c r="F27" s="238" t="s">
        <v>50</v>
      </c>
      <c r="G27" s="242">
        <v>144.5</v>
      </c>
      <c r="H27" s="3">
        <f t="shared" si="2"/>
        <v>144.5</v>
      </c>
      <c r="I27" s="31" t="s">
        <v>689</v>
      </c>
      <c r="J27" s="27" t="s">
        <v>43</v>
      </c>
      <c r="K27" s="32" t="s">
        <v>694</v>
      </c>
      <c r="L27" s="27" t="s">
        <v>43</v>
      </c>
      <c r="M27" s="243" t="s">
        <v>9</v>
      </c>
      <c r="N27" s="58" t="s">
        <v>691</v>
      </c>
      <c r="O27" s="101" t="s">
        <v>53</v>
      </c>
      <c r="P27" s="3"/>
      <c r="Q27" s="36"/>
      <c r="R27" s="3"/>
      <c r="S27" s="3"/>
      <c r="T27" s="3"/>
      <c r="U27" s="3"/>
      <c r="V27" s="3"/>
      <c r="W27" s="3"/>
      <c r="X27" s="3"/>
      <c r="Y27" s="3"/>
      <c r="Z27" s="3"/>
    </row>
    <row r="28">
      <c r="A28" s="101" t="s">
        <v>393</v>
      </c>
      <c r="B28" s="39" t="s">
        <v>394</v>
      </c>
      <c r="C28" s="39" t="s">
        <v>395</v>
      </c>
      <c r="D28" s="27">
        <v>1.0</v>
      </c>
      <c r="E28" s="162" t="s">
        <v>50</v>
      </c>
      <c r="F28" s="238" t="s">
        <v>50</v>
      </c>
      <c r="G28" s="242">
        <v>144.5</v>
      </c>
      <c r="H28" s="3">
        <f t="shared" si="2"/>
        <v>144.5</v>
      </c>
      <c r="I28" s="31" t="s">
        <v>689</v>
      </c>
      <c r="J28" s="27" t="s">
        <v>43</v>
      </c>
      <c r="K28" s="32" t="s">
        <v>694</v>
      </c>
      <c r="L28" s="27" t="s">
        <v>43</v>
      </c>
      <c r="M28" s="243" t="s">
        <v>9</v>
      </c>
      <c r="N28" s="58" t="s">
        <v>691</v>
      </c>
      <c r="O28" s="101" t="s">
        <v>53</v>
      </c>
      <c r="P28" s="3"/>
      <c r="Q28" s="36"/>
      <c r="R28" s="3"/>
      <c r="S28" s="3"/>
      <c r="T28" s="3"/>
      <c r="U28" s="3"/>
      <c r="V28" s="3"/>
      <c r="W28" s="3"/>
      <c r="X28" s="3"/>
      <c r="Y28" s="3"/>
      <c r="Z28" s="3"/>
    </row>
    <row r="29">
      <c r="A29" s="208" t="s">
        <v>57</v>
      </c>
      <c r="B29" s="61" t="s">
        <v>58</v>
      </c>
      <c r="C29" s="46" t="s">
        <v>59</v>
      </c>
      <c r="D29" s="27">
        <v>1.0</v>
      </c>
      <c r="E29" s="244" t="s">
        <v>50</v>
      </c>
      <c r="F29" s="124" t="s">
        <v>50</v>
      </c>
      <c r="G29" s="239">
        <v>148.75</v>
      </c>
      <c r="H29" s="3">
        <f t="shared" si="2"/>
        <v>148.75</v>
      </c>
      <c r="I29" s="31" t="s">
        <v>689</v>
      </c>
      <c r="J29" s="27" t="s">
        <v>43</v>
      </c>
      <c r="K29" s="240" t="s">
        <v>690</v>
      </c>
      <c r="L29" s="27" t="s">
        <v>43</v>
      </c>
      <c r="M29" s="243" t="s">
        <v>9</v>
      </c>
      <c r="N29" s="58" t="s">
        <v>691</v>
      </c>
      <c r="O29" s="101" t="s">
        <v>53</v>
      </c>
      <c r="P29" s="3"/>
      <c r="Q29" s="36"/>
      <c r="R29" s="3"/>
      <c r="S29" s="3"/>
      <c r="T29" s="3"/>
      <c r="U29" s="3"/>
      <c r="V29" s="3"/>
      <c r="W29" s="3"/>
      <c r="X29" s="3"/>
      <c r="Y29" s="3"/>
      <c r="Z29" s="3"/>
    </row>
    <row r="30">
      <c r="A30" s="245" t="s">
        <v>695</v>
      </c>
      <c r="B30" s="40">
        <v>32004.0</v>
      </c>
      <c r="C30" s="61" t="s">
        <v>696</v>
      </c>
      <c r="D30" s="27">
        <v>1.0</v>
      </c>
      <c r="E30" s="124" t="s">
        <v>697</v>
      </c>
      <c r="F30" s="246" t="s">
        <v>200</v>
      </c>
      <c r="G30" s="109">
        <v>390.0</v>
      </c>
      <c r="H30" s="3">
        <f t="shared" si="2"/>
        <v>390</v>
      </c>
      <c r="I30" s="31" t="s">
        <v>689</v>
      </c>
      <c r="J30" s="27" t="s">
        <v>43</v>
      </c>
      <c r="K30" s="32" t="s">
        <v>698</v>
      </c>
      <c r="L30" s="33" t="s">
        <v>43</v>
      </c>
      <c r="M30" s="243" t="s">
        <v>9</v>
      </c>
      <c r="N30" s="36"/>
      <c r="O30" s="101"/>
      <c r="P30" s="3"/>
      <c r="Q30" s="36"/>
      <c r="R30" s="3"/>
      <c r="S30" s="3"/>
      <c r="T30" s="3"/>
      <c r="U30" s="3"/>
      <c r="V30" s="3"/>
      <c r="W30" s="3"/>
      <c r="X30" s="3"/>
      <c r="Y30" s="3"/>
      <c r="Z30" s="3"/>
    </row>
    <row r="31">
      <c r="A31" s="45" t="s">
        <v>699</v>
      </c>
      <c r="B31" s="47">
        <v>341578.0</v>
      </c>
      <c r="C31" s="40" t="s">
        <v>700</v>
      </c>
      <c r="D31" s="31">
        <v>1.0</v>
      </c>
      <c r="E31" s="45" t="s">
        <v>701</v>
      </c>
      <c r="F31" s="94" t="s">
        <v>701</v>
      </c>
      <c r="G31" s="247">
        <v>201.0</v>
      </c>
      <c r="H31" s="3">
        <f t="shared" si="2"/>
        <v>201</v>
      </c>
      <c r="I31" s="31" t="s">
        <v>689</v>
      </c>
      <c r="J31" s="27" t="s">
        <v>43</v>
      </c>
      <c r="K31" s="31" t="s">
        <v>615</v>
      </c>
      <c r="L31" s="27" t="s">
        <v>641</v>
      </c>
      <c r="M31" s="100" t="s">
        <v>156</v>
      </c>
      <c r="N31" s="248" t="s">
        <v>702</v>
      </c>
      <c r="O31" s="111" t="s">
        <v>703</v>
      </c>
      <c r="P31" s="3"/>
      <c r="Q31" s="36"/>
      <c r="R31" s="3"/>
      <c r="S31" s="3"/>
      <c r="T31" s="3"/>
      <c r="U31" s="3"/>
      <c r="V31" s="3"/>
      <c r="W31" s="3"/>
      <c r="X31" s="3"/>
      <c r="Y31" s="3"/>
      <c r="Z31" s="3"/>
    </row>
    <row r="32">
      <c r="A32" s="208" t="s">
        <v>704</v>
      </c>
      <c r="B32" s="61" t="s">
        <v>705</v>
      </c>
      <c r="C32" s="39" t="s">
        <v>706</v>
      </c>
      <c r="D32" s="31">
        <v>1.0</v>
      </c>
      <c r="E32" s="208" t="s">
        <v>701</v>
      </c>
      <c r="F32" s="208" t="s">
        <v>701</v>
      </c>
      <c r="G32" s="247">
        <v>129.0</v>
      </c>
      <c r="H32" s="3">
        <f t="shared" si="2"/>
        <v>129</v>
      </c>
      <c r="I32" s="31" t="s">
        <v>689</v>
      </c>
      <c r="J32" s="27" t="s">
        <v>43</v>
      </c>
      <c r="K32" s="32" t="s">
        <v>707</v>
      </c>
      <c r="L32" s="33" t="s">
        <v>43</v>
      </c>
      <c r="M32" s="100" t="s">
        <v>156</v>
      </c>
      <c r="N32" s="58" t="s">
        <v>708</v>
      </c>
      <c r="O32" s="72"/>
      <c r="P32" s="3"/>
      <c r="Q32" s="36"/>
      <c r="R32" s="3"/>
      <c r="S32" s="3"/>
      <c r="T32" s="3"/>
      <c r="U32" s="3"/>
      <c r="V32" s="3"/>
      <c r="W32" s="3"/>
      <c r="X32" s="3"/>
      <c r="Y32" s="3"/>
      <c r="Z32" s="3"/>
    </row>
    <row r="33">
      <c r="A33" s="208" t="s">
        <v>324</v>
      </c>
      <c r="B33" s="61" t="s">
        <v>325</v>
      </c>
      <c r="C33" s="46" t="s">
        <v>326</v>
      </c>
      <c r="D33" s="31">
        <v>1.0</v>
      </c>
      <c r="E33" s="208" t="s">
        <v>327</v>
      </c>
      <c r="F33" s="208" t="s">
        <v>119</v>
      </c>
      <c r="G33" s="249">
        <v>120.0</v>
      </c>
      <c r="H33" s="3">
        <f t="shared" si="2"/>
        <v>120</v>
      </c>
      <c r="I33" s="31" t="s">
        <v>689</v>
      </c>
      <c r="J33" s="27" t="s">
        <v>43</v>
      </c>
      <c r="K33" s="32" t="s">
        <v>615</v>
      </c>
      <c r="L33" s="33" t="s">
        <v>43</v>
      </c>
      <c r="M33" s="243" t="s">
        <v>9</v>
      </c>
      <c r="N33" s="36"/>
      <c r="O33" s="36"/>
      <c r="P33" s="3"/>
      <c r="Q33" s="36"/>
      <c r="R33" s="3"/>
      <c r="S33" s="3"/>
      <c r="T33" s="3"/>
      <c r="U33" s="3"/>
      <c r="V33" s="3"/>
      <c r="W33" s="3"/>
      <c r="X33" s="3"/>
      <c r="Y33" s="3"/>
      <c r="Z33" s="3"/>
    </row>
    <row r="34">
      <c r="A34" s="208" t="s">
        <v>709</v>
      </c>
      <c r="B34" s="250">
        <v>1.7504044E7</v>
      </c>
      <c r="C34" s="39" t="s">
        <v>710</v>
      </c>
      <c r="D34" s="31">
        <v>2.0</v>
      </c>
      <c r="E34" s="101" t="s">
        <v>711</v>
      </c>
      <c r="F34" s="101" t="s">
        <v>86</v>
      </c>
      <c r="G34" s="247">
        <v>89.1</v>
      </c>
      <c r="H34" s="3">
        <f t="shared" si="2"/>
        <v>178.2</v>
      </c>
      <c r="I34" s="31" t="s">
        <v>689</v>
      </c>
      <c r="J34" s="27" t="s">
        <v>43</v>
      </c>
      <c r="K34" s="32" t="s">
        <v>615</v>
      </c>
      <c r="L34" s="33" t="s">
        <v>43</v>
      </c>
      <c r="M34" s="243" t="s">
        <v>9</v>
      </c>
      <c r="N34" s="128"/>
      <c r="O34" s="36"/>
      <c r="P34" s="3"/>
      <c r="Q34" s="36"/>
      <c r="R34" s="3"/>
      <c r="S34" s="3"/>
      <c r="T34" s="3"/>
      <c r="U34" s="3"/>
      <c r="V34" s="3"/>
      <c r="W34" s="3"/>
      <c r="X34" s="3"/>
      <c r="Y34" s="3"/>
      <c r="Z34" s="3"/>
    </row>
    <row r="35">
      <c r="A35" s="101" t="s">
        <v>712</v>
      </c>
      <c r="B35" s="39" t="s">
        <v>713</v>
      </c>
      <c r="C35" s="54" t="s">
        <v>714</v>
      </c>
      <c r="D35" s="31">
        <v>4.0</v>
      </c>
      <c r="E35" s="101" t="s">
        <v>715</v>
      </c>
      <c r="F35" s="101" t="s">
        <v>200</v>
      </c>
      <c r="G35" s="247">
        <v>93.0</v>
      </c>
      <c r="H35" s="3">
        <f t="shared" si="2"/>
        <v>372</v>
      </c>
      <c r="I35" s="31" t="s">
        <v>689</v>
      </c>
      <c r="J35" s="27" t="s">
        <v>43</v>
      </c>
      <c r="K35" s="32" t="s">
        <v>615</v>
      </c>
      <c r="L35" s="27" t="s">
        <v>43</v>
      </c>
      <c r="M35" s="243" t="s">
        <v>9</v>
      </c>
      <c r="N35" s="128"/>
      <c r="O35" s="36"/>
      <c r="P35" s="3"/>
      <c r="Q35" s="36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 t="s">
        <v>716</v>
      </c>
      <c r="B36" s="49" t="s">
        <v>717</v>
      </c>
      <c r="C36" s="31" t="s">
        <v>718</v>
      </c>
      <c r="D36" s="31">
        <v>1.0</v>
      </c>
      <c r="E36" s="12" t="s">
        <v>679</v>
      </c>
      <c r="F36" s="58" t="s">
        <v>719</v>
      </c>
      <c r="G36" s="251">
        <v>28.55</v>
      </c>
      <c r="H36" s="3">
        <f t="shared" si="2"/>
        <v>28.55</v>
      </c>
      <c r="I36" s="31" t="s">
        <v>689</v>
      </c>
      <c r="J36" s="27" t="s">
        <v>43</v>
      </c>
      <c r="K36" s="32" t="s">
        <v>615</v>
      </c>
      <c r="L36" s="33" t="s">
        <v>43</v>
      </c>
      <c r="M36" s="243" t="s">
        <v>9</v>
      </c>
      <c r="N36" s="128"/>
      <c r="O36" s="36"/>
      <c r="P36" s="3"/>
      <c r="Q36" s="36"/>
      <c r="R36" s="3"/>
      <c r="S36" s="3"/>
      <c r="T36" s="3"/>
      <c r="U36" s="3"/>
      <c r="V36" s="3"/>
      <c r="W36" s="3"/>
      <c r="X36" s="3"/>
      <c r="Y36" s="3"/>
      <c r="Z36" s="3"/>
    </row>
    <row r="37">
      <c r="A37" s="35" t="s">
        <v>82</v>
      </c>
      <c r="B37" s="71" t="s">
        <v>83</v>
      </c>
      <c r="C37" s="39" t="s">
        <v>84</v>
      </c>
      <c r="D37" s="31">
        <v>1.0</v>
      </c>
      <c r="E37" s="101" t="s">
        <v>85</v>
      </c>
      <c r="F37" s="101" t="s">
        <v>86</v>
      </c>
      <c r="G37" s="71">
        <v>83.6</v>
      </c>
      <c r="H37" s="3">
        <f t="shared" si="2"/>
        <v>83.6</v>
      </c>
      <c r="I37" s="31" t="s">
        <v>689</v>
      </c>
      <c r="J37" s="27" t="s">
        <v>43</v>
      </c>
      <c r="K37" s="32" t="s">
        <v>707</v>
      </c>
      <c r="L37" s="33" t="s">
        <v>43</v>
      </c>
      <c r="M37" s="100" t="s">
        <v>156</v>
      </c>
      <c r="N37" s="128"/>
      <c r="O37" s="36"/>
      <c r="P37" s="3"/>
      <c r="Q37" s="36"/>
      <c r="R37" s="3"/>
      <c r="S37" s="3"/>
      <c r="T37" s="3"/>
      <c r="U37" s="3"/>
      <c r="V37" s="3"/>
      <c r="W37" s="3"/>
      <c r="X37" s="3"/>
      <c r="Y37" s="3"/>
      <c r="Z37" s="3"/>
    </row>
    <row r="38">
      <c r="A38" s="68" t="s">
        <v>180</v>
      </c>
      <c r="B38" s="71" t="s">
        <v>181</v>
      </c>
      <c r="C38" s="39" t="s">
        <v>84</v>
      </c>
      <c r="D38" s="31">
        <v>1.0</v>
      </c>
      <c r="E38" s="101" t="s">
        <v>85</v>
      </c>
      <c r="F38" s="101" t="s">
        <v>86</v>
      </c>
      <c r="G38" s="63">
        <v>83.6</v>
      </c>
      <c r="H38" s="3">
        <f t="shared" si="2"/>
        <v>83.6</v>
      </c>
      <c r="I38" s="31" t="s">
        <v>689</v>
      </c>
      <c r="J38" s="27" t="s">
        <v>43</v>
      </c>
      <c r="K38" s="32" t="s">
        <v>707</v>
      </c>
      <c r="L38" s="33" t="s">
        <v>43</v>
      </c>
      <c r="M38" s="100" t="s">
        <v>156</v>
      </c>
      <c r="N38" s="128"/>
      <c r="O38" s="36"/>
      <c r="P38" s="3"/>
      <c r="Q38" s="36"/>
      <c r="R38" s="3"/>
      <c r="S38" s="3"/>
      <c r="T38" s="3"/>
      <c r="U38" s="3"/>
      <c r="V38" s="3"/>
      <c r="W38" s="3"/>
      <c r="X38" s="3"/>
      <c r="Y38" s="3"/>
      <c r="Z38" s="3"/>
    </row>
    <row r="39">
      <c r="A39" s="68" t="s">
        <v>90</v>
      </c>
      <c r="B39" s="71" t="s">
        <v>91</v>
      </c>
      <c r="C39" s="39" t="s">
        <v>84</v>
      </c>
      <c r="D39" s="31">
        <v>1.0</v>
      </c>
      <c r="E39" s="101" t="s">
        <v>85</v>
      </c>
      <c r="F39" s="101" t="s">
        <v>86</v>
      </c>
      <c r="G39" s="63">
        <v>83.6</v>
      </c>
      <c r="H39" s="3">
        <f t="shared" si="2"/>
        <v>83.6</v>
      </c>
      <c r="I39" s="31" t="s">
        <v>689</v>
      </c>
      <c r="J39" s="27" t="s">
        <v>43</v>
      </c>
      <c r="K39" s="32" t="s">
        <v>707</v>
      </c>
      <c r="L39" s="33" t="s">
        <v>43</v>
      </c>
      <c r="M39" s="100" t="s">
        <v>156</v>
      </c>
      <c r="N39" s="128"/>
      <c r="O39" s="36"/>
      <c r="P39" s="3"/>
      <c r="Q39" s="36"/>
      <c r="R39" s="3"/>
      <c r="S39" s="3"/>
      <c r="T39" s="3"/>
      <c r="U39" s="3"/>
      <c r="V39" s="3"/>
      <c r="W39" s="3"/>
      <c r="X39" s="3"/>
      <c r="Y39" s="3"/>
      <c r="Z39" s="3"/>
    </row>
    <row r="40">
      <c r="A40" s="68" t="s">
        <v>95</v>
      </c>
      <c r="B40" s="71" t="s">
        <v>96</v>
      </c>
      <c r="C40" s="39" t="s">
        <v>84</v>
      </c>
      <c r="D40" s="31">
        <v>1.0</v>
      </c>
      <c r="E40" s="101" t="s">
        <v>85</v>
      </c>
      <c r="F40" s="101" t="s">
        <v>86</v>
      </c>
      <c r="G40" s="71">
        <v>83.6</v>
      </c>
      <c r="H40" s="3">
        <f t="shared" si="2"/>
        <v>83.6</v>
      </c>
      <c r="I40" s="31" t="s">
        <v>689</v>
      </c>
      <c r="J40" s="27" t="s">
        <v>43</v>
      </c>
      <c r="K40" s="32" t="s">
        <v>707</v>
      </c>
      <c r="L40" s="33" t="s">
        <v>43</v>
      </c>
      <c r="M40" s="100" t="s">
        <v>156</v>
      </c>
      <c r="O40" s="44"/>
      <c r="Q40" s="44"/>
    </row>
    <row r="41">
      <c r="A41" s="72" t="s">
        <v>98</v>
      </c>
      <c r="B41" s="71" t="s">
        <v>99</v>
      </c>
      <c r="C41" s="39" t="s">
        <v>84</v>
      </c>
      <c r="D41" s="31">
        <v>1.0</v>
      </c>
      <c r="E41" s="101" t="s">
        <v>85</v>
      </c>
      <c r="F41" s="101" t="s">
        <v>86</v>
      </c>
      <c r="G41" s="71">
        <v>83.6</v>
      </c>
      <c r="H41" s="3">
        <f t="shared" si="2"/>
        <v>83.6</v>
      </c>
      <c r="I41" s="31" t="s">
        <v>689</v>
      </c>
      <c r="J41" s="27" t="s">
        <v>43</v>
      </c>
      <c r="K41" s="32" t="s">
        <v>707</v>
      </c>
      <c r="L41" s="33" t="s">
        <v>43</v>
      </c>
      <c r="M41" s="100" t="s">
        <v>156</v>
      </c>
      <c r="O41" s="44"/>
      <c r="Q41" s="44"/>
    </row>
    <row r="42">
      <c r="A42" s="101" t="s">
        <v>88</v>
      </c>
      <c r="B42" s="71">
        <v>790012.0</v>
      </c>
      <c r="C42" s="39" t="s">
        <v>84</v>
      </c>
      <c r="D42" s="207">
        <v>2.0</v>
      </c>
      <c r="E42" s="101" t="s">
        <v>85</v>
      </c>
      <c r="F42" s="101" t="s">
        <v>86</v>
      </c>
      <c r="G42" s="71">
        <v>37.57</v>
      </c>
      <c r="H42" s="3">
        <f t="shared" si="2"/>
        <v>75.14</v>
      </c>
      <c r="I42" s="31" t="s">
        <v>689</v>
      </c>
      <c r="J42" s="27" t="s">
        <v>43</v>
      </c>
      <c r="K42" s="32" t="s">
        <v>707</v>
      </c>
      <c r="L42" s="33" t="s">
        <v>43</v>
      </c>
      <c r="M42" s="100" t="s">
        <v>156</v>
      </c>
      <c r="O42" s="44"/>
      <c r="Q42" s="44"/>
    </row>
    <row r="43">
      <c r="A43" s="101" t="s">
        <v>93</v>
      </c>
      <c r="B43" s="71">
        <v>790202.0</v>
      </c>
      <c r="C43" s="39" t="s">
        <v>84</v>
      </c>
      <c r="D43" s="207">
        <v>2.0</v>
      </c>
      <c r="E43" s="101" t="s">
        <v>85</v>
      </c>
      <c r="F43" s="101" t="s">
        <v>86</v>
      </c>
      <c r="G43" s="71">
        <v>34.06</v>
      </c>
      <c r="H43" s="3">
        <f t="shared" si="2"/>
        <v>68.12</v>
      </c>
      <c r="I43" s="31" t="s">
        <v>689</v>
      </c>
      <c r="J43" s="27" t="s">
        <v>43</v>
      </c>
      <c r="K43" s="32" t="s">
        <v>707</v>
      </c>
      <c r="L43" s="33" t="s">
        <v>43</v>
      </c>
      <c r="M43" s="100" t="s">
        <v>156</v>
      </c>
      <c r="O43" s="44"/>
      <c r="Q43" s="44"/>
    </row>
    <row r="44">
      <c r="A44" s="101" t="s">
        <v>517</v>
      </c>
      <c r="B44" s="71">
        <v>791002.0</v>
      </c>
      <c r="C44" s="39" t="s">
        <v>84</v>
      </c>
      <c r="D44" s="207">
        <v>2.0</v>
      </c>
      <c r="E44" s="101" t="s">
        <v>85</v>
      </c>
      <c r="F44" s="101" t="s">
        <v>86</v>
      </c>
      <c r="G44" s="71">
        <v>38.29</v>
      </c>
      <c r="H44" s="3">
        <f t="shared" si="2"/>
        <v>76.58</v>
      </c>
      <c r="I44" s="31" t="s">
        <v>689</v>
      </c>
      <c r="J44" s="27" t="s">
        <v>43</v>
      </c>
      <c r="K44" s="32" t="s">
        <v>707</v>
      </c>
      <c r="L44" s="33" t="s">
        <v>43</v>
      </c>
      <c r="M44" s="100" t="s">
        <v>156</v>
      </c>
      <c r="O44" s="44"/>
      <c r="Q44" s="44"/>
    </row>
    <row r="45">
      <c r="A45" s="101" t="s">
        <v>720</v>
      </c>
      <c r="B45" s="71">
        <v>780300.0</v>
      </c>
      <c r="C45" s="39">
        <v>100.0</v>
      </c>
      <c r="D45" s="31">
        <v>1.0</v>
      </c>
      <c r="E45" s="101" t="s">
        <v>85</v>
      </c>
      <c r="F45" s="101" t="s">
        <v>86</v>
      </c>
      <c r="G45" s="247">
        <v>12.4</v>
      </c>
      <c r="H45" s="3">
        <f t="shared" si="2"/>
        <v>12.4</v>
      </c>
      <c r="I45" s="31" t="s">
        <v>689</v>
      </c>
      <c r="J45" s="27" t="s">
        <v>43</v>
      </c>
      <c r="K45" s="32" t="s">
        <v>707</v>
      </c>
      <c r="L45" s="33" t="s">
        <v>43</v>
      </c>
      <c r="M45" s="100" t="s">
        <v>156</v>
      </c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  <row r="1001">
      <c r="B1001" s="44"/>
      <c r="D1001" s="44"/>
      <c r="F1001" s="44"/>
      <c r="G1001" s="44"/>
      <c r="I1001" s="44"/>
      <c r="K1001" s="44"/>
      <c r="M1001" s="44"/>
      <c r="O1001" s="44"/>
      <c r="Q1001" s="44"/>
    </row>
  </sheetData>
  <hyperlinks>
    <hyperlink r:id="rId2" ref="B16"/>
    <hyperlink r:id="rId3" ref="E16"/>
    <hyperlink r:id="rId4" ref="F16"/>
    <hyperlink r:id="rId5" ref="O16"/>
    <hyperlink r:id="rId6" ref="B17"/>
    <hyperlink r:id="rId7" ref="E17"/>
    <hyperlink r:id="rId8" ref="F17"/>
    <hyperlink r:id="rId9" ref="O17"/>
    <hyperlink r:id="rId10" ref="B18"/>
    <hyperlink r:id="rId11" ref="E18"/>
    <hyperlink r:id="rId12" ref="F18"/>
    <hyperlink r:id="rId13" ref="O18"/>
    <hyperlink r:id="rId14" ref="B19"/>
    <hyperlink r:id="rId15" ref="E19"/>
    <hyperlink r:id="rId16" ref="F19"/>
    <hyperlink r:id="rId17" ref="O19"/>
    <hyperlink r:id="rId18" ref="B20"/>
    <hyperlink r:id="rId19" ref="E20"/>
    <hyperlink r:id="rId20" ref="F20"/>
    <hyperlink r:id="rId21" ref="O20"/>
    <hyperlink r:id="rId22" ref="B21"/>
    <hyperlink r:id="rId23" ref="E21"/>
    <hyperlink r:id="rId24" ref="F21"/>
    <hyperlink r:id="rId25" ref="O21"/>
    <hyperlink r:id="rId26" ref="O24"/>
    <hyperlink r:id="rId27" ref="O25"/>
  </hyperlinks>
  <drawing r:id="rId28"/>
  <legacyDrawing r:id="rId2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23.25"/>
    <col customWidth="1" min="5" max="5" width="28.13"/>
    <col customWidth="1" min="6" max="6" width="25.5"/>
    <col customWidth="1" min="7" max="7" width="12.13"/>
    <col customWidth="1" min="8" max="8" width="13.88"/>
    <col customWidth="1" min="11" max="11" width="28.88"/>
    <col customWidth="1" min="13" max="13" width="41.38"/>
    <col customWidth="1" min="15" max="15" width="39.0"/>
    <col customWidth="1" min="17" max="17" width="19.88"/>
  </cols>
  <sheetData>
    <row r="1" ht="39.0" customHeight="1">
      <c r="A1" s="9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9" t="s">
        <v>30</v>
      </c>
      <c r="I1" s="20" t="s">
        <v>31</v>
      </c>
      <c r="J1" s="18" t="s">
        <v>32</v>
      </c>
      <c r="K1" s="20" t="s">
        <v>33</v>
      </c>
      <c r="L1" s="18" t="s">
        <v>32</v>
      </c>
      <c r="M1" s="18" t="s">
        <v>34</v>
      </c>
      <c r="N1" s="18" t="s">
        <v>35</v>
      </c>
      <c r="O1" s="18" t="s">
        <v>36</v>
      </c>
      <c r="P1" s="21" t="s">
        <v>37</v>
      </c>
      <c r="Q1" s="22">
        <f>SUM(H2:H27)</f>
        <v>1569.06</v>
      </c>
      <c r="R1" s="23"/>
      <c r="S1" s="23"/>
      <c r="T1" s="23"/>
    </row>
    <row r="2">
      <c r="A2" s="12" t="s">
        <v>721</v>
      </c>
      <c r="B2" s="31">
        <v>342003.0</v>
      </c>
      <c r="C2" s="27" t="s">
        <v>306</v>
      </c>
      <c r="D2" s="31">
        <v>8.0</v>
      </c>
      <c r="E2" s="27" t="s">
        <v>159</v>
      </c>
      <c r="F2" s="31" t="s">
        <v>159</v>
      </c>
      <c r="G2" s="32">
        <v>39.7</v>
      </c>
      <c r="H2" s="3">
        <f t="shared" ref="H2:H16" si="1">D2*G1:G2</f>
        <v>317.6</v>
      </c>
      <c r="I2" s="31" t="s">
        <v>722</v>
      </c>
      <c r="J2" s="27" t="s">
        <v>43</v>
      </c>
      <c r="K2" s="196" t="s">
        <v>723</v>
      </c>
      <c r="L2" s="229"/>
      <c r="M2" s="58" t="s">
        <v>156</v>
      </c>
      <c r="N2" s="3"/>
      <c r="O2" s="58" t="s">
        <v>724</v>
      </c>
      <c r="P2" s="3"/>
      <c r="Q2" s="36"/>
      <c r="R2" s="211" t="s">
        <v>725</v>
      </c>
      <c r="S2" s="3"/>
      <c r="T2" s="3"/>
      <c r="U2" s="3"/>
      <c r="V2" s="3"/>
      <c r="W2" s="3"/>
      <c r="X2" s="3"/>
      <c r="Y2" s="3"/>
      <c r="Z2" s="3"/>
    </row>
    <row r="3">
      <c r="A3" s="12" t="s">
        <v>726</v>
      </c>
      <c r="B3" s="36"/>
      <c r="C3" s="3"/>
      <c r="D3" s="31">
        <v>1.0</v>
      </c>
      <c r="E3" s="3"/>
      <c r="F3" s="36"/>
      <c r="G3" s="31">
        <v>75.0</v>
      </c>
      <c r="H3" s="3">
        <f t="shared" si="1"/>
        <v>75</v>
      </c>
      <c r="I3" s="31" t="s">
        <v>722</v>
      </c>
      <c r="J3" s="27" t="s">
        <v>43</v>
      </c>
      <c r="K3" s="31" t="s">
        <v>722</v>
      </c>
      <c r="L3" s="27" t="s">
        <v>43</v>
      </c>
      <c r="M3" s="58" t="s">
        <v>727</v>
      </c>
      <c r="N3" s="3"/>
      <c r="O3" s="36"/>
      <c r="P3" s="3"/>
      <c r="Q3" s="36"/>
      <c r="R3" s="3"/>
      <c r="S3" s="3"/>
      <c r="T3" s="3"/>
      <c r="U3" s="3"/>
      <c r="V3" s="3"/>
      <c r="W3" s="3"/>
      <c r="X3" s="3"/>
      <c r="Y3" s="3"/>
      <c r="Z3" s="3"/>
    </row>
    <row r="4">
      <c r="A4" s="101" t="s">
        <v>728</v>
      </c>
      <c r="B4" s="39">
        <v>1.263401E7</v>
      </c>
      <c r="C4" s="39" t="s">
        <v>117</v>
      </c>
      <c r="D4" s="31">
        <v>5.0</v>
      </c>
      <c r="E4" s="101" t="s">
        <v>118</v>
      </c>
      <c r="F4" s="208" t="s">
        <v>86</v>
      </c>
      <c r="G4" s="170">
        <v>33.39</v>
      </c>
      <c r="H4" s="3">
        <f t="shared" si="1"/>
        <v>166.95</v>
      </c>
      <c r="I4" s="31" t="s">
        <v>729</v>
      </c>
      <c r="J4" s="27" t="s">
        <v>43</v>
      </c>
      <c r="K4" s="32" t="s">
        <v>698</v>
      </c>
      <c r="L4" s="33" t="s">
        <v>43</v>
      </c>
      <c r="M4" s="100" t="s">
        <v>156</v>
      </c>
      <c r="N4" s="3"/>
      <c r="O4" s="36"/>
      <c r="P4" s="3"/>
      <c r="Q4" s="36"/>
      <c r="R4" s="3"/>
      <c r="S4" s="3"/>
      <c r="T4" s="3"/>
      <c r="U4" s="3"/>
      <c r="V4" s="3"/>
      <c r="W4" s="3"/>
      <c r="X4" s="3"/>
      <c r="Y4" s="3"/>
      <c r="Z4" s="3"/>
    </row>
    <row r="5">
      <c r="A5" s="68" t="s">
        <v>82</v>
      </c>
      <c r="B5" s="71" t="s">
        <v>83</v>
      </c>
      <c r="C5" s="39" t="s">
        <v>84</v>
      </c>
      <c r="D5" s="57">
        <v>3.0</v>
      </c>
      <c r="E5" s="101" t="s">
        <v>85</v>
      </c>
      <c r="F5" s="101" t="s">
        <v>86</v>
      </c>
      <c r="G5" s="39">
        <v>83.6</v>
      </c>
      <c r="H5" s="3">
        <f t="shared" si="1"/>
        <v>250.8</v>
      </c>
      <c r="I5" s="31" t="s">
        <v>698</v>
      </c>
      <c r="J5" s="27" t="s">
        <v>43</v>
      </c>
      <c r="K5" s="31" t="s">
        <v>730</v>
      </c>
      <c r="L5" s="33" t="s">
        <v>43</v>
      </c>
      <c r="M5" s="243" t="s">
        <v>9</v>
      </c>
      <c r="N5" s="128"/>
      <c r="O5" s="111" t="s">
        <v>731</v>
      </c>
      <c r="P5" s="3"/>
      <c r="Q5" s="36"/>
      <c r="R5" s="3"/>
      <c r="S5" s="3"/>
      <c r="T5" s="3"/>
      <c r="U5" s="3"/>
      <c r="V5" s="3"/>
      <c r="W5" s="3"/>
      <c r="X5" s="3"/>
      <c r="Y5" s="3"/>
      <c r="Z5" s="3"/>
    </row>
    <row r="6">
      <c r="A6" s="68" t="s">
        <v>95</v>
      </c>
      <c r="B6" s="71" t="s">
        <v>96</v>
      </c>
      <c r="C6" s="39" t="s">
        <v>84</v>
      </c>
      <c r="D6" s="57">
        <v>3.0</v>
      </c>
      <c r="E6" s="101" t="s">
        <v>85</v>
      </c>
      <c r="F6" s="101" t="s">
        <v>86</v>
      </c>
      <c r="G6" s="39">
        <v>83.6</v>
      </c>
      <c r="H6" s="3">
        <f t="shared" si="1"/>
        <v>250.8</v>
      </c>
      <c r="I6" s="31" t="s">
        <v>698</v>
      </c>
      <c r="J6" s="27" t="s">
        <v>43</v>
      </c>
      <c r="K6" s="31" t="s">
        <v>730</v>
      </c>
      <c r="L6" s="33" t="s">
        <v>43</v>
      </c>
      <c r="M6" s="243" t="s">
        <v>9</v>
      </c>
      <c r="N6" s="36"/>
      <c r="O6" s="114"/>
      <c r="P6" s="3"/>
      <c r="Q6" s="36"/>
      <c r="R6" s="3"/>
      <c r="S6" s="3"/>
      <c r="T6" s="3"/>
      <c r="U6" s="3"/>
      <c r="V6" s="3"/>
      <c r="W6" s="3"/>
      <c r="X6" s="3"/>
      <c r="Y6" s="3"/>
      <c r="Z6" s="3"/>
    </row>
    <row r="7">
      <c r="A7" s="133" t="s">
        <v>732</v>
      </c>
      <c r="B7" s="66" t="s">
        <v>733</v>
      </c>
      <c r="C7" s="66" t="s">
        <v>734</v>
      </c>
      <c r="D7" s="31">
        <v>1.0</v>
      </c>
      <c r="E7" s="252" t="s">
        <v>735</v>
      </c>
      <c r="F7" s="101" t="s">
        <v>86</v>
      </c>
      <c r="G7" s="66">
        <v>37.0</v>
      </c>
      <c r="H7" s="3">
        <f t="shared" si="1"/>
        <v>37</v>
      </c>
      <c r="I7" s="64" t="s">
        <v>730</v>
      </c>
      <c r="J7" s="27" t="s">
        <v>43</v>
      </c>
      <c r="K7" s="69" t="s">
        <v>736</v>
      </c>
      <c r="L7" s="39" t="s">
        <v>43</v>
      </c>
      <c r="M7" s="100" t="s">
        <v>156</v>
      </c>
      <c r="N7" s="253" t="s">
        <v>737</v>
      </c>
      <c r="O7" s="44"/>
      <c r="Q7" s="44"/>
    </row>
    <row r="8">
      <c r="A8" s="254" t="s">
        <v>738</v>
      </c>
      <c r="B8" s="31">
        <v>563879.0</v>
      </c>
      <c r="C8" s="27" t="s">
        <v>356</v>
      </c>
      <c r="D8" s="31">
        <v>1.0</v>
      </c>
      <c r="E8" s="255" t="s">
        <v>357</v>
      </c>
      <c r="F8" s="101" t="s">
        <v>86</v>
      </c>
      <c r="G8" s="32">
        <v>283.5</v>
      </c>
      <c r="H8" s="3">
        <f t="shared" si="1"/>
        <v>283.5</v>
      </c>
      <c r="I8" s="54" t="s">
        <v>730</v>
      </c>
      <c r="J8" s="39" t="s">
        <v>43</v>
      </c>
      <c r="K8" s="69" t="s">
        <v>739</v>
      </c>
      <c r="L8" s="39" t="s">
        <v>43</v>
      </c>
      <c r="M8" s="101" t="s">
        <v>156</v>
      </c>
      <c r="N8" s="56"/>
      <c r="O8" s="256" t="s">
        <v>740</v>
      </c>
      <c r="P8" s="3"/>
      <c r="Q8" s="36"/>
      <c r="R8" s="3"/>
      <c r="S8" s="3"/>
      <c r="T8" s="3"/>
      <c r="U8" s="3"/>
      <c r="V8" s="3"/>
      <c r="W8" s="3"/>
      <c r="X8" s="3"/>
      <c r="Y8" s="3"/>
      <c r="Z8" s="3"/>
    </row>
    <row r="9">
      <c r="A9" s="257" t="s">
        <v>502</v>
      </c>
      <c r="B9" s="39">
        <v>563794.0</v>
      </c>
      <c r="C9" s="258" t="s">
        <v>356</v>
      </c>
      <c r="D9" s="31">
        <v>1.0</v>
      </c>
      <c r="E9" s="255" t="s">
        <v>357</v>
      </c>
      <c r="F9" s="255" t="s">
        <v>86</v>
      </c>
      <c r="G9" s="46">
        <v>76.41</v>
      </c>
      <c r="H9" s="3">
        <f t="shared" si="1"/>
        <v>76.41</v>
      </c>
      <c r="I9" s="54" t="s">
        <v>730</v>
      </c>
      <c r="J9" s="39" t="s">
        <v>43</v>
      </c>
      <c r="K9" s="69" t="s">
        <v>739</v>
      </c>
      <c r="L9" s="39" t="s">
        <v>43</v>
      </c>
      <c r="M9" s="101" t="s">
        <v>156</v>
      </c>
      <c r="N9" s="56"/>
      <c r="O9" s="211" t="s">
        <v>741</v>
      </c>
      <c r="P9" s="3"/>
      <c r="Q9" s="36"/>
      <c r="R9" s="3"/>
      <c r="S9" s="3"/>
      <c r="T9" s="3"/>
      <c r="U9" s="3"/>
      <c r="V9" s="3"/>
      <c r="W9" s="3"/>
      <c r="X9" s="3"/>
      <c r="Y9" s="3"/>
      <c r="Z9" s="3"/>
    </row>
    <row r="10">
      <c r="A10" s="12" t="s">
        <v>742</v>
      </c>
      <c r="B10" s="36"/>
      <c r="C10" s="3"/>
      <c r="D10" s="31">
        <v>1.0</v>
      </c>
      <c r="E10" s="58" t="s">
        <v>520</v>
      </c>
      <c r="F10" s="58" t="s">
        <v>520</v>
      </c>
      <c r="G10" s="31">
        <v>111.0</v>
      </c>
      <c r="H10" s="3">
        <f t="shared" si="1"/>
        <v>111</v>
      </c>
      <c r="I10" s="54" t="s">
        <v>730</v>
      </c>
      <c r="J10" s="39" t="s">
        <v>43</v>
      </c>
      <c r="K10" s="54" t="s">
        <v>730</v>
      </c>
      <c r="L10" s="39" t="s">
        <v>43</v>
      </c>
      <c r="M10" s="101" t="s">
        <v>156</v>
      </c>
      <c r="N10" s="56"/>
      <c r="O10" s="36"/>
      <c r="P10" s="3"/>
      <c r="Q10" s="36"/>
      <c r="R10" s="3"/>
      <c r="S10" s="3"/>
      <c r="T10" s="3"/>
      <c r="U10" s="3"/>
      <c r="V10" s="3"/>
      <c r="W10" s="3"/>
      <c r="X10" s="3"/>
      <c r="Y10" s="3"/>
      <c r="Z10" s="3"/>
    </row>
    <row r="11">
      <c r="B11" s="44"/>
      <c r="D11" s="44"/>
      <c r="F11" s="44"/>
      <c r="G11" s="44"/>
      <c r="H11" s="3">
        <f t="shared" si="1"/>
        <v>0</v>
      </c>
      <c r="I11" s="44"/>
      <c r="K11" s="44"/>
      <c r="M11" s="44"/>
      <c r="N11" s="220"/>
      <c r="O11" s="44"/>
      <c r="Q11" s="44"/>
    </row>
    <row r="12">
      <c r="B12" s="44"/>
      <c r="D12" s="44"/>
      <c r="F12" s="44"/>
      <c r="G12" s="44"/>
      <c r="H12" s="3">
        <f t="shared" si="1"/>
        <v>0</v>
      </c>
      <c r="I12" s="44"/>
      <c r="K12" s="44"/>
      <c r="M12" s="44"/>
      <c r="N12" s="220"/>
      <c r="O12" s="44"/>
      <c r="Q12" s="44"/>
    </row>
    <row r="13">
      <c r="B13" s="44"/>
      <c r="D13" s="44"/>
      <c r="F13" s="44"/>
      <c r="G13" s="44"/>
      <c r="H13" s="3">
        <f t="shared" si="1"/>
        <v>0</v>
      </c>
      <c r="I13" s="44"/>
      <c r="K13" s="44"/>
      <c r="M13" s="44"/>
      <c r="O13" s="44"/>
      <c r="Q13" s="44"/>
    </row>
    <row r="14">
      <c r="B14" s="44"/>
      <c r="D14" s="44"/>
      <c r="F14" s="44"/>
      <c r="G14" s="44"/>
      <c r="H14" s="3">
        <f t="shared" si="1"/>
        <v>0</v>
      </c>
      <c r="I14" s="44"/>
      <c r="K14" s="44"/>
      <c r="M14" s="44"/>
      <c r="O14" s="44"/>
      <c r="Q14" s="44"/>
    </row>
    <row r="15">
      <c r="B15" s="44"/>
      <c r="D15" s="44"/>
      <c r="F15" s="44"/>
      <c r="G15" s="44"/>
      <c r="H15" s="3">
        <f t="shared" si="1"/>
        <v>0</v>
      </c>
      <c r="I15" s="44"/>
      <c r="K15" s="44"/>
      <c r="M15" s="44"/>
      <c r="O15" s="44"/>
      <c r="Q15" s="44"/>
    </row>
    <row r="16">
      <c r="B16" s="44"/>
      <c r="D16" s="44"/>
      <c r="F16" s="44"/>
      <c r="G16" s="44"/>
      <c r="H16" s="3">
        <f t="shared" si="1"/>
        <v>0</v>
      </c>
      <c r="I16" s="44"/>
      <c r="K16" s="44"/>
      <c r="M16" s="44"/>
      <c r="O16" s="44"/>
      <c r="Q16" s="44"/>
    </row>
    <row r="17">
      <c r="B17" s="44"/>
      <c r="D17" s="44"/>
      <c r="F17" s="44"/>
      <c r="G17" s="44"/>
      <c r="I17" s="44"/>
      <c r="K17" s="44"/>
      <c r="M17" s="44"/>
      <c r="O17" s="44"/>
      <c r="Q17" s="44"/>
    </row>
    <row r="18">
      <c r="B18" s="44"/>
      <c r="D18" s="44"/>
      <c r="F18" s="44"/>
      <c r="G18" s="44"/>
      <c r="I18" s="44"/>
      <c r="K18" s="44"/>
      <c r="M18" s="44"/>
      <c r="O18" s="44"/>
      <c r="Q18" s="44"/>
    </row>
    <row r="19">
      <c r="B19" s="44"/>
      <c r="D19" s="44"/>
      <c r="F19" s="44"/>
      <c r="G19" s="44"/>
      <c r="I19" s="44"/>
      <c r="K19" s="44"/>
      <c r="M19" s="44"/>
      <c r="O19" s="44"/>
      <c r="Q19" s="44"/>
    </row>
    <row r="20">
      <c r="B20" s="44"/>
      <c r="D20" s="44"/>
      <c r="F20" s="44"/>
      <c r="G20" s="44"/>
      <c r="I20" s="44"/>
      <c r="K20" s="44"/>
      <c r="M20" s="44"/>
      <c r="O20" s="44"/>
      <c r="Q20" s="44"/>
    </row>
    <row r="21">
      <c r="B21" s="44"/>
      <c r="D21" s="44"/>
      <c r="F21" s="44"/>
      <c r="G21" s="44"/>
      <c r="I21" s="44"/>
      <c r="K21" s="44"/>
      <c r="M21" s="44"/>
      <c r="O21" s="44"/>
      <c r="Q21" s="44"/>
    </row>
    <row r="22">
      <c r="B22" s="44"/>
      <c r="D22" s="44"/>
      <c r="F22" s="44"/>
      <c r="G22" s="44"/>
      <c r="I22" s="44"/>
      <c r="K22" s="44"/>
      <c r="M22" s="44"/>
      <c r="O22" s="44"/>
      <c r="Q22" s="44"/>
    </row>
    <row r="23">
      <c r="B23" s="44"/>
      <c r="D23" s="44"/>
      <c r="F23" s="44"/>
      <c r="G23" s="44"/>
      <c r="I23" s="44"/>
      <c r="K23" s="44"/>
      <c r="M23" s="44"/>
      <c r="O23" s="44"/>
      <c r="Q23" s="44"/>
    </row>
    <row r="24">
      <c r="B24" s="44"/>
      <c r="D24" s="44"/>
      <c r="F24" s="44"/>
      <c r="G24" s="44"/>
      <c r="I24" s="44"/>
      <c r="K24" s="44"/>
      <c r="M24" s="44"/>
      <c r="O24" s="44"/>
      <c r="Q24" s="44"/>
    </row>
    <row r="25">
      <c r="B25" s="44"/>
      <c r="D25" s="44"/>
      <c r="F25" s="44"/>
      <c r="G25" s="44"/>
      <c r="I25" s="44"/>
      <c r="K25" s="44"/>
      <c r="M25" s="44"/>
      <c r="O25" s="44"/>
      <c r="Q25" s="44"/>
    </row>
    <row r="26">
      <c r="B26" s="44"/>
      <c r="D26" s="44"/>
      <c r="F26" s="44"/>
      <c r="G26" s="44"/>
      <c r="I26" s="44"/>
      <c r="K26" s="44"/>
      <c r="M26" s="44"/>
      <c r="O26" s="44"/>
      <c r="Q26" s="44"/>
    </row>
    <row r="27">
      <c r="B27" s="44"/>
      <c r="D27" s="44"/>
      <c r="F27" s="44"/>
      <c r="G27" s="44"/>
      <c r="I27" s="44"/>
      <c r="K27" s="44"/>
      <c r="M27" s="44"/>
      <c r="O27" s="44"/>
      <c r="Q27" s="44"/>
    </row>
    <row r="28">
      <c r="B28" s="44"/>
      <c r="D28" s="44"/>
      <c r="F28" s="44"/>
      <c r="G28" s="44"/>
      <c r="I28" s="44"/>
      <c r="K28" s="44"/>
      <c r="M28" s="44"/>
      <c r="O28" s="44"/>
      <c r="Q28" s="44"/>
    </row>
    <row r="29">
      <c r="B29" s="44"/>
      <c r="D29" s="44"/>
      <c r="F29" s="44"/>
      <c r="G29" s="44"/>
      <c r="I29" s="44"/>
      <c r="K29" s="44"/>
      <c r="M29" s="44"/>
      <c r="O29" s="44"/>
      <c r="Q29" s="44"/>
    </row>
    <row r="30">
      <c r="B30" s="44"/>
      <c r="D30" s="44"/>
      <c r="F30" s="44"/>
      <c r="G30" s="44"/>
      <c r="I30" s="44"/>
      <c r="K30" s="44"/>
      <c r="M30" s="44"/>
      <c r="O30" s="44"/>
      <c r="Q30" s="44"/>
    </row>
    <row r="31">
      <c r="B31" s="44"/>
      <c r="D31" s="44"/>
      <c r="F31" s="44"/>
      <c r="G31" s="44"/>
      <c r="I31" s="44"/>
      <c r="K31" s="44"/>
      <c r="M31" s="44"/>
      <c r="O31" s="44"/>
      <c r="Q31" s="44"/>
    </row>
    <row r="32">
      <c r="B32" s="44"/>
      <c r="D32" s="44"/>
      <c r="F32" s="44"/>
      <c r="G32" s="44"/>
      <c r="I32" s="44"/>
      <c r="K32" s="44"/>
      <c r="M32" s="44"/>
      <c r="O32" s="44"/>
      <c r="Q32" s="44"/>
    </row>
    <row r="33">
      <c r="B33" s="44"/>
      <c r="D33" s="44"/>
      <c r="F33" s="44"/>
      <c r="G33" s="44"/>
      <c r="I33" s="44"/>
      <c r="K33" s="44"/>
      <c r="M33" s="44"/>
      <c r="O33" s="44"/>
      <c r="Q33" s="44"/>
    </row>
    <row r="34">
      <c r="B34" s="44"/>
      <c r="D34" s="44"/>
      <c r="F34" s="44"/>
      <c r="G34" s="44"/>
      <c r="I34" s="44"/>
      <c r="K34" s="44"/>
      <c r="M34" s="44"/>
      <c r="O34" s="44"/>
      <c r="Q34" s="44"/>
    </row>
    <row r="35">
      <c r="B35" s="44"/>
      <c r="D35" s="44"/>
      <c r="F35" s="44"/>
      <c r="G35" s="44"/>
      <c r="I35" s="44"/>
      <c r="K35" s="44"/>
      <c r="M35" s="44"/>
      <c r="O35" s="44"/>
      <c r="Q35" s="44"/>
    </row>
    <row r="36">
      <c r="B36" s="44"/>
      <c r="D36" s="44"/>
      <c r="F36" s="44"/>
      <c r="G36" s="44"/>
      <c r="I36" s="44"/>
      <c r="K36" s="44"/>
      <c r="M36" s="44"/>
      <c r="O36" s="44"/>
      <c r="Q36" s="44"/>
    </row>
    <row r="37">
      <c r="B37" s="44"/>
      <c r="D37" s="44"/>
      <c r="F37" s="44"/>
      <c r="G37" s="44"/>
      <c r="I37" s="44"/>
      <c r="K37" s="44"/>
      <c r="M37" s="44"/>
      <c r="O37" s="44"/>
      <c r="Q37" s="44"/>
    </row>
    <row r="38">
      <c r="B38" s="44"/>
      <c r="D38" s="44"/>
      <c r="F38" s="44"/>
      <c r="G38" s="44"/>
      <c r="I38" s="44"/>
      <c r="K38" s="44"/>
      <c r="M38" s="44"/>
      <c r="O38" s="44"/>
      <c r="Q38" s="44"/>
    </row>
    <row r="39">
      <c r="B39" s="44"/>
      <c r="D39" s="44"/>
      <c r="F39" s="44"/>
      <c r="G39" s="44"/>
      <c r="I39" s="44"/>
      <c r="K39" s="44"/>
      <c r="M39" s="44"/>
      <c r="O39" s="44"/>
      <c r="Q39" s="44"/>
    </row>
    <row r="40">
      <c r="B40" s="44"/>
      <c r="D40" s="44"/>
      <c r="F40" s="44"/>
      <c r="G40" s="44"/>
      <c r="I40" s="44"/>
      <c r="K40" s="44"/>
      <c r="M40" s="44"/>
      <c r="O40" s="44"/>
      <c r="Q40" s="44"/>
    </row>
    <row r="41">
      <c r="B41" s="44"/>
      <c r="D41" s="44"/>
      <c r="F41" s="44"/>
      <c r="G41" s="44"/>
      <c r="I41" s="44"/>
      <c r="K41" s="44"/>
      <c r="M41" s="44"/>
      <c r="O41" s="44"/>
      <c r="Q41" s="44"/>
    </row>
    <row r="42">
      <c r="B42" s="44"/>
      <c r="D42" s="44"/>
      <c r="F42" s="44"/>
      <c r="G42" s="44"/>
      <c r="I42" s="44"/>
      <c r="K42" s="44"/>
      <c r="M42" s="44"/>
      <c r="O42" s="44"/>
      <c r="Q42" s="44"/>
    </row>
    <row r="43">
      <c r="B43" s="44"/>
      <c r="D43" s="44"/>
      <c r="F43" s="44"/>
      <c r="G43" s="44"/>
      <c r="I43" s="44"/>
      <c r="K43" s="44"/>
      <c r="M43" s="44"/>
      <c r="O43" s="44"/>
      <c r="Q43" s="44"/>
    </row>
    <row r="44">
      <c r="B44" s="44"/>
      <c r="D44" s="44"/>
      <c r="F44" s="44"/>
      <c r="G44" s="44"/>
      <c r="I44" s="44"/>
      <c r="K44" s="44"/>
      <c r="M44" s="44"/>
      <c r="O44" s="44"/>
      <c r="Q44" s="44"/>
    </row>
    <row r="45">
      <c r="B45" s="44"/>
      <c r="D45" s="44"/>
      <c r="F45" s="44"/>
      <c r="G45" s="44"/>
      <c r="I45" s="44"/>
      <c r="K45" s="44"/>
      <c r="M45" s="44"/>
      <c r="O45" s="44"/>
      <c r="Q45" s="44"/>
    </row>
    <row r="46">
      <c r="B46" s="44"/>
      <c r="D46" s="44"/>
      <c r="F46" s="44"/>
      <c r="G46" s="44"/>
      <c r="I46" s="44"/>
      <c r="K46" s="44"/>
      <c r="M46" s="44"/>
      <c r="O46" s="44"/>
      <c r="Q46" s="44"/>
    </row>
    <row r="47">
      <c r="B47" s="44"/>
      <c r="D47" s="44"/>
      <c r="F47" s="44"/>
      <c r="G47" s="44"/>
      <c r="I47" s="44"/>
      <c r="K47" s="44"/>
      <c r="M47" s="44"/>
      <c r="O47" s="44"/>
      <c r="Q47" s="44"/>
    </row>
    <row r="48">
      <c r="B48" s="44"/>
      <c r="D48" s="44"/>
      <c r="F48" s="44"/>
      <c r="G48" s="44"/>
      <c r="I48" s="44"/>
      <c r="K48" s="44"/>
      <c r="M48" s="44"/>
      <c r="O48" s="44"/>
      <c r="Q48" s="44"/>
    </row>
    <row r="49">
      <c r="B49" s="44"/>
      <c r="D49" s="44"/>
      <c r="F49" s="44"/>
      <c r="G49" s="44"/>
      <c r="I49" s="44"/>
      <c r="K49" s="44"/>
      <c r="M49" s="44"/>
      <c r="O49" s="44"/>
      <c r="Q49" s="44"/>
    </row>
    <row r="50">
      <c r="B50" s="44"/>
      <c r="D50" s="44"/>
      <c r="F50" s="44"/>
      <c r="G50" s="44"/>
      <c r="I50" s="44"/>
      <c r="K50" s="44"/>
      <c r="M50" s="44"/>
      <c r="O50" s="44"/>
      <c r="Q50" s="44"/>
    </row>
    <row r="51">
      <c r="B51" s="44"/>
      <c r="D51" s="44"/>
      <c r="F51" s="44"/>
      <c r="G51" s="44"/>
      <c r="I51" s="44"/>
      <c r="K51" s="44"/>
      <c r="M51" s="44"/>
      <c r="O51" s="44"/>
      <c r="Q51" s="44"/>
    </row>
    <row r="52">
      <c r="B52" s="44"/>
      <c r="D52" s="44"/>
      <c r="F52" s="44"/>
      <c r="G52" s="44"/>
      <c r="I52" s="44"/>
      <c r="K52" s="44"/>
      <c r="M52" s="44"/>
      <c r="O52" s="44"/>
      <c r="Q52" s="44"/>
    </row>
    <row r="53">
      <c r="B53" s="44"/>
      <c r="D53" s="44"/>
      <c r="F53" s="44"/>
      <c r="G53" s="44"/>
      <c r="I53" s="44"/>
      <c r="K53" s="44"/>
      <c r="M53" s="44"/>
      <c r="O53" s="44"/>
      <c r="Q53" s="44"/>
    </row>
    <row r="54">
      <c r="B54" s="44"/>
      <c r="D54" s="44"/>
      <c r="F54" s="44"/>
      <c r="G54" s="44"/>
      <c r="I54" s="44"/>
      <c r="K54" s="44"/>
      <c r="M54" s="44"/>
      <c r="O54" s="44"/>
      <c r="Q54" s="44"/>
    </row>
    <row r="55">
      <c r="B55" s="44"/>
      <c r="D55" s="44"/>
      <c r="F55" s="44"/>
      <c r="G55" s="44"/>
      <c r="I55" s="44"/>
      <c r="K55" s="44"/>
      <c r="M55" s="44"/>
      <c r="O55" s="44"/>
      <c r="Q55" s="44"/>
    </row>
    <row r="56">
      <c r="B56" s="44"/>
      <c r="D56" s="44"/>
      <c r="F56" s="44"/>
      <c r="G56" s="44"/>
      <c r="I56" s="44"/>
      <c r="K56" s="44"/>
      <c r="M56" s="44"/>
      <c r="O56" s="44"/>
      <c r="Q56" s="44"/>
    </row>
    <row r="57">
      <c r="B57" s="44"/>
      <c r="D57" s="44"/>
      <c r="F57" s="44"/>
      <c r="G57" s="44"/>
      <c r="I57" s="44"/>
      <c r="K57" s="44"/>
      <c r="M57" s="44"/>
      <c r="O57" s="44"/>
      <c r="Q57" s="44"/>
    </row>
    <row r="58">
      <c r="B58" s="44"/>
      <c r="D58" s="44"/>
      <c r="F58" s="44"/>
      <c r="G58" s="44"/>
      <c r="I58" s="44"/>
      <c r="K58" s="44"/>
      <c r="M58" s="44"/>
      <c r="O58" s="44"/>
      <c r="Q58" s="44"/>
    </row>
    <row r="59">
      <c r="B59" s="44"/>
      <c r="D59" s="44"/>
      <c r="F59" s="44"/>
      <c r="G59" s="44"/>
      <c r="I59" s="44"/>
      <c r="K59" s="44"/>
      <c r="M59" s="44"/>
      <c r="O59" s="44"/>
      <c r="Q59" s="44"/>
    </row>
    <row r="60">
      <c r="B60" s="44"/>
      <c r="D60" s="44"/>
      <c r="F60" s="44"/>
      <c r="G60" s="44"/>
      <c r="I60" s="44"/>
      <c r="K60" s="44"/>
      <c r="M60" s="44"/>
      <c r="O60" s="44"/>
      <c r="Q60" s="44"/>
    </row>
    <row r="61">
      <c r="B61" s="44"/>
      <c r="D61" s="44"/>
      <c r="F61" s="44"/>
      <c r="G61" s="44"/>
      <c r="I61" s="44"/>
      <c r="K61" s="44"/>
      <c r="M61" s="44"/>
      <c r="O61" s="44"/>
      <c r="Q61" s="44"/>
    </row>
    <row r="62">
      <c r="B62" s="44"/>
      <c r="D62" s="44"/>
      <c r="F62" s="44"/>
      <c r="G62" s="44"/>
      <c r="I62" s="44"/>
      <c r="K62" s="44"/>
      <c r="M62" s="44"/>
      <c r="O62" s="44"/>
      <c r="Q62" s="44"/>
    </row>
    <row r="63">
      <c r="B63" s="44"/>
      <c r="D63" s="44"/>
      <c r="F63" s="44"/>
      <c r="G63" s="44"/>
      <c r="I63" s="44"/>
      <c r="K63" s="44"/>
      <c r="M63" s="44"/>
      <c r="O63" s="44"/>
      <c r="Q63" s="44"/>
    </row>
    <row r="64">
      <c r="B64" s="44"/>
      <c r="D64" s="44"/>
      <c r="F64" s="44"/>
      <c r="G64" s="44"/>
      <c r="I64" s="44"/>
      <c r="K64" s="44"/>
      <c r="M64" s="44"/>
      <c r="O64" s="44"/>
      <c r="Q64" s="44"/>
    </row>
    <row r="65">
      <c r="B65" s="44"/>
      <c r="D65" s="44"/>
      <c r="F65" s="44"/>
      <c r="G65" s="44"/>
      <c r="I65" s="44"/>
      <c r="K65" s="44"/>
      <c r="M65" s="44"/>
      <c r="O65" s="44"/>
      <c r="Q65" s="44"/>
    </row>
    <row r="66">
      <c r="B66" s="44"/>
      <c r="D66" s="44"/>
      <c r="F66" s="44"/>
      <c r="G66" s="44"/>
      <c r="I66" s="44"/>
      <c r="K66" s="44"/>
      <c r="M66" s="44"/>
      <c r="O66" s="44"/>
      <c r="Q66" s="44"/>
    </row>
    <row r="67">
      <c r="B67" s="44"/>
      <c r="D67" s="44"/>
      <c r="F67" s="44"/>
      <c r="G67" s="44"/>
      <c r="I67" s="44"/>
      <c r="K67" s="44"/>
      <c r="M67" s="44"/>
      <c r="O67" s="44"/>
      <c r="Q67" s="44"/>
    </row>
    <row r="68">
      <c r="B68" s="44"/>
      <c r="D68" s="44"/>
      <c r="F68" s="44"/>
      <c r="G68" s="44"/>
      <c r="I68" s="44"/>
      <c r="K68" s="44"/>
      <c r="M68" s="44"/>
      <c r="O68" s="44"/>
      <c r="Q68" s="44"/>
    </row>
    <row r="69">
      <c r="B69" s="44"/>
      <c r="D69" s="44"/>
      <c r="F69" s="44"/>
      <c r="G69" s="44"/>
      <c r="I69" s="44"/>
      <c r="K69" s="44"/>
      <c r="M69" s="44"/>
      <c r="O69" s="44"/>
      <c r="Q69" s="44"/>
    </row>
    <row r="70">
      <c r="B70" s="44"/>
      <c r="D70" s="44"/>
      <c r="F70" s="44"/>
      <c r="G70" s="44"/>
      <c r="I70" s="44"/>
      <c r="K70" s="44"/>
      <c r="M70" s="44"/>
      <c r="O70" s="44"/>
      <c r="Q70" s="44"/>
    </row>
    <row r="71">
      <c r="B71" s="44"/>
      <c r="D71" s="44"/>
      <c r="F71" s="44"/>
      <c r="G71" s="44"/>
      <c r="I71" s="44"/>
      <c r="K71" s="44"/>
      <c r="M71" s="44"/>
      <c r="O71" s="44"/>
      <c r="Q71" s="44"/>
    </row>
    <row r="72">
      <c r="B72" s="44"/>
      <c r="D72" s="44"/>
      <c r="F72" s="44"/>
      <c r="G72" s="44"/>
      <c r="I72" s="44"/>
      <c r="K72" s="44"/>
      <c r="M72" s="44"/>
      <c r="O72" s="44"/>
      <c r="Q72" s="44"/>
    </row>
    <row r="73">
      <c r="B73" s="44"/>
      <c r="D73" s="44"/>
      <c r="F73" s="44"/>
      <c r="G73" s="44"/>
      <c r="I73" s="44"/>
      <c r="K73" s="44"/>
      <c r="M73" s="44"/>
      <c r="O73" s="44"/>
      <c r="Q73" s="44"/>
    </row>
    <row r="74">
      <c r="B74" s="44"/>
      <c r="D74" s="44"/>
      <c r="F74" s="44"/>
      <c r="G74" s="44"/>
      <c r="I74" s="44"/>
      <c r="K74" s="44"/>
      <c r="M74" s="44"/>
      <c r="O74" s="44"/>
      <c r="Q74" s="44"/>
    </row>
    <row r="75">
      <c r="B75" s="44"/>
      <c r="D75" s="44"/>
      <c r="F75" s="44"/>
      <c r="G75" s="44"/>
      <c r="I75" s="44"/>
      <c r="K75" s="44"/>
      <c r="M75" s="44"/>
      <c r="O75" s="44"/>
      <c r="Q75" s="44"/>
    </row>
    <row r="76">
      <c r="B76" s="44"/>
      <c r="D76" s="44"/>
      <c r="F76" s="44"/>
      <c r="G76" s="44"/>
      <c r="I76" s="44"/>
      <c r="K76" s="44"/>
      <c r="M76" s="44"/>
      <c r="O76" s="44"/>
      <c r="Q76" s="44"/>
    </row>
    <row r="77">
      <c r="B77" s="44"/>
      <c r="D77" s="44"/>
      <c r="F77" s="44"/>
      <c r="G77" s="44"/>
      <c r="I77" s="44"/>
      <c r="K77" s="44"/>
      <c r="M77" s="44"/>
      <c r="O77" s="44"/>
      <c r="Q77" s="44"/>
    </row>
    <row r="78">
      <c r="B78" s="44"/>
      <c r="D78" s="44"/>
      <c r="F78" s="44"/>
      <c r="G78" s="44"/>
      <c r="I78" s="44"/>
      <c r="K78" s="44"/>
      <c r="M78" s="44"/>
      <c r="O78" s="44"/>
      <c r="Q78" s="44"/>
    </row>
    <row r="79">
      <c r="B79" s="44"/>
      <c r="D79" s="44"/>
      <c r="F79" s="44"/>
      <c r="G79" s="44"/>
      <c r="I79" s="44"/>
      <c r="K79" s="44"/>
      <c r="M79" s="44"/>
      <c r="O79" s="44"/>
      <c r="Q79" s="44"/>
    </row>
    <row r="80">
      <c r="B80" s="44"/>
      <c r="D80" s="44"/>
      <c r="F80" s="44"/>
      <c r="G80" s="44"/>
      <c r="I80" s="44"/>
      <c r="K80" s="44"/>
      <c r="M80" s="44"/>
      <c r="O80" s="44"/>
      <c r="Q80" s="44"/>
    </row>
    <row r="81">
      <c r="B81" s="44"/>
      <c r="D81" s="44"/>
      <c r="F81" s="44"/>
      <c r="G81" s="44"/>
      <c r="I81" s="44"/>
      <c r="K81" s="44"/>
      <c r="M81" s="44"/>
      <c r="O81" s="44"/>
      <c r="Q81" s="44"/>
    </row>
    <row r="82">
      <c r="B82" s="44"/>
      <c r="D82" s="44"/>
      <c r="F82" s="44"/>
      <c r="G82" s="44"/>
      <c r="I82" s="44"/>
      <c r="K82" s="44"/>
      <c r="M82" s="44"/>
      <c r="O82" s="44"/>
      <c r="Q82" s="44"/>
    </row>
    <row r="83">
      <c r="B83" s="44"/>
      <c r="D83" s="44"/>
      <c r="F83" s="44"/>
      <c r="G83" s="44"/>
      <c r="I83" s="44"/>
      <c r="K83" s="44"/>
      <c r="M83" s="44"/>
      <c r="O83" s="44"/>
      <c r="Q83" s="44"/>
    </row>
    <row r="84">
      <c r="B84" s="44"/>
      <c r="D84" s="44"/>
      <c r="F84" s="44"/>
      <c r="G84" s="44"/>
      <c r="I84" s="44"/>
      <c r="K84" s="44"/>
      <c r="M84" s="44"/>
      <c r="O84" s="44"/>
      <c r="Q84" s="44"/>
    </row>
    <row r="85">
      <c r="B85" s="44"/>
      <c r="D85" s="44"/>
      <c r="F85" s="44"/>
      <c r="G85" s="44"/>
      <c r="I85" s="44"/>
      <c r="K85" s="44"/>
      <c r="M85" s="44"/>
      <c r="O85" s="44"/>
      <c r="Q85" s="44"/>
    </row>
    <row r="86">
      <c r="B86" s="44"/>
      <c r="D86" s="44"/>
      <c r="F86" s="44"/>
      <c r="G86" s="44"/>
      <c r="I86" s="44"/>
      <c r="K86" s="44"/>
      <c r="M86" s="44"/>
      <c r="O86" s="44"/>
      <c r="Q86" s="44"/>
    </row>
    <row r="87">
      <c r="B87" s="44"/>
      <c r="D87" s="44"/>
      <c r="F87" s="44"/>
      <c r="G87" s="44"/>
      <c r="I87" s="44"/>
      <c r="K87" s="44"/>
      <c r="M87" s="44"/>
      <c r="O87" s="44"/>
      <c r="Q87" s="44"/>
    </row>
    <row r="88">
      <c r="B88" s="44"/>
      <c r="D88" s="44"/>
      <c r="F88" s="44"/>
      <c r="G88" s="44"/>
      <c r="I88" s="44"/>
      <c r="K88" s="44"/>
      <c r="M88" s="44"/>
      <c r="O88" s="44"/>
      <c r="Q88" s="44"/>
    </row>
    <row r="89">
      <c r="B89" s="44"/>
      <c r="D89" s="44"/>
      <c r="F89" s="44"/>
      <c r="G89" s="44"/>
      <c r="I89" s="44"/>
      <c r="K89" s="44"/>
      <c r="M89" s="44"/>
      <c r="O89" s="44"/>
      <c r="Q89" s="44"/>
    </row>
    <row r="90">
      <c r="B90" s="44"/>
      <c r="D90" s="44"/>
      <c r="F90" s="44"/>
      <c r="G90" s="44"/>
      <c r="I90" s="44"/>
      <c r="K90" s="44"/>
      <c r="M90" s="44"/>
      <c r="O90" s="44"/>
      <c r="Q90" s="44"/>
    </row>
    <row r="91">
      <c r="B91" s="44"/>
      <c r="D91" s="44"/>
      <c r="F91" s="44"/>
      <c r="G91" s="44"/>
      <c r="I91" s="44"/>
      <c r="K91" s="44"/>
      <c r="M91" s="44"/>
      <c r="O91" s="44"/>
      <c r="Q91" s="44"/>
    </row>
    <row r="92">
      <c r="B92" s="44"/>
      <c r="D92" s="44"/>
      <c r="F92" s="44"/>
      <c r="G92" s="44"/>
      <c r="I92" s="44"/>
      <c r="K92" s="44"/>
      <c r="M92" s="44"/>
      <c r="O92" s="44"/>
      <c r="Q92" s="44"/>
    </row>
    <row r="93">
      <c r="B93" s="44"/>
      <c r="D93" s="44"/>
      <c r="F93" s="44"/>
      <c r="G93" s="44"/>
      <c r="I93" s="44"/>
      <c r="K93" s="44"/>
      <c r="M93" s="44"/>
      <c r="O93" s="44"/>
      <c r="Q93" s="44"/>
    </row>
    <row r="94">
      <c r="B94" s="44"/>
      <c r="D94" s="44"/>
      <c r="F94" s="44"/>
      <c r="G94" s="44"/>
      <c r="I94" s="44"/>
      <c r="K94" s="44"/>
      <c r="M94" s="44"/>
      <c r="O94" s="44"/>
      <c r="Q94" s="44"/>
    </row>
    <row r="95">
      <c r="B95" s="44"/>
      <c r="D95" s="44"/>
      <c r="F95" s="44"/>
      <c r="G95" s="44"/>
      <c r="I95" s="44"/>
      <c r="K95" s="44"/>
      <c r="M95" s="44"/>
      <c r="O95" s="44"/>
      <c r="Q95" s="44"/>
    </row>
    <row r="96">
      <c r="B96" s="44"/>
      <c r="D96" s="44"/>
      <c r="F96" s="44"/>
      <c r="G96" s="44"/>
      <c r="I96" s="44"/>
      <c r="K96" s="44"/>
      <c r="M96" s="44"/>
      <c r="O96" s="44"/>
      <c r="Q96" s="44"/>
    </row>
    <row r="97">
      <c r="B97" s="44"/>
      <c r="D97" s="44"/>
      <c r="F97" s="44"/>
      <c r="G97" s="44"/>
      <c r="I97" s="44"/>
      <c r="K97" s="44"/>
      <c r="M97" s="44"/>
      <c r="O97" s="44"/>
      <c r="Q97" s="44"/>
    </row>
    <row r="98">
      <c r="B98" s="44"/>
      <c r="D98" s="44"/>
      <c r="F98" s="44"/>
      <c r="G98" s="44"/>
      <c r="I98" s="44"/>
      <c r="K98" s="44"/>
      <c r="M98" s="44"/>
      <c r="O98" s="44"/>
      <c r="Q98" s="44"/>
    </row>
    <row r="99">
      <c r="B99" s="44"/>
      <c r="D99" s="44"/>
      <c r="F99" s="44"/>
      <c r="G99" s="44"/>
      <c r="I99" s="44"/>
      <c r="K99" s="44"/>
      <c r="M99" s="44"/>
      <c r="O99" s="44"/>
      <c r="Q99" s="44"/>
    </row>
    <row r="100">
      <c r="B100" s="44"/>
      <c r="D100" s="44"/>
      <c r="F100" s="44"/>
      <c r="G100" s="44"/>
      <c r="I100" s="44"/>
      <c r="K100" s="44"/>
      <c r="M100" s="44"/>
      <c r="O100" s="44"/>
      <c r="Q100" s="44"/>
    </row>
    <row r="101">
      <c r="B101" s="44"/>
      <c r="D101" s="44"/>
      <c r="F101" s="44"/>
      <c r="G101" s="44"/>
      <c r="I101" s="44"/>
      <c r="K101" s="44"/>
      <c r="M101" s="44"/>
      <c r="O101" s="44"/>
      <c r="Q101" s="44"/>
    </row>
    <row r="102">
      <c r="B102" s="44"/>
      <c r="D102" s="44"/>
      <c r="F102" s="44"/>
      <c r="G102" s="44"/>
      <c r="I102" s="44"/>
      <c r="K102" s="44"/>
      <c r="M102" s="44"/>
      <c r="O102" s="44"/>
      <c r="Q102" s="44"/>
    </row>
    <row r="103">
      <c r="B103" s="44"/>
      <c r="D103" s="44"/>
      <c r="F103" s="44"/>
      <c r="G103" s="44"/>
      <c r="I103" s="44"/>
      <c r="K103" s="44"/>
      <c r="M103" s="44"/>
      <c r="O103" s="44"/>
      <c r="Q103" s="44"/>
    </row>
    <row r="104">
      <c r="B104" s="44"/>
      <c r="D104" s="44"/>
      <c r="F104" s="44"/>
      <c r="G104" s="44"/>
      <c r="I104" s="44"/>
      <c r="K104" s="44"/>
      <c r="M104" s="44"/>
      <c r="O104" s="44"/>
      <c r="Q104" s="44"/>
    </row>
    <row r="105">
      <c r="B105" s="44"/>
      <c r="D105" s="44"/>
      <c r="F105" s="44"/>
      <c r="G105" s="44"/>
      <c r="I105" s="44"/>
      <c r="K105" s="44"/>
      <c r="M105" s="44"/>
      <c r="O105" s="44"/>
      <c r="Q105" s="44"/>
    </row>
    <row r="106">
      <c r="B106" s="44"/>
      <c r="D106" s="44"/>
      <c r="F106" s="44"/>
      <c r="G106" s="44"/>
      <c r="I106" s="44"/>
      <c r="K106" s="44"/>
      <c r="M106" s="44"/>
      <c r="O106" s="44"/>
      <c r="Q106" s="44"/>
    </row>
    <row r="107">
      <c r="B107" s="44"/>
      <c r="D107" s="44"/>
      <c r="F107" s="44"/>
      <c r="G107" s="44"/>
      <c r="I107" s="44"/>
      <c r="K107" s="44"/>
      <c r="M107" s="44"/>
      <c r="O107" s="44"/>
      <c r="Q107" s="44"/>
    </row>
    <row r="108">
      <c r="B108" s="44"/>
      <c r="D108" s="44"/>
      <c r="F108" s="44"/>
      <c r="G108" s="44"/>
      <c r="I108" s="44"/>
      <c r="K108" s="44"/>
      <c r="M108" s="44"/>
      <c r="O108" s="44"/>
      <c r="Q108" s="44"/>
    </row>
    <row r="109">
      <c r="B109" s="44"/>
      <c r="D109" s="44"/>
      <c r="F109" s="44"/>
      <c r="G109" s="44"/>
      <c r="I109" s="44"/>
      <c r="K109" s="44"/>
      <c r="M109" s="44"/>
      <c r="O109" s="44"/>
      <c r="Q109" s="44"/>
    </row>
    <row r="110">
      <c r="B110" s="44"/>
      <c r="D110" s="44"/>
      <c r="F110" s="44"/>
      <c r="G110" s="44"/>
      <c r="I110" s="44"/>
      <c r="K110" s="44"/>
      <c r="M110" s="44"/>
      <c r="O110" s="44"/>
      <c r="Q110" s="44"/>
    </row>
    <row r="111">
      <c r="B111" s="44"/>
      <c r="D111" s="44"/>
      <c r="F111" s="44"/>
      <c r="G111" s="44"/>
      <c r="I111" s="44"/>
      <c r="K111" s="44"/>
      <c r="M111" s="44"/>
      <c r="O111" s="44"/>
      <c r="Q111" s="44"/>
    </row>
    <row r="112">
      <c r="B112" s="44"/>
      <c r="D112" s="44"/>
      <c r="F112" s="44"/>
      <c r="G112" s="44"/>
      <c r="I112" s="44"/>
      <c r="K112" s="44"/>
      <c r="M112" s="44"/>
      <c r="O112" s="44"/>
      <c r="Q112" s="44"/>
    </row>
    <row r="113">
      <c r="B113" s="44"/>
      <c r="D113" s="44"/>
      <c r="F113" s="44"/>
      <c r="G113" s="44"/>
      <c r="I113" s="44"/>
      <c r="K113" s="44"/>
      <c r="M113" s="44"/>
      <c r="O113" s="44"/>
      <c r="Q113" s="44"/>
    </row>
    <row r="114">
      <c r="B114" s="44"/>
      <c r="D114" s="44"/>
      <c r="F114" s="44"/>
      <c r="G114" s="44"/>
      <c r="I114" s="44"/>
      <c r="K114" s="44"/>
      <c r="M114" s="44"/>
      <c r="O114" s="44"/>
      <c r="Q114" s="44"/>
    </row>
    <row r="115">
      <c r="B115" s="44"/>
      <c r="D115" s="44"/>
      <c r="F115" s="44"/>
      <c r="G115" s="44"/>
      <c r="I115" s="44"/>
      <c r="K115" s="44"/>
      <c r="M115" s="44"/>
      <c r="O115" s="44"/>
      <c r="Q115" s="44"/>
    </row>
    <row r="116">
      <c r="B116" s="44"/>
      <c r="D116" s="44"/>
      <c r="F116" s="44"/>
      <c r="G116" s="44"/>
      <c r="I116" s="44"/>
      <c r="K116" s="44"/>
      <c r="M116" s="44"/>
      <c r="O116" s="44"/>
      <c r="Q116" s="44"/>
    </row>
    <row r="117">
      <c r="B117" s="44"/>
      <c r="D117" s="44"/>
      <c r="F117" s="44"/>
      <c r="G117" s="44"/>
      <c r="I117" s="44"/>
      <c r="K117" s="44"/>
      <c r="M117" s="44"/>
      <c r="O117" s="44"/>
      <c r="Q117" s="44"/>
    </row>
    <row r="118">
      <c r="B118" s="44"/>
      <c r="D118" s="44"/>
      <c r="F118" s="44"/>
      <c r="G118" s="44"/>
      <c r="I118" s="44"/>
      <c r="K118" s="44"/>
      <c r="M118" s="44"/>
      <c r="O118" s="44"/>
      <c r="Q118" s="44"/>
    </row>
    <row r="119">
      <c r="B119" s="44"/>
      <c r="D119" s="44"/>
      <c r="F119" s="44"/>
      <c r="G119" s="44"/>
      <c r="I119" s="44"/>
      <c r="K119" s="44"/>
      <c r="M119" s="44"/>
      <c r="O119" s="44"/>
      <c r="Q119" s="44"/>
    </row>
    <row r="120">
      <c r="B120" s="44"/>
      <c r="D120" s="44"/>
      <c r="F120" s="44"/>
      <c r="G120" s="44"/>
      <c r="I120" s="44"/>
      <c r="K120" s="44"/>
      <c r="M120" s="44"/>
      <c r="O120" s="44"/>
      <c r="Q120" s="44"/>
    </row>
    <row r="121">
      <c r="B121" s="44"/>
      <c r="D121" s="44"/>
      <c r="F121" s="44"/>
      <c r="G121" s="44"/>
      <c r="I121" s="44"/>
      <c r="K121" s="44"/>
      <c r="M121" s="44"/>
      <c r="O121" s="44"/>
      <c r="Q121" s="44"/>
    </row>
    <row r="122">
      <c r="B122" s="44"/>
      <c r="D122" s="44"/>
      <c r="F122" s="44"/>
      <c r="G122" s="44"/>
      <c r="I122" s="44"/>
      <c r="K122" s="44"/>
      <c r="M122" s="44"/>
      <c r="O122" s="44"/>
      <c r="Q122" s="44"/>
    </row>
    <row r="123">
      <c r="B123" s="44"/>
      <c r="D123" s="44"/>
      <c r="F123" s="44"/>
      <c r="G123" s="44"/>
      <c r="I123" s="44"/>
      <c r="K123" s="44"/>
      <c r="M123" s="44"/>
      <c r="O123" s="44"/>
      <c r="Q123" s="44"/>
    </row>
    <row r="124">
      <c r="B124" s="44"/>
      <c r="D124" s="44"/>
      <c r="F124" s="44"/>
      <c r="G124" s="44"/>
      <c r="I124" s="44"/>
      <c r="K124" s="44"/>
      <c r="M124" s="44"/>
      <c r="O124" s="44"/>
      <c r="Q124" s="44"/>
    </row>
    <row r="125">
      <c r="B125" s="44"/>
      <c r="D125" s="44"/>
      <c r="F125" s="44"/>
      <c r="G125" s="44"/>
      <c r="I125" s="44"/>
      <c r="K125" s="44"/>
      <c r="M125" s="44"/>
      <c r="O125" s="44"/>
      <c r="Q125" s="44"/>
    </row>
    <row r="126">
      <c r="B126" s="44"/>
      <c r="D126" s="44"/>
      <c r="F126" s="44"/>
      <c r="G126" s="44"/>
      <c r="I126" s="44"/>
      <c r="K126" s="44"/>
      <c r="M126" s="44"/>
      <c r="O126" s="44"/>
      <c r="Q126" s="44"/>
    </row>
    <row r="127">
      <c r="B127" s="44"/>
      <c r="D127" s="44"/>
      <c r="F127" s="44"/>
      <c r="G127" s="44"/>
      <c r="I127" s="44"/>
      <c r="K127" s="44"/>
      <c r="M127" s="44"/>
      <c r="O127" s="44"/>
      <c r="Q127" s="44"/>
    </row>
    <row r="128">
      <c r="B128" s="44"/>
      <c r="D128" s="44"/>
      <c r="F128" s="44"/>
      <c r="G128" s="44"/>
      <c r="I128" s="44"/>
      <c r="K128" s="44"/>
      <c r="M128" s="44"/>
      <c r="O128" s="44"/>
      <c r="Q128" s="44"/>
    </row>
    <row r="129">
      <c r="B129" s="44"/>
      <c r="D129" s="44"/>
      <c r="F129" s="44"/>
      <c r="G129" s="44"/>
      <c r="I129" s="44"/>
      <c r="K129" s="44"/>
      <c r="M129" s="44"/>
      <c r="O129" s="44"/>
      <c r="Q129" s="44"/>
    </row>
    <row r="130">
      <c r="B130" s="44"/>
      <c r="D130" s="44"/>
      <c r="F130" s="44"/>
      <c r="G130" s="44"/>
      <c r="I130" s="44"/>
      <c r="K130" s="44"/>
      <c r="M130" s="44"/>
      <c r="O130" s="44"/>
      <c r="Q130" s="44"/>
    </row>
    <row r="131">
      <c r="B131" s="44"/>
      <c r="D131" s="44"/>
      <c r="F131" s="44"/>
      <c r="G131" s="44"/>
      <c r="I131" s="44"/>
      <c r="K131" s="44"/>
      <c r="M131" s="44"/>
      <c r="O131" s="44"/>
      <c r="Q131" s="44"/>
    </row>
    <row r="132">
      <c r="B132" s="44"/>
      <c r="D132" s="44"/>
      <c r="F132" s="44"/>
      <c r="G132" s="44"/>
      <c r="I132" s="44"/>
      <c r="K132" s="44"/>
      <c r="M132" s="44"/>
      <c r="O132" s="44"/>
      <c r="Q132" s="44"/>
    </row>
    <row r="133">
      <c r="B133" s="44"/>
      <c r="D133" s="44"/>
      <c r="F133" s="44"/>
      <c r="G133" s="44"/>
      <c r="I133" s="44"/>
      <c r="K133" s="44"/>
      <c r="M133" s="44"/>
      <c r="O133" s="44"/>
      <c r="Q133" s="44"/>
    </row>
    <row r="134">
      <c r="B134" s="44"/>
      <c r="D134" s="44"/>
      <c r="F134" s="44"/>
      <c r="G134" s="44"/>
      <c r="I134" s="44"/>
      <c r="K134" s="44"/>
      <c r="M134" s="44"/>
      <c r="O134" s="44"/>
      <c r="Q134" s="44"/>
    </row>
    <row r="135">
      <c r="B135" s="44"/>
      <c r="D135" s="44"/>
      <c r="F135" s="44"/>
      <c r="G135" s="44"/>
      <c r="I135" s="44"/>
      <c r="K135" s="44"/>
      <c r="M135" s="44"/>
      <c r="O135" s="44"/>
      <c r="Q135" s="44"/>
    </row>
    <row r="136">
      <c r="B136" s="44"/>
      <c r="D136" s="44"/>
      <c r="F136" s="44"/>
      <c r="G136" s="44"/>
      <c r="I136" s="44"/>
      <c r="K136" s="44"/>
      <c r="M136" s="44"/>
      <c r="O136" s="44"/>
      <c r="Q136" s="44"/>
    </row>
    <row r="137">
      <c r="B137" s="44"/>
      <c r="D137" s="44"/>
      <c r="F137" s="44"/>
      <c r="G137" s="44"/>
      <c r="I137" s="44"/>
      <c r="K137" s="44"/>
      <c r="M137" s="44"/>
      <c r="O137" s="44"/>
      <c r="Q137" s="44"/>
    </row>
    <row r="138">
      <c r="B138" s="44"/>
      <c r="D138" s="44"/>
      <c r="F138" s="44"/>
      <c r="G138" s="44"/>
      <c r="I138" s="44"/>
      <c r="K138" s="44"/>
      <c r="M138" s="44"/>
      <c r="O138" s="44"/>
      <c r="Q138" s="44"/>
    </row>
    <row r="139">
      <c r="B139" s="44"/>
      <c r="D139" s="44"/>
      <c r="F139" s="44"/>
      <c r="G139" s="44"/>
      <c r="I139" s="44"/>
      <c r="K139" s="44"/>
      <c r="M139" s="44"/>
      <c r="O139" s="44"/>
      <c r="Q139" s="44"/>
    </row>
    <row r="140">
      <c r="B140" s="44"/>
      <c r="D140" s="44"/>
      <c r="F140" s="44"/>
      <c r="G140" s="44"/>
      <c r="I140" s="44"/>
      <c r="K140" s="44"/>
      <c r="M140" s="44"/>
      <c r="O140" s="44"/>
      <c r="Q140" s="44"/>
    </row>
    <row r="141">
      <c r="B141" s="44"/>
      <c r="D141" s="44"/>
      <c r="F141" s="44"/>
      <c r="G141" s="44"/>
      <c r="I141" s="44"/>
      <c r="K141" s="44"/>
      <c r="M141" s="44"/>
      <c r="O141" s="44"/>
      <c r="Q141" s="44"/>
    </row>
    <row r="142">
      <c r="B142" s="44"/>
      <c r="D142" s="44"/>
      <c r="F142" s="44"/>
      <c r="G142" s="44"/>
      <c r="I142" s="44"/>
      <c r="K142" s="44"/>
      <c r="M142" s="44"/>
      <c r="O142" s="44"/>
      <c r="Q142" s="44"/>
    </row>
    <row r="143">
      <c r="B143" s="44"/>
      <c r="D143" s="44"/>
      <c r="F143" s="44"/>
      <c r="G143" s="44"/>
      <c r="I143" s="44"/>
      <c r="K143" s="44"/>
      <c r="M143" s="44"/>
      <c r="O143" s="44"/>
      <c r="Q143" s="44"/>
    </row>
    <row r="144">
      <c r="B144" s="44"/>
      <c r="D144" s="44"/>
      <c r="F144" s="44"/>
      <c r="G144" s="44"/>
      <c r="I144" s="44"/>
      <c r="K144" s="44"/>
      <c r="M144" s="44"/>
      <c r="O144" s="44"/>
      <c r="Q144" s="44"/>
    </row>
    <row r="145">
      <c r="B145" s="44"/>
      <c r="D145" s="44"/>
      <c r="F145" s="44"/>
      <c r="G145" s="44"/>
      <c r="I145" s="44"/>
      <c r="K145" s="44"/>
      <c r="M145" s="44"/>
      <c r="O145" s="44"/>
      <c r="Q145" s="44"/>
    </row>
    <row r="146">
      <c r="B146" s="44"/>
      <c r="D146" s="44"/>
      <c r="F146" s="44"/>
      <c r="G146" s="44"/>
      <c r="I146" s="44"/>
      <c r="K146" s="44"/>
      <c r="M146" s="44"/>
      <c r="O146" s="44"/>
      <c r="Q146" s="44"/>
    </row>
    <row r="147">
      <c r="B147" s="44"/>
      <c r="D147" s="44"/>
      <c r="F147" s="44"/>
      <c r="G147" s="44"/>
      <c r="I147" s="44"/>
      <c r="K147" s="44"/>
      <c r="M147" s="44"/>
      <c r="O147" s="44"/>
      <c r="Q147" s="44"/>
    </row>
    <row r="148">
      <c r="B148" s="44"/>
      <c r="D148" s="44"/>
      <c r="F148" s="44"/>
      <c r="G148" s="44"/>
      <c r="I148" s="44"/>
      <c r="K148" s="44"/>
      <c r="M148" s="44"/>
      <c r="O148" s="44"/>
      <c r="Q148" s="44"/>
    </row>
    <row r="149">
      <c r="B149" s="44"/>
      <c r="D149" s="44"/>
      <c r="F149" s="44"/>
      <c r="G149" s="44"/>
      <c r="I149" s="44"/>
      <c r="K149" s="44"/>
      <c r="M149" s="44"/>
      <c r="O149" s="44"/>
      <c r="Q149" s="44"/>
    </row>
    <row r="150">
      <c r="B150" s="44"/>
      <c r="D150" s="44"/>
      <c r="F150" s="44"/>
      <c r="G150" s="44"/>
      <c r="I150" s="44"/>
      <c r="K150" s="44"/>
      <c r="M150" s="44"/>
      <c r="O150" s="44"/>
      <c r="Q150" s="44"/>
    </row>
    <row r="151">
      <c r="B151" s="44"/>
      <c r="D151" s="44"/>
      <c r="F151" s="44"/>
      <c r="G151" s="44"/>
      <c r="I151" s="44"/>
      <c r="K151" s="44"/>
      <c r="M151" s="44"/>
      <c r="O151" s="44"/>
      <c r="Q151" s="44"/>
    </row>
    <row r="152">
      <c r="B152" s="44"/>
      <c r="D152" s="44"/>
      <c r="F152" s="44"/>
      <c r="G152" s="44"/>
      <c r="I152" s="44"/>
      <c r="K152" s="44"/>
      <c r="M152" s="44"/>
      <c r="O152" s="44"/>
      <c r="Q152" s="44"/>
    </row>
    <row r="153">
      <c r="B153" s="44"/>
      <c r="D153" s="44"/>
      <c r="F153" s="44"/>
      <c r="G153" s="44"/>
      <c r="I153" s="44"/>
      <c r="K153" s="44"/>
      <c r="M153" s="44"/>
      <c r="O153" s="44"/>
      <c r="Q153" s="44"/>
    </row>
    <row r="154">
      <c r="B154" s="44"/>
      <c r="D154" s="44"/>
      <c r="F154" s="44"/>
      <c r="G154" s="44"/>
      <c r="I154" s="44"/>
      <c r="K154" s="44"/>
      <c r="M154" s="44"/>
      <c r="O154" s="44"/>
      <c r="Q154" s="44"/>
    </row>
    <row r="155">
      <c r="B155" s="44"/>
      <c r="D155" s="44"/>
      <c r="F155" s="44"/>
      <c r="G155" s="44"/>
      <c r="I155" s="44"/>
      <c r="K155" s="44"/>
      <c r="M155" s="44"/>
      <c r="O155" s="44"/>
      <c r="Q155" s="44"/>
    </row>
    <row r="156">
      <c r="B156" s="44"/>
      <c r="D156" s="44"/>
      <c r="F156" s="44"/>
      <c r="G156" s="44"/>
      <c r="I156" s="44"/>
      <c r="K156" s="44"/>
      <c r="M156" s="44"/>
      <c r="O156" s="44"/>
      <c r="Q156" s="44"/>
    </row>
    <row r="157">
      <c r="B157" s="44"/>
      <c r="D157" s="44"/>
      <c r="F157" s="44"/>
      <c r="G157" s="44"/>
      <c r="I157" s="44"/>
      <c r="K157" s="44"/>
      <c r="M157" s="44"/>
      <c r="O157" s="44"/>
      <c r="Q157" s="44"/>
    </row>
    <row r="158">
      <c r="B158" s="44"/>
      <c r="D158" s="44"/>
      <c r="F158" s="44"/>
      <c r="G158" s="44"/>
      <c r="I158" s="44"/>
      <c r="K158" s="44"/>
      <c r="M158" s="44"/>
      <c r="O158" s="44"/>
      <c r="Q158" s="44"/>
    </row>
    <row r="159">
      <c r="B159" s="44"/>
      <c r="D159" s="44"/>
      <c r="F159" s="44"/>
      <c r="G159" s="44"/>
      <c r="I159" s="44"/>
      <c r="K159" s="44"/>
      <c r="M159" s="44"/>
      <c r="O159" s="44"/>
      <c r="Q159" s="44"/>
    </row>
    <row r="160">
      <c r="B160" s="44"/>
      <c r="D160" s="44"/>
      <c r="F160" s="44"/>
      <c r="G160" s="44"/>
      <c r="I160" s="44"/>
      <c r="K160" s="44"/>
      <c r="M160" s="44"/>
      <c r="O160" s="44"/>
      <c r="Q160" s="44"/>
    </row>
    <row r="161">
      <c r="B161" s="44"/>
      <c r="D161" s="44"/>
      <c r="F161" s="44"/>
      <c r="G161" s="44"/>
      <c r="I161" s="44"/>
      <c r="K161" s="44"/>
      <c r="M161" s="44"/>
      <c r="O161" s="44"/>
      <c r="Q161" s="44"/>
    </row>
    <row r="162">
      <c r="B162" s="44"/>
      <c r="D162" s="44"/>
      <c r="F162" s="44"/>
      <c r="G162" s="44"/>
      <c r="I162" s="44"/>
      <c r="K162" s="44"/>
      <c r="M162" s="44"/>
      <c r="O162" s="44"/>
      <c r="Q162" s="44"/>
    </row>
    <row r="163">
      <c r="B163" s="44"/>
      <c r="D163" s="44"/>
      <c r="F163" s="44"/>
      <c r="G163" s="44"/>
      <c r="I163" s="44"/>
      <c r="K163" s="44"/>
      <c r="M163" s="44"/>
      <c r="O163" s="44"/>
      <c r="Q163" s="44"/>
    </row>
    <row r="164">
      <c r="B164" s="44"/>
      <c r="D164" s="44"/>
      <c r="F164" s="44"/>
      <c r="G164" s="44"/>
      <c r="I164" s="44"/>
      <c r="K164" s="44"/>
      <c r="M164" s="44"/>
      <c r="O164" s="44"/>
      <c r="Q164" s="44"/>
    </row>
    <row r="165">
      <c r="B165" s="44"/>
      <c r="D165" s="44"/>
      <c r="F165" s="44"/>
      <c r="G165" s="44"/>
      <c r="I165" s="44"/>
      <c r="K165" s="44"/>
      <c r="M165" s="44"/>
      <c r="O165" s="44"/>
      <c r="Q165" s="44"/>
    </row>
    <row r="166">
      <c r="B166" s="44"/>
      <c r="D166" s="44"/>
      <c r="F166" s="44"/>
      <c r="G166" s="44"/>
      <c r="I166" s="44"/>
      <c r="K166" s="44"/>
      <c r="M166" s="44"/>
      <c r="O166" s="44"/>
      <c r="Q166" s="44"/>
    </row>
    <row r="167">
      <c r="B167" s="44"/>
      <c r="D167" s="44"/>
      <c r="F167" s="44"/>
      <c r="G167" s="44"/>
      <c r="I167" s="44"/>
      <c r="K167" s="44"/>
      <c r="M167" s="44"/>
      <c r="O167" s="44"/>
      <c r="Q167" s="44"/>
    </row>
    <row r="168">
      <c r="B168" s="44"/>
      <c r="D168" s="44"/>
      <c r="F168" s="44"/>
      <c r="G168" s="44"/>
      <c r="I168" s="44"/>
      <c r="K168" s="44"/>
      <c r="M168" s="44"/>
      <c r="O168" s="44"/>
      <c r="Q168" s="44"/>
    </row>
    <row r="169">
      <c r="B169" s="44"/>
      <c r="D169" s="44"/>
      <c r="F169" s="44"/>
      <c r="G169" s="44"/>
      <c r="I169" s="44"/>
      <c r="K169" s="44"/>
      <c r="M169" s="44"/>
      <c r="O169" s="44"/>
      <c r="Q169" s="44"/>
    </row>
    <row r="170">
      <c r="B170" s="44"/>
      <c r="D170" s="44"/>
      <c r="F170" s="44"/>
      <c r="G170" s="44"/>
      <c r="I170" s="44"/>
      <c r="K170" s="44"/>
      <c r="M170" s="44"/>
      <c r="O170" s="44"/>
      <c r="Q170" s="44"/>
    </row>
    <row r="171">
      <c r="B171" s="44"/>
      <c r="D171" s="44"/>
      <c r="F171" s="44"/>
      <c r="G171" s="44"/>
      <c r="I171" s="44"/>
      <c r="K171" s="44"/>
      <c r="M171" s="44"/>
      <c r="O171" s="44"/>
      <c r="Q171" s="44"/>
    </row>
    <row r="172">
      <c r="B172" s="44"/>
      <c r="D172" s="44"/>
      <c r="F172" s="44"/>
      <c r="G172" s="44"/>
      <c r="I172" s="44"/>
      <c r="K172" s="44"/>
      <c r="M172" s="44"/>
      <c r="O172" s="44"/>
      <c r="Q172" s="44"/>
    </row>
    <row r="173">
      <c r="B173" s="44"/>
      <c r="D173" s="44"/>
      <c r="F173" s="44"/>
      <c r="G173" s="44"/>
      <c r="I173" s="44"/>
      <c r="K173" s="44"/>
      <c r="M173" s="44"/>
      <c r="O173" s="44"/>
      <c r="Q173" s="44"/>
    </row>
    <row r="174">
      <c r="B174" s="44"/>
      <c r="D174" s="44"/>
      <c r="F174" s="44"/>
      <c r="G174" s="44"/>
      <c r="I174" s="44"/>
      <c r="K174" s="44"/>
      <c r="M174" s="44"/>
      <c r="O174" s="44"/>
      <c r="Q174" s="44"/>
    </row>
    <row r="175">
      <c r="B175" s="44"/>
      <c r="D175" s="44"/>
      <c r="F175" s="44"/>
      <c r="G175" s="44"/>
      <c r="I175" s="44"/>
      <c r="K175" s="44"/>
      <c r="M175" s="44"/>
      <c r="O175" s="44"/>
      <c r="Q175" s="44"/>
    </row>
    <row r="176">
      <c r="B176" s="44"/>
      <c r="D176" s="44"/>
      <c r="F176" s="44"/>
      <c r="G176" s="44"/>
      <c r="I176" s="44"/>
      <c r="K176" s="44"/>
      <c r="M176" s="44"/>
      <c r="O176" s="44"/>
      <c r="Q176" s="44"/>
    </row>
    <row r="177">
      <c r="B177" s="44"/>
      <c r="D177" s="44"/>
      <c r="F177" s="44"/>
      <c r="G177" s="44"/>
      <c r="I177" s="44"/>
      <c r="K177" s="44"/>
      <c r="M177" s="44"/>
      <c r="O177" s="44"/>
      <c r="Q177" s="44"/>
    </row>
    <row r="178">
      <c r="B178" s="44"/>
      <c r="D178" s="44"/>
      <c r="F178" s="44"/>
      <c r="G178" s="44"/>
      <c r="I178" s="44"/>
      <c r="K178" s="44"/>
      <c r="M178" s="44"/>
      <c r="O178" s="44"/>
      <c r="Q178" s="44"/>
    </row>
    <row r="179">
      <c r="B179" s="44"/>
      <c r="D179" s="44"/>
      <c r="F179" s="44"/>
      <c r="G179" s="44"/>
      <c r="I179" s="44"/>
      <c r="K179" s="44"/>
      <c r="M179" s="44"/>
      <c r="O179" s="44"/>
      <c r="Q179" s="44"/>
    </row>
    <row r="180">
      <c r="B180" s="44"/>
      <c r="D180" s="44"/>
      <c r="F180" s="44"/>
      <c r="G180" s="44"/>
      <c r="I180" s="44"/>
      <c r="K180" s="44"/>
      <c r="M180" s="44"/>
      <c r="O180" s="44"/>
      <c r="Q180" s="44"/>
    </row>
    <row r="181">
      <c r="B181" s="44"/>
      <c r="D181" s="44"/>
      <c r="F181" s="44"/>
      <c r="G181" s="44"/>
      <c r="I181" s="44"/>
      <c r="K181" s="44"/>
      <c r="M181" s="44"/>
      <c r="O181" s="44"/>
      <c r="Q181" s="44"/>
    </row>
    <row r="182">
      <c r="B182" s="44"/>
      <c r="D182" s="44"/>
      <c r="F182" s="44"/>
      <c r="G182" s="44"/>
      <c r="I182" s="44"/>
      <c r="K182" s="44"/>
      <c r="M182" s="44"/>
      <c r="O182" s="44"/>
      <c r="Q182" s="44"/>
    </row>
    <row r="183">
      <c r="B183" s="44"/>
      <c r="D183" s="44"/>
      <c r="F183" s="44"/>
      <c r="G183" s="44"/>
      <c r="I183" s="44"/>
      <c r="K183" s="44"/>
      <c r="M183" s="44"/>
      <c r="O183" s="44"/>
      <c r="Q183" s="44"/>
    </row>
    <row r="184">
      <c r="B184" s="44"/>
      <c r="D184" s="44"/>
      <c r="F184" s="44"/>
      <c r="G184" s="44"/>
      <c r="I184" s="44"/>
      <c r="K184" s="44"/>
      <c r="M184" s="44"/>
      <c r="O184" s="44"/>
      <c r="Q184" s="44"/>
    </row>
    <row r="185">
      <c r="B185" s="44"/>
      <c r="D185" s="44"/>
      <c r="F185" s="44"/>
      <c r="G185" s="44"/>
      <c r="I185" s="44"/>
      <c r="K185" s="44"/>
      <c r="M185" s="44"/>
      <c r="O185" s="44"/>
      <c r="Q185" s="44"/>
    </row>
    <row r="186">
      <c r="B186" s="44"/>
      <c r="D186" s="44"/>
      <c r="F186" s="44"/>
      <c r="G186" s="44"/>
      <c r="I186" s="44"/>
      <c r="K186" s="44"/>
      <c r="M186" s="44"/>
      <c r="O186" s="44"/>
      <c r="Q186" s="44"/>
    </row>
    <row r="187">
      <c r="B187" s="44"/>
      <c r="D187" s="44"/>
      <c r="F187" s="44"/>
      <c r="G187" s="44"/>
      <c r="I187" s="44"/>
      <c r="K187" s="44"/>
      <c r="M187" s="44"/>
      <c r="O187" s="44"/>
      <c r="Q187" s="44"/>
    </row>
    <row r="188">
      <c r="B188" s="44"/>
      <c r="D188" s="44"/>
      <c r="F188" s="44"/>
      <c r="G188" s="44"/>
      <c r="I188" s="44"/>
      <c r="K188" s="44"/>
      <c r="M188" s="44"/>
      <c r="O188" s="44"/>
      <c r="Q188" s="44"/>
    </row>
    <row r="189">
      <c r="B189" s="44"/>
      <c r="D189" s="44"/>
      <c r="F189" s="44"/>
      <c r="G189" s="44"/>
      <c r="I189" s="44"/>
      <c r="K189" s="44"/>
      <c r="M189" s="44"/>
      <c r="O189" s="44"/>
      <c r="Q189" s="44"/>
    </row>
    <row r="190">
      <c r="B190" s="44"/>
      <c r="D190" s="44"/>
      <c r="F190" s="44"/>
      <c r="G190" s="44"/>
      <c r="I190" s="44"/>
      <c r="K190" s="44"/>
      <c r="M190" s="44"/>
      <c r="O190" s="44"/>
      <c r="Q190" s="44"/>
    </row>
    <row r="191">
      <c r="B191" s="44"/>
      <c r="D191" s="44"/>
      <c r="F191" s="44"/>
      <c r="G191" s="44"/>
      <c r="I191" s="44"/>
      <c r="K191" s="44"/>
      <c r="M191" s="44"/>
      <c r="O191" s="44"/>
      <c r="Q191" s="44"/>
    </row>
    <row r="192">
      <c r="B192" s="44"/>
      <c r="D192" s="44"/>
      <c r="F192" s="44"/>
      <c r="G192" s="44"/>
      <c r="I192" s="44"/>
      <c r="K192" s="44"/>
      <c r="M192" s="44"/>
      <c r="O192" s="44"/>
      <c r="Q192" s="44"/>
    </row>
    <row r="193">
      <c r="B193" s="44"/>
      <c r="D193" s="44"/>
      <c r="F193" s="44"/>
      <c r="G193" s="44"/>
      <c r="I193" s="44"/>
      <c r="K193" s="44"/>
      <c r="M193" s="44"/>
      <c r="O193" s="44"/>
      <c r="Q193" s="44"/>
    </row>
    <row r="194">
      <c r="B194" s="44"/>
      <c r="D194" s="44"/>
      <c r="F194" s="44"/>
      <c r="G194" s="44"/>
      <c r="I194" s="44"/>
      <c r="K194" s="44"/>
      <c r="M194" s="44"/>
      <c r="O194" s="44"/>
      <c r="Q194" s="44"/>
    </row>
    <row r="195">
      <c r="B195" s="44"/>
      <c r="D195" s="44"/>
      <c r="F195" s="44"/>
      <c r="G195" s="44"/>
      <c r="I195" s="44"/>
      <c r="K195" s="44"/>
      <c r="M195" s="44"/>
      <c r="O195" s="44"/>
      <c r="Q195" s="44"/>
    </row>
    <row r="196">
      <c r="B196" s="44"/>
      <c r="D196" s="44"/>
      <c r="F196" s="44"/>
      <c r="G196" s="44"/>
      <c r="I196" s="44"/>
      <c r="K196" s="44"/>
      <c r="M196" s="44"/>
      <c r="O196" s="44"/>
      <c r="Q196" s="44"/>
    </row>
    <row r="197">
      <c r="B197" s="44"/>
      <c r="D197" s="44"/>
      <c r="F197" s="44"/>
      <c r="G197" s="44"/>
      <c r="I197" s="44"/>
      <c r="K197" s="44"/>
      <c r="M197" s="44"/>
      <c r="O197" s="44"/>
      <c r="Q197" s="44"/>
    </row>
    <row r="198">
      <c r="B198" s="44"/>
      <c r="D198" s="44"/>
      <c r="F198" s="44"/>
      <c r="G198" s="44"/>
      <c r="I198" s="44"/>
      <c r="K198" s="44"/>
      <c r="M198" s="44"/>
      <c r="O198" s="44"/>
      <c r="Q198" s="44"/>
    </row>
    <row r="199">
      <c r="B199" s="44"/>
      <c r="D199" s="44"/>
      <c r="F199" s="44"/>
      <c r="G199" s="44"/>
      <c r="I199" s="44"/>
      <c r="K199" s="44"/>
      <c r="M199" s="44"/>
      <c r="O199" s="44"/>
      <c r="Q199" s="44"/>
    </row>
    <row r="200">
      <c r="B200" s="44"/>
      <c r="D200" s="44"/>
      <c r="F200" s="44"/>
      <c r="G200" s="44"/>
      <c r="I200" s="44"/>
      <c r="K200" s="44"/>
      <c r="M200" s="44"/>
      <c r="O200" s="44"/>
      <c r="Q200" s="44"/>
    </row>
    <row r="201">
      <c r="B201" s="44"/>
      <c r="D201" s="44"/>
      <c r="F201" s="44"/>
      <c r="G201" s="44"/>
      <c r="I201" s="44"/>
      <c r="K201" s="44"/>
      <c r="M201" s="44"/>
      <c r="O201" s="44"/>
      <c r="Q201" s="44"/>
    </row>
    <row r="202">
      <c r="B202" s="44"/>
      <c r="D202" s="44"/>
      <c r="F202" s="44"/>
      <c r="G202" s="44"/>
      <c r="I202" s="44"/>
      <c r="K202" s="44"/>
      <c r="M202" s="44"/>
      <c r="O202" s="44"/>
      <c r="Q202" s="44"/>
    </row>
    <row r="203">
      <c r="B203" s="44"/>
      <c r="D203" s="44"/>
      <c r="F203" s="44"/>
      <c r="G203" s="44"/>
      <c r="I203" s="44"/>
      <c r="K203" s="44"/>
      <c r="M203" s="44"/>
      <c r="O203" s="44"/>
      <c r="Q203" s="44"/>
    </row>
    <row r="204">
      <c r="B204" s="44"/>
      <c r="D204" s="44"/>
      <c r="F204" s="44"/>
      <c r="G204" s="44"/>
      <c r="I204" s="44"/>
      <c r="K204" s="44"/>
      <c r="M204" s="44"/>
      <c r="O204" s="44"/>
      <c r="Q204" s="44"/>
    </row>
    <row r="205">
      <c r="B205" s="44"/>
      <c r="D205" s="44"/>
      <c r="F205" s="44"/>
      <c r="G205" s="44"/>
      <c r="I205" s="44"/>
      <c r="K205" s="44"/>
      <c r="M205" s="44"/>
      <c r="O205" s="44"/>
      <c r="Q205" s="44"/>
    </row>
    <row r="206">
      <c r="B206" s="44"/>
      <c r="D206" s="44"/>
      <c r="F206" s="44"/>
      <c r="G206" s="44"/>
      <c r="I206" s="44"/>
      <c r="K206" s="44"/>
      <c r="M206" s="44"/>
      <c r="O206" s="44"/>
      <c r="Q206" s="44"/>
    </row>
    <row r="207">
      <c r="B207" s="44"/>
      <c r="D207" s="44"/>
      <c r="F207" s="44"/>
      <c r="G207" s="44"/>
      <c r="I207" s="44"/>
      <c r="K207" s="44"/>
      <c r="M207" s="44"/>
      <c r="O207" s="44"/>
      <c r="Q207" s="44"/>
    </row>
    <row r="208">
      <c r="B208" s="44"/>
      <c r="D208" s="44"/>
      <c r="F208" s="44"/>
      <c r="G208" s="44"/>
      <c r="I208" s="44"/>
      <c r="K208" s="44"/>
      <c r="M208" s="44"/>
      <c r="O208" s="44"/>
      <c r="Q208" s="44"/>
    </row>
    <row r="209">
      <c r="B209" s="44"/>
      <c r="D209" s="44"/>
      <c r="F209" s="44"/>
      <c r="G209" s="44"/>
      <c r="I209" s="44"/>
      <c r="K209" s="44"/>
      <c r="M209" s="44"/>
      <c r="O209" s="44"/>
      <c r="Q209" s="44"/>
    </row>
    <row r="210">
      <c r="B210" s="44"/>
      <c r="D210" s="44"/>
      <c r="F210" s="44"/>
      <c r="G210" s="44"/>
      <c r="I210" s="44"/>
      <c r="K210" s="44"/>
      <c r="M210" s="44"/>
      <c r="O210" s="44"/>
      <c r="Q210" s="44"/>
    </row>
    <row r="211">
      <c r="B211" s="44"/>
      <c r="D211" s="44"/>
      <c r="F211" s="44"/>
      <c r="G211" s="44"/>
      <c r="I211" s="44"/>
      <c r="K211" s="44"/>
      <c r="M211" s="44"/>
      <c r="O211" s="44"/>
      <c r="Q211" s="44"/>
    </row>
    <row r="212">
      <c r="B212" s="44"/>
      <c r="D212" s="44"/>
      <c r="F212" s="44"/>
      <c r="G212" s="44"/>
      <c r="I212" s="44"/>
      <c r="K212" s="44"/>
      <c r="M212" s="44"/>
      <c r="O212" s="44"/>
      <c r="Q212" s="44"/>
    </row>
    <row r="213">
      <c r="B213" s="44"/>
      <c r="D213" s="44"/>
      <c r="F213" s="44"/>
      <c r="G213" s="44"/>
      <c r="I213" s="44"/>
      <c r="K213" s="44"/>
      <c r="M213" s="44"/>
      <c r="O213" s="44"/>
      <c r="Q213" s="44"/>
    </row>
    <row r="214">
      <c r="B214" s="44"/>
      <c r="D214" s="44"/>
      <c r="F214" s="44"/>
      <c r="G214" s="44"/>
      <c r="I214" s="44"/>
      <c r="K214" s="44"/>
      <c r="M214" s="44"/>
      <c r="O214" s="44"/>
      <c r="Q214" s="44"/>
    </row>
    <row r="215">
      <c r="B215" s="44"/>
      <c r="D215" s="44"/>
      <c r="F215" s="44"/>
      <c r="G215" s="44"/>
      <c r="I215" s="44"/>
      <c r="K215" s="44"/>
      <c r="M215" s="44"/>
      <c r="O215" s="44"/>
      <c r="Q215" s="44"/>
    </row>
    <row r="216">
      <c r="B216" s="44"/>
      <c r="D216" s="44"/>
      <c r="F216" s="44"/>
      <c r="G216" s="44"/>
      <c r="I216" s="44"/>
      <c r="K216" s="44"/>
      <c r="M216" s="44"/>
      <c r="O216" s="44"/>
      <c r="Q216" s="44"/>
    </row>
    <row r="217">
      <c r="B217" s="44"/>
      <c r="D217" s="44"/>
      <c r="F217" s="44"/>
      <c r="G217" s="44"/>
      <c r="I217" s="44"/>
      <c r="K217" s="44"/>
      <c r="M217" s="44"/>
      <c r="O217" s="44"/>
      <c r="Q217" s="44"/>
    </row>
    <row r="218">
      <c r="B218" s="44"/>
      <c r="D218" s="44"/>
      <c r="F218" s="44"/>
      <c r="G218" s="44"/>
      <c r="I218" s="44"/>
      <c r="K218" s="44"/>
      <c r="M218" s="44"/>
      <c r="O218" s="44"/>
      <c r="Q218" s="44"/>
    </row>
    <row r="219">
      <c r="B219" s="44"/>
      <c r="D219" s="44"/>
      <c r="F219" s="44"/>
      <c r="G219" s="44"/>
      <c r="I219" s="44"/>
      <c r="K219" s="44"/>
      <c r="M219" s="44"/>
      <c r="O219" s="44"/>
      <c r="Q219" s="44"/>
    </row>
    <row r="220">
      <c r="B220" s="44"/>
      <c r="D220" s="44"/>
      <c r="F220" s="44"/>
      <c r="G220" s="44"/>
      <c r="I220" s="44"/>
      <c r="K220" s="44"/>
      <c r="M220" s="44"/>
      <c r="O220" s="44"/>
      <c r="Q220" s="44"/>
    </row>
    <row r="221">
      <c r="B221" s="44"/>
      <c r="D221" s="44"/>
      <c r="F221" s="44"/>
      <c r="G221" s="44"/>
      <c r="I221" s="44"/>
      <c r="K221" s="44"/>
      <c r="M221" s="44"/>
      <c r="O221" s="44"/>
      <c r="Q221" s="44"/>
    </row>
    <row r="222">
      <c r="B222" s="44"/>
      <c r="D222" s="44"/>
      <c r="F222" s="44"/>
      <c r="G222" s="44"/>
      <c r="I222" s="44"/>
      <c r="K222" s="44"/>
      <c r="M222" s="44"/>
      <c r="O222" s="44"/>
      <c r="Q222" s="44"/>
    </row>
    <row r="223">
      <c r="B223" s="44"/>
      <c r="D223" s="44"/>
      <c r="F223" s="44"/>
      <c r="G223" s="44"/>
      <c r="I223" s="44"/>
      <c r="K223" s="44"/>
      <c r="M223" s="44"/>
      <c r="O223" s="44"/>
      <c r="Q223" s="44"/>
    </row>
    <row r="224">
      <c r="B224" s="44"/>
      <c r="D224" s="44"/>
      <c r="F224" s="44"/>
      <c r="G224" s="44"/>
      <c r="I224" s="44"/>
      <c r="K224" s="44"/>
      <c r="M224" s="44"/>
      <c r="O224" s="44"/>
      <c r="Q224" s="44"/>
    </row>
    <row r="225">
      <c r="B225" s="44"/>
      <c r="D225" s="44"/>
      <c r="F225" s="44"/>
      <c r="G225" s="44"/>
      <c r="I225" s="44"/>
      <c r="K225" s="44"/>
      <c r="M225" s="44"/>
      <c r="O225" s="44"/>
      <c r="Q225" s="44"/>
    </row>
    <row r="226">
      <c r="B226" s="44"/>
      <c r="D226" s="44"/>
      <c r="F226" s="44"/>
      <c r="G226" s="44"/>
      <c r="I226" s="44"/>
      <c r="K226" s="44"/>
      <c r="M226" s="44"/>
      <c r="O226" s="44"/>
      <c r="Q226" s="44"/>
    </row>
    <row r="227">
      <c r="B227" s="44"/>
      <c r="D227" s="44"/>
      <c r="F227" s="44"/>
      <c r="G227" s="44"/>
      <c r="I227" s="44"/>
      <c r="K227" s="44"/>
      <c r="M227" s="44"/>
      <c r="O227" s="44"/>
      <c r="Q227" s="44"/>
    </row>
    <row r="228">
      <c r="B228" s="44"/>
      <c r="D228" s="44"/>
      <c r="F228" s="44"/>
      <c r="G228" s="44"/>
      <c r="I228" s="44"/>
      <c r="K228" s="44"/>
      <c r="M228" s="44"/>
      <c r="O228" s="44"/>
      <c r="Q228" s="44"/>
    </row>
    <row r="229">
      <c r="B229" s="44"/>
      <c r="D229" s="44"/>
      <c r="F229" s="44"/>
      <c r="G229" s="44"/>
      <c r="I229" s="44"/>
      <c r="K229" s="44"/>
      <c r="M229" s="44"/>
      <c r="O229" s="44"/>
      <c r="Q229" s="44"/>
    </row>
    <row r="230">
      <c r="B230" s="44"/>
      <c r="D230" s="44"/>
      <c r="F230" s="44"/>
      <c r="G230" s="44"/>
      <c r="I230" s="44"/>
      <c r="K230" s="44"/>
      <c r="M230" s="44"/>
      <c r="O230" s="44"/>
      <c r="Q230" s="44"/>
    </row>
    <row r="231">
      <c r="B231" s="44"/>
      <c r="D231" s="44"/>
      <c r="F231" s="44"/>
      <c r="G231" s="44"/>
      <c r="I231" s="44"/>
      <c r="K231" s="44"/>
      <c r="M231" s="44"/>
      <c r="O231" s="44"/>
      <c r="Q231" s="44"/>
    </row>
    <row r="232">
      <c r="B232" s="44"/>
      <c r="D232" s="44"/>
      <c r="F232" s="44"/>
      <c r="G232" s="44"/>
      <c r="I232" s="44"/>
      <c r="K232" s="44"/>
      <c r="M232" s="44"/>
      <c r="O232" s="44"/>
      <c r="Q232" s="44"/>
    </row>
    <row r="233">
      <c r="B233" s="44"/>
      <c r="D233" s="44"/>
      <c r="F233" s="44"/>
      <c r="G233" s="44"/>
      <c r="I233" s="44"/>
      <c r="K233" s="44"/>
      <c r="M233" s="44"/>
      <c r="O233" s="44"/>
      <c r="Q233" s="44"/>
    </row>
    <row r="234">
      <c r="B234" s="44"/>
      <c r="D234" s="44"/>
      <c r="F234" s="44"/>
      <c r="G234" s="44"/>
      <c r="I234" s="44"/>
      <c r="K234" s="44"/>
      <c r="M234" s="44"/>
      <c r="O234" s="44"/>
      <c r="Q234" s="44"/>
    </row>
    <row r="235">
      <c r="B235" s="44"/>
      <c r="D235" s="44"/>
      <c r="F235" s="44"/>
      <c r="G235" s="44"/>
      <c r="I235" s="44"/>
      <c r="K235" s="44"/>
      <c r="M235" s="44"/>
      <c r="O235" s="44"/>
      <c r="Q235" s="44"/>
    </row>
    <row r="236">
      <c r="B236" s="44"/>
      <c r="D236" s="44"/>
      <c r="F236" s="44"/>
      <c r="G236" s="44"/>
      <c r="I236" s="44"/>
      <c r="K236" s="44"/>
      <c r="M236" s="44"/>
      <c r="O236" s="44"/>
      <c r="Q236" s="44"/>
    </row>
    <row r="237">
      <c r="B237" s="44"/>
      <c r="D237" s="44"/>
      <c r="F237" s="44"/>
      <c r="G237" s="44"/>
      <c r="I237" s="44"/>
      <c r="K237" s="44"/>
      <c r="M237" s="44"/>
      <c r="O237" s="44"/>
      <c r="Q237" s="44"/>
    </row>
    <row r="238">
      <c r="B238" s="44"/>
      <c r="D238" s="44"/>
      <c r="F238" s="44"/>
      <c r="G238" s="44"/>
      <c r="I238" s="44"/>
      <c r="K238" s="44"/>
      <c r="M238" s="44"/>
      <c r="O238" s="44"/>
      <c r="Q238" s="44"/>
    </row>
    <row r="239">
      <c r="B239" s="44"/>
      <c r="D239" s="44"/>
      <c r="F239" s="44"/>
      <c r="G239" s="44"/>
      <c r="I239" s="44"/>
      <c r="K239" s="44"/>
      <c r="M239" s="44"/>
      <c r="O239" s="44"/>
      <c r="Q239" s="44"/>
    </row>
    <row r="240">
      <c r="B240" s="44"/>
      <c r="D240" s="44"/>
      <c r="F240" s="44"/>
      <c r="G240" s="44"/>
      <c r="I240" s="44"/>
      <c r="K240" s="44"/>
      <c r="M240" s="44"/>
      <c r="O240" s="44"/>
      <c r="Q240" s="44"/>
    </row>
    <row r="241">
      <c r="B241" s="44"/>
      <c r="D241" s="44"/>
      <c r="F241" s="44"/>
      <c r="G241" s="44"/>
      <c r="I241" s="44"/>
      <c r="K241" s="44"/>
      <c r="M241" s="44"/>
      <c r="O241" s="44"/>
      <c r="Q241" s="44"/>
    </row>
    <row r="242">
      <c r="B242" s="44"/>
      <c r="D242" s="44"/>
      <c r="F242" s="44"/>
      <c r="G242" s="44"/>
      <c r="I242" s="44"/>
      <c r="K242" s="44"/>
      <c r="M242" s="44"/>
      <c r="O242" s="44"/>
      <c r="Q242" s="44"/>
    </row>
    <row r="243">
      <c r="B243" s="44"/>
      <c r="D243" s="44"/>
      <c r="F243" s="44"/>
      <c r="G243" s="44"/>
      <c r="I243" s="44"/>
      <c r="K243" s="44"/>
      <c r="M243" s="44"/>
      <c r="O243" s="44"/>
      <c r="Q243" s="44"/>
    </row>
    <row r="244">
      <c r="B244" s="44"/>
      <c r="D244" s="44"/>
      <c r="F244" s="44"/>
      <c r="G244" s="44"/>
      <c r="I244" s="44"/>
      <c r="K244" s="44"/>
      <c r="M244" s="44"/>
      <c r="O244" s="44"/>
      <c r="Q244" s="44"/>
    </row>
    <row r="245">
      <c r="B245" s="44"/>
      <c r="D245" s="44"/>
      <c r="F245" s="44"/>
      <c r="G245" s="44"/>
      <c r="I245" s="44"/>
      <c r="K245" s="44"/>
      <c r="M245" s="44"/>
      <c r="O245" s="44"/>
      <c r="Q245" s="44"/>
    </row>
    <row r="246">
      <c r="B246" s="44"/>
      <c r="D246" s="44"/>
      <c r="F246" s="44"/>
      <c r="G246" s="44"/>
      <c r="I246" s="44"/>
      <c r="K246" s="44"/>
      <c r="M246" s="44"/>
      <c r="O246" s="44"/>
      <c r="Q246" s="44"/>
    </row>
    <row r="247">
      <c r="B247" s="44"/>
      <c r="D247" s="44"/>
      <c r="F247" s="44"/>
      <c r="G247" s="44"/>
      <c r="I247" s="44"/>
      <c r="K247" s="44"/>
      <c r="M247" s="44"/>
      <c r="O247" s="44"/>
      <c r="Q247" s="44"/>
    </row>
    <row r="248">
      <c r="B248" s="44"/>
      <c r="D248" s="44"/>
      <c r="F248" s="44"/>
      <c r="G248" s="44"/>
      <c r="I248" s="44"/>
      <c r="K248" s="44"/>
      <c r="M248" s="44"/>
      <c r="O248" s="44"/>
      <c r="Q248" s="44"/>
    </row>
    <row r="249">
      <c r="B249" s="44"/>
      <c r="D249" s="44"/>
      <c r="F249" s="44"/>
      <c r="G249" s="44"/>
      <c r="I249" s="44"/>
      <c r="K249" s="44"/>
      <c r="M249" s="44"/>
      <c r="O249" s="44"/>
      <c r="Q249" s="44"/>
    </row>
    <row r="250">
      <c r="B250" s="44"/>
      <c r="D250" s="44"/>
      <c r="F250" s="44"/>
      <c r="G250" s="44"/>
      <c r="I250" s="44"/>
      <c r="K250" s="44"/>
      <c r="M250" s="44"/>
      <c r="O250" s="44"/>
      <c r="Q250" s="44"/>
    </row>
    <row r="251">
      <c r="B251" s="44"/>
      <c r="D251" s="44"/>
      <c r="F251" s="44"/>
      <c r="G251" s="44"/>
      <c r="I251" s="44"/>
      <c r="K251" s="44"/>
      <c r="M251" s="44"/>
      <c r="O251" s="44"/>
      <c r="Q251" s="44"/>
    </row>
    <row r="252">
      <c r="B252" s="44"/>
      <c r="D252" s="44"/>
      <c r="F252" s="44"/>
      <c r="G252" s="44"/>
      <c r="I252" s="44"/>
      <c r="K252" s="44"/>
      <c r="M252" s="44"/>
      <c r="O252" s="44"/>
      <c r="Q252" s="44"/>
    </row>
    <row r="253">
      <c r="B253" s="44"/>
      <c r="D253" s="44"/>
      <c r="F253" s="44"/>
      <c r="G253" s="44"/>
      <c r="I253" s="44"/>
      <c r="K253" s="44"/>
      <c r="M253" s="44"/>
      <c r="O253" s="44"/>
      <c r="Q253" s="44"/>
    </row>
    <row r="254">
      <c r="B254" s="44"/>
      <c r="D254" s="44"/>
      <c r="F254" s="44"/>
      <c r="G254" s="44"/>
      <c r="I254" s="44"/>
      <c r="K254" s="44"/>
      <c r="M254" s="44"/>
      <c r="O254" s="44"/>
      <c r="Q254" s="44"/>
    </row>
    <row r="255">
      <c r="B255" s="44"/>
      <c r="D255" s="44"/>
      <c r="F255" s="44"/>
      <c r="G255" s="44"/>
      <c r="I255" s="44"/>
      <c r="K255" s="44"/>
      <c r="M255" s="44"/>
      <c r="O255" s="44"/>
      <c r="Q255" s="44"/>
    </row>
    <row r="256">
      <c r="B256" s="44"/>
      <c r="D256" s="44"/>
      <c r="F256" s="44"/>
      <c r="G256" s="44"/>
      <c r="I256" s="44"/>
      <c r="K256" s="44"/>
      <c r="M256" s="44"/>
      <c r="O256" s="44"/>
      <c r="Q256" s="44"/>
    </row>
    <row r="257">
      <c r="B257" s="44"/>
      <c r="D257" s="44"/>
      <c r="F257" s="44"/>
      <c r="G257" s="44"/>
      <c r="I257" s="44"/>
      <c r="K257" s="44"/>
      <c r="M257" s="44"/>
      <c r="O257" s="44"/>
      <c r="Q257" s="44"/>
    </row>
    <row r="258">
      <c r="B258" s="44"/>
      <c r="D258" s="44"/>
      <c r="F258" s="44"/>
      <c r="G258" s="44"/>
      <c r="I258" s="44"/>
      <c r="K258" s="44"/>
      <c r="M258" s="44"/>
      <c r="O258" s="44"/>
      <c r="Q258" s="44"/>
    </row>
    <row r="259">
      <c r="B259" s="44"/>
      <c r="D259" s="44"/>
      <c r="F259" s="44"/>
      <c r="G259" s="44"/>
      <c r="I259" s="44"/>
      <c r="K259" s="44"/>
      <c r="M259" s="44"/>
      <c r="O259" s="44"/>
      <c r="Q259" s="44"/>
    </row>
    <row r="260">
      <c r="B260" s="44"/>
      <c r="D260" s="44"/>
      <c r="F260" s="44"/>
      <c r="G260" s="44"/>
      <c r="I260" s="44"/>
      <c r="K260" s="44"/>
      <c r="M260" s="44"/>
      <c r="O260" s="44"/>
      <c r="Q260" s="44"/>
    </row>
    <row r="261">
      <c r="B261" s="44"/>
      <c r="D261" s="44"/>
      <c r="F261" s="44"/>
      <c r="G261" s="44"/>
      <c r="I261" s="44"/>
      <c r="K261" s="44"/>
      <c r="M261" s="44"/>
      <c r="O261" s="44"/>
      <c r="Q261" s="44"/>
    </row>
    <row r="262">
      <c r="B262" s="44"/>
      <c r="D262" s="44"/>
      <c r="F262" s="44"/>
      <c r="G262" s="44"/>
      <c r="I262" s="44"/>
      <c r="K262" s="44"/>
      <c r="M262" s="44"/>
      <c r="O262" s="44"/>
      <c r="Q262" s="44"/>
    </row>
    <row r="263">
      <c r="B263" s="44"/>
      <c r="D263" s="44"/>
      <c r="F263" s="44"/>
      <c r="G263" s="44"/>
      <c r="I263" s="44"/>
      <c r="K263" s="44"/>
      <c r="M263" s="44"/>
      <c r="O263" s="44"/>
      <c r="Q263" s="44"/>
    </row>
    <row r="264">
      <c r="B264" s="44"/>
      <c r="D264" s="44"/>
      <c r="F264" s="44"/>
      <c r="G264" s="44"/>
      <c r="I264" s="44"/>
      <c r="K264" s="44"/>
      <c r="M264" s="44"/>
      <c r="O264" s="44"/>
      <c r="Q264" s="44"/>
    </row>
    <row r="265">
      <c r="B265" s="44"/>
      <c r="D265" s="44"/>
      <c r="F265" s="44"/>
      <c r="G265" s="44"/>
      <c r="I265" s="44"/>
      <c r="K265" s="44"/>
      <c r="M265" s="44"/>
      <c r="O265" s="44"/>
      <c r="Q265" s="44"/>
    </row>
    <row r="266">
      <c r="B266" s="44"/>
      <c r="D266" s="44"/>
      <c r="F266" s="44"/>
      <c r="G266" s="44"/>
      <c r="I266" s="44"/>
      <c r="K266" s="44"/>
      <c r="M266" s="44"/>
      <c r="O266" s="44"/>
      <c r="Q266" s="44"/>
    </row>
    <row r="267">
      <c r="B267" s="44"/>
      <c r="D267" s="44"/>
      <c r="F267" s="44"/>
      <c r="G267" s="44"/>
      <c r="I267" s="44"/>
      <c r="K267" s="44"/>
      <c r="M267" s="44"/>
      <c r="O267" s="44"/>
      <c r="Q267" s="44"/>
    </row>
    <row r="268">
      <c r="B268" s="44"/>
      <c r="D268" s="44"/>
      <c r="F268" s="44"/>
      <c r="G268" s="44"/>
      <c r="I268" s="44"/>
      <c r="K268" s="44"/>
      <c r="M268" s="44"/>
      <c r="O268" s="44"/>
      <c r="Q268" s="44"/>
    </row>
    <row r="269">
      <c r="B269" s="44"/>
      <c r="D269" s="44"/>
      <c r="F269" s="44"/>
      <c r="G269" s="44"/>
      <c r="I269" s="44"/>
      <c r="K269" s="44"/>
      <c r="M269" s="44"/>
      <c r="O269" s="44"/>
      <c r="Q269" s="44"/>
    </row>
    <row r="270">
      <c r="B270" s="44"/>
      <c r="D270" s="44"/>
      <c r="F270" s="44"/>
      <c r="G270" s="44"/>
      <c r="I270" s="44"/>
      <c r="K270" s="44"/>
      <c r="M270" s="44"/>
      <c r="O270" s="44"/>
      <c r="Q270" s="44"/>
    </row>
    <row r="271">
      <c r="B271" s="44"/>
      <c r="D271" s="44"/>
      <c r="F271" s="44"/>
      <c r="G271" s="44"/>
      <c r="I271" s="44"/>
      <c r="K271" s="44"/>
      <c r="M271" s="44"/>
      <c r="O271" s="44"/>
      <c r="Q271" s="44"/>
    </row>
    <row r="272">
      <c r="B272" s="44"/>
      <c r="D272" s="44"/>
      <c r="F272" s="44"/>
      <c r="G272" s="44"/>
      <c r="I272" s="44"/>
      <c r="K272" s="44"/>
      <c r="M272" s="44"/>
      <c r="O272" s="44"/>
      <c r="Q272" s="44"/>
    </row>
    <row r="273">
      <c r="B273" s="44"/>
      <c r="D273" s="44"/>
      <c r="F273" s="44"/>
      <c r="G273" s="44"/>
      <c r="I273" s="44"/>
      <c r="K273" s="44"/>
      <c r="M273" s="44"/>
      <c r="O273" s="44"/>
      <c r="Q273" s="44"/>
    </row>
    <row r="274">
      <c r="B274" s="44"/>
      <c r="D274" s="44"/>
      <c r="F274" s="44"/>
      <c r="G274" s="44"/>
      <c r="I274" s="44"/>
      <c r="K274" s="44"/>
      <c r="M274" s="44"/>
      <c r="O274" s="44"/>
      <c r="Q274" s="44"/>
    </row>
    <row r="275">
      <c r="B275" s="44"/>
      <c r="D275" s="44"/>
      <c r="F275" s="44"/>
      <c r="G275" s="44"/>
      <c r="I275" s="44"/>
      <c r="K275" s="44"/>
      <c r="M275" s="44"/>
      <c r="O275" s="44"/>
      <c r="Q275" s="44"/>
    </row>
    <row r="276">
      <c r="B276" s="44"/>
      <c r="D276" s="44"/>
      <c r="F276" s="44"/>
      <c r="G276" s="44"/>
      <c r="I276" s="44"/>
      <c r="K276" s="44"/>
      <c r="M276" s="44"/>
      <c r="O276" s="44"/>
      <c r="Q276" s="44"/>
    </row>
    <row r="277">
      <c r="B277" s="44"/>
      <c r="D277" s="44"/>
      <c r="F277" s="44"/>
      <c r="G277" s="44"/>
      <c r="I277" s="44"/>
      <c r="K277" s="44"/>
      <c r="M277" s="44"/>
      <c r="O277" s="44"/>
      <c r="Q277" s="44"/>
    </row>
    <row r="278">
      <c r="B278" s="44"/>
      <c r="D278" s="44"/>
      <c r="F278" s="44"/>
      <c r="G278" s="44"/>
      <c r="I278" s="44"/>
      <c r="K278" s="44"/>
      <c r="M278" s="44"/>
      <c r="O278" s="44"/>
      <c r="Q278" s="44"/>
    </row>
    <row r="279">
      <c r="B279" s="44"/>
      <c r="D279" s="44"/>
      <c r="F279" s="44"/>
      <c r="G279" s="44"/>
      <c r="I279" s="44"/>
      <c r="K279" s="44"/>
      <c r="M279" s="44"/>
      <c r="O279" s="44"/>
      <c r="Q279" s="44"/>
    </row>
    <row r="280">
      <c r="B280" s="44"/>
      <c r="D280" s="44"/>
      <c r="F280" s="44"/>
      <c r="G280" s="44"/>
      <c r="I280" s="44"/>
      <c r="K280" s="44"/>
      <c r="M280" s="44"/>
      <c r="O280" s="44"/>
      <c r="Q280" s="44"/>
    </row>
    <row r="281">
      <c r="B281" s="44"/>
      <c r="D281" s="44"/>
      <c r="F281" s="44"/>
      <c r="G281" s="44"/>
      <c r="I281" s="44"/>
      <c r="K281" s="44"/>
      <c r="M281" s="44"/>
      <c r="O281" s="44"/>
      <c r="Q281" s="44"/>
    </row>
    <row r="282">
      <c r="B282" s="44"/>
      <c r="D282" s="44"/>
      <c r="F282" s="44"/>
      <c r="G282" s="44"/>
      <c r="I282" s="44"/>
      <c r="K282" s="44"/>
      <c r="M282" s="44"/>
      <c r="O282" s="44"/>
      <c r="Q282" s="44"/>
    </row>
    <row r="283">
      <c r="B283" s="44"/>
      <c r="D283" s="44"/>
      <c r="F283" s="44"/>
      <c r="G283" s="44"/>
      <c r="I283" s="44"/>
      <c r="K283" s="44"/>
      <c r="M283" s="44"/>
      <c r="O283" s="44"/>
      <c r="Q283" s="44"/>
    </row>
    <row r="284">
      <c r="B284" s="44"/>
      <c r="D284" s="44"/>
      <c r="F284" s="44"/>
      <c r="G284" s="44"/>
      <c r="I284" s="44"/>
      <c r="K284" s="44"/>
      <c r="M284" s="44"/>
      <c r="O284" s="44"/>
      <c r="Q284" s="44"/>
    </row>
    <row r="285">
      <c r="B285" s="44"/>
      <c r="D285" s="44"/>
      <c r="F285" s="44"/>
      <c r="G285" s="44"/>
      <c r="I285" s="44"/>
      <c r="K285" s="44"/>
      <c r="M285" s="44"/>
      <c r="O285" s="44"/>
      <c r="Q285" s="44"/>
    </row>
    <row r="286">
      <c r="B286" s="44"/>
      <c r="D286" s="44"/>
      <c r="F286" s="44"/>
      <c r="G286" s="44"/>
      <c r="I286" s="44"/>
      <c r="K286" s="44"/>
      <c r="M286" s="44"/>
      <c r="O286" s="44"/>
      <c r="Q286" s="44"/>
    </row>
    <row r="287">
      <c r="B287" s="44"/>
      <c r="D287" s="44"/>
      <c r="F287" s="44"/>
      <c r="G287" s="44"/>
      <c r="I287" s="44"/>
      <c r="K287" s="44"/>
      <c r="M287" s="44"/>
      <c r="O287" s="44"/>
      <c r="Q287" s="44"/>
    </row>
    <row r="288">
      <c r="B288" s="44"/>
      <c r="D288" s="44"/>
      <c r="F288" s="44"/>
      <c r="G288" s="44"/>
      <c r="I288" s="44"/>
      <c r="K288" s="44"/>
      <c r="M288" s="44"/>
      <c r="O288" s="44"/>
      <c r="Q288" s="44"/>
    </row>
    <row r="289">
      <c r="B289" s="44"/>
      <c r="D289" s="44"/>
      <c r="F289" s="44"/>
      <c r="G289" s="44"/>
      <c r="I289" s="44"/>
      <c r="K289" s="44"/>
      <c r="M289" s="44"/>
      <c r="O289" s="44"/>
      <c r="Q289" s="44"/>
    </row>
    <row r="290">
      <c r="B290" s="44"/>
      <c r="D290" s="44"/>
      <c r="F290" s="44"/>
      <c r="G290" s="44"/>
      <c r="I290" s="44"/>
      <c r="K290" s="44"/>
      <c r="M290" s="44"/>
      <c r="O290" s="44"/>
      <c r="Q290" s="44"/>
    </row>
    <row r="291">
      <c r="B291" s="44"/>
      <c r="D291" s="44"/>
      <c r="F291" s="44"/>
      <c r="G291" s="44"/>
      <c r="I291" s="44"/>
      <c r="K291" s="44"/>
      <c r="M291" s="44"/>
      <c r="O291" s="44"/>
      <c r="Q291" s="44"/>
    </row>
    <row r="292">
      <c r="B292" s="44"/>
      <c r="D292" s="44"/>
      <c r="F292" s="44"/>
      <c r="G292" s="44"/>
      <c r="I292" s="44"/>
      <c r="K292" s="44"/>
      <c r="M292" s="44"/>
      <c r="O292" s="44"/>
      <c r="Q292" s="44"/>
    </row>
    <row r="293">
      <c r="B293" s="44"/>
      <c r="D293" s="44"/>
      <c r="F293" s="44"/>
      <c r="G293" s="44"/>
      <c r="I293" s="44"/>
      <c r="K293" s="44"/>
      <c r="M293" s="44"/>
      <c r="O293" s="44"/>
      <c r="Q293" s="44"/>
    </row>
    <row r="294">
      <c r="B294" s="44"/>
      <c r="D294" s="44"/>
      <c r="F294" s="44"/>
      <c r="G294" s="44"/>
      <c r="I294" s="44"/>
      <c r="K294" s="44"/>
      <c r="M294" s="44"/>
      <c r="O294" s="44"/>
      <c r="Q294" s="44"/>
    </row>
    <row r="295">
      <c r="B295" s="44"/>
      <c r="D295" s="44"/>
      <c r="F295" s="44"/>
      <c r="G295" s="44"/>
      <c r="I295" s="44"/>
      <c r="K295" s="44"/>
      <c r="M295" s="44"/>
      <c r="O295" s="44"/>
      <c r="Q295" s="44"/>
    </row>
    <row r="296">
      <c r="B296" s="44"/>
      <c r="D296" s="44"/>
      <c r="F296" s="44"/>
      <c r="G296" s="44"/>
      <c r="I296" s="44"/>
      <c r="K296" s="44"/>
      <c r="M296" s="44"/>
      <c r="O296" s="44"/>
      <c r="Q296" s="44"/>
    </row>
    <row r="297">
      <c r="B297" s="44"/>
      <c r="D297" s="44"/>
      <c r="F297" s="44"/>
      <c r="G297" s="44"/>
      <c r="I297" s="44"/>
      <c r="K297" s="44"/>
      <c r="M297" s="44"/>
      <c r="O297" s="44"/>
      <c r="Q297" s="44"/>
    </row>
    <row r="298">
      <c r="B298" s="44"/>
      <c r="D298" s="44"/>
      <c r="F298" s="44"/>
      <c r="G298" s="44"/>
      <c r="I298" s="44"/>
      <c r="K298" s="44"/>
      <c r="M298" s="44"/>
      <c r="O298" s="44"/>
      <c r="Q298" s="44"/>
    </row>
    <row r="299">
      <c r="B299" s="44"/>
      <c r="D299" s="44"/>
      <c r="F299" s="44"/>
      <c r="G299" s="44"/>
      <c r="I299" s="44"/>
      <c r="K299" s="44"/>
      <c r="M299" s="44"/>
      <c r="O299" s="44"/>
      <c r="Q299" s="44"/>
    </row>
    <row r="300">
      <c r="B300" s="44"/>
      <c r="D300" s="44"/>
      <c r="F300" s="44"/>
      <c r="G300" s="44"/>
      <c r="I300" s="44"/>
      <c r="K300" s="44"/>
      <c r="M300" s="44"/>
      <c r="O300" s="44"/>
      <c r="Q300" s="44"/>
    </row>
    <row r="301">
      <c r="B301" s="44"/>
      <c r="D301" s="44"/>
      <c r="F301" s="44"/>
      <c r="G301" s="44"/>
      <c r="I301" s="44"/>
      <c r="K301" s="44"/>
      <c r="M301" s="44"/>
      <c r="O301" s="44"/>
      <c r="Q301" s="44"/>
    </row>
    <row r="302">
      <c r="B302" s="44"/>
      <c r="D302" s="44"/>
      <c r="F302" s="44"/>
      <c r="G302" s="44"/>
      <c r="I302" s="44"/>
      <c r="K302" s="44"/>
      <c r="M302" s="44"/>
      <c r="O302" s="44"/>
      <c r="Q302" s="44"/>
    </row>
    <row r="303">
      <c r="B303" s="44"/>
      <c r="D303" s="44"/>
      <c r="F303" s="44"/>
      <c r="G303" s="44"/>
      <c r="I303" s="44"/>
      <c r="K303" s="44"/>
      <c r="M303" s="44"/>
      <c r="O303" s="44"/>
      <c r="Q303" s="44"/>
    </row>
    <row r="304">
      <c r="B304" s="44"/>
      <c r="D304" s="44"/>
      <c r="F304" s="44"/>
      <c r="G304" s="44"/>
      <c r="I304" s="44"/>
      <c r="K304" s="44"/>
      <c r="M304" s="44"/>
      <c r="O304" s="44"/>
      <c r="Q304" s="44"/>
    </row>
    <row r="305">
      <c r="B305" s="44"/>
      <c r="D305" s="44"/>
      <c r="F305" s="44"/>
      <c r="G305" s="44"/>
      <c r="I305" s="44"/>
      <c r="K305" s="44"/>
      <c r="M305" s="44"/>
      <c r="O305" s="44"/>
      <c r="Q305" s="44"/>
    </row>
    <row r="306">
      <c r="B306" s="44"/>
      <c r="D306" s="44"/>
      <c r="F306" s="44"/>
      <c r="G306" s="44"/>
      <c r="I306" s="44"/>
      <c r="K306" s="44"/>
      <c r="M306" s="44"/>
      <c r="O306" s="44"/>
      <c r="Q306" s="44"/>
    </row>
    <row r="307">
      <c r="B307" s="44"/>
      <c r="D307" s="44"/>
      <c r="F307" s="44"/>
      <c r="G307" s="44"/>
      <c r="I307" s="44"/>
      <c r="K307" s="44"/>
      <c r="M307" s="44"/>
      <c r="O307" s="44"/>
      <c r="Q307" s="44"/>
    </row>
    <row r="308">
      <c r="B308" s="44"/>
      <c r="D308" s="44"/>
      <c r="F308" s="44"/>
      <c r="G308" s="44"/>
      <c r="I308" s="44"/>
      <c r="K308" s="44"/>
      <c r="M308" s="44"/>
      <c r="O308" s="44"/>
      <c r="Q308" s="44"/>
    </row>
    <row r="309">
      <c r="B309" s="44"/>
      <c r="D309" s="44"/>
      <c r="F309" s="44"/>
      <c r="G309" s="44"/>
      <c r="I309" s="44"/>
      <c r="K309" s="44"/>
      <c r="M309" s="44"/>
      <c r="O309" s="44"/>
      <c r="Q309" s="44"/>
    </row>
    <row r="310">
      <c r="B310" s="44"/>
      <c r="D310" s="44"/>
      <c r="F310" s="44"/>
      <c r="G310" s="44"/>
      <c r="I310" s="44"/>
      <c r="K310" s="44"/>
      <c r="M310" s="44"/>
      <c r="O310" s="44"/>
      <c r="Q310" s="44"/>
    </row>
    <row r="311">
      <c r="B311" s="44"/>
      <c r="D311" s="44"/>
      <c r="F311" s="44"/>
      <c r="G311" s="44"/>
      <c r="I311" s="44"/>
      <c r="K311" s="44"/>
      <c r="M311" s="44"/>
      <c r="O311" s="44"/>
      <c r="Q311" s="44"/>
    </row>
    <row r="312">
      <c r="B312" s="44"/>
      <c r="D312" s="44"/>
      <c r="F312" s="44"/>
      <c r="G312" s="44"/>
      <c r="I312" s="44"/>
      <c r="K312" s="44"/>
      <c r="M312" s="44"/>
      <c r="O312" s="44"/>
      <c r="Q312" s="44"/>
    </row>
    <row r="313">
      <c r="B313" s="44"/>
      <c r="D313" s="44"/>
      <c r="F313" s="44"/>
      <c r="G313" s="44"/>
      <c r="I313" s="44"/>
      <c r="K313" s="44"/>
      <c r="M313" s="44"/>
      <c r="O313" s="44"/>
      <c r="Q313" s="44"/>
    </row>
    <row r="314">
      <c r="B314" s="44"/>
      <c r="D314" s="44"/>
      <c r="F314" s="44"/>
      <c r="G314" s="44"/>
      <c r="I314" s="44"/>
      <c r="K314" s="44"/>
      <c r="M314" s="44"/>
      <c r="O314" s="44"/>
      <c r="Q314" s="44"/>
    </row>
    <row r="315">
      <c r="B315" s="44"/>
      <c r="D315" s="44"/>
      <c r="F315" s="44"/>
      <c r="G315" s="44"/>
      <c r="I315" s="44"/>
      <c r="K315" s="44"/>
      <c r="M315" s="44"/>
      <c r="O315" s="44"/>
      <c r="Q315" s="44"/>
    </row>
    <row r="316">
      <c r="B316" s="44"/>
      <c r="D316" s="44"/>
      <c r="F316" s="44"/>
      <c r="G316" s="44"/>
      <c r="I316" s="44"/>
      <c r="K316" s="44"/>
      <c r="M316" s="44"/>
      <c r="O316" s="44"/>
      <c r="Q316" s="44"/>
    </row>
    <row r="317">
      <c r="B317" s="44"/>
      <c r="D317" s="44"/>
      <c r="F317" s="44"/>
      <c r="G317" s="44"/>
      <c r="I317" s="44"/>
      <c r="K317" s="44"/>
      <c r="M317" s="44"/>
      <c r="O317" s="44"/>
      <c r="Q317" s="44"/>
    </row>
    <row r="318">
      <c r="B318" s="44"/>
      <c r="D318" s="44"/>
      <c r="F318" s="44"/>
      <c r="G318" s="44"/>
      <c r="I318" s="44"/>
      <c r="K318" s="44"/>
      <c r="M318" s="44"/>
      <c r="O318" s="44"/>
      <c r="Q318" s="44"/>
    </row>
    <row r="319">
      <c r="B319" s="44"/>
      <c r="D319" s="44"/>
      <c r="F319" s="44"/>
      <c r="G319" s="44"/>
      <c r="I319" s="44"/>
      <c r="K319" s="44"/>
      <c r="M319" s="44"/>
      <c r="O319" s="44"/>
      <c r="Q319" s="44"/>
    </row>
    <row r="320">
      <c r="B320" s="44"/>
      <c r="D320" s="44"/>
      <c r="F320" s="44"/>
      <c r="G320" s="44"/>
      <c r="I320" s="44"/>
      <c r="K320" s="44"/>
      <c r="M320" s="44"/>
      <c r="O320" s="44"/>
      <c r="Q320" s="44"/>
    </row>
    <row r="321">
      <c r="B321" s="44"/>
      <c r="D321" s="44"/>
      <c r="F321" s="44"/>
      <c r="G321" s="44"/>
      <c r="I321" s="44"/>
      <c r="K321" s="44"/>
      <c r="M321" s="44"/>
      <c r="O321" s="44"/>
      <c r="Q321" s="44"/>
    </row>
    <row r="322">
      <c r="B322" s="44"/>
      <c r="D322" s="44"/>
      <c r="F322" s="44"/>
      <c r="G322" s="44"/>
      <c r="I322" s="44"/>
      <c r="K322" s="44"/>
      <c r="M322" s="44"/>
      <c r="O322" s="44"/>
      <c r="Q322" s="44"/>
    </row>
    <row r="323">
      <c r="B323" s="44"/>
      <c r="D323" s="44"/>
      <c r="F323" s="44"/>
      <c r="G323" s="44"/>
      <c r="I323" s="44"/>
      <c r="K323" s="44"/>
      <c r="M323" s="44"/>
      <c r="O323" s="44"/>
      <c r="Q323" s="44"/>
    </row>
    <row r="324">
      <c r="B324" s="44"/>
      <c r="D324" s="44"/>
      <c r="F324" s="44"/>
      <c r="G324" s="44"/>
      <c r="I324" s="44"/>
      <c r="K324" s="44"/>
      <c r="M324" s="44"/>
      <c r="O324" s="44"/>
      <c r="Q324" s="44"/>
    </row>
    <row r="325">
      <c r="B325" s="44"/>
      <c r="D325" s="44"/>
      <c r="F325" s="44"/>
      <c r="G325" s="44"/>
      <c r="I325" s="44"/>
      <c r="K325" s="44"/>
      <c r="M325" s="44"/>
      <c r="O325" s="44"/>
      <c r="Q325" s="44"/>
    </row>
    <row r="326">
      <c r="B326" s="44"/>
      <c r="D326" s="44"/>
      <c r="F326" s="44"/>
      <c r="G326" s="44"/>
      <c r="I326" s="44"/>
      <c r="K326" s="44"/>
      <c r="M326" s="44"/>
      <c r="O326" s="44"/>
      <c r="Q326" s="44"/>
    </row>
    <row r="327">
      <c r="B327" s="44"/>
      <c r="D327" s="44"/>
      <c r="F327" s="44"/>
      <c r="G327" s="44"/>
      <c r="I327" s="44"/>
      <c r="K327" s="44"/>
      <c r="M327" s="44"/>
      <c r="O327" s="44"/>
      <c r="Q327" s="44"/>
    </row>
    <row r="328">
      <c r="B328" s="44"/>
      <c r="D328" s="44"/>
      <c r="F328" s="44"/>
      <c r="G328" s="44"/>
      <c r="I328" s="44"/>
      <c r="K328" s="44"/>
      <c r="M328" s="44"/>
      <c r="O328" s="44"/>
      <c r="Q328" s="44"/>
    </row>
    <row r="329">
      <c r="B329" s="44"/>
      <c r="D329" s="44"/>
      <c r="F329" s="44"/>
      <c r="G329" s="44"/>
      <c r="I329" s="44"/>
      <c r="K329" s="44"/>
      <c r="M329" s="44"/>
      <c r="O329" s="44"/>
      <c r="Q329" s="44"/>
    </row>
    <row r="330">
      <c r="B330" s="44"/>
      <c r="D330" s="44"/>
      <c r="F330" s="44"/>
      <c r="G330" s="44"/>
      <c r="I330" s="44"/>
      <c r="K330" s="44"/>
      <c r="M330" s="44"/>
      <c r="O330" s="44"/>
      <c r="Q330" s="44"/>
    </row>
    <row r="331">
      <c r="B331" s="44"/>
      <c r="D331" s="44"/>
      <c r="F331" s="44"/>
      <c r="G331" s="44"/>
      <c r="I331" s="44"/>
      <c r="K331" s="44"/>
      <c r="M331" s="44"/>
      <c r="O331" s="44"/>
      <c r="Q331" s="44"/>
    </row>
    <row r="332">
      <c r="B332" s="44"/>
      <c r="D332" s="44"/>
      <c r="F332" s="44"/>
      <c r="G332" s="44"/>
      <c r="I332" s="44"/>
      <c r="K332" s="44"/>
      <c r="M332" s="44"/>
      <c r="O332" s="44"/>
      <c r="Q332" s="44"/>
    </row>
    <row r="333">
      <c r="B333" s="44"/>
      <c r="D333" s="44"/>
      <c r="F333" s="44"/>
      <c r="G333" s="44"/>
      <c r="I333" s="44"/>
      <c r="K333" s="44"/>
      <c r="M333" s="44"/>
      <c r="O333" s="44"/>
      <c r="Q333" s="44"/>
    </row>
    <row r="334">
      <c r="B334" s="44"/>
      <c r="D334" s="44"/>
      <c r="F334" s="44"/>
      <c r="G334" s="44"/>
      <c r="I334" s="44"/>
      <c r="K334" s="44"/>
      <c r="M334" s="44"/>
      <c r="O334" s="44"/>
      <c r="Q334" s="44"/>
    </row>
    <row r="335">
      <c r="B335" s="44"/>
      <c r="D335" s="44"/>
      <c r="F335" s="44"/>
      <c r="G335" s="44"/>
      <c r="I335" s="44"/>
      <c r="K335" s="44"/>
      <c r="M335" s="44"/>
      <c r="O335" s="44"/>
      <c r="Q335" s="44"/>
    </row>
    <row r="336">
      <c r="B336" s="44"/>
      <c r="D336" s="44"/>
      <c r="F336" s="44"/>
      <c r="G336" s="44"/>
      <c r="I336" s="44"/>
      <c r="K336" s="44"/>
      <c r="M336" s="44"/>
      <c r="O336" s="44"/>
      <c r="Q336" s="44"/>
    </row>
    <row r="337">
      <c r="B337" s="44"/>
      <c r="D337" s="44"/>
      <c r="F337" s="44"/>
      <c r="G337" s="44"/>
      <c r="I337" s="44"/>
      <c r="K337" s="44"/>
      <c r="M337" s="44"/>
      <c r="O337" s="44"/>
      <c r="Q337" s="44"/>
    </row>
    <row r="338">
      <c r="B338" s="44"/>
      <c r="D338" s="44"/>
      <c r="F338" s="44"/>
      <c r="G338" s="44"/>
      <c r="I338" s="44"/>
      <c r="K338" s="44"/>
      <c r="M338" s="44"/>
      <c r="O338" s="44"/>
      <c r="Q338" s="44"/>
    </row>
    <row r="339">
      <c r="B339" s="44"/>
      <c r="D339" s="44"/>
      <c r="F339" s="44"/>
      <c r="G339" s="44"/>
      <c r="I339" s="44"/>
      <c r="K339" s="44"/>
      <c r="M339" s="44"/>
      <c r="O339" s="44"/>
      <c r="Q339" s="44"/>
    </row>
    <row r="340">
      <c r="B340" s="44"/>
      <c r="D340" s="44"/>
      <c r="F340" s="44"/>
      <c r="G340" s="44"/>
      <c r="I340" s="44"/>
      <c r="K340" s="44"/>
      <c r="M340" s="44"/>
      <c r="O340" s="44"/>
      <c r="Q340" s="44"/>
    </row>
    <row r="341">
      <c r="B341" s="44"/>
      <c r="D341" s="44"/>
      <c r="F341" s="44"/>
      <c r="G341" s="44"/>
      <c r="I341" s="44"/>
      <c r="K341" s="44"/>
      <c r="M341" s="44"/>
      <c r="O341" s="44"/>
      <c r="Q341" s="44"/>
    </row>
    <row r="342">
      <c r="B342" s="44"/>
      <c r="D342" s="44"/>
      <c r="F342" s="44"/>
      <c r="G342" s="44"/>
      <c r="I342" s="44"/>
      <c r="K342" s="44"/>
      <c r="M342" s="44"/>
      <c r="O342" s="44"/>
      <c r="Q342" s="44"/>
    </row>
    <row r="343">
      <c r="B343" s="44"/>
      <c r="D343" s="44"/>
      <c r="F343" s="44"/>
      <c r="G343" s="44"/>
      <c r="I343" s="44"/>
      <c r="K343" s="44"/>
      <c r="M343" s="44"/>
      <c r="O343" s="44"/>
      <c r="Q343" s="44"/>
    </row>
    <row r="344">
      <c r="B344" s="44"/>
      <c r="D344" s="44"/>
      <c r="F344" s="44"/>
      <c r="G344" s="44"/>
      <c r="I344" s="44"/>
      <c r="K344" s="44"/>
      <c r="M344" s="44"/>
      <c r="O344" s="44"/>
      <c r="Q344" s="44"/>
    </row>
    <row r="345">
      <c r="B345" s="44"/>
      <c r="D345" s="44"/>
      <c r="F345" s="44"/>
      <c r="G345" s="44"/>
      <c r="I345" s="44"/>
      <c r="K345" s="44"/>
      <c r="M345" s="44"/>
      <c r="O345" s="44"/>
      <c r="Q345" s="44"/>
    </row>
    <row r="346">
      <c r="B346" s="44"/>
      <c r="D346" s="44"/>
      <c r="F346" s="44"/>
      <c r="G346" s="44"/>
      <c r="I346" s="44"/>
      <c r="K346" s="44"/>
      <c r="M346" s="44"/>
      <c r="O346" s="44"/>
      <c r="Q346" s="44"/>
    </row>
    <row r="347">
      <c r="B347" s="44"/>
      <c r="D347" s="44"/>
      <c r="F347" s="44"/>
      <c r="G347" s="44"/>
      <c r="I347" s="44"/>
      <c r="K347" s="44"/>
      <c r="M347" s="44"/>
      <c r="O347" s="44"/>
      <c r="Q347" s="44"/>
    </row>
    <row r="348">
      <c r="B348" s="44"/>
      <c r="D348" s="44"/>
      <c r="F348" s="44"/>
      <c r="G348" s="44"/>
      <c r="I348" s="44"/>
      <c r="K348" s="44"/>
      <c r="M348" s="44"/>
      <c r="O348" s="44"/>
      <c r="Q348" s="44"/>
    </row>
    <row r="349">
      <c r="B349" s="44"/>
      <c r="D349" s="44"/>
      <c r="F349" s="44"/>
      <c r="G349" s="44"/>
      <c r="I349" s="44"/>
      <c r="K349" s="44"/>
      <c r="M349" s="44"/>
      <c r="O349" s="44"/>
      <c r="Q349" s="44"/>
    </row>
    <row r="350">
      <c r="B350" s="44"/>
      <c r="D350" s="44"/>
      <c r="F350" s="44"/>
      <c r="G350" s="44"/>
      <c r="I350" s="44"/>
      <c r="K350" s="44"/>
      <c r="M350" s="44"/>
      <c r="O350" s="44"/>
      <c r="Q350" s="44"/>
    </row>
    <row r="351">
      <c r="B351" s="44"/>
      <c r="D351" s="44"/>
      <c r="F351" s="44"/>
      <c r="G351" s="44"/>
      <c r="I351" s="44"/>
      <c r="K351" s="44"/>
      <c r="M351" s="44"/>
      <c r="O351" s="44"/>
      <c r="Q351" s="44"/>
    </row>
    <row r="352">
      <c r="B352" s="44"/>
      <c r="D352" s="44"/>
      <c r="F352" s="44"/>
      <c r="G352" s="44"/>
      <c r="I352" s="44"/>
      <c r="K352" s="44"/>
      <c r="M352" s="44"/>
      <c r="O352" s="44"/>
      <c r="Q352" s="44"/>
    </row>
    <row r="353">
      <c r="B353" s="44"/>
      <c r="D353" s="44"/>
      <c r="F353" s="44"/>
      <c r="G353" s="44"/>
      <c r="I353" s="44"/>
      <c r="K353" s="44"/>
      <c r="M353" s="44"/>
      <c r="O353" s="44"/>
      <c r="Q353" s="44"/>
    </row>
    <row r="354">
      <c r="B354" s="44"/>
      <c r="D354" s="44"/>
      <c r="F354" s="44"/>
      <c r="G354" s="44"/>
      <c r="I354" s="44"/>
      <c r="K354" s="44"/>
      <c r="M354" s="44"/>
      <c r="O354" s="44"/>
      <c r="Q354" s="44"/>
    </row>
    <row r="355">
      <c r="B355" s="44"/>
      <c r="D355" s="44"/>
      <c r="F355" s="44"/>
      <c r="G355" s="44"/>
      <c r="I355" s="44"/>
      <c r="K355" s="44"/>
      <c r="M355" s="44"/>
      <c r="O355" s="44"/>
      <c r="Q355" s="44"/>
    </row>
    <row r="356">
      <c r="B356" s="44"/>
      <c r="D356" s="44"/>
      <c r="F356" s="44"/>
      <c r="G356" s="44"/>
      <c r="I356" s="44"/>
      <c r="K356" s="44"/>
      <c r="M356" s="44"/>
      <c r="O356" s="44"/>
      <c r="Q356" s="44"/>
    </row>
    <row r="357">
      <c r="B357" s="44"/>
      <c r="D357" s="44"/>
      <c r="F357" s="44"/>
      <c r="G357" s="44"/>
      <c r="I357" s="44"/>
      <c r="K357" s="44"/>
      <c r="M357" s="44"/>
      <c r="O357" s="44"/>
      <c r="Q357" s="44"/>
    </row>
    <row r="358">
      <c r="B358" s="44"/>
      <c r="D358" s="44"/>
      <c r="F358" s="44"/>
      <c r="G358" s="44"/>
      <c r="I358" s="44"/>
      <c r="K358" s="44"/>
      <c r="M358" s="44"/>
      <c r="O358" s="44"/>
      <c r="Q358" s="44"/>
    </row>
    <row r="359">
      <c r="B359" s="44"/>
      <c r="D359" s="44"/>
      <c r="F359" s="44"/>
      <c r="G359" s="44"/>
      <c r="I359" s="44"/>
      <c r="K359" s="44"/>
      <c r="M359" s="44"/>
      <c r="O359" s="44"/>
      <c r="Q359" s="44"/>
    </row>
    <row r="360">
      <c r="B360" s="44"/>
      <c r="D360" s="44"/>
      <c r="F360" s="44"/>
      <c r="G360" s="44"/>
      <c r="I360" s="44"/>
      <c r="K360" s="44"/>
      <c r="M360" s="44"/>
      <c r="O360" s="44"/>
      <c r="Q360" s="44"/>
    </row>
    <row r="361">
      <c r="B361" s="44"/>
      <c r="D361" s="44"/>
      <c r="F361" s="44"/>
      <c r="G361" s="44"/>
      <c r="I361" s="44"/>
      <c r="K361" s="44"/>
      <c r="M361" s="44"/>
      <c r="O361" s="44"/>
      <c r="Q361" s="44"/>
    </row>
    <row r="362">
      <c r="B362" s="44"/>
      <c r="D362" s="44"/>
      <c r="F362" s="44"/>
      <c r="G362" s="44"/>
      <c r="I362" s="44"/>
      <c r="K362" s="44"/>
      <c r="M362" s="44"/>
      <c r="O362" s="44"/>
      <c r="Q362" s="44"/>
    </row>
    <row r="363">
      <c r="B363" s="44"/>
      <c r="D363" s="44"/>
      <c r="F363" s="44"/>
      <c r="G363" s="44"/>
      <c r="I363" s="44"/>
      <c r="K363" s="44"/>
      <c r="M363" s="44"/>
      <c r="O363" s="44"/>
      <c r="Q363" s="44"/>
    </row>
    <row r="364">
      <c r="B364" s="44"/>
      <c r="D364" s="44"/>
      <c r="F364" s="44"/>
      <c r="G364" s="44"/>
      <c r="I364" s="44"/>
      <c r="K364" s="44"/>
      <c r="M364" s="44"/>
      <c r="O364" s="44"/>
      <c r="Q364" s="44"/>
    </row>
    <row r="365">
      <c r="B365" s="44"/>
      <c r="D365" s="44"/>
      <c r="F365" s="44"/>
      <c r="G365" s="44"/>
      <c r="I365" s="44"/>
      <c r="K365" s="44"/>
      <c r="M365" s="44"/>
      <c r="O365" s="44"/>
      <c r="Q365" s="44"/>
    </row>
    <row r="366">
      <c r="B366" s="44"/>
      <c r="D366" s="44"/>
      <c r="F366" s="44"/>
      <c r="G366" s="44"/>
      <c r="I366" s="44"/>
      <c r="K366" s="44"/>
      <c r="M366" s="44"/>
      <c r="O366" s="44"/>
      <c r="Q366" s="44"/>
    </row>
    <row r="367">
      <c r="B367" s="44"/>
      <c r="D367" s="44"/>
      <c r="F367" s="44"/>
      <c r="G367" s="44"/>
      <c r="I367" s="44"/>
      <c r="K367" s="44"/>
      <c r="M367" s="44"/>
      <c r="O367" s="44"/>
      <c r="Q367" s="44"/>
    </row>
    <row r="368">
      <c r="B368" s="44"/>
      <c r="D368" s="44"/>
      <c r="F368" s="44"/>
      <c r="G368" s="44"/>
      <c r="I368" s="44"/>
      <c r="K368" s="44"/>
      <c r="M368" s="44"/>
      <c r="O368" s="44"/>
      <c r="Q368" s="44"/>
    </row>
    <row r="369">
      <c r="B369" s="44"/>
      <c r="D369" s="44"/>
      <c r="F369" s="44"/>
      <c r="G369" s="44"/>
      <c r="I369" s="44"/>
      <c r="K369" s="44"/>
      <c r="M369" s="44"/>
      <c r="O369" s="44"/>
      <c r="Q369" s="44"/>
    </row>
    <row r="370">
      <c r="B370" s="44"/>
      <c r="D370" s="44"/>
      <c r="F370" s="44"/>
      <c r="G370" s="44"/>
      <c r="I370" s="44"/>
      <c r="K370" s="44"/>
      <c r="M370" s="44"/>
      <c r="O370" s="44"/>
      <c r="Q370" s="44"/>
    </row>
    <row r="371">
      <c r="B371" s="44"/>
      <c r="D371" s="44"/>
      <c r="F371" s="44"/>
      <c r="G371" s="44"/>
      <c r="I371" s="44"/>
      <c r="K371" s="44"/>
      <c r="M371" s="44"/>
      <c r="O371" s="44"/>
      <c r="Q371" s="44"/>
    </row>
    <row r="372">
      <c r="B372" s="44"/>
      <c r="D372" s="44"/>
      <c r="F372" s="44"/>
      <c r="G372" s="44"/>
      <c r="I372" s="44"/>
      <c r="K372" s="44"/>
      <c r="M372" s="44"/>
      <c r="O372" s="44"/>
      <c r="Q372" s="44"/>
    </row>
    <row r="373">
      <c r="B373" s="44"/>
      <c r="D373" s="44"/>
      <c r="F373" s="44"/>
      <c r="G373" s="44"/>
      <c r="I373" s="44"/>
      <c r="K373" s="44"/>
      <c r="M373" s="44"/>
      <c r="O373" s="44"/>
      <c r="Q373" s="44"/>
    </row>
    <row r="374">
      <c r="B374" s="44"/>
      <c r="D374" s="44"/>
      <c r="F374" s="44"/>
      <c r="G374" s="44"/>
      <c r="I374" s="44"/>
      <c r="K374" s="44"/>
      <c r="M374" s="44"/>
      <c r="O374" s="44"/>
      <c r="Q374" s="44"/>
    </row>
    <row r="375">
      <c r="B375" s="44"/>
      <c r="D375" s="44"/>
      <c r="F375" s="44"/>
      <c r="G375" s="44"/>
      <c r="I375" s="44"/>
      <c r="K375" s="44"/>
      <c r="M375" s="44"/>
      <c r="O375" s="44"/>
      <c r="Q375" s="44"/>
    </row>
    <row r="376">
      <c r="B376" s="44"/>
      <c r="D376" s="44"/>
      <c r="F376" s="44"/>
      <c r="G376" s="44"/>
      <c r="I376" s="44"/>
      <c r="K376" s="44"/>
      <c r="M376" s="44"/>
      <c r="O376" s="44"/>
      <c r="Q376" s="44"/>
    </row>
    <row r="377">
      <c r="B377" s="44"/>
      <c r="D377" s="44"/>
      <c r="F377" s="44"/>
      <c r="G377" s="44"/>
      <c r="I377" s="44"/>
      <c r="K377" s="44"/>
      <c r="M377" s="44"/>
      <c r="O377" s="44"/>
      <c r="Q377" s="44"/>
    </row>
    <row r="378">
      <c r="B378" s="44"/>
      <c r="D378" s="44"/>
      <c r="F378" s="44"/>
      <c r="G378" s="44"/>
      <c r="I378" s="44"/>
      <c r="K378" s="44"/>
      <c r="M378" s="44"/>
      <c r="O378" s="44"/>
      <c r="Q378" s="44"/>
    </row>
    <row r="379">
      <c r="B379" s="44"/>
      <c r="D379" s="44"/>
      <c r="F379" s="44"/>
      <c r="G379" s="44"/>
      <c r="I379" s="44"/>
      <c r="K379" s="44"/>
      <c r="M379" s="44"/>
      <c r="O379" s="44"/>
      <c r="Q379" s="44"/>
    </row>
    <row r="380">
      <c r="B380" s="44"/>
      <c r="D380" s="44"/>
      <c r="F380" s="44"/>
      <c r="G380" s="44"/>
      <c r="I380" s="44"/>
      <c r="K380" s="44"/>
      <c r="M380" s="44"/>
      <c r="O380" s="44"/>
      <c r="Q380" s="44"/>
    </row>
    <row r="381">
      <c r="B381" s="44"/>
      <c r="D381" s="44"/>
      <c r="F381" s="44"/>
      <c r="G381" s="44"/>
      <c r="I381" s="44"/>
      <c r="K381" s="44"/>
      <c r="M381" s="44"/>
      <c r="O381" s="44"/>
      <c r="Q381" s="44"/>
    </row>
    <row r="382">
      <c r="B382" s="44"/>
      <c r="D382" s="44"/>
      <c r="F382" s="44"/>
      <c r="G382" s="44"/>
      <c r="I382" s="44"/>
      <c r="K382" s="44"/>
      <c r="M382" s="44"/>
      <c r="O382" s="44"/>
      <c r="Q382" s="44"/>
    </row>
    <row r="383">
      <c r="B383" s="44"/>
      <c r="D383" s="44"/>
      <c r="F383" s="44"/>
      <c r="G383" s="44"/>
      <c r="I383" s="44"/>
      <c r="K383" s="44"/>
      <c r="M383" s="44"/>
      <c r="O383" s="44"/>
      <c r="Q383" s="44"/>
    </row>
    <row r="384">
      <c r="B384" s="44"/>
      <c r="D384" s="44"/>
      <c r="F384" s="44"/>
      <c r="G384" s="44"/>
      <c r="I384" s="44"/>
      <c r="K384" s="44"/>
      <c r="M384" s="44"/>
      <c r="O384" s="44"/>
      <c r="Q384" s="44"/>
    </row>
    <row r="385">
      <c r="B385" s="44"/>
      <c r="D385" s="44"/>
      <c r="F385" s="44"/>
      <c r="G385" s="44"/>
      <c r="I385" s="44"/>
      <c r="K385" s="44"/>
      <c r="M385" s="44"/>
      <c r="O385" s="44"/>
      <c r="Q385" s="44"/>
    </row>
    <row r="386">
      <c r="B386" s="44"/>
      <c r="D386" s="44"/>
      <c r="F386" s="44"/>
      <c r="G386" s="44"/>
      <c r="I386" s="44"/>
      <c r="K386" s="44"/>
      <c r="M386" s="44"/>
      <c r="O386" s="44"/>
      <c r="Q386" s="44"/>
    </row>
    <row r="387">
      <c r="B387" s="44"/>
      <c r="D387" s="44"/>
      <c r="F387" s="44"/>
      <c r="G387" s="44"/>
      <c r="I387" s="44"/>
      <c r="K387" s="44"/>
      <c r="M387" s="44"/>
      <c r="O387" s="44"/>
      <c r="Q387" s="44"/>
    </row>
    <row r="388">
      <c r="B388" s="44"/>
      <c r="D388" s="44"/>
      <c r="F388" s="44"/>
      <c r="G388" s="44"/>
      <c r="I388" s="44"/>
      <c r="K388" s="44"/>
      <c r="M388" s="44"/>
      <c r="O388" s="44"/>
      <c r="Q388" s="44"/>
    </row>
    <row r="389">
      <c r="B389" s="44"/>
      <c r="D389" s="44"/>
      <c r="F389" s="44"/>
      <c r="G389" s="44"/>
      <c r="I389" s="44"/>
      <c r="K389" s="44"/>
      <c r="M389" s="44"/>
      <c r="O389" s="44"/>
      <c r="Q389" s="44"/>
    </row>
    <row r="390">
      <c r="B390" s="44"/>
      <c r="D390" s="44"/>
      <c r="F390" s="44"/>
      <c r="G390" s="44"/>
      <c r="I390" s="44"/>
      <c r="K390" s="44"/>
      <c r="M390" s="44"/>
      <c r="O390" s="44"/>
      <c r="Q390" s="44"/>
    </row>
    <row r="391">
      <c r="B391" s="44"/>
      <c r="D391" s="44"/>
      <c r="F391" s="44"/>
      <c r="G391" s="44"/>
      <c r="I391" s="44"/>
      <c r="K391" s="44"/>
      <c r="M391" s="44"/>
      <c r="O391" s="44"/>
      <c r="Q391" s="44"/>
    </row>
    <row r="392">
      <c r="B392" s="44"/>
      <c r="D392" s="44"/>
      <c r="F392" s="44"/>
      <c r="G392" s="44"/>
      <c r="I392" s="44"/>
      <c r="K392" s="44"/>
      <c r="M392" s="44"/>
      <c r="O392" s="44"/>
      <c r="Q392" s="44"/>
    </row>
    <row r="393">
      <c r="B393" s="44"/>
      <c r="D393" s="44"/>
      <c r="F393" s="44"/>
      <c r="G393" s="44"/>
      <c r="I393" s="44"/>
      <c r="K393" s="44"/>
      <c r="M393" s="44"/>
      <c r="O393" s="44"/>
      <c r="Q393" s="44"/>
    </row>
    <row r="394">
      <c r="B394" s="44"/>
      <c r="D394" s="44"/>
      <c r="F394" s="44"/>
      <c r="G394" s="44"/>
      <c r="I394" s="44"/>
      <c r="K394" s="44"/>
      <c r="M394" s="44"/>
      <c r="O394" s="44"/>
      <c r="Q394" s="44"/>
    </row>
    <row r="395">
      <c r="B395" s="44"/>
      <c r="D395" s="44"/>
      <c r="F395" s="44"/>
      <c r="G395" s="44"/>
      <c r="I395" s="44"/>
      <c r="K395" s="44"/>
      <c r="M395" s="44"/>
      <c r="O395" s="44"/>
      <c r="Q395" s="44"/>
    </row>
    <row r="396">
      <c r="B396" s="44"/>
      <c r="D396" s="44"/>
      <c r="F396" s="44"/>
      <c r="G396" s="44"/>
      <c r="I396" s="44"/>
      <c r="K396" s="44"/>
      <c r="M396" s="44"/>
      <c r="O396" s="44"/>
      <c r="Q396" s="44"/>
    </row>
    <row r="397">
      <c r="B397" s="44"/>
      <c r="D397" s="44"/>
      <c r="F397" s="44"/>
      <c r="G397" s="44"/>
      <c r="I397" s="44"/>
      <c r="K397" s="44"/>
      <c r="M397" s="44"/>
      <c r="O397" s="44"/>
      <c r="Q397" s="44"/>
    </row>
    <row r="398">
      <c r="B398" s="44"/>
      <c r="D398" s="44"/>
      <c r="F398" s="44"/>
      <c r="G398" s="44"/>
      <c r="I398" s="44"/>
      <c r="K398" s="44"/>
      <c r="M398" s="44"/>
      <c r="O398" s="44"/>
      <c r="Q398" s="44"/>
    </row>
    <row r="399">
      <c r="B399" s="44"/>
      <c r="D399" s="44"/>
      <c r="F399" s="44"/>
      <c r="G399" s="44"/>
      <c r="I399" s="44"/>
      <c r="K399" s="44"/>
      <c r="M399" s="44"/>
      <c r="O399" s="44"/>
      <c r="Q399" s="44"/>
    </row>
    <row r="400">
      <c r="B400" s="44"/>
      <c r="D400" s="44"/>
      <c r="F400" s="44"/>
      <c r="G400" s="44"/>
      <c r="I400" s="44"/>
      <c r="K400" s="44"/>
      <c r="M400" s="44"/>
      <c r="O400" s="44"/>
      <c r="Q400" s="44"/>
    </row>
    <row r="401">
      <c r="B401" s="44"/>
      <c r="D401" s="44"/>
      <c r="F401" s="44"/>
      <c r="G401" s="44"/>
      <c r="I401" s="44"/>
      <c r="K401" s="44"/>
      <c r="M401" s="44"/>
      <c r="O401" s="44"/>
      <c r="Q401" s="44"/>
    </row>
    <row r="402">
      <c r="B402" s="44"/>
      <c r="D402" s="44"/>
      <c r="F402" s="44"/>
      <c r="G402" s="44"/>
      <c r="I402" s="44"/>
      <c r="K402" s="44"/>
      <c r="M402" s="44"/>
      <c r="O402" s="44"/>
      <c r="Q402" s="44"/>
    </row>
    <row r="403">
      <c r="B403" s="44"/>
      <c r="D403" s="44"/>
      <c r="F403" s="44"/>
      <c r="G403" s="44"/>
      <c r="I403" s="44"/>
      <c r="K403" s="44"/>
      <c r="M403" s="44"/>
      <c r="O403" s="44"/>
      <c r="Q403" s="44"/>
    </row>
    <row r="404">
      <c r="B404" s="44"/>
      <c r="D404" s="44"/>
      <c r="F404" s="44"/>
      <c r="G404" s="44"/>
      <c r="I404" s="44"/>
      <c r="K404" s="44"/>
      <c r="M404" s="44"/>
      <c r="O404" s="44"/>
      <c r="Q404" s="44"/>
    </row>
    <row r="405">
      <c r="B405" s="44"/>
      <c r="D405" s="44"/>
      <c r="F405" s="44"/>
      <c r="G405" s="44"/>
      <c r="I405" s="44"/>
      <c r="K405" s="44"/>
      <c r="M405" s="44"/>
      <c r="O405" s="44"/>
      <c r="Q405" s="44"/>
    </row>
    <row r="406">
      <c r="B406" s="44"/>
      <c r="D406" s="44"/>
      <c r="F406" s="44"/>
      <c r="G406" s="44"/>
      <c r="I406" s="44"/>
      <c r="K406" s="44"/>
      <c r="M406" s="44"/>
      <c r="O406" s="44"/>
      <c r="Q406" s="44"/>
    </row>
    <row r="407">
      <c r="B407" s="44"/>
      <c r="D407" s="44"/>
      <c r="F407" s="44"/>
      <c r="G407" s="44"/>
      <c r="I407" s="44"/>
      <c r="K407" s="44"/>
      <c r="M407" s="44"/>
      <c r="O407" s="44"/>
      <c r="Q407" s="44"/>
    </row>
    <row r="408">
      <c r="B408" s="44"/>
      <c r="D408" s="44"/>
      <c r="F408" s="44"/>
      <c r="G408" s="44"/>
      <c r="I408" s="44"/>
      <c r="K408" s="44"/>
      <c r="M408" s="44"/>
      <c r="O408" s="44"/>
      <c r="Q408" s="44"/>
    </row>
    <row r="409">
      <c r="B409" s="44"/>
      <c r="D409" s="44"/>
      <c r="F409" s="44"/>
      <c r="G409" s="44"/>
      <c r="I409" s="44"/>
      <c r="K409" s="44"/>
      <c r="M409" s="44"/>
      <c r="O409" s="44"/>
      <c r="Q409" s="44"/>
    </row>
    <row r="410">
      <c r="B410" s="44"/>
      <c r="D410" s="44"/>
      <c r="F410" s="44"/>
      <c r="G410" s="44"/>
      <c r="I410" s="44"/>
      <c r="K410" s="44"/>
      <c r="M410" s="44"/>
      <c r="O410" s="44"/>
      <c r="Q410" s="44"/>
    </row>
    <row r="411">
      <c r="B411" s="44"/>
      <c r="D411" s="44"/>
      <c r="F411" s="44"/>
      <c r="G411" s="44"/>
      <c r="I411" s="44"/>
      <c r="K411" s="44"/>
      <c r="M411" s="44"/>
      <c r="O411" s="44"/>
      <c r="Q411" s="44"/>
    </row>
    <row r="412">
      <c r="B412" s="44"/>
      <c r="D412" s="44"/>
      <c r="F412" s="44"/>
      <c r="G412" s="44"/>
      <c r="I412" s="44"/>
      <c r="K412" s="44"/>
      <c r="M412" s="44"/>
      <c r="O412" s="44"/>
      <c r="Q412" s="44"/>
    </row>
    <row r="413">
      <c r="B413" s="44"/>
      <c r="D413" s="44"/>
      <c r="F413" s="44"/>
      <c r="G413" s="44"/>
      <c r="I413" s="44"/>
      <c r="K413" s="44"/>
      <c r="M413" s="44"/>
      <c r="O413" s="44"/>
      <c r="Q413" s="44"/>
    </row>
    <row r="414">
      <c r="B414" s="44"/>
      <c r="D414" s="44"/>
      <c r="F414" s="44"/>
      <c r="G414" s="44"/>
      <c r="I414" s="44"/>
      <c r="K414" s="44"/>
      <c r="M414" s="44"/>
      <c r="O414" s="44"/>
      <c r="Q414" s="44"/>
    </row>
    <row r="415">
      <c r="B415" s="44"/>
      <c r="D415" s="44"/>
      <c r="F415" s="44"/>
      <c r="G415" s="44"/>
      <c r="I415" s="44"/>
      <c r="K415" s="44"/>
      <c r="M415" s="44"/>
      <c r="O415" s="44"/>
      <c r="Q415" s="44"/>
    </row>
    <row r="416">
      <c r="B416" s="44"/>
      <c r="D416" s="44"/>
      <c r="F416" s="44"/>
      <c r="G416" s="44"/>
      <c r="I416" s="44"/>
      <c r="K416" s="44"/>
      <c r="M416" s="44"/>
      <c r="O416" s="44"/>
      <c r="Q416" s="44"/>
    </row>
    <row r="417">
      <c r="B417" s="44"/>
      <c r="D417" s="44"/>
      <c r="F417" s="44"/>
      <c r="G417" s="44"/>
      <c r="I417" s="44"/>
      <c r="K417" s="44"/>
      <c r="M417" s="44"/>
      <c r="O417" s="44"/>
      <c r="Q417" s="44"/>
    </row>
    <row r="418">
      <c r="B418" s="44"/>
      <c r="D418" s="44"/>
      <c r="F418" s="44"/>
      <c r="G418" s="44"/>
      <c r="I418" s="44"/>
      <c r="K418" s="44"/>
      <c r="M418" s="44"/>
      <c r="O418" s="44"/>
      <c r="Q418" s="44"/>
    </row>
    <row r="419">
      <c r="B419" s="44"/>
      <c r="D419" s="44"/>
      <c r="F419" s="44"/>
      <c r="G419" s="44"/>
      <c r="I419" s="44"/>
      <c r="K419" s="44"/>
      <c r="M419" s="44"/>
      <c r="O419" s="44"/>
      <c r="Q419" s="44"/>
    </row>
    <row r="420">
      <c r="B420" s="44"/>
      <c r="D420" s="44"/>
      <c r="F420" s="44"/>
      <c r="G420" s="44"/>
      <c r="I420" s="44"/>
      <c r="K420" s="44"/>
      <c r="M420" s="44"/>
      <c r="O420" s="44"/>
      <c r="Q420" s="44"/>
    </row>
    <row r="421">
      <c r="B421" s="44"/>
      <c r="D421" s="44"/>
      <c r="F421" s="44"/>
      <c r="G421" s="44"/>
      <c r="I421" s="44"/>
      <c r="K421" s="44"/>
      <c r="M421" s="44"/>
      <c r="O421" s="44"/>
      <c r="Q421" s="44"/>
    </row>
    <row r="422">
      <c r="B422" s="44"/>
      <c r="D422" s="44"/>
      <c r="F422" s="44"/>
      <c r="G422" s="44"/>
      <c r="I422" s="44"/>
      <c r="K422" s="44"/>
      <c r="M422" s="44"/>
      <c r="O422" s="44"/>
      <c r="Q422" s="44"/>
    </row>
    <row r="423">
      <c r="B423" s="44"/>
      <c r="D423" s="44"/>
      <c r="F423" s="44"/>
      <c r="G423" s="44"/>
      <c r="I423" s="44"/>
      <c r="K423" s="44"/>
      <c r="M423" s="44"/>
      <c r="O423" s="44"/>
      <c r="Q423" s="44"/>
    </row>
    <row r="424">
      <c r="B424" s="44"/>
      <c r="D424" s="44"/>
      <c r="F424" s="44"/>
      <c r="G424" s="44"/>
      <c r="I424" s="44"/>
      <c r="K424" s="44"/>
      <c r="M424" s="44"/>
      <c r="O424" s="44"/>
      <c r="Q424" s="44"/>
    </row>
    <row r="425">
      <c r="B425" s="44"/>
      <c r="D425" s="44"/>
      <c r="F425" s="44"/>
      <c r="G425" s="44"/>
      <c r="I425" s="44"/>
      <c r="K425" s="44"/>
      <c r="M425" s="44"/>
      <c r="O425" s="44"/>
      <c r="Q425" s="44"/>
    </row>
    <row r="426">
      <c r="B426" s="44"/>
      <c r="D426" s="44"/>
      <c r="F426" s="44"/>
      <c r="G426" s="44"/>
      <c r="I426" s="44"/>
      <c r="K426" s="44"/>
      <c r="M426" s="44"/>
      <c r="O426" s="44"/>
      <c r="Q426" s="44"/>
    </row>
    <row r="427">
      <c r="B427" s="44"/>
      <c r="D427" s="44"/>
      <c r="F427" s="44"/>
      <c r="G427" s="44"/>
      <c r="I427" s="44"/>
      <c r="K427" s="44"/>
      <c r="M427" s="44"/>
      <c r="O427" s="44"/>
      <c r="Q427" s="44"/>
    </row>
    <row r="428">
      <c r="B428" s="44"/>
      <c r="D428" s="44"/>
      <c r="F428" s="44"/>
      <c r="G428" s="44"/>
      <c r="I428" s="44"/>
      <c r="K428" s="44"/>
      <c r="M428" s="44"/>
      <c r="O428" s="44"/>
      <c r="Q428" s="44"/>
    </row>
    <row r="429">
      <c r="B429" s="44"/>
      <c r="D429" s="44"/>
      <c r="F429" s="44"/>
      <c r="G429" s="44"/>
      <c r="I429" s="44"/>
      <c r="K429" s="44"/>
      <c r="M429" s="44"/>
      <c r="O429" s="44"/>
      <c r="Q429" s="44"/>
    </row>
    <row r="430">
      <c r="B430" s="44"/>
      <c r="D430" s="44"/>
      <c r="F430" s="44"/>
      <c r="G430" s="44"/>
      <c r="I430" s="44"/>
      <c r="K430" s="44"/>
      <c r="M430" s="44"/>
      <c r="O430" s="44"/>
      <c r="Q430" s="44"/>
    </row>
    <row r="431">
      <c r="B431" s="44"/>
      <c r="D431" s="44"/>
      <c r="F431" s="44"/>
      <c r="G431" s="44"/>
      <c r="I431" s="44"/>
      <c r="K431" s="44"/>
      <c r="M431" s="44"/>
      <c r="O431" s="44"/>
      <c r="Q431" s="44"/>
    </row>
    <row r="432">
      <c r="B432" s="44"/>
      <c r="D432" s="44"/>
      <c r="F432" s="44"/>
      <c r="G432" s="44"/>
      <c r="I432" s="44"/>
      <c r="K432" s="44"/>
      <c r="M432" s="44"/>
      <c r="O432" s="44"/>
      <c r="Q432" s="44"/>
    </row>
    <row r="433">
      <c r="B433" s="44"/>
      <c r="D433" s="44"/>
      <c r="F433" s="44"/>
      <c r="G433" s="44"/>
      <c r="I433" s="44"/>
      <c r="K433" s="44"/>
      <c r="M433" s="44"/>
      <c r="O433" s="44"/>
      <c r="Q433" s="44"/>
    </row>
    <row r="434">
      <c r="B434" s="44"/>
      <c r="D434" s="44"/>
      <c r="F434" s="44"/>
      <c r="G434" s="44"/>
      <c r="I434" s="44"/>
      <c r="K434" s="44"/>
      <c r="M434" s="44"/>
      <c r="O434" s="44"/>
      <c r="Q434" s="44"/>
    </row>
    <row r="435">
      <c r="B435" s="44"/>
      <c r="D435" s="44"/>
      <c r="F435" s="44"/>
      <c r="G435" s="44"/>
      <c r="I435" s="44"/>
      <c r="K435" s="44"/>
      <c r="M435" s="44"/>
      <c r="O435" s="44"/>
      <c r="Q435" s="44"/>
    </row>
    <row r="436">
      <c r="B436" s="44"/>
      <c r="D436" s="44"/>
      <c r="F436" s="44"/>
      <c r="G436" s="44"/>
      <c r="I436" s="44"/>
      <c r="K436" s="44"/>
      <c r="M436" s="44"/>
      <c r="O436" s="44"/>
      <c r="Q436" s="44"/>
    </row>
    <row r="437">
      <c r="B437" s="44"/>
      <c r="D437" s="44"/>
      <c r="F437" s="44"/>
      <c r="G437" s="44"/>
      <c r="I437" s="44"/>
      <c r="K437" s="44"/>
      <c r="M437" s="44"/>
      <c r="O437" s="44"/>
      <c r="Q437" s="44"/>
    </row>
    <row r="438">
      <c r="B438" s="44"/>
      <c r="D438" s="44"/>
      <c r="F438" s="44"/>
      <c r="G438" s="44"/>
      <c r="I438" s="44"/>
      <c r="K438" s="44"/>
      <c r="M438" s="44"/>
      <c r="O438" s="44"/>
      <c r="Q438" s="44"/>
    </row>
    <row r="439">
      <c r="B439" s="44"/>
      <c r="D439" s="44"/>
      <c r="F439" s="44"/>
      <c r="G439" s="44"/>
      <c r="I439" s="44"/>
      <c r="K439" s="44"/>
      <c r="M439" s="44"/>
      <c r="O439" s="44"/>
      <c r="Q439" s="44"/>
    </row>
    <row r="440">
      <c r="B440" s="44"/>
      <c r="D440" s="44"/>
      <c r="F440" s="44"/>
      <c r="G440" s="44"/>
      <c r="I440" s="44"/>
      <c r="K440" s="44"/>
      <c r="M440" s="44"/>
      <c r="O440" s="44"/>
      <c r="Q440" s="44"/>
    </row>
    <row r="441">
      <c r="B441" s="44"/>
      <c r="D441" s="44"/>
      <c r="F441" s="44"/>
      <c r="G441" s="44"/>
      <c r="I441" s="44"/>
      <c r="K441" s="44"/>
      <c r="M441" s="44"/>
      <c r="O441" s="44"/>
      <c r="Q441" s="44"/>
    </row>
    <row r="442">
      <c r="B442" s="44"/>
      <c r="D442" s="44"/>
      <c r="F442" s="44"/>
      <c r="G442" s="44"/>
      <c r="I442" s="44"/>
      <c r="K442" s="44"/>
      <c r="M442" s="44"/>
      <c r="O442" s="44"/>
      <c r="Q442" s="44"/>
    </row>
    <row r="443">
      <c r="B443" s="44"/>
      <c r="D443" s="44"/>
      <c r="F443" s="44"/>
      <c r="G443" s="44"/>
      <c r="I443" s="44"/>
      <c r="K443" s="44"/>
      <c r="M443" s="44"/>
      <c r="O443" s="44"/>
      <c r="Q443" s="44"/>
    </row>
    <row r="444">
      <c r="B444" s="44"/>
      <c r="D444" s="44"/>
      <c r="F444" s="44"/>
      <c r="G444" s="44"/>
      <c r="I444" s="44"/>
      <c r="K444" s="44"/>
      <c r="M444" s="44"/>
      <c r="O444" s="44"/>
      <c r="Q444" s="44"/>
    </row>
    <row r="445">
      <c r="B445" s="44"/>
      <c r="D445" s="44"/>
      <c r="F445" s="44"/>
      <c r="G445" s="44"/>
      <c r="I445" s="44"/>
      <c r="K445" s="44"/>
      <c r="M445" s="44"/>
      <c r="O445" s="44"/>
      <c r="Q445" s="44"/>
    </row>
    <row r="446">
      <c r="B446" s="44"/>
      <c r="D446" s="44"/>
      <c r="F446" s="44"/>
      <c r="G446" s="44"/>
      <c r="I446" s="44"/>
      <c r="K446" s="44"/>
      <c r="M446" s="44"/>
      <c r="O446" s="44"/>
      <c r="Q446" s="44"/>
    </row>
    <row r="447">
      <c r="B447" s="44"/>
      <c r="D447" s="44"/>
      <c r="F447" s="44"/>
      <c r="G447" s="44"/>
      <c r="I447" s="44"/>
      <c r="K447" s="44"/>
      <c r="M447" s="44"/>
      <c r="O447" s="44"/>
      <c r="Q447" s="44"/>
    </row>
    <row r="448">
      <c r="B448" s="44"/>
      <c r="D448" s="44"/>
      <c r="F448" s="44"/>
      <c r="G448" s="44"/>
      <c r="I448" s="44"/>
      <c r="K448" s="44"/>
      <c r="M448" s="44"/>
      <c r="O448" s="44"/>
      <c r="Q448" s="44"/>
    </row>
    <row r="449">
      <c r="B449" s="44"/>
      <c r="D449" s="44"/>
      <c r="F449" s="44"/>
      <c r="G449" s="44"/>
      <c r="I449" s="44"/>
      <c r="K449" s="44"/>
      <c r="M449" s="44"/>
      <c r="O449" s="44"/>
      <c r="Q449" s="44"/>
    </row>
    <row r="450">
      <c r="B450" s="44"/>
      <c r="D450" s="44"/>
      <c r="F450" s="44"/>
      <c r="G450" s="44"/>
      <c r="I450" s="44"/>
      <c r="K450" s="44"/>
      <c r="M450" s="44"/>
      <c r="O450" s="44"/>
      <c r="Q450" s="44"/>
    </row>
    <row r="451">
      <c r="B451" s="44"/>
      <c r="D451" s="44"/>
      <c r="F451" s="44"/>
      <c r="G451" s="44"/>
      <c r="I451" s="44"/>
      <c r="K451" s="44"/>
      <c r="M451" s="44"/>
      <c r="O451" s="44"/>
      <c r="Q451" s="44"/>
    </row>
    <row r="452">
      <c r="B452" s="44"/>
      <c r="D452" s="44"/>
      <c r="F452" s="44"/>
      <c r="G452" s="44"/>
      <c r="I452" s="44"/>
      <c r="K452" s="44"/>
      <c r="M452" s="44"/>
      <c r="O452" s="44"/>
      <c r="Q452" s="44"/>
    </row>
    <row r="453">
      <c r="B453" s="44"/>
      <c r="D453" s="44"/>
      <c r="F453" s="44"/>
      <c r="G453" s="44"/>
      <c r="I453" s="44"/>
      <c r="K453" s="44"/>
      <c r="M453" s="44"/>
      <c r="O453" s="44"/>
      <c r="Q453" s="44"/>
    </row>
    <row r="454">
      <c r="B454" s="44"/>
      <c r="D454" s="44"/>
      <c r="F454" s="44"/>
      <c r="G454" s="44"/>
      <c r="I454" s="44"/>
      <c r="K454" s="44"/>
      <c r="M454" s="44"/>
      <c r="O454" s="44"/>
      <c r="Q454" s="44"/>
    </row>
    <row r="455">
      <c r="B455" s="44"/>
      <c r="D455" s="44"/>
      <c r="F455" s="44"/>
      <c r="G455" s="44"/>
      <c r="I455" s="44"/>
      <c r="K455" s="44"/>
      <c r="M455" s="44"/>
      <c r="O455" s="44"/>
      <c r="Q455" s="44"/>
    </row>
    <row r="456">
      <c r="B456" s="44"/>
      <c r="D456" s="44"/>
      <c r="F456" s="44"/>
      <c r="G456" s="44"/>
      <c r="I456" s="44"/>
      <c r="K456" s="44"/>
      <c r="M456" s="44"/>
      <c r="O456" s="44"/>
      <c r="Q456" s="44"/>
    </row>
    <row r="457">
      <c r="B457" s="44"/>
      <c r="D457" s="44"/>
      <c r="F457" s="44"/>
      <c r="G457" s="44"/>
      <c r="I457" s="44"/>
      <c r="K457" s="44"/>
      <c r="M457" s="44"/>
      <c r="O457" s="44"/>
      <c r="Q457" s="44"/>
    </row>
    <row r="458">
      <c r="B458" s="44"/>
      <c r="D458" s="44"/>
      <c r="F458" s="44"/>
      <c r="G458" s="44"/>
      <c r="I458" s="44"/>
      <c r="K458" s="44"/>
      <c r="M458" s="44"/>
      <c r="O458" s="44"/>
      <c r="Q458" s="44"/>
    </row>
    <row r="459">
      <c r="B459" s="44"/>
      <c r="D459" s="44"/>
      <c r="F459" s="44"/>
      <c r="G459" s="44"/>
      <c r="I459" s="44"/>
      <c r="K459" s="44"/>
      <c r="M459" s="44"/>
      <c r="O459" s="44"/>
      <c r="Q459" s="44"/>
    </row>
    <row r="460">
      <c r="B460" s="44"/>
      <c r="D460" s="44"/>
      <c r="F460" s="44"/>
      <c r="G460" s="44"/>
      <c r="I460" s="44"/>
      <c r="K460" s="44"/>
      <c r="M460" s="44"/>
      <c r="O460" s="44"/>
      <c r="Q460" s="44"/>
    </row>
    <row r="461">
      <c r="B461" s="44"/>
      <c r="D461" s="44"/>
      <c r="F461" s="44"/>
      <c r="G461" s="44"/>
      <c r="I461" s="44"/>
      <c r="K461" s="44"/>
      <c r="M461" s="44"/>
      <c r="O461" s="44"/>
      <c r="Q461" s="44"/>
    </row>
    <row r="462">
      <c r="B462" s="44"/>
      <c r="D462" s="44"/>
      <c r="F462" s="44"/>
      <c r="G462" s="44"/>
      <c r="I462" s="44"/>
      <c r="K462" s="44"/>
      <c r="M462" s="44"/>
      <c r="O462" s="44"/>
      <c r="Q462" s="44"/>
    </row>
    <row r="463">
      <c r="B463" s="44"/>
      <c r="D463" s="44"/>
      <c r="F463" s="44"/>
      <c r="G463" s="44"/>
      <c r="I463" s="44"/>
      <c r="K463" s="44"/>
      <c r="M463" s="44"/>
      <c r="O463" s="44"/>
      <c r="Q463" s="44"/>
    </row>
    <row r="464">
      <c r="B464" s="44"/>
      <c r="D464" s="44"/>
      <c r="F464" s="44"/>
      <c r="G464" s="44"/>
      <c r="I464" s="44"/>
      <c r="K464" s="44"/>
      <c r="M464" s="44"/>
      <c r="O464" s="44"/>
      <c r="Q464" s="44"/>
    </row>
    <row r="465">
      <c r="B465" s="44"/>
      <c r="D465" s="44"/>
      <c r="F465" s="44"/>
      <c r="G465" s="44"/>
      <c r="I465" s="44"/>
      <c r="K465" s="44"/>
      <c r="M465" s="44"/>
      <c r="O465" s="44"/>
      <c r="Q465" s="44"/>
    </row>
    <row r="466">
      <c r="B466" s="44"/>
      <c r="D466" s="44"/>
      <c r="F466" s="44"/>
      <c r="G466" s="44"/>
      <c r="I466" s="44"/>
      <c r="K466" s="44"/>
      <c r="M466" s="44"/>
      <c r="O466" s="44"/>
      <c r="Q466" s="44"/>
    </row>
    <row r="467">
      <c r="B467" s="44"/>
      <c r="D467" s="44"/>
      <c r="F467" s="44"/>
      <c r="G467" s="44"/>
      <c r="I467" s="44"/>
      <c r="K467" s="44"/>
      <c r="M467" s="44"/>
      <c r="O467" s="44"/>
      <c r="Q467" s="44"/>
    </row>
    <row r="468">
      <c r="B468" s="44"/>
      <c r="D468" s="44"/>
      <c r="F468" s="44"/>
      <c r="G468" s="44"/>
      <c r="I468" s="44"/>
      <c r="K468" s="44"/>
      <c r="M468" s="44"/>
      <c r="O468" s="44"/>
      <c r="Q468" s="44"/>
    </row>
    <row r="469">
      <c r="B469" s="44"/>
      <c r="D469" s="44"/>
      <c r="F469" s="44"/>
      <c r="G469" s="44"/>
      <c r="I469" s="44"/>
      <c r="K469" s="44"/>
      <c r="M469" s="44"/>
      <c r="O469" s="44"/>
      <c r="Q469" s="44"/>
    </row>
    <row r="470">
      <c r="B470" s="44"/>
      <c r="D470" s="44"/>
      <c r="F470" s="44"/>
      <c r="G470" s="44"/>
      <c r="I470" s="44"/>
      <c r="K470" s="44"/>
      <c r="M470" s="44"/>
      <c r="O470" s="44"/>
      <c r="Q470" s="44"/>
    </row>
    <row r="471">
      <c r="B471" s="44"/>
      <c r="D471" s="44"/>
      <c r="F471" s="44"/>
      <c r="G471" s="44"/>
      <c r="I471" s="44"/>
      <c r="K471" s="44"/>
      <c r="M471" s="44"/>
      <c r="O471" s="44"/>
      <c r="Q471" s="44"/>
    </row>
    <row r="472">
      <c r="B472" s="44"/>
      <c r="D472" s="44"/>
      <c r="F472" s="44"/>
      <c r="G472" s="44"/>
      <c r="I472" s="44"/>
      <c r="K472" s="44"/>
      <c r="M472" s="44"/>
      <c r="O472" s="44"/>
      <c r="Q472" s="44"/>
    </row>
    <row r="473">
      <c r="B473" s="44"/>
      <c r="D473" s="44"/>
      <c r="F473" s="44"/>
      <c r="G473" s="44"/>
      <c r="I473" s="44"/>
      <c r="K473" s="44"/>
      <c r="M473" s="44"/>
      <c r="O473" s="44"/>
      <c r="Q473" s="44"/>
    </row>
    <row r="474">
      <c r="B474" s="44"/>
      <c r="D474" s="44"/>
      <c r="F474" s="44"/>
      <c r="G474" s="44"/>
      <c r="I474" s="44"/>
      <c r="K474" s="44"/>
      <c r="M474" s="44"/>
      <c r="O474" s="44"/>
      <c r="Q474" s="44"/>
    </row>
    <row r="475">
      <c r="B475" s="44"/>
      <c r="D475" s="44"/>
      <c r="F475" s="44"/>
      <c r="G475" s="44"/>
      <c r="I475" s="44"/>
      <c r="K475" s="44"/>
      <c r="M475" s="44"/>
      <c r="O475" s="44"/>
      <c r="Q475" s="44"/>
    </row>
    <row r="476">
      <c r="B476" s="44"/>
      <c r="D476" s="44"/>
      <c r="F476" s="44"/>
      <c r="G476" s="44"/>
      <c r="I476" s="44"/>
      <c r="K476" s="44"/>
      <c r="M476" s="44"/>
      <c r="O476" s="44"/>
      <c r="Q476" s="44"/>
    </row>
    <row r="477">
      <c r="B477" s="44"/>
      <c r="D477" s="44"/>
      <c r="F477" s="44"/>
      <c r="G477" s="44"/>
      <c r="I477" s="44"/>
      <c r="K477" s="44"/>
      <c r="M477" s="44"/>
      <c r="O477" s="44"/>
      <c r="Q477" s="44"/>
    </row>
    <row r="478">
      <c r="B478" s="44"/>
      <c r="D478" s="44"/>
      <c r="F478" s="44"/>
      <c r="G478" s="44"/>
      <c r="I478" s="44"/>
      <c r="K478" s="44"/>
      <c r="M478" s="44"/>
      <c r="O478" s="44"/>
      <c r="Q478" s="44"/>
    </row>
    <row r="479">
      <c r="B479" s="44"/>
      <c r="D479" s="44"/>
      <c r="F479" s="44"/>
      <c r="G479" s="44"/>
      <c r="I479" s="44"/>
      <c r="K479" s="44"/>
      <c r="M479" s="44"/>
      <c r="O479" s="44"/>
      <c r="Q479" s="44"/>
    </row>
    <row r="480">
      <c r="B480" s="44"/>
      <c r="D480" s="44"/>
      <c r="F480" s="44"/>
      <c r="G480" s="44"/>
      <c r="I480" s="44"/>
      <c r="K480" s="44"/>
      <c r="M480" s="44"/>
      <c r="O480" s="44"/>
      <c r="Q480" s="44"/>
    </row>
    <row r="481">
      <c r="B481" s="44"/>
      <c r="D481" s="44"/>
      <c r="F481" s="44"/>
      <c r="G481" s="44"/>
      <c r="I481" s="44"/>
      <c r="K481" s="44"/>
      <c r="M481" s="44"/>
      <c r="O481" s="44"/>
      <c r="Q481" s="44"/>
    </row>
    <row r="482">
      <c r="B482" s="44"/>
      <c r="D482" s="44"/>
      <c r="F482" s="44"/>
      <c r="G482" s="44"/>
      <c r="I482" s="44"/>
      <c r="K482" s="44"/>
      <c r="M482" s="44"/>
      <c r="O482" s="44"/>
      <c r="Q482" s="44"/>
    </row>
    <row r="483">
      <c r="B483" s="44"/>
      <c r="D483" s="44"/>
      <c r="F483" s="44"/>
      <c r="G483" s="44"/>
      <c r="I483" s="44"/>
      <c r="K483" s="44"/>
      <c r="M483" s="44"/>
      <c r="O483" s="44"/>
      <c r="Q483" s="44"/>
    </row>
    <row r="484">
      <c r="B484" s="44"/>
      <c r="D484" s="44"/>
      <c r="F484" s="44"/>
      <c r="G484" s="44"/>
      <c r="I484" s="44"/>
      <c r="K484" s="44"/>
      <c r="M484" s="44"/>
      <c r="O484" s="44"/>
      <c r="Q484" s="44"/>
    </row>
    <row r="485">
      <c r="B485" s="44"/>
      <c r="D485" s="44"/>
      <c r="F485" s="44"/>
      <c r="G485" s="44"/>
      <c r="I485" s="44"/>
      <c r="K485" s="44"/>
      <c r="M485" s="44"/>
      <c r="O485" s="44"/>
      <c r="Q485" s="44"/>
    </row>
    <row r="486">
      <c r="B486" s="44"/>
      <c r="D486" s="44"/>
      <c r="F486" s="44"/>
      <c r="G486" s="44"/>
      <c r="I486" s="44"/>
      <c r="K486" s="44"/>
      <c r="M486" s="44"/>
      <c r="O486" s="44"/>
      <c r="Q486" s="44"/>
    </row>
    <row r="487">
      <c r="B487" s="44"/>
      <c r="D487" s="44"/>
      <c r="F487" s="44"/>
      <c r="G487" s="44"/>
      <c r="I487" s="44"/>
      <c r="K487" s="44"/>
      <c r="M487" s="44"/>
      <c r="O487" s="44"/>
      <c r="Q487" s="44"/>
    </row>
    <row r="488">
      <c r="B488" s="44"/>
      <c r="D488" s="44"/>
      <c r="F488" s="44"/>
      <c r="G488" s="44"/>
      <c r="I488" s="44"/>
      <c r="K488" s="44"/>
      <c r="M488" s="44"/>
      <c r="O488" s="44"/>
      <c r="Q488" s="44"/>
    </row>
    <row r="489">
      <c r="B489" s="44"/>
      <c r="D489" s="44"/>
      <c r="F489" s="44"/>
      <c r="G489" s="44"/>
      <c r="I489" s="44"/>
      <c r="K489" s="44"/>
      <c r="M489" s="44"/>
      <c r="O489" s="44"/>
      <c r="Q489" s="44"/>
    </row>
    <row r="490">
      <c r="B490" s="44"/>
      <c r="D490" s="44"/>
      <c r="F490" s="44"/>
      <c r="G490" s="44"/>
      <c r="I490" s="44"/>
      <c r="K490" s="44"/>
      <c r="M490" s="44"/>
      <c r="O490" s="44"/>
      <c r="Q490" s="44"/>
    </row>
    <row r="491">
      <c r="B491" s="44"/>
      <c r="D491" s="44"/>
      <c r="F491" s="44"/>
      <c r="G491" s="44"/>
      <c r="I491" s="44"/>
      <c r="K491" s="44"/>
      <c r="M491" s="44"/>
      <c r="O491" s="44"/>
      <c r="Q491" s="44"/>
    </row>
    <row r="492">
      <c r="B492" s="44"/>
      <c r="D492" s="44"/>
      <c r="F492" s="44"/>
      <c r="G492" s="44"/>
      <c r="I492" s="44"/>
      <c r="K492" s="44"/>
      <c r="M492" s="44"/>
      <c r="O492" s="44"/>
      <c r="Q492" s="44"/>
    </row>
    <row r="493">
      <c r="B493" s="44"/>
      <c r="D493" s="44"/>
      <c r="F493" s="44"/>
      <c r="G493" s="44"/>
      <c r="I493" s="44"/>
      <c r="K493" s="44"/>
      <c r="M493" s="44"/>
      <c r="O493" s="44"/>
      <c r="Q493" s="44"/>
    </row>
    <row r="494">
      <c r="B494" s="44"/>
      <c r="D494" s="44"/>
      <c r="F494" s="44"/>
      <c r="G494" s="44"/>
      <c r="I494" s="44"/>
      <c r="K494" s="44"/>
      <c r="M494" s="44"/>
      <c r="O494" s="44"/>
      <c r="Q494" s="44"/>
    </row>
    <row r="495">
      <c r="B495" s="44"/>
      <c r="D495" s="44"/>
      <c r="F495" s="44"/>
      <c r="G495" s="44"/>
      <c r="I495" s="44"/>
      <c r="K495" s="44"/>
      <c r="M495" s="44"/>
      <c r="O495" s="44"/>
      <c r="Q495" s="44"/>
    </row>
    <row r="496">
      <c r="B496" s="44"/>
      <c r="D496" s="44"/>
      <c r="F496" s="44"/>
      <c r="G496" s="44"/>
      <c r="I496" s="44"/>
      <c r="K496" s="44"/>
      <c r="M496" s="44"/>
      <c r="O496" s="44"/>
      <c r="Q496" s="44"/>
    </row>
    <row r="497">
      <c r="B497" s="44"/>
      <c r="D497" s="44"/>
      <c r="F497" s="44"/>
      <c r="G497" s="44"/>
      <c r="I497" s="44"/>
      <c r="K497" s="44"/>
      <c r="M497" s="44"/>
      <c r="O497" s="44"/>
      <c r="Q497" s="44"/>
    </row>
    <row r="498">
      <c r="B498" s="44"/>
      <c r="D498" s="44"/>
      <c r="F498" s="44"/>
      <c r="G498" s="44"/>
      <c r="I498" s="44"/>
      <c r="K498" s="44"/>
      <c r="M498" s="44"/>
      <c r="O498" s="44"/>
      <c r="Q498" s="44"/>
    </row>
    <row r="499">
      <c r="B499" s="44"/>
      <c r="D499" s="44"/>
      <c r="F499" s="44"/>
      <c r="G499" s="44"/>
      <c r="I499" s="44"/>
      <c r="K499" s="44"/>
      <c r="M499" s="44"/>
      <c r="O499" s="44"/>
      <c r="Q499" s="44"/>
    </row>
    <row r="500">
      <c r="B500" s="44"/>
      <c r="D500" s="44"/>
      <c r="F500" s="44"/>
      <c r="G500" s="44"/>
      <c r="I500" s="44"/>
      <c r="K500" s="44"/>
      <c r="M500" s="44"/>
      <c r="O500" s="44"/>
      <c r="Q500" s="44"/>
    </row>
    <row r="501">
      <c r="B501" s="44"/>
      <c r="D501" s="44"/>
      <c r="F501" s="44"/>
      <c r="G501" s="44"/>
      <c r="I501" s="44"/>
      <c r="K501" s="44"/>
      <c r="M501" s="44"/>
      <c r="O501" s="44"/>
      <c r="Q501" s="44"/>
    </row>
    <row r="502">
      <c r="B502" s="44"/>
      <c r="D502" s="44"/>
      <c r="F502" s="44"/>
      <c r="G502" s="44"/>
      <c r="I502" s="44"/>
      <c r="K502" s="44"/>
      <c r="M502" s="44"/>
      <c r="O502" s="44"/>
      <c r="Q502" s="44"/>
    </row>
    <row r="503">
      <c r="B503" s="44"/>
      <c r="D503" s="44"/>
      <c r="F503" s="44"/>
      <c r="G503" s="44"/>
      <c r="I503" s="44"/>
      <c r="K503" s="44"/>
      <c r="M503" s="44"/>
      <c r="O503" s="44"/>
      <c r="Q503" s="44"/>
    </row>
    <row r="504">
      <c r="B504" s="44"/>
      <c r="D504" s="44"/>
      <c r="F504" s="44"/>
      <c r="G504" s="44"/>
      <c r="I504" s="44"/>
      <c r="K504" s="44"/>
      <c r="M504" s="44"/>
      <c r="O504" s="44"/>
      <c r="Q504" s="44"/>
    </row>
    <row r="505">
      <c r="B505" s="44"/>
      <c r="D505" s="44"/>
      <c r="F505" s="44"/>
      <c r="G505" s="44"/>
      <c r="I505" s="44"/>
      <c r="K505" s="44"/>
      <c r="M505" s="44"/>
      <c r="O505" s="44"/>
      <c r="Q505" s="44"/>
    </row>
    <row r="506">
      <c r="B506" s="44"/>
      <c r="D506" s="44"/>
      <c r="F506" s="44"/>
      <c r="G506" s="44"/>
      <c r="I506" s="44"/>
      <c r="K506" s="44"/>
      <c r="M506" s="44"/>
      <c r="O506" s="44"/>
      <c r="Q506" s="44"/>
    </row>
    <row r="507">
      <c r="B507" s="44"/>
      <c r="D507" s="44"/>
      <c r="F507" s="44"/>
      <c r="G507" s="44"/>
      <c r="I507" s="44"/>
      <c r="K507" s="44"/>
      <c r="M507" s="44"/>
      <c r="O507" s="44"/>
      <c r="Q507" s="44"/>
    </row>
    <row r="508">
      <c r="B508" s="44"/>
      <c r="D508" s="44"/>
      <c r="F508" s="44"/>
      <c r="G508" s="44"/>
      <c r="I508" s="44"/>
      <c r="K508" s="44"/>
      <c r="M508" s="44"/>
      <c r="O508" s="44"/>
      <c r="Q508" s="44"/>
    </row>
    <row r="509">
      <c r="B509" s="44"/>
      <c r="D509" s="44"/>
      <c r="F509" s="44"/>
      <c r="G509" s="44"/>
      <c r="I509" s="44"/>
      <c r="K509" s="44"/>
      <c r="M509" s="44"/>
      <c r="O509" s="44"/>
      <c r="Q509" s="44"/>
    </row>
    <row r="510">
      <c r="B510" s="44"/>
      <c r="D510" s="44"/>
      <c r="F510" s="44"/>
      <c r="G510" s="44"/>
      <c r="I510" s="44"/>
      <c r="K510" s="44"/>
      <c r="M510" s="44"/>
      <c r="O510" s="44"/>
      <c r="Q510" s="44"/>
    </row>
    <row r="511">
      <c r="B511" s="44"/>
      <c r="D511" s="44"/>
      <c r="F511" s="44"/>
      <c r="G511" s="44"/>
      <c r="I511" s="44"/>
      <c r="K511" s="44"/>
      <c r="M511" s="44"/>
      <c r="O511" s="44"/>
      <c r="Q511" s="44"/>
    </row>
    <row r="512">
      <c r="B512" s="44"/>
      <c r="D512" s="44"/>
      <c r="F512" s="44"/>
      <c r="G512" s="44"/>
      <c r="I512" s="44"/>
      <c r="K512" s="44"/>
      <c r="M512" s="44"/>
      <c r="O512" s="44"/>
      <c r="Q512" s="44"/>
    </row>
    <row r="513">
      <c r="B513" s="44"/>
      <c r="D513" s="44"/>
      <c r="F513" s="44"/>
      <c r="G513" s="44"/>
      <c r="I513" s="44"/>
      <c r="K513" s="44"/>
      <c r="M513" s="44"/>
      <c r="O513" s="44"/>
      <c r="Q513" s="44"/>
    </row>
    <row r="514">
      <c r="B514" s="44"/>
      <c r="D514" s="44"/>
      <c r="F514" s="44"/>
      <c r="G514" s="44"/>
      <c r="I514" s="44"/>
      <c r="K514" s="44"/>
      <c r="M514" s="44"/>
      <c r="O514" s="44"/>
      <c r="Q514" s="44"/>
    </row>
    <row r="515">
      <c r="B515" s="44"/>
      <c r="D515" s="44"/>
      <c r="F515" s="44"/>
      <c r="G515" s="44"/>
      <c r="I515" s="44"/>
      <c r="K515" s="44"/>
      <c r="M515" s="44"/>
      <c r="O515" s="44"/>
      <c r="Q515" s="44"/>
    </row>
    <row r="516">
      <c r="B516" s="44"/>
      <c r="D516" s="44"/>
      <c r="F516" s="44"/>
      <c r="G516" s="44"/>
      <c r="I516" s="44"/>
      <c r="K516" s="44"/>
      <c r="M516" s="44"/>
      <c r="O516" s="44"/>
      <c r="Q516" s="44"/>
    </row>
    <row r="517">
      <c r="B517" s="44"/>
      <c r="D517" s="44"/>
      <c r="F517" s="44"/>
      <c r="G517" s="44"/>
      <c r="I517" s="44"/>
      <c r="K517" s="44"/>
      <c r="M517" s="44"/>
      <c r="O517" s="44"/>
      <c r="Q517" s="44"/>
    </row>
    <row r="518">
      <c r="B518" s="44"/>
      <c r="D518" s="44"/>
      <c r="F518" s="44"/>
      <c r="G518" s="44"/>
      <c r="I518" s="44"/>
      <c r="K518" s="44"/>
      <c r="M518" s="44"/>
      <c r="O518" s="44"/>
      <c r="Q518" s="44"/>
    </row>
    <row r="519">
      <c r="B519" s="44"/>
      <c r="D519" s="44"/>
      <c r="F519" s="44"/>
      <c r="G519" s="44"/>
      <c r="I519" s="44"/>
      <c r="K519" s="44"/>
      <c r="M519" s="44"/>
      <c r="O519" s="44"/>
      <c r="Q519" s="44"/>
    </row>
    <row r="520">
      <c r="B520" s="44"/>
      <c r="D520" s="44"/>
      <c r="F520" s="44"/>
      <c r="G520" s="44"/>
      <c r="I520" s="44"/>
      <c r="K520" s="44"/>
      <c r="M520" s="44"/>
      <c r="O520" s="44"/>
      <c r="Q520" s="44"/>
    </row>
    <row r="521">
      <c r="B521" s="44"/>
      <c r="D521" s="44"/>
      <c r="F521" s="44"/>
      <c r="G521" s="44"/>
      <c r="I521" s="44"/>
      <c r="K521" s="44"/>
      <c r="M521" s="44"/>
      <c r="O521" s="44"/>
      <c r="Q521" s="44"/>
    </row>
    <row r="522">
      <c r="B522" s="44"/>
      <c r="D522" s="44"/>
      <c r="F522" s="44"/>
      <c r="G522" s="44"/>
      <c r="I522" s="44"/>
      <c r="K522" s="44"/>
      <c r="M522" s="44"/>
      <c r="O522" s="44"/>
      <c r="Q522" s="44"/>
    </row>
    <row r="523">
      <c r="B523" s="44"/>
      <c r="D523" s="44"/>
      <c r="F523" s="44"/>
      <c r="G523" s="44"/>
      <c r="I523" s="44"/>
      <c r="K523" s="44"/>
      <c r="M523" s="44"/>
      <c r="O523" s="44"/>
      <c r="Q523" s="44"/>
    </row>
    <row r="524">
      <c r="B524" s="44"/>
      <c r="D524" s="44"/>
      <c r="F524" s="44"/>
      <c r="G524" s="44"/>
      <c r="I524" s="44"/>
      <c r="K524" s="44"/>
      <c r="M524" s="44"/>
      <c r="O524" s="44"/>
      <c r="Q524" s="44"/>
    </row>
    <row r="525">
      <c r="B525" s="44"/>
      <c r="D525" s="44"/>
      <c r="F525" s="44"/>
      <c r="G525" s="44"/>
      <c r="I525" s="44"/>
      <c r="K525" s="44"/>
      <c r="M525" s="44"/>
      <c r="O525" s="44"/>
      <c r="Q525" s="44"/>
    </row>
    <row r="526">
      <c r="B526" s="44"/>
      <c r="D526" s="44"/>
      <c r="F526" s="44"/>
      <c r="G526" s="44"/>
      <c r="I526" s="44"/>
      <c r="K526" s="44"/>
      <c r="M526" s="44"/>
      <c r="O526" s="44"/>
      <c r="Q526" s="44"/>
    </row>
    <row r="527">
      <c r="B527" s="44"/>
      <c r="D527" s="44"/>
      <c r="F527" s="44"/>
      <c r="G527" s="44"/>
      <c r="I527" s="44"/>
      <c r="K527" s="44"/>
      <c r="M527" s="44"/>
      <c r="O527" s="44"/>
      <c r="Q527" s="44"/>
    </row>
    <row r="528">
      <c r="B528" s="44"/>
      <c r="D528" s="44"/>
      <c r="F528" s="44"/>
      <c r="G528" s="44"/>
      <c r="I528" s="44"/>
      <c r="K528" s="44"/>
      <c r="M528" s="44"/>
      <c r="O528" s="44"/>
      <c r="Q528" s="44"/>
    </row>
    <row r="529">
      <c r="B529" s="44"/>
      <c r="D529" s="44"/>
      <c r="F529" s="44"/>
      <c r="G529" s="44"/>
      <c r="I529" s="44"/>
      <c r="K529" s="44"/>
      <c r="M529" s="44"/>
      <c r="O529" s="44"/>
      <c r="Q529" s="44"/>
    </row>
    <row r="530">
      <c r="B530" s="44"/>
      <c r="D530" s="44"/>
      <c r="F530" s="44"/>
      <c r="G530" s="44"/>
      <c r="I530" s="44"/>
      <c r="K530" s="44"/>
      <c r="M530" s="44"/>
      <c r="O530" s="44"/>
      <c r="Q530" s="44"/>
    </row>
    <row r="531">
      <c r="B531" s="44"/>
      <c r="D531" s="44"/>
      <c r="F531" s="44"/>
      <c r="G531" s="44"/>
      <c r="I531" s="44"/>
      <c r="K531" s="44"/>
      <c r="M531" s="44"/>
      <c r="O531" s="44"/>
      <c r="Q531" s="44"/>
    </row>
    <row r="532">
      <c r="B532" s="44"/>
      <c r="D532" s="44"/>
      <c r="F532" s="44"/>
      <c r="G532" s="44"/>
      <c r="I532" s="44"/>
      <c r="K532" s="44"/>
      <c r="M532" s="44"/>
      <c r="O532" s="44"/>
      <c r="Q532" s="44"/>
    </row>
    <row r="533">
      <c r="B533" s="44"/>
      <c r="D533" s="44"/>
      <c r="F533" s="44"/>
      <c r="G533" s="44"/>
      <c r="I533" s="44"/>
      <c r="K533" s="44"/>
      <c r="M533" s="44"/>
      <c r="O533" s="44"/>
      <c r="Q533" s="44"/>
    </row>
    <row r="534">
      <c r="B534" s="44"/>
      <c r="D534" s="44"/>
      <c r="F534" s="44"/>
      <c r="G534" s="44"/>
      <c r="I534" s="44"/>
      <c r="K534" s="44"/>
      <c r="M534" s="44"/>
      <c r="O534" s="44"/>
      <c r="Q534" s="44"/>
    </row>
    <row r="535">
      <c r="B535" s="44"/>
      <c r="D535" s="44"/>
      <c r="F535" s="44"/>
      <c r="G535" s="44"/>
      <c r="I535" s="44"/>
      <c r="K535" s="44"/>
      <c r="M535" s="44"/>
      <c r="O535" s="44"/>
      <c r="Q535" s="44"/>
    </row>
    <row r="536">
      <c r="B536" s="44"/>
      <c r="D536" s="44"/>
      <c r="F536" s="44"/>
      <c r="G536" s="44"/>
      <c r="I536" s="44"/>
      <c r="K536" s="44"/>
      <c r="M536" s="44"/>
      <c r="O536" s="44"/>
      <c r="Q536" s="44"/>
    </row>
    <row r="537">
      <c r="B537" s="44"/>
      <c r="D537" s="44"/>
      <c r="F537" s="44"/>
      <c r="G537" s="44"/>
      <c r="I537" s="44"/>
      <c r="K537" s="44"/>
      <c r="M537" s="44"/>
      <c r="O537" s="44"/>
      <c r="Q537" s="44"/>
    </row>
    <row r="538">
      <c r="B538" s="44"/>
      <c r="D538" s="44"/>
      <c r="F538" s="44"/>
      <c r="G538" s="44"/>
      <c r="I538" s="44"/>
      <c r="K538" s="44"/>
      <c r="M538" s="44"/>
      <c r="O538" s="44"/>
      <c r="Q538" s="44"/>
    </row>
    <row r="539">
      <c r="B539" s="44"/>
      <c r="D539" s="44"/>
      <c r="F539" s="44"/>
      <c r="G539" s="44"/>
      <c r="I539" s="44"/>
      <c r="K539" s="44"/>
      <c r="M539" s="44"/>
      <c r="O539" s="44"/>
      <c r="Q539" s="44"/>
    </row>
    <row r="540">
      <c r="B540" s="44"/>
      <c r="D540" s="44"/>
      <c r="F540" s="44"/>
      <c r="G540" s="44"/>
      <c r="I540" s="44"/>
      <c r="K540" s="44"/>
      <c r="M540" s="44"/>
      <c r="O540" s="44"/>
      <c r="Q540" s="44"/>
    </row>
    <row r="541">
      <c r="B541" s="44"/>
      <c r="D541" s="44"/>
      <c r="F541" s="44"/>
      <c r="G541" s="44"/>
      <c r="I541" s="44"/>
      <c r="K541" s="44"/>
      <c r="M541" s="44"/>
      <c r="O541" s="44"/>
      <c r="Q541" s="44"/>
    </row>
    <row r="542">
      <c r="B542" s="44"/>
      <c r="D542" s="44"/>
      <c r="F542" s="44"/>
      <c r="G542" s="44"/>
      <c r="I542" s="44"/>
      <c r="K542" s="44"/>
      <c r="M542" s="44"/>
      <c r="O542" s="44"/>
      <c r="Q542" s="44"/>
    </row>
    <row r="543">
      <c r="B543" s="44"/>
      <c r="D543" s="44"/>
      <c r="F543" s="44"/>
      <c r="G543" s="44"/>
      <c r="I543" s="44"/>
      <c r="K543" s="44"/>
      <c r="M543" s="44"/>
      <c r="O543" s="44"/>
      <c r="Q543" s="44"/>
    </row>
    <row r="544">
      <c r="B544" s="44"/>
      <c r="D544" s="44"/>
      <c r="F544" s="44"/>
      <c r="G544" s="44"/>
      <c r="I544" s="44"/>
      <c r="K544" s="44"/>
      <c r="M544" s="44"/>
      <c r="O544" s="44"/>
      <c r="Q544" s="44"/>
    </row>
    <row r="545">
      <c r="B545" s="44"/>
      <c r="D545" s="44"/>
      <c r="F545" s="44"/>
      <c r="G545" s="44"/>
      <c r="I545" s="44"/>
      <c r="K545" s="44"/>
      <c r="M545" s="44"/>
      <c r="O545" s="44"/>
      <c r="Q545" s="44"/>
    </row>
    <row r="546">
      <c r="B546" s="44"/>
      <c r="D546" s="44"/>
      <c r="F546" s="44"/>
      <c r="G546" s="44"/>
      <c r="I546" s="44"/>
      <c r="K546" s="44"/>
      <c r="M546" s="44"/>
      <c r="O546" s="44"/>
      <c r="Q546" s="44"/>
    </row>
    <row r="547">
      <c r="B547" s="44"/>
      <c r="D547" s="44"/>
      <c r="F547" s="44"/>
      <c r="G547" s="44"/>
      <c r="I547" s="44"/>
      <c r="K547" s="44"/>
      <c r="M547" s="44"/>
      <c r="O547" s="44"/>
      <c r="Q547" s="44"/>
    </row>
    <row r="548">
      <c r="B548" s="44"/>
      <c r="D548" s="44"/>
      <c r="F548" s="44"/>
      <c r="G548" s="44"/>
      <c r="I548" s="44"/>
      <c r="K548" s="44"/>
      <c r="M548" s="44"/>
      <c r="O548" s="44"/>
      <c r="Q548" s="44"/>
    </row>
    <row r="549">
      <c r="B549" s="44"/>
      <c r="D549" s="44"/>
      <c r="F549" s="44"/>
      <c r="G549" s="44"/>
      <c r="I549" s="44"/>
      <c r="K549" s="44"/>
      <c r="M549" s="44"/>
      <c r="O549" s="44"/>
      <c r="Q549" s="44"/>
    </row>
    <row r="550">
      <c r="B550" s="44"/>
      <c r="D550" s="44"/>
      <c r="F550" s="44"/>
      <c r="G550" s="44"/>
      <c r="I550" s="44"/>
      <c r="K550" s="44"/>
      <c r="M550" s="44"/>
      <c r="O550" s="44"/>
      <c r="Q550" s="44"/>
    </row>
    <row r="551">
      <c r="B551" s="44"/>
      <c r="D551" s="44"/>
      <c r="F551" s="44"/>
      <c r="G551" s="44"/>
      <c r="I551" s="44"/>
      <c r="K551" s="44"/>
      <c r="M551" s="44"/>
      <c r="O551" s="44"/>
      <c r="Q551" s="44"/>
    </row>
    <row r="552">
      <c r="B552" s="44"/>
      <c r="D552" s="44"/>
      <c r="F552" s="44"/>
      <c r="G552" s="44"/>
      <c r="I552" s="44"/>
      <c r="K552" s="44"/>
      <c r="M552" s="44"/>
      <c r="O552" s="44"/>
      <c r="Q552" s="44"/>
    </row>
    <row r="553">
      <c r="B553" s="44"/>
      <c r="D553" s="44"/>
      <c r="F553" s="44"/>
      <c r="G553" s="44"/>
      <c r="I553" s="44"/>
      <c r="K553" s="44"/>
      <c r="M553" s="44"/>
      <c r="O553" s="44"/>
      <c r="Q553" s="44"/>
    </row>
    <row r="554">
      <c r="B554" s="44"/>
      <c r="D554" s="44"/>
      <c r="F554" s="44"/>
      <c r="G554" s="44"/>
      <c r="I554" s="44"/>
      <c r="K554" s="44"/>
      <c r="M554" s="44"/>
      <c r="O554" s="44"/>
      <c r="Q554" s="44"/>
    </row>
    <row r="555">
      <c r="B555" s="44"/>
      <c r="D555" s="44"/>
      <c r="F555" s="44"/>
      <c r="G555" s="44"/>
      <c r="I555" s="44"/>
      <c r="K555" s="44"/>
      <c r="M555" s="44"/>
      <c r="O555" s="44"/>
      <c r="Q555" s="44"/>
    </row>
    <row r="556">
      <c r="B556" s="44"/>
      <c r="D556" s="44"/>
      <c r="F556" s="44"/>
      <c r="G556" s="44"/>
      <c r="I556" s="44"/>
      <c r="K556" s="44"/>
      <c r="M556" s="44"/>
      <c r="O556" s="44"/>
      <c r="Q556" s="44"/>
    </row>
    <row r="557">
      <c r="B557" s="44"/>
      <c r="D557" s="44"/>
      <c r="F557" s="44"/>
      <c r="G557" s="44"/>
      <c r="I557" s="44"/>
      <c r="K557" s="44"/>
      <c r="M557" s="44"/>
      <c r="O557" s="44"/>
      <c r="Q557" s="44"/>
    </row>
    <row r="558">
      <c r="B558" s="44"/>
      <c r="D558" s="44"/>
      <c r="F558" s="44"/>
      <c r="G558" s="44"/>
      <c r="I558" s="44"/>
      <c r="K558" s="44"/>
      <c r="M558" s="44"/>
      <c r="O558" s="44"/>
      <c r="Q558" s="44"/>
    </row>
    <row r="559">
      <c r="B559" s="44"/>
      <c r="D559" s="44"/>
      <c r="F559" s="44"/>
      <c r="G559" s="44"/>
      <c r="I559" s="44"/>
      <c r="K559" s="44"/>
      <c r="M559" s="44"/>
      <c r="O559" s="44"/>
      <c r="Q559" s="44"/>
    </row>
    <row r="560">
      <c r="B560" s="44"/>
      <c r="D560" s="44"/>
      <c r="F560" s="44"/>
      <c r="G560" s="44"/>
      <c r="I560" s="44"/>
      <c r="K560" s="44"/>
      <c r="M560" s="44"/>
      <c r="O560" s="44"/>
      <c r="Q560" s="44"/>
    </row>
    <row r="561">
      <c r="B561" s="44"/>
      <c r="D561" s="44"/>
      <c r="F561" s="44"/>
      <c r="G561" s="44"/>
      <c r="I561" s="44"/>
      <c r="K561" s="44"/>
      <c r="M561" s="44"/>
      <c r="O561" s="44"/>
      <c r="Q561" s="44"/>
    </row>
    <row r="562">
      <c r="B562" s="44"/>
      <c r="D562" s="44"/>
      <c r="F562" s="44"/>
      <c r="G562" s="44"/>
      <c r="I562" s="44"/>
      <c r="K562" s="44"/>
      <c r="M562" s="44"/>
      <c r="O562" s="44"/>
      <c r="Q562" s="44"/>
    </row>
    <row r="563">
      <c r="B563" s="44"/>
      <c r="D563" s="44"/>
      <c r="F563" s="44"/>
      <c r="G563" s="44"/>
      <c r="I563" s="44"/>
      <c r="K563" s="44"/>
      <c r="M563" s="44"/>
      <c r="O563" s="44"/>
      <c r="Q563" s="44"/>
    </row>
    <row r="564">
      <c r="B564" s="44"/>
      <c r="D564" s="44"/>
      <c r="F564" s="44"/>
      <c r="G564" s="44"/>
      <c r="I564" s="44"/>
      <c r="K564" s="44"/>
      <c r="M564" s="44"/>
      <c r="O564" s="44"/>
      <c r="Q564" s="44"/>
    </row>
    <row r="565">
      <c r="B565" s="44"/>
      <c r="D565" s="44"/>
      <c r="F565" s="44"/>
      <c r="G565" s="44"/>
      <c r="I565" s="44"/>
      <c r="K565" s="44"/>
      <c r="M565" s="44"/>
      <c r="O565" s="44"/>
      <c r="Q565" s="44"/>
    </row>
    <row r="566">
      <c r="B566" s="44"/>
      <c r="D566" s="44"/>
      <c r="F566" s="44"/>
      <c r="G566" s="44"/>
      <c r="I566" s="44"/>
      <c r="K566" s="44"/>
      <c r="M566" s="44"/>
      <c r="O566" s="44"/>
      <c r="Q566" s="44"/>
    </row>
    <row r="567">
      <c r="B567" s="44"/>
      <c r="D567" s="44"/>
      <c r="F567" s="44"/>
      <c r="G567" s="44"/>
      <c r="I567" s="44"/>
      <c r="K567" s="44"/>
      <c r="M567" s="44"/>
      <c r="O567" s="44"/>
      <c r="Q567" s="44"/>
    </row>
    <row r="568">
      <c r="B568" s="44"/>
      <c r="D568" s="44"/>
      <c r="F568" s="44"/>
      <c r="G568" s="44"/>
      <c r="I568" s="44"/>
      <c r="K568" s="44"/>
      <c r="M568" s="44"/>
      <c r="O568" s="44"/>
      <c r="Q568" s="44"/>
    </row>
    <row r="569">
      <c r="B569" s="44"/>
      <c r="D569" s="44"/>
      <c r="F569" s="44"/>
      <c r="G569" s="44"/>
      <c r="I569" s="44"/>
      <c r="K569" s="44"/>
      <c r="M569" s="44"/>
      <c r="O569" s="44"/>
      <c r="Q569" s="44"/>
    </row>
    <row r="570">
      <c r="B570" s="44"/>
      <c r="D570" s="44"/>
      <c r="F570" s="44"/>
      <c r="G570" s="44"/>
      <c r="I570" s="44"/>
      <c r="K570" s="44"/>
      <c r="M570" s="44"/>
      <c r="O570" s="44"/>
      <c r="Q570" s="44"/>
    </row>
    <row r="571">
      <c r="B571" s="44"/>
      <c r="D571" s="44"/>
      <c r="F571" s="44"/>
      <c r="G571" s="44"/>
      <c r="I571" s="44"/>
      <c r="K571" s="44"/>
      <c r="M571" s="44"/>
      <c r="O571" s="44"/>
      <c r="Q571" s="44"/>
    </row>
    <row r="572">
      <c r="B572" s="44"/>
      <c r="D572" s="44"/>
      <c r="F572" s="44"/>
      <c r="G572" s="44"/>
      <c r="I572" s="44"/>
      <c r="K572" s="44"/>
      <c r="M572" s="44"/>
      <c r="O572" s="44"/>
      <c r="Q572" s="44"/>
    </row>
    <row r="573">
      <c r="B573" s="44"/>
      <c r="D573" s="44"/>
      <c r="F573" s="44"/>
      <c r="G573" s="44"/>
      <c r="I573" s="44"/>
      <c r="K573" s="44"/>
      <c r="M573" s="44"/>
      <c r="O573" s="44"/>
      <c r="Q573" s="44"/>
    </row>
    <row r="574">
      <c r="B574" s="44"/>
      <c r="D574" s="44"/>
      <c r="F574" s="44"/>
      <c r="G574" s="44"/>
      <c r="I574" s="44"/>
      <c r="K574" s="44"/>
      <c r="M574" s="44"/>
      <c r="O574" s="44"/>
      <c r="Q574" s="44"/>
    </row>
    <row r="575">
      <c r="B575" s="44"/>
      <c r="D575" s="44"/>
      <c r="F575" s="44"/>
      <c r="G575" s="44"/>
      <c r="I575" s="44"/>
      <c r="K575" s="44"/>
      <c r="M575" s="44"/>
      <c r="O575" s="44"/>
      <c r="Q575" s="44"/>
    </row>
    <row r="576">
      <c r="B576" s="44"/>
      <c r="D576" s="44"/>
      <c r="F576" s="44"/>
      <c r="G576" s="44"/>
      <c r="I576" s="44"/>
      <c r="K576" s="44"/>
      <c r="M576" s="44"/>
      <c r="O576" s="44"/>
      <c r="Q576" s="44"/>
    </row>
    <row r="577">
      <c r="B577" s="44"/>
      <c r="D577" s="44"/>
      <c r="F577" s="44"/>
      <c r="G577" s="44"/>
      <c r="I577" s="44"/>
      <c r="K577" s="44"/>
      <c r="M577" s="44"/>
      <c r="O577" s="44"/>
      <c r="Q577" s="44"/>
    </row>
    <row r="578">
      <c r="B578" s="44"/>
      <c r="D578" s="44"/>
      <c r="F578" s="44"/>
      <c r="G578" s="44"/>
      <c r="I578" s="44"/>
      <c r="K578" s="44"/>
      <c r="M578" s="44"/>
      <c r="O578" s="44"/>
      <c r="Q578" s="44"/>
    </row>
    <row r="579">
      <c r="B579" s="44"/>
      <c r="D579" s="44"/>
      <c r="F579" s="44"/>
      <c r="G579" s="44"/>
      <c r="I579" s="44"/>
      <c r="K579" s="44"/>
      <c r="M579" s="44"/>
      <c r="O579" s="44"/>
      <c r="Q579" s="44"/>
    </row>
    <row r="580">
      <c r="B580" s="44"/>
      <c r="D580" s="44"/>
      <c r="F580" s="44"/>
      <c r="G580" s="44"/>
      <c r="I580" s="44"/>
      <c r="K580" s="44"/>
      <c r="M580" s="44"/>
      <c r="O580" s="44"/>
      <c r="Q580" s="44"/>
    </row>
    <row r="581">
      <c r="B581" s="44"/>
      <c r="D581" s="44"/>
      <c r="F581" s="44"/>
      <c r="G581" s="44"/>
      <c r="I581" s="44"/>
      <c r="K581" s="44"/>
      <c r="M581" s="44"/>
      <c r="O581" s="44"/>
      <c r="Q581" s="44"/>
    </row>
    <row r="582">
      <c r="B582" s="44"/>
      <c r="D582" s="44"/>
      <c r="F582" s="44"/>
      <c r="G582" s="44"/>
      <c r="I582" s="44"/>
      <c r="K582" s="44"/>
      <c r="M582" s="44"/>
      <c r="O582" s="44"/>
      <c r="Q582" s="44"/>
    </row>
    <row r="583">
      <c r="B583" s="44"/>
      <c r="D583" s="44"/>
      <c r="F583" s="44"/>
      <c r="G583" s="44"/>
      <c r="I583" s="44"/>
      <c r="K583" s="44"/>
      <c r="M583" s="44"/>
      <c r="O583" s="44"/>
      <c r="Q583" s="44"/>
    </row>
    <row r="584">
      <c r="B584" s="44"/>
      <c r="D584" s="44"/>
      <c r="F584" s="44"/>
      <c r="G584" s="44"/>
      <c r="I584" s="44"/>
      <c r="K584" s="44"/>
      <c r="M584" s="44"/>
      <c r="O584" s="44"/>
      <c r="Q584" s="44"/>
    </row>
    <row r="585">
      <c r="B585" s="44"/>
      <c r="D585" s="44"/>
      <c r="F585" s="44"/>
      <c r="G585" s="44"/>
      <c r="I585" s="44"/>
      <c r="K585" s="44"/>
      <c r="M585" s="44"/>
      <c r="O585" s="44"/>
      <c r="Q585" s="44"/>
    </row>
    <row r="586">
      <c r="B586" s="44"/>
      <c r="D586" s="44"/>
      <c r="F586" s="44"/>
      <c r="G586" s="44"/>
      <c r="I586" s="44"/>
      <c r="K586" s="44"/>
      <c r="M586" s="44"/>
      <c r="O586" s="44"/>
      <c r="Q586" s="44"/>
    </row>
    <row r="587">
      <c r="B587" s="44"/>
      <c r="D587" s="44"/>
      <c r="F587" s="44"/>
      <c r="G587" s="44"/>
      <c r="I587" s="44"/>
      <c r="K587" s="44"/>
      <c r="M587" s="44"/>
      <c r="O587" s="44"/>
      <c r="Q587" s="44"/>
    </row>
    <row r="588">
      <c r="B588" s="44"/>
      <c r="D588" s="44"/>
      <c r="F588" s="44"/>
      <c r="G588" s="44"/>
      <c r="I588" s="44"/>
      <c r="K588" s="44"/>
      <c r="M588" s="44"/>
      <c r="O588" s="44"/>
      <c r="Q588" s="44"/>
    </row>
    <row r="589">
      <c r="B589" s="44"/>
      <c r="D589" s="44"/>
      <c r="F589" s="44"/>
      <c r="G589" s="44"/>
      <c r="I589" s="44"/>
      <c r="K589" s="44"/>
      <c r="M589" s="44"/>
      <c r="O589" s="44"/>
      <c r="Q589" s="44"/>
    </row>
    <row r="590">
      <c r="B590" s="44"/>
      <c r="D590" s="44"/>
      <c r="F590" s="44"/>
      <c r="G590" s="44"/>
      <c r="I590" s="44"/>
      <c r="K590" s="44"/>
      <c r="M590" s="44"/>
      <c r="O590" s="44"/>
      <c r="Q590" s="44"/>
    </row>
    <row r="591">
      <c r="B591" s="44"/>
      <c r="D591" s="44"/>
      <c r="F591" s="44"/>
      <c r="G591" s="44"/>
      <c r="I591" s="44"/>
      <c r="K591" s="44"/>
      <c r="M591" s="44"/>
      <c r="O591" s="44"/>
      <c r="Q591" s="44"/>
    </row>
    <row r="592">
      <c r="B592" s="44"/>
      <c r="D592" s="44"/>
      <c r="F592" s="44"/>
      <c r="G592" s="44"/>
      <c r="I592" s="44"/>
      <c r="K592" s="44"/>
      <c r="M592" s="44"/>
      <c r="O592" s="44"/>
      <c r="Q592" s="44"/>
    </row>
    <row r="593">
      <c r="B593" s="44"/>
      <c r="D593" s="44"/>
      <c r="F593" s="44"/>
      <c r="G593" s="44"/>
      <c r="I593" s="44"/>
      <c r="K593" s="44"/>
      <c r="M593" s="44"/>
      <c r="O593" s="44"/>
      <c r="Q593" s="44"/>
    </row>
    <row r="594">
      <c r="B594" s="44"/>
      <c r="D594" s="44"/>
      <c r="F594" s="44"/>
      <c r="G594" s="44"/>
      <c r="I594" s="44"/>
      <c r="K594" s="44"/>
      <c r="M594" s="44"/>
      <c r="O594" s="44"/>
      <c r="Q594" s="44"/>
    </row>
    <row r="595">
      <c r="B595" s="44"/>
      <c r="D595" s="44"/>
      <c r="F595" s="44"/>
      <c r="G595" s="44"/>
      <c r="I595" s="44"/>
      <c r="K595" s="44"/>
      <c r="M595" s="44"/>
      <c r="O595" s="44"/>
      <c r="Q595" s="44"/>
    </row>
    <row r="596">
      <c r="B596" s="44"/>
      <c r="D596" s="44"/>
      <c r="F596" s="44"/>
      <c r="G596" s="44"/>
      <c r="I596" s="44"/>
      <c r="K596" s="44"/>
      <c r="M596" s="44"/>
      <c r="O596" s="44"/>
      <c r="Q596" s="44"/>
    </row>
    <row r="597">
      <c r="B597" s="44"/>
      <c r="D597" s="44"/>
      <c r="F597" s="44"/>
      <c r="G597" s="44"/>
      <c r="I597" s="44"/>
      <c r="K597" s="44"/>
      <c r="M597" s="44"/>
      <c r="O597" s="44"/>
      <c r="Q597" s="44"/>
    </row>
    <row r="598">
      <c r="B598" s="44"/>
      <c r="D598" s="44"/>
      <c r="F598" s="44"/>
      <c r="G598" s="44"/>
      <c r="I598" s="44"/>
      <c r="K598" s="44"/>
      <c r="M598" s="44"/>
      <c r="O598" s="44"/>
      <c r="Q598" s="44"/>
    </row>
    <row r="599">
      <c r="B599" s="44"/>
      <c r="D599" s="44"/>
      <c r="F599" s="44"/>
      <c r="G599" s="44"/>
      <c r="I599" s="44"/>
      <c r="K599" s="44"/>
      <c r="M599" s="44"/>
      <c r="O599" s="44"/>
      <c r="Q599" s="44"/>
    </row>
    <row r="600">
      <c r="B600" s="44"/>
      <c r="D600" s="44"/>
      <c r="F600" s="44"/>
      <c r="G600" s="44"/>
      <c r="I600" s="44"/>
      <c r="K600" s="44"/>
      <c r="M600" s="44"/>
      <c r="O600" s="44"/>
      <c r="Q600" s="44"/>
    </row>
    <row r="601">
      <c r="B601" s="44"/>
      <c r="D601" s="44"/>
      <c r="F601" s="44"/>
      <c r="G601" s="44"/>
      <c r="I601" s="44"/>
      <c r="K601" s="44"/>
      <c r="M601" s="44"/>
      <c r="O601" s="44"/>
      <c r="Q601" s="44"/>
    </row>
    <row r="602">
      <c r="B602" s="44"/>
      <c r="D602" s="44"/>
      <c r="F602" s="44"/>
      <c r="G602" s="44"/>
      <c r="I602" s="44"/>
      <c r="K602" s="44"/>
      <c r="M602" s="44"/>
      <c r="O602" s="44"/>
      <c r="Q602" s="44"/>
    </row>
    <row r="603">
      <c r="B603" s="44"/>
      <c r="D603" s="44"/>
      <c r="F603" s="44"/>
      <c r="G603" s="44"/>
      <c r="I603" s="44"/>
      <c r="K603" s="44"/>
      <c r="M603" s="44"/>
      <c r="O603" s="44"/>
      <c r="Q603" s="44"/>
    </row>
    <row r="604">
      <c r="B604" s="44"/>
      <c r="D604" s="44"/>
      <c r="F604" s="44"/>
      <c r="G604" s="44"/>
      <c r="I604" s="44"/>
      <c r="K604" s="44"/>
      <c r="M604" s="44"/>
      <c r="O604" s="44"/>
      <c r="Q604" s="44"/>
    </row>
    <row r="605">
      <c r="B605" s="44"/>
      <c r="D605" s="44"/>
      <c r="F605" s="44"/>
      <c r="G605" s="44"/>
      <c r="I605" s="44"/>
      <c r="K605" s="44"/>
      <c r="M605" s="44"/>
      <c r="O605" s="44"/>
      <c r="Q605" s="44"/>
    </row>
    <row r="606">
      <c r="B606" s="44"/>
      <c r="D606" s="44"/>
      <c r="F606" s="44"/>
      <c r="G606" s="44"/>
      <c r="I606" s="44"/>
      <c r="K606" s="44"/>
      <c r="M606" s="44"/>
      <c r="O606" s="44"/>
      <c r="Q606" s="44"/>
    </row>
    <row r="607">
      <c r="B607" s="44"/>
      <c r="D607" s="44"/>
      <c r="F607" s="44"/>
      <c r="G607" s="44"/>
      <c r="I607" s="44"/>
      <c r="K607" s="44"/>
      <c r="M607" s="44"/>
      <c r="O607" s="44"/>
      <c r="Q607" s="44"/>
    </row>
    <row r="608">
      <c r="B608" s="44"/>
      <c r="D608" s="44"/>
      <c r="F608" s="44"/>
      <c r="G608" s="44"/>
      <c r="I608" s="44"/>
      <c r="K608" s="44"/>
      <c r="M608" s="44"/>
      <c r="O608" s="44"/>
      <c r="Q608" s="44"/>
    </row>
    <row r="609">
      <c r="B609" s="44"/>
      <c r="D609" s="44"/>
      <c r="F609" s="44"/>
      <c r="G609" s="44"/>
      <c r="I609" s="44"/>
      <c r="K609" s="44"/>
      <c r="M609" s="44"/>
      <c r="O609" s="44"/>
      <c r="Q609" s="44"/>
    </row>
    <row r="610">
      <c r="B610" s="44"/>
      <c r="D610" s="44"/>
      <c r="F610" s="44"/>
      <c r="G610" s="44"/>
      <c r="I610" s="44"/>
      <c r="K610" s="44"/>
      <c r="M610" s="44"/>
      <c r="O610" s="44"/>
      <c r="Q610" s="44"/>
    </row>
    <row r="611">
      <c r="B611" s="44"/>
      <c r="D611" s="44"/>
      <c r="F611" s="44"/>
      <c r="G611" s="44"/>
      <c r="I611" s="44"/>
      <c r="K611" s="44"/>
      <c r="M611" s="44"/>
      <c r="O611" s="44"/>
      <c r="Q611" s="44"/>
    </row>
    <row r="612">
      <c r="B612" s="44"/>
      <c r="D612" s="44"/>
      <c r="F612" s="44"/>
      <c r="G612" s="44"/>
      <c r="I612" s="44"/>
      <c r="K612" s="44"/>
      <c r="M612" s="44"/>
      <c r="O612" s="44"/>
      <c r="Q612" s="44"/>
    </row>
    <row r="613">
      <c r="B613" s="44"/>
      <c r="D613" s="44"/>
      <c r="F613" s="44"/>
      <c r="G613" s="44"/>
      <c r="I613" s="44"/>
      <c r="K613" s="44"/>
      <c r="M613" s="44"/>
      <c r="O613" s="44"/>
      <c r="Q613" s="44"/>
    </row>
    <row r="614">
      <c r="B614" s="44"/>
      <c r="D614" s="44"/>
      <c r="F614" s="44"/>
      <c r="G614" s="44"/>
      <c r="I614" s="44"/>
      <c r="K614" s="44"/>
      <c r="M614" s="44"/>
      <c r="O614" s="44"/>
      <c r="Q614" s="44"/>
    </row>
    <row r="615">
      <c r="B615" s="44"/>
      <c r="D615" s="44"/>
      <c r="F615" s="44"/>
      <c r="G615" s="44"/>
      <c r="I615" s="44"/>
      <c r="K615" s="44"/>
      <c r="M615" s="44"/>
      <c r="O615" s="44"/>
      <c r="Q615" s="44"/>
    </row>
    <row r="616">
      <c r="B616" s="44"/>
      <c r="D616" s="44"/>
      <c r="F616" s="44"/>
      <c r="G616" s="44"/>
      <c r="I616" s="44"/>
      <c r="K616" s="44"/>
      <c r="M616" s="44"/>
      <c r="O616" s="44"/>
      <c r="Q616" s="44"/>
    </row>
    <row r="617">
      <c r="B617" s="44"/>
      <c r="D617" s="44"/>
      <c r="F617" s="44"/>
      <c r="G617" s="44"/>
      <c r="I617" s="44"/>
      <c r="K617" s="44"/>
      <c r="M617" s="44"/>
      <c r="O617" s="44"/>
      <c r="Q617" s="44"/>
    </row>
    <row r="618">
      <c r="B618" s="44"/>
      <c r="D618" s="44"/>
      <c r="F618" s="44"/>
      <c r="G618" s="44"/>
      <c r="I618" s="44"/>
      <c r="K618" s="44"/>
      <c r="M618" s="44"/>
      <c r="O618" s="44"/>
      <c r="Q618" s="44"/>
    </row>
    <row r="619">
      <c r="B619" s="44"/>
      <c r="D619" s="44"/>
      <c r="F619" s="44"/>
      <c r="G619" s="44"/>
      <c r="I619" s="44"/>
      <c r="K619" s="44"/>
      <c r="M619" s="44"/>
      <c r="O619" s="44"/>
      <c r="Q619" s="44"/>
    </row>
    <row r="620">
      <c r="B620" s="44"/>
      <c r="D620" s="44"/>
      <c r="F620" s="44"/>
      <c r="G620" s="44"/>
      <c r="I620" s="44"/>
      <c r="K620" s="44"/>
      <c r="M620" s="44"/>
      <c r="O620" s="44"/>
      <c r="Q620" s="44"/>
    </row>
    <row r="621">
      <c r="B621" s="44"/>
      <c r="D621" s="44"/>
      <c r="F621" s="44"/>
      <c r="G621" s="44"/>
      <c r="I621" s="44"/>
      <c r="K621" s="44"/>
      <c r="M621" s="44"/>
      <c r="O621" s="44"/>
      <c r="Q621" s="44"/>
    </row>
    <row r="622">
      <c r="B622" s="44"/>
      <c r="D622" s="44"/>
      <c r="F622" s="44"/>
      <c r="G622" s="44"/>
      <c r="I622" s="44"/>
      <c r="K622" s="44"/>
      <c r="M622" s="44"/>
      <c r="O622" s="44"/>
      <c r="Q622" s="44"/>
    </row>
    <row r="623">
      <c r="B623" s="44"/>
      <c r="D623" s="44"/>
      <c r="F623" s="44"/>
      <c r="G623" s="44"/>
      <c r="I623" s="44"/>
      <c r="K623" s="44"/>
      <c r="M623" s="44"/>
      <c r="O623" s="44"/>
      <c r="Q623" s="44"/>
    </row>
    <row r="624">
      <c r="B624" s="44"/>
      <c r="D624" s="44"/>
      <c r="F624" s="44"/>
      <c r="G624" s="44"/>
      <c r="I624" s="44"/>
      <c r="K624" s="44"/>
      <c r="M624" s="44"/>
      <c r="O624" s="44"/>
      <c r="Q624" s="44"/>
    </row>
    <row r="625">
      <c r="B625" s="44"/>
      <c r="D625" s="44"/>
      <c r="F625" s="44"/>
      <c r="G625" s="44"/>
      <c r="I625" s="44"/>
      <c r="K625" s="44"/>
      <c r="M625" s="44"/>
      <c r="O625" s="44"/>
      <c r="Q625" s="44"/>
    </row>
    <row r="626">
      <c r="B626" s="44"/>
      <c r="D626" s="44"/>
      <c r="F626" s="44"/>
      <c r="G626" s="44"/>
      <c r="I626" s="44"/>
      <c r="K626" s="44"/>
      <c r="M626" s="44"/>
      <c r="O626" s="44"/>
      <c r="Q626" s="44"/>
    </row>
    <row r="627">
      <c r="B627" s="44"/>
      <c r="D627" s="44"/>
      <c r="F627" s="44"/>
      <c r="G627" s="44"/>
      <c r="I627" s="44"/>
      <c r="K627" s="44"/>
      <c r="M627" s="44"/>
      <c r="O627" s="44"/>
      <c r="Q627" s="44"/>
    </row>
    <row r="628">
      <c r="B628" s="44"/>
      <c r="D628" s="44"/>
      <c r="F628" s="44"/>
      <c r="G628" s="44"/>
      <c r="I628" s="44"/>
      <c r="K628" s="44"/>
      <c r="M628" s="44"/>
      <c r="O628" s="44"/>
      <c r="Q628" s="44"/>
    </row>
    <row r="629">
      <c r="B629" s="44"/>
      <c r="D629" s="44"/>
      <c r="F629" s="44"/>
      <c r="G629" s="44"/>
      <c r="I629" s="44"/>
      <c r="K629" s="44"/>
      <c r="M629" s="44"/>
      <c r="O629" s="44"/>
      <c r="Q629" s="44"/>
    </row>
    <row r="630">
      <c r="B630" s="44"/>
      <c r="D630" s="44"/>
      <c r="F630" s="44"/>
      <c r="G630" s="44"/>
      <c r="I630" s="44"/>
      <c r="K630" s="44"/>
      <c r="M630" s="44"/>
      <c r="O630" s="44"/>
      <c r="Q630" s="44"/>
    </row>
    <row r="631">
      <c r="B631" s="44"/>
      <c r="D631" s="44"/>
      <c r="F631" s="44"/>
      <c r="G631" s="44"/>
      <c r="I631" s="44"/>
      <c r="K631" s="44"/>
      <c r="M631" s="44"/>
      <c r="O631" s="44"/>
      <c r="Q631" s="44"/>
    </row>
    <row r="632">
      <c r="B632" s="44"/>
      <c r="D632" s="44"/>
      <c r="F632" s="44"/>
      <c r="G632" s="44"/>
      <c r="I632" s="44"/>
      <c r="K632" s="44"/>
      <c r="M632" s="44"/>
      <c r="O632" s="44"/>
      <c r="Q632" s="44"/>
    </row>
    <row r="633">
      <c r="B633" s="44"/>
      <c r="D633" s="44"/>
      <c r="F633" s="44"/>
      <c r="G633" s="44"/>
      <c r="I633" s="44"/>
      <c r="K633" s="44"/>
      <c r="M633" s="44"/>
      <c r="O633" s="44"/>
      <c r="Q633" s="44"/>
    </row>
    <row r="634">
      <c r="B634" s="44"/>
      <c r="D634" s="44"/>
      <c r="F634" s="44"/>
      <c r="G634" s="44"/>
      <c r="I634" s="44"/>
      <c r="K634" s="44"/>
      <c r="M634" s="44"/>
      <c r="O634" s="44"/>
      <c r="Q634" s="44"/>
    </row>
    <row r="635">
      <c r="B635" s="44"/>
      <c r="D635" s="44"/>
      <c r="F635" s="44"/>
      <c r="G635" s="44"/>
      <c r="I635" s="44"/>
      <c r="K635" s="44"/>
      <c r="M635" s="44"/>
      <c r="O635" s="44"/>
      <c r="Q635" s="44"/>
    </row>
    <row r="636">
      <c r="B636" s="44"/>
      <c r="D636" s="44"/>
      <c r="F636" s="44"/>
      <c r="G636" s="44"/>
      <c r="I636" s="44"/>
      <c r="K636" s="44"/>
      <c r="M636" s="44"/>
      <c r="O636" s="44"/>
      <c r="Q636" s="44"/>
    </row>
    <row r="637">
      <c r="B637" s="44"/>
      <c r="D637" s="44"/>
      <c r="F637" s="44"/>
      <c r="G637" s="44"/>
      <c r="I637" s="44"/>
      <c r="K637" s="44"/>
      <c r="M637" s="44"/>
      <c r="O637" s="44"/>
      <c r="Q637" s="44"/>
    </row>
    <row r="638">
      <c r="B638" s="44"/>
      <c r="D638" s="44"/>
      <c r="F638" s="44"/>
      <c r="G638" s="44"/>
      <c r="I638" s="44"/>
      <c r="K638" s="44"/>
      <c r="M638" s="44"/>
      <c r="O638" s="44"/>
      <c r="Q638" s="44"/>
    </row>
    <row r="639">
      <c r="B639" s="44"/>
      <c r="D639" s="44"/>
      <c r="F639" s="44"/>
      <c r="G639" s="44"/>
      <c r="I639" s="44"/>
      <c r="K639" s="44"/>
      <c r="M639" s="44"/>
      <c r="O639" s="44"/>
      <c r="Q639" s="44"/>
    </row>
    <row r="640">
      <c r="B640" s="44"/>
      <c r="D640" s="44"/>
      <c r="F640" s="44"/>
      <c r="G640" s="44"/>
      <c r="I640" s="44"/>
      <c r="K640" s="44"/>
      <c r="M640" s="44"/>
      <c r="O640" s="44"/>
      <c r="Q640" s="44"/>
    </row>
    <row r="641">
      <c r="B641" s="44"/>
      <c r="D641" s="44"/>
      <c r="F641" s="44"/>
      <c r="G641" s="44"/>
      <c r="I641" s="44"/>
      <c r="K641" s="44"/>
      <c r="M641" s="44"/>
      <c r="O641" s="44"/>
      <c r="Q641" s="44"/>
    </row>
    <row r="642">
      <c r="B642" s="44"/>
      <c r="D642" s="44"/>
      <c r="F642" s="44"/>
      <c r="G642" s="44"/>
      <c r="I642" s="44"/>
      <c r="K642" s="44"/>
      <c r="M642" s="44"/>
      <c r="O642" s="44"/>
      <c r="Q642" s="44"/>
    </row>
    <row r="643">
      <c r="B643" s="44"/>
      <c r="D643" s="44"/>
      <c r="F643" s="44"/>
      <c r="G643" s="44"/>
      <c r="I643" s="44"/>
      <c r="K643" s="44"/>
      <c r="M643" s="44"/>
      <c r="O643" s="44"/>
      <c r="Q643" s="44"/>
    </row>
    <row r="644">
      <c r="B644" s="44"/>
      <c r="D644" s="44"/>
      <c r="F644" s="44"/>
      <c r="G644" s="44"/>
      <c r="I644" s="44"/>
      <c r="K644" s="44"/>
      <c r="M644" s="44"/>
      <c r="O644" s="44"/>
      <c r="Q644" s="44"/>
    </row>
    <row r="645">
      <c r="B645" s="44"/>
      <c r="D645" s="44"/>
      <c r="F645" s="44"/>
      <c r="G645" s="44"/>
      <c r="I645" s="44"/>
      <c r="K645" s="44"/>
      <c r="M645" s="44"/>
      <c r="O645" s="44"/>
      <c r="Q645" s="44"/>
    </row>
    <row r="646">
      <c r="B646" s="44"/>
      <c r="D646" s="44"/>
      <c r="F646" s="44"/>
      <c r="G646" s="44"/>
      <c r="I646" s="44"/>
      <c r="K646" s="44"/>
      <c r="M646" s="44"/>
      <c r="O646" s="44"/>
      <c r="Q646" s="44"/>
    </row>
    <row r="647">
      <c r="B647" s="44"/>
      <c r="D647" s="44"/>
      <c r="F647" s="44"/>
      <c r="G647" s="44"/>
      <c r="I647" s="44"/>
      <c r="K647" s="44"/>
      <c r="M647" s="44"/>
      <c r="O647" s="44"/>
      <c r="Q647" s="44"/>
    </row>
    <row r="648">
      <c r="B648" s="44"/>
      <c r="D648" s="44"/>
      <c r="F648" s="44"/>
      <c r="G648" s="44"/>
      <c r="I648" s="44"/>
      <c r="K648" s="44"/>
      <c r="M648" s="44"/>
      <c r="O648" s="44"/>
      <c r="Q648" s="44"/>
    </row>
    <row r="649">
      <c r="B649" s="44"/>
      <c r="D649" s="44"/>
      <c r="F649" s="44"/>
      <c r="G649" s="44"/>
      <c r="I649" s="44"/>
      <c r="K649" s="44"/>
      <c r="M649" s="44"/>
      <c r="O649" s="44"/>
      <c r="Q649" s="44"/>
    </row>
    <row r="650">
      <c r="B650" s="44"/>
      <c r="D650" s="44"/>
      <c r="F650" s="44"/>
      <c r="G650" s="44"/>
      <c r="I650" s="44"/>
      <c r="K650" s="44"/>
      <c r="M650" s="44"/>
      <c r="O650" s="44"/>
      <c r="Q650" s="44"/>
    </row>
    <row r="651">
      <c r="B651" s="44"/>
      <c r="D651" s="44"/>
      <c r="F651" s="44"/>
      <c r="G651" s="44"/>
      <c r="I651" s="44"/>
      <c r="K651" s="44"/>
      <c r="M651" s="44"/>
      <c r="O651" s="44"/>
      <c r="Q651" s="44"/>
    </row>
    <row r="652">
      <c r="B652" s="44"/>
      <c r="D652" s="44"/>
      <c r="F652" s="44"/>
      <c r="G652" s="44"/>
      <c r="I652" s="44"/>
      <c r="K652" s="44"/>
      <c r="M652" s="44"/>
      <c r="O652" s="44"/>
      <c r="Q652" s="44"/>
    </row>
    <row r="653">
      <c r="B653" s="44"/>
      <c r="D653" s="44"/>
      <c r="F653" s="44"/>
      <c r="G653" s="44"/>
      <c r="I653" s="44"/>
      <c r="K653" s="44"/>
      <c r="M653" s="44"/>
      <c r="O653" s="44"/>
      <c r="Q653" s="44"/>
    </row>
    <row r="654">
      <c r="B654" s="44"/>
      <c r="D654" s="44"/>
      <c r="F654" s="44"/>
      <c r="G654" s="44"/>
      <c r="I654" s="44"/>
      <c r="K654" s="44"/>
      <c r="M654" s="44"/>
      <c r="O654" s="44"/>
      <c r="Q654" s="44"/>
    </row>
    <row r="655">
      <c r="B655" s="44"/>
      <c r="D655" s="44"/>
      <c r="F655" s="44"/>
      <c r="G655" s="44"/>
      <c r="I655" s="44"/>
      <c r="K655" s="44"/>
      <c r="M655" s="44"/>
      <c r="O655" s="44"/>
      <c r="Q655" s="44"/>
    </row>
    <row r="656">
      <c r="B656" s="44"/>
      <c r="D656" s="44"/>
      <c r="F656" s="44"/>
      <c r="G656" s="44"/>
      <c r="I656" s="44"/>
      <c r="K656" s="44"/>
      <c r="M656" s="44"/>
      <c r="O656" s="44"/>
      <c r="Q656" s="44"/>
    </row>
    <row r="657">
      <c r="B657" s="44"/>
      <c r="D657" s="44"/>
      <c r="F657" s="44"/>
      <c r="G657" s="44"/>
      <c r="I657" s="44"/>
      <c r="K657" s="44"/>
      <c r="M657" s="44"/>
      <c r="O657" s="44"/>
      <c r="Q657" s="44"/>
    </row>
    <row r="658">
      <c r="B658" s="44"/>
      <c r="D658" s="44"/>
      <c r="F658" s="44"/>
      <c r="G658" s="44"/>
      <c r="I658" s="44"/>
      <c r="K658" s="44"/>
      <c r="M658" s="44"/>
      <c r="O658" s="44"/>
      <c r="Q658" s="44"/>
    </row>
    <row r="659">
      <c r="B659" s="44"/>
      <c r="D659" s="44"/>
      <c r="F659" s="44"/>
      <c r="G659" s="44"/>
      <c r="I659" s="44"/>
      <c r="K659" s="44"/>
      <c r="M659" s="44"/>
      <c r="O659" s="44"/>
      <c r="Q659" s="44"/>
    </row>
    <row r="660">
      <c r="B660" s="44"/>
      <c r="D660" s="44"/>
      <c r="F660" s="44"/>
      <c r="G660" s="44"/>
      <c r="I660" s="44"/>
      <c r="K660" s="44"/>
      <c r="M660" s="44"/>
      <c r="O660" s="44"/>
      <c r="Q660" s="44"/>
    </row>
    <row r="661">
      <c r="B661" s="44"/>
      <c r="D661" s="44"/>
      <c r="F661" s="44"/>
      <c r="G661" s="44"/>
      <c r="I661" s="44"/>
      <c r="K661" s="44"/>
      <c r="M661" s="44"/>
      <c r="O661" s="44"/>
      <c r="Q661" s="44"/>
    </row>
    <row r="662">
      <c r="B662" s="44"/>
      <c r="D662" s="44"/>
      <c r="F662" s="44"/>
      <c r="G662" s="44"/>
      <c r="I662" s="44"/>
      <c r="K662" s="44"/>
      <c r="M662" s="44"/>
      <c r="O662" s="44"/>
      <c r="Q662" s="44"/>
    </row>
    <row r="663">
      <c r="B663" s="44"/>
      <c r="D663" s="44"/>
      <c r="F663" s="44"/>
      <c r="G663" s="44"/>
      <c r="I663" s="44"/>
      <c r="K663" s="44"/>
      <c r="M663" s="44"/>
      <c r="O663" s="44"/>
      <c r="Q663" s="44"/>
    </row>
    <row r="664">
      <c r="B664" s="44"/>
      <c r="D664" s="44"/>
      <c r="F664" s="44"/>
      <c r="G664" s="44"/>
      <c r="I664" s="44"/>
      <c r="K664" s="44"/>
      <c r="M664" s="44"/>
      <c r="O664" s="44"/>
      <c r="Q664" s="44"/>
    </row>
    <row r="665">
      <c r="B665" s="44"/>
      <c r="D665" s="44"/>
      <c r="F665" s="44"/>
      <c r="G665" s="44"/>
      <c r="I665" s="44"/>
      <c r="K665" s="44"/>
      <c r="M665" s="44"/>
      <c r="O665" s="44"/>
      <c r="Q665" s="44"/>
    </row>
    <row r="666">
      <c r="B666" s="44"/>
      <c r="D666" s="44"/>
      <c r="F666" s="44"/>
      <c r="G666" s="44"/>
      <c r="I666" s="44"/>
      <c r="K666" s="44"/>
      <c r="M666" s="44"/>
      <c r="O666" s="44"/>
      <c r="Q666" s="44"/>
    </row>
    <row r="667">
      <c r="B667" s="44"/>
      <c r="D667" s="44"/>
      <c r="F667" s="44"/>
      <c r="G667" s="44"/>
      <c r="I667" s="44"/>
      <c r="K667" s="44"/>
      <c r="M667" s="44"/>
      <c r="O667" s="44"/>
      <c r="Q667" s="44"/>
    </row>
    <row r="668">
      <c r="B668" s="44"/>
      <c r="D668" s="44"/>
      <c r="F668" s="44"/>
      <c r="G668" s="44"/>
      <c r="I668" s="44"/>
      <c r="K668" s="44"/>
      <c r="M668" s="44"/>
      <c r="O668" s="44"/>
      <c r="Q668" s="44"/>
    </row>
    <row r="669">
      <c r="B669" s="44"/>
      <c r="D669" s="44"/>
      <c r="F669" s="44"/>
      <c r="G669" s="44"/>
      <c r="I669" s="44"/>
      <c r="K669" s="44"/>
      <c r="M669" s="44"/>
      <c r="O669" s="44"/>
      <c r="Q669" s="44"/>
    </row>
    <row r="670">
      <c r="B670" s="44"/>
      <c r="D670" s="44"/>
      <c r="F670" s="44"/>
      <c r="G670" s="44"/>
      <c r="I670" s="44"/>
      <c r="K670" s="44"/>
      <c r="M670" s="44"/>
      <c r="O670" s="44"/>
      <c r="Q670" s="44"/>
    </row>
    <row r="671">
      <c r="B671" s="44"/>
      <c r="D671" s="44"/>
      <c r="F671" s="44"/>
      <c r="G671" s="44"/>
      <c r="I671" s="44"/>
      <c r="K671" s="44"/>
      <c r="M671" s="44"/>
      <c r="O671" s="44"/>
      <c r="Q671" s="44"/>
    </row>
    <row r="672">
      <c r="B672" s="44"/>
      <c r="D672" s="44"/>
      <c r="F672" s="44"/>
      <c r="G672" s="44"/>
      <c r="I672" s="44"/>
      <c r="K672" s="44"/>
      <c r="M672" s="44"/>
      <c r="O672" s="44"/>
      <c r="Q672" s="44"/>
    </row>
    <row r="673">
      <c r="B673" s="44"/>
      <c r="D673" s="44"/>
      <c r="F673" s="44"/>
      <c r="G673" s="44"/>
      <c r="I673" s="44"/>
      <c r="K673" s="44"/>
      <c r="M673" s="44"/>
      <c r="O673" s="44"/>
      <c r="Q673" s="44"/>
    </row>
    <row r="674">
      <c r="B674" s="44"/>
      <c r="D674" s="44"/>
      <c r="F674" s="44"/>
      <c r="G674" s="44"/>
      <c r="I674" s="44"/>
      <c r="K674" s="44"/>
      <c r="M674" s="44"/>
      <c r="O674" s="44"/>
      <c r="Q674" s="44"/>
    </row>
    <row r="675">
      <c r="B675" s="44"/>
      <c r="D675" s="44"/>
      <c r="F675" s="44"/>
      <c r="G675" s="44"/>
      <c r="I675" s="44"/>
      <c r="K675" s="44"/>
      <c r="M675" s="44"/>
      <c r="O675" s="44"/>
      <c r="Q675" s="44"/>
    </row>
    <row r="676">
      <c r="B676" s="44"/>
      <c r="D676" s="44"/>
      <c r="F676" s="44"/>
      <c r="G676" s="44"/>
      <c r="I676" s="44"/>
      <c r="K676" s="44"/>
      <c r="M676" s="44"/>
      <c r="O676" s="44"/>
      <c r="Q676" s="44"/>
    </row>
    <row r="677">
      <c r="B677" s="44"/>
      <c r="D677" s="44"/>
      <c r="F677" s="44"/>
      <c r="G677" s="44"/>
      <c r="I677" s="44"/>
      <c r="K677" s="44"/>
      <c r="M677" s="44"/>
      <c r="O677" s="44"/>
      <c r="Q677" s="44"/>
    </row>
    <row r="678">
      <c r="B678" s="44"/>
      <c r="D678" s="44"/>
      <c r="F678" s="44"/>
      <c r="G678" s="44"/>
      <c r="I678" s="44"/>
      <c r="K678" s="44"/>
      <c r="M678" s="44"/>
      <c r="O678" s="44"/>
      <c r="Q678" s="44"/>
    </row>
    <row r="679">
      <c r="B679" s="44"/>
      <c r="D679" s="44"/>
      <c r="F679" s="44"/>
      <c r="G679" s="44"/>
      <c r="I679" s="44"/>
      <c r="K679" s="44"/>
      <c r="M679" s="44"/>
      <c r="O679" s="44"/>
      <c r="Q679" s="44"/>
    </row>
    <row r="680">
      <c r="B680" s="44"/>
      <c r="D680" s="44"/>
      <c r="F680" s="44"/>
      <c r="G680" s="44"/>
      <c r="I680" s="44"/>
      <c r="K680" s="44"/>
      <c r="M680" s="44"/>
      <c r="O680" s="44"/>
      <c r="Q680" s="44"/>
    </row>
    <row r="681">
      <c r="B681" s="44"/>
      <c r="D681" s="44"/>
      <c r="F681" s="44"/>
      <c r="G681" s="44"/>
      <c r="I681" s="44"/>
      <c r="K681" s="44"/>
      <c r="M681" s="44"/>
      <c r="O681" s="44"/>
      <c r="Q681" s="44"/>
    </row>
    <row r="682">
      <c r="B682" s="44"/>
      <c r="D682" s="44"/>
      <c r="F682" s="44"/>
      <c r="G682" s="44"/>
      <c r="I682" s="44"/>
      <c r="K682" s="44"/>
      <c r="M682" s="44"/>
      <c r="O682" s="44"/>
      <c r="Q682" s="44"/>
    </row>
    <row r="683">
      <c r="B683" s="44"/>
      <c r="D683" s="44"/>
      <c r="F683" s="44"/>
      <c r="G683" s="44"/>
      <c r="I683" s="44"/>
      <c r="K683" s="44"/>
      <c r="M683" s="44"/>
      <c r="O683" s="44"/>
      <c r="Q683" s="44"/>
    </row>
    <row r="684">
      <c r="B684" s="44"/>
      <c r="D684" s="44"/>
      <c r="F684" s="44"/>
      <c r="G684" s="44"/>
      <c r="I684" s="44"/>
      <c r="K684" s="44"/>
      <c r="M684" s="44"/>
      <c r="O684" s="44"/>
      <c r="Q684" s="44"/>
    </row>
    <row r="685">
      <c r="B685" s="44"/>
      <c r="D685" s="44"/>
      <c r="F685" s="44"/>
      <c r="G685" s="44"/>
      <c r="I685" s="44"/>
      <c r="K685" s="44"/>
      <c r="M685" s="44"/>
      <c r="O685" s="44"/>
      <c r="Q685" s="44"/>
    </row>
    <row r="686">
      <c r="B686" s="44"/>
      <c r="D686" s="44"/>
      <c r="F686" s="44"/>
      <c r="G686" s="44"/>
      <c r="I686" s="44"/>
      <c r="K686" s="44"/>
      <c r="M686" s="44"/>
      <c r="O686" s="44"/>
      <c r="Q686" s="44"/>
    </row>
    <row r="687">
      <c r="B687" s="44"/>
      <c r="D687" s="44"/>
      <c r="F687" s="44"/>
      <c r="G687" s="44"/>
      <c r="I687" s="44"/>
      <c r="K687" s="44"/>
      <c r="M687" s="44"/>
      <c r="O687" s="44"/>
      <c r="Q687" s="44"/>
    </row>
    <row r="688">
      <c r="B688" s="44"/>
      <c r="D688" s="44"/>
      <c r="F688" s="44"/>
      <c r="G688" s="44"/>
      <c r="I688" s="44"/>
      <c r="K688" s="44"/>
      <c r="M688" s="44"/>
      <c r="O688" s="44"/>
      <c r="Q688" s="44"/>
    </row>
    <row r="689">
      <c r="B689" s="44"/>
      <c r="D689" s="44"/>
      <c r="F689" s="44"/>
      <c r="G689" s="44"/>
      <c r="I689" s="44"/>
      <c r="K689" s="44"/>
      <c r="M689" s="44"/>
      <c r="O689" s="44"/>
      <c r="Q689" s="44"/>
    </row>
    <row r="690">
      <c r="B690" s="44"/>
      <c r="D690" s="44"/>
      <c r="F690" s="44"/>
      <c r="G690" s="44"/>
      <c r="I690" s="44"/>
      <c r="K690" s="44"/>
      <c r="M690" s="44"/>
      <c r="O690" s="44"/>
      <c r="Q690" s="44"/>
    </row>
    <row r="691">
      <c r="B691" s="44"/>
      <c r="D691" s="44"/>
      <c r="F691" s="44"/>
      <c r="G691" s="44"/>
      <c r="I691" s="44"/>
      <c r="K691" s="44"/>
      <c r="M691" s="44"/>
      <c r="O691" s="44"/>
      <c r="Q691" s="44"/>
    </row>
    <row r="692">
      <c r="B692" s="44"/>
      <c r="D692" s="44"/>
      <c r="F692" s="44"/>
      <c r="G692" s="44"/>
      <c r="I692" s="44"/>
      <c r="K692" s="44"/>
      <c r="M692" s="44"/>
      <c r="O692" s="44"/>
      <c r="Q692" s="44"/>
    </row>
    <row r="693">
      <c r="B693" s="44"/>
      <c r="D693" s="44"/>
      <c r="F693" s="44"/>
      <c r="G693" s="44"/>
      <c r="I693" s="44"/>
      <c r="K693" s="44"/>
      <c r="M693" s="44"/>
      <c r="O693" s="44"/>
      <c r="Q693" s="44"/>
    </row>
    <row r="694">
      <c r="B694" s="44"/>
      <c r="D694" s="44"/>
      <c r="F694" s="44"/>
      <c r="G694" s="44"/>
      <c r="I694" s="44"/>
      <c r="K694" s="44"/>
      <c r="M694" s="44"/>
      <c r="O694" s="44"/>
      <c r="Q694" s="44"/>
    </row>
    <row r="695">
      <c r="B695" s="44"/>
      <c r="D695" s="44"/>
      <c r="F695" s="44"/>
      <c r="G695" s="44"/>
      <c r="I695" s="44"/>
      <c r="K695" s="44"/>
      <c r="M695" s="44"/>
      <c r="O695" s="44"/>
      <c r="Q695" s="44"/>
    </row>
    <row r="696">
      <c r="B696" s="44"/>
      <c r="D696" s="44"/>
      <c r="F696" s="44"/>
      <c r="G696" s="44"/>
      <c r="I696" s="44"/>
      <c r="K696" s="44"/>
      <c r="M696" s="44"/>
      <c r="O696" s="44"/>
      <c r="Q696" s="44"/>
    </row>
    <row r="697">
      <c r="B697" s="44"/>
      <c r="D697" s="44"/>
      <c r="F697" s="44"/>
      <c r="G697" s="44"/>
      <c r="I697" s="44"/>
      <c r="K697" s="44"/>
      <c r="M697" s="44"/>
      <c r="O697" s="44"/>
      <c r="Q697" s="44"/>
    </row>
    <row r="698">
      <c r="B698" s="44"/>
      <c r="D698" s="44"/>
      <c r="F698" s="44"/>
      <c r="G698" s="44"/>
      <c r="I698" s="44"/>
      <c r="K698" s="44"/>
      <c r="M698" s="44"/>
      <c r="O698" s="44"/>
      <c r="Q698" s="44"/>
    </row>
    <row r="699">
      <c r="B699" s="44"/>
      <c r="D699" s="44"/>
      <c r="F699" s="44"/>
      <c r="G699" s="44"/>
      <c r="I699" s="44"/>
      <c r="K699" s="44"/>
      <c r="M699" s="44"/>
      <c r="O699" s="44"/>
      <c r="Q699" s="44"/>
    </row>
    <row r="700">
      <c r="B700" s="44"/>
      <c r="D700" s="44"/>
      <c r="F700" s="44"/>
      <c r="G700" s="44"/>
      <c r="I700" s="44"/>
      <c r="K700" s="44"/>
      <c r="M700" s="44"/>
      <c r="O700" s="44"/>
      <c r="Q700" s="44"/>
    </row>
    <row r="701">
      <c r="B701" s="44"/>
      <c r="D701" s="44"/>
      <c r="F701" s="44"/>
      <c r="G701" s="44"/>
      <c r="I701" s="44"/>
      <c r="K701" s="44"/>
      <c r="M701" s="44"/>
      <c r="O701" s="44"/>
      <c r="Q701" s="44"/>
    </row>
    <row r="702">
      <c r="B702" s="44"/>
      <c r="D702" s="44"/>
      <c r="F702" s="44"/>
      <c r="G702" s="44"/>
      <c r="I702" s="44"/>
      <c r="K702" s="44"/>
      <c r="M702" s="44"/>
      <c r="O702" s="44"/>
      <c r="Q702" s="44"/>
    </row>
    <row r="703">
      <c r="B703" s="44"/>
      <c r="D703" s="44"/>
      <c r="F703" s="44"/>
      <c r="G703" s="44"/>
      <c r="I703" s="44"/>
      <c r="K703" s="44"/>
      <c r="M703" s="44"/>
      <c r="O703" s="44"/>
      <c r="Q703" s="44"/>
    </row>
    <row r="704">
      <c r="B704" s="44"/>
      <c r="D704" s="44"/>
      <c r="F704" s="44"/>
      <c r="G704" s="44"/>
      <c r="I704" s="44"/>
      <c r="K704" s="44"/>
      <c r="M704" s="44"/>
      <c r="O704" s="44"/>
      <c r="Q704" s="44"/>
    </row>
    <row r="705">
      <c r="B705" s="44"/>
      <c r="D705" s="44"/>
      <c r="F705" s="44"/>
      <c r="G705" s="44"/>
      <c r="I705" s="44"/>
      <c r="K705" s="44"/>
      <c r="M705" s="44"/>
      <c r="O705" s="44"/>
      <c r="Q705" s="44"/>
    </row>
    <row r="706">
      <c r="B706" s="44"/>
      <c r="D706" s="44"/>
      <c r="F706" s="44"/>
      <c r="G706" s="44"/>
      <c r="I706" s="44"/>
      <c r="K706" s="44"/>
      <c r="M706" s="44"/>
      <c r="O706" s="44"/>
      <c r="Q706" s="44"/>
    </row>
    <row r="707">
      <c r="B707" s="44"/>
      <c r="D707" s="44"/>
      <c r="F707" s="44"/>
      <c r="G707" s="44"/>
      <c r="I707" s="44"/>
      <c r="K707" s="44"/>
      <c r="M707" s="44"/>
      <c r="O707" s="44"/>
      <c r="Q707" s="44"/>
    </row>
    <row r="708">
      <c r="B708" s="44"/>
      <c r="D708" s="44"/>
      <c r="F708" s="44"/>
      <c r="G708" s="44"/>
      <c r="I708" s="44"/>
      <c r="K708" s="44"/>
      <c r="M708" s="44"/>
      <c r="O708" s="44"/>
      <c r="Q708" s="44"/>
    </row>
    <row r="709">
      <c r="B709" s="44"/>
      <c r="D709" s="44"/>
      <c r="F709" s="44"/>
      <c r="G709" s="44"/>
      <c r="I709" s="44"/>
      <c r="K709" s="44"/>
      <c r="M709" s="44"/>
      <c r="O709" s="44"/>
      <c r="Q709" s="44"/>
    </row>
    <row r="710">
      <c r="B710" s="44"/>
      <c r="D710" s="44"/>
      <c r="F710" s="44"/>
      <c r="G710" s="44"/>
      <c r="I710" s="44"/>
      <c r="K710" s="44"/>
      <c r="M710" s="44"/>
      <c r="O710" s="44"/>
      <c r="Q710" s="44"/>
    </row>
    <row r="711">
      <c r="B711" s="44"/>
      <c r="D711" s="44"/>
      <c r="F711" s="44"/>
      <c r="G711" s="44"/>
      <c r="I711" s="44"/>
      <c r="K711" s="44"/>
      <c r="M711" s="44"/>
      <c r="O711" s="44"/>
      <c r="Q711" s="44"/>
    </row>
    <row r="712">
      <c r="B712" s="44"/>
      <c r="D712" s="44"/>
      <c r="F712" s="44"/>
      <c r="G712" s="44"/>
      <c r="I712" s="44"/>
      <c r="K712" s="44"/>
      <c r="M712" s="44"/>
      <c r="O712" s="44"/>
      <c r="Q712" s="44"/>
    </row>
    <row r="713">
      <c r="B713" s="44"/>
      <c r="D713" s="44"/>
      <c r="F713" s="44"/>
      <c r="G713" s="44"/>
      <c r="I713" s="44"/>
      <c r="K713" s="44"/>
      <c r="M713" s="44"/>
      <c r="O713" s="44"/>
      <c r="Q713" s="44"/>
    </row>
    <row r="714">
      <c r="B714" s="44"/>
      <c r="D714" s="44"/>
      <c r="F714" s="44"/>
      <c r="G714" s="44"/>
      <c r="I714" s="44"/>
      <c r="K714" s="44"/>
      <c r="M714" s="44"/>
      <c r="O714" s="44"/>
      <c r="Q714" s="44"/>
    </row>
    <row r="715">
      <c r="B715" s="44"/>
      <c r="D715" s="44"/>
      <c r="F715" s="44"/>
      <c r="G715" s="44"/>
      <c r="I715" s="44"/>
      <c r="K715" s="44"/>
      <c r="M715" s="44"/>
      <c r="O715" s="44"/>
      <c r="Q715" s="44"/>
    </row>
    <row r="716">
      <c r="B716" s="44"/>
      <c r="D716" s="44"/>
      <c r="F716" s="44"/>
      <c r="G716" s="44"/>
      <c r="I716" s="44"/>
      <c r="K716" s="44"/>
      <c r="M716" s="44"/>
      <c r="O716" s="44"/>
      <c r="Q716" s="44"/>
    </row>
    <row r="717">
      <c r="B717" s="44"/>
      <c r="D717" s="44"/>
      <c r="F717" s="44"/>
      <c r="G717" s="44"/>
      <c r="I717" s="44"/>
      <c r="K717" s="44"/>
      <c r="M717" s="44"/>
      <c r="O717" s="44"/>
      <c r="Q717" s="44"/>
    </row>
    <row r="718">
      <c r="B718" s="44"/>
      <c r="D718" s="44"/>
      <c r="F718" s="44"/>
      <c r="G718" s="44"/>
      <c r="I718" s="44"/>
      <c r="K718" s="44"/>
      <c r="M718" s="44"/>
      <c r="O718" s="44"/>
      <c r="Q718" s="44"/>
    </row>
    <row r="719">
      <c r="B719" s="44"/>
      <c r="D719" s="44"/>
      <c r="F719" s="44"/>
      <c r="G719" s="44"/>
      <c r="I719" s="44"/>
      <c r="K719" s="44"/>
      <c r="M719" s="44"/>
      <c r="O719" s="44"/>
      <c r="Q719" s="44"/>
    </row>
    <row r="720">
      <c r="B720" s="44"/>
      <c r="D720" s="44"/>
      <c r="F720" s="44"/>
      <c r="G720" s="44"/>
      <c r="I720" s="44"/>
      <c r="K720" s="44"/>
      <c r="M720" s="44"/>
      <c r="O720" s="44"/>
      <c r="Q720" s="44"/>
    </row>
    <row r="721">
      <c r="B721" s="44"/>
      <c r="D721" s="44"/>
      <c r="F721" s="44"/>
      <c r="G721" s="44"/>
      <c r="I721" s="44"/>
      <c r="K721" s="44"/>
      <c r="M721" s="44"/>
      <c r="O721" s="44"/>
      <c r="Q721" s="44"/>
    </row>
    <row r="722">
      <c r="B722" s="44"/>
      <c r="D722" s="44"/>
      <c r="F722" s="44"/>
      <c r="G722" s="44"/>
      <c r="I722" s="44"/>
      <c r="K722" s="44"/>
      <c r="M722" s="44"/>
      <c r="O722" s="44"/>
      <c r="Q722" s="44"/>
    </row>
    <row r="723">
      <c r="B723" s="44"/>
      <c r="D723" s="44"/>
      <c r="F723" s="44"/>
      <c r="G723" s="44"/>
      <c r="I723" s="44"/>
      <c r="K723" s="44"/>
      <c r="M723" s="44"/>
      <c r="O723" s="44"/>
      <c r="Q723" s="44"/>
    </row>
    <row r="724">
      <c r="B724" s="44"/>
      <c r="D724" s="44"/>
      <c r="F724" s="44"/>
      <c r="G724" s="44"/>
      <c r="I724" s="44"/>
      <c r="K724" s="44"/>
      <c r="M724" s="44"/>
      <c r="O724" s="44"/>
      <c r="Q724" s="44"/>
    </row>
    <row r="725">
      <c r="B725" s="44"/>
      <c r="D725" s="44"/>
      <c r="F725" s="44"/>
      <c r="G725" s="44"/>
      <c r="I725" s="44"/>
      <c r="K725" s="44"/>
      <c r="M725" s="44"/>
      <c r="O725" s="44"/>
      <c r="Q725" s="44"/>
    </row>
    <row r="726">
      <c r="B726" s="44"/>
      <c r="D726" s="44"/>
      <c r="F726" s="44"/>
      <c r="G726" s="44"/>
      <c r="I726" s="44"/>
      <c r="K726" s="44"/>
      <c r="M726" s="44"/>
      <c r="O726" s="44"/>
      <c r="Q726" s="44"/>
    </row>
    <row r="727">
      <c r="B727" s="44"/>
      <c r="D727" s="44"/>
      <c r="F727" s="44"/>
      <c r="G727" s="44"/>
      <c r="I727" s="44"/>
      <c r="K727" s="44"/>
      <c r="M727" s="44"/>
      <c r="O727" s="44"/>
      <c r="Q727" s="44"/>
    </row>
    <row r="728">
      <c r="B728" s="44"/>
      <c r="D728" s="44"/>
      <c r="F728" s="44"/>
      <c r="G728" s="44"/>
      <c r="I728" s="44"/>
      <c r="K728" s="44"/>
      <c r="M728" s="44"/>
      <c r="O728" s="44"/>
      <c r="Q728" s="44"/>
    </row>
    <row r="729">
      <c r="B729" s="44"/>
      <c r="D729" s="44"/>
      <c r="F729" s="44"/>
      <c r="G729" s="44"/>
      <c r="I729" s="44"/>
      <c r="K729" s="44"/>
      <c r="M729" s="44"/>
      <c r="O729" s="44"/>
      <c r="Q729" s="44"/>
    </row>
    <row r="730">
      <c r="B730" s="44"/>
      <c r="D730" s="44"/>
      <c r="F730" s="44"/>
      <c r="G730" s="44"/>
      <c r="I730" s="44"/>
      <c r="K730" s="44"/>
      <c r="M730" s="44"/>
      <c r="O730" s="44"/>
      <c r="Q730" s="44"/>
    </row>
    <row r="731">
      <c r="B731" s="44"/>
      <c r="D731" s="44"/>
      <c r="F731" s="44"/>
      <c r="G731" s="44"/>
      <c r="I731" s="44"/>
      <c r="K731" s="44"/>
      <c r="M731" s="44"/>
      <c r="O731" s="44"/>
      <c r="Q731" s="44"/>
    </row>
    <row r="732">
      <c r="B732" s="44"/>
      <c r="D732" s="44"/>
      <c r="F732" s="44"/>
      <c r="G732" s="44"/>
      <c r="I732" s="44"/>
      <c r="K732" s="44"/>
      <c r="M732" s="44"/>
      <c r="O732" s="44"/>
      <c r="Q732" s="44"/>
    </row>
    <row r="733">
      <c r="B733" s="44"/>
      <c r="D733" s="44"/>
      <c r="F733" s="44"/>
      <c r="G733" s="44"/>
      <c r="I733" s="44"/>
      <c r="K733" s="44"/>
      <c r="M733" s="44"/>
      <c r="O733" s="44"/>
      <c r="Q733" s="44"/>
    </row>
    <row r="734">
      <c r="B734" s="44"/>
      <c r="D734" s="44"/>
      <c r="F734" s="44"/>
      <c r="G734" s="44"/>
      <c r="I734" s="44"/>
      <c r="K734" s="44"/>
      <c r="M734" s="44"/>
      <c r="O734" s="44"/>
      <c r="Q734" s="44"/>
    </row>
    <row r="735">
      <c r="B735" s="44"/>
      <c r="D735" s="44"/>
      <c r="F735" s="44"/>
      <c r="G735" s="44"/>
      <c r="I735" s="44"/>
      <c r="K735" s="44"/>
      <c r="M735" s="44"/>
      <c r="O735" s="44"/>
      <c r="Q735" s="44"/>
    </row>
    <row r="736">
      <c r="B736" s="44"/>
      <c r="D736" s="44"/>
      <c r="F736" s="44"/>
      <c r="G736" s="44"/>
      <c r="I736" s="44"/>
      <c r="K736" s="44"/>
      <c r="M736" s="44"/>
      <c r="O736" s="44"/>
      <c r="Q736" s="44"/>
    </row>
    <row r="737">
      <c r="B737" s="44"/>
      <c r="D737" s="44"/>
      <c r="F737" s="44"/>
      <c r="G737" s="44"/>
      <c r="I737" s="44"/>
      <c r="K737" s="44"/>
      <c r="M737" s="44"/>
      <c r="O737" s="44"/>
      <c r="Q737" s="44"/>
    </row>
    <row r="738">
      <c r="B738" s="44"/>
      <c r="D738" s="44"/>
      <c r="F738" s="44"/>
      <c r="G738" s="44"/>
      <c r="I738" s="44"/>
      <c r="K738" s="44"/>
      <c r="M738" s="44"/>
      <c r="O738" s="44"/>
      <c r="Q738" s="44"/>
    </row>
    <row r="739">
      <c r="B739" s="44"/>
      <c r="D739" s="44"/>
      <c r="F739" s="44"/>
      <c r="G739" s="44"/>
      <c r="I739" s="44"/>
      <c r="K739" s="44"/>
      <c r="M739" s="44"/>
      <c r="O739" s="44"/>
      <c r="Q739" s="44"/>
    </row>
    <row r="740">
      <c r="B740" s="44"/>
      <c r="D740" s="44"/>
      <c r="F740" s="44"/>
      <c r="G740" s="44"/>
      <c r="I740" s="44"/>
      <c r="K740" s="44"/>
      <c r="M740" s="44"/>
      <c r="O740" s="44"/>
      <c r="Q740" s="44"/>
    </row>
    <row r="741">
      <c r="B741" s="44"/>
      <c r="D741" s="44"/>
      <c r="F741" s="44"/>
      <c r="G741" s="44"/>
      <c r="I741" s="44"/>
      <c r="K741" s="44"/>
      <c r="M741" s="44"/>
      <c r="O741" s="44"/>
      <c r="Q741" s="44"/>
    </row>
    <row r="742">
      <c r="B742" s="44"/>
      <c r="D742" s="44"/>
      <c r="F742" s="44"/>
      <c r="G742" s="44"/>
      <c r="I742" s="44"/>
      <c r="K742" s="44"/>
      <c r="M742" s="44"/>
      <c r="O742" s="44"/>
      <c r="Q742" s="44"/>
    </row>
    <row r="743">
      <c r="B743" s="44"/>
      <c r="D743" s="44"/>
      <c r="F743" s="44"/>
      <c r="G743" s="44"/>
      <c r="I743" s="44"/>
      <c r="K743" s="44"/>
      <c r="M743" s="44"/>
      <c r="O743" s="44"/>
      <c r="Q743" s="44"/>
    </row>
    <row r="744">
      <c r="B744" s="44"/>
      <c r="D744" s="44"/>
      <c r="F744" s="44"/>
      <c r="G744" s="44"/>
      <c r="I744" s="44"/>
      <c r="K744" s="44"/>
      <c r="M744" s="44"/>
      <c r="O744" s="44"/>
      <c r="Q744" s="44"/>
    </row>
    <row r="745">
      <c r="B745" s="44"/>
      <c r="D745" s="44"/>
      <c r="F745" s="44"/>
      <c r="G745" s="44"/>
      <c r="I745" s="44"/>
      <c r="K745" s="44"/>
      <c r="M745" s="44"/>
      <c r="O745" s="44"/>
      <c r="Q745" s="44"/>
    </row>
    <row r="746">
      <c r="B746" s="44"/>
      <c r="D746" s="44"/>
      <c r="F746" s="44"/>
      <c r="G746" s="44"/>
      <c r="I746" s="44"/>
      <c r="K746" s="44"/>
      <c r="M746" s="44"/>
      <c r="O746" s="44"/>
      <c r="Q746" s="44"/>
    </row>
    <row r="747">
      <c r="B747" s="44"/>
      <c r="D747" s="44"/>
      <c r="F747" s="44"/>
      <c r="G747" s="44"/>
      <c r="I747" s="44"/>
      <c r="K747" s="44"/>
      <c r="M747" s="44"/>
      <c r="O747" s="44"/>
      <c r="Q747" s="44"/>
    </row>
    <row r="748">
      <c r="B748" s="44"/>
      <c r="D748" s="44"/>
      <c r="F748" s="44"/>
      <c r="G748" s="44"/>
      <c r="I748" s="44"/>
      <c r="K748" s="44"/>
      <c r="M748" s="44"/>
      <c r="O748" s="44"/>
      <c r="Q748" s="44"/>
    </row>
    <row r="749">
      <c r="B749" s="44"/>
      <c r="D749" s="44"/>
      <c r="F749" s="44"/>
      <c r="G749" s="44"/>
      <c r="I749" s="44"/>
      <c r="K749" s="44"/>
      <c r="M749" s="44"/>
      <c r="O749" s="44"/>
      <c r="Q749" s="44"/>
    </row>
    <row r="750">
      <c r="B750" s="44"/>
      <c r="D750" s="44"/>
      <c r="F750" s="44"/>
      <c r="G750" s="44"/>
      <c r="I750" s="44"/>
      <c r="K750" s="44"/>
      <c r="M750" s="44"/>
      <c r="O750" s="44"/>
      <c r="Q750" s="44"/>
    </row>
    <row r="751">
      <c r="B751" s="44"/>
      <c r="D751" s="44"/>
      <c r="F751" s="44"/>
      <c r="G751" s="44"/>
      <c r="I751" s="44"/>
      <c r="K751" s="44"/>
      <c r="M751" s="44"/>
      <c r="O751" s="44"/>
      <c r="Q751" s="44"/>
    </row>
    <row r="752">
      <c r="B752" s="44"/>
      <c r="D752" s="44"/>
      <c r="F752" s="44"/>
      <c r="G752" s="44"/>
      <c r="I752" s="44"/>
      <c r="K752" s="44"/>
      <c r="M752" s="44"/>
      <c r="O752" s="44"/>
      <c r="Q752" s="44"/>
    </row>
    <row r="753">
      <c r="B753" s="44"/>
      <c r="D753" s="44"/>
      <c r="F753" s="44"/>
      <c r="G753" s="44"/>
      <c r="I753" s="44"/>
      <c r="K753" s="44"/>
      <c r="M753" s="44"/>
      <c r="O753" s="44"/>
      <c r="Q753" s="44"/>
    </row>
    <row r="754">
      <c r="B754" s="44"/>
      <c r="D754" s="44"/>
      <c r="F754" s="44"/>
      <c r="G754" s="44"/>
      <c r="I754" s="44"/>
      <c r="K754" s="44"/>
      <c r="M754" s="44"/>
      <c r="O754" s="44"/>
      <c r="Q754" s="44"/>
    </row>
    <row r="755">
      <c r="B755" s="44"/>
      <c r="D755" s="44"/>
      <c r="F755" s="44"/>
      <c r="G755" s="44"/>
      <c r="I755" s="44"/>
      <c r="K755" s="44"/>
      <c r="M755" s="44"/>
      <c r="O755" s="44"/>
      <c r="Q755" s="44"/>
    </row>
    <row r="756">
      <c r="B756" s="44"/>
      <c r="D756" s="44"/>
      <c r="F756" s="44"/>
      <c r="G756" s="44"/>
      <c r="I756" s="44"/>
      <c r="K756" s="44"/>
      <c r="M756" s="44"/>
      <c r="O756" s="44"/>
      <c r="Q756" s="44"/>
    </row>
    <row r="757">
      <c r="B757" s="44"/>
      <c r="D757" s="44"/>
      <c r="F757" s="44"/>
      <c r="G757" s="44"/>
      <c r="I757" s="44"/>
      <c r="K757" s="44"/>
      <c r="M757" s="44"/>
      <c r="O757" s="44"/>
      <c r="Q757" s="44"/>
    </row>
    <row r="758">
      <c r="B758" s="44"/>
      <c r="D758" s="44"/>
      <c r="F758" s="44"/>
      <c r="G758" s="44"/>
      <c r="I758" s="44"/>
      <c r="K758" s="44"/>
      <c r="M758" s="44"/>
      <c r="O758" s="44"/>
      <c r="Q758" s="44"/>
    </row>
    <row r="759">
      <c r="B759" s="44"/>
      <c r="D759" s="44"/>
      <c r="F759" s="44"/>
      <c r="G759" s="44"/>
      <c r="I759" s="44"/>
      <c r="K759" s="44"/>
      <c r="M759" s="44"/>
      <c r="O759" s="44"/>
      <c r="Q759" s="44"/>
    </row>
    <row r="760">
      <c r="B760" s="44"/>
      <c r="D760" s="44"/>
      <c r="F760" s="44"/>
      <c r="G760" s="44"/>
      <c r="I760" s="44"/>
      <c r="K760" s="44"/>
      <c r="M760" s="44"/>
      <c r="O760" s="44"/>
      <c r="Q760" s="44"/>
    </row>
    <row r="761">
      <c r="B761" s="44"/>
      <c r="D761" s="44"/>
      <c r="F761" s="44"/>
      <c r="G761" s="44"/>
      <c r="I761" s="44"/>
      <c r="K761" s="44"/>
      <c r="M761" s="44"/>
      <c r="O761" s="44"/>
      <c r="Q761" s="44"/>
    </row>
    <row r="762">
      <c r="B762" s="44"/>
      <c r="D762" s="44"/>
      <c r="F762" s="44"/>
      <c r="G762" s="44"/>
      <c r="I762" s="44"/>
      <c r="K762" s="44"/>
      <c r="M762" s="44"/>
      <c r="O762" s="44"/>
      <c r="Q762" s="44"/>
    </row>
    <row r="763">
      <c r="B763" s="44"/>
      <c r="D763" s="44"/>
      <c r="F763" s="44"/>
      <c r="G763" s="44"/>
      <c r="I763" s="44"/>
      <c r="K763" s="44"/>
      <c r="M763" s="44"/>
      <c r="O763" s="44"/>
      <c r="Q763" s="44"/>
    </row>
    <row r="764">
      <c r="B764" s="44"/>
      <c r="D764" s="44"/>
      <c r="F764" s="44"/>
      <c r="G764" s="44"/>
      <c r="I764" s="44"/>
      <c r="K764" s="44"/>
      <c r="M764" s="44"/>
      <c r="O764" s="44"/>
      <c r="Q764" s="44"/>
    </row>
    <row r="765">
      <c r="B765" s="44"/>
      <c r="D765" s="44"/>
      <c r="F765" s="44"/>
      <c r="G765" s="44"/>
      <c r="I765" s="44"/>
      <c r="K765" s="44"/>
      <c r="M765" s="44"/>
      <c r="O765" s="44"/>
      <c r="Q765" s="44"/>
    </row>
    <row r="766">
      <c r="B766" s="44"/>
      <c r="D766" s="44"/>
      <c r="F766" s="44"/>
      <c r="G766" s="44"/>
      <c r="I766" s="44"/>
      <c r="K766" s="44"/>
      <c r="M766" s="44"/>
      <c r="O766" s="44"/>
      <c r="Q766" s="44"/>
    </row>
    <row r="767">
      <c r="B767" s="44"/>
      <c r="D767" s="44"/>
      <c r="F767" s="44"/>
      <c r="G767" s="44"/>
      <c r="I767" s="44"/>
      <c r="K767" s="44"/>
      <c r="M767" s="44"/>
      <c r="O767" s="44"/>
      <c r="Q767" s="44"/>
    </row>
    <row r="768">
      <c r="B768" s="44"/>
      <c r="D768" s="44"/>
      <c r="F768" s="44"/>
      <c r="G768" s="44"/>
      <c r="I768" s="44"/>
      <c r="K768" s="44"/>
      <c r="M768" s="44"/>
      <c r="O768" s="44"/>
      <c r="Q768" s="44"/>
    </row>
    <row r="769">
      <c r="B769" s="44"/>
      <c r="D769" s="44"/>
      <c r="F769" s="44"/>
      <c r="G769" s="44"/>
      <c r="I769" s="44"/>
      <c r="K769" s="44"/>
      <c r="M769" s="44"/>
      <c r="O769" s="44"/>
      <c r="Q769" s="44"/>
    </row>
    <row r="770">
      <c r="B770" s="44"/>
      <c r="D770" s="44"/>
      <c r="F770" s="44"/>
      <c r="G770" s="44"/>
      <c r="I770" s="44"/>
      <c r="K770" s="44"/>
      <c r="M770" s="44"/>
      <c r="O770" s="44"/>
      <c r="Q770" s="44"/>
    </row>
    <row r="771">
      <c r="B771" s="44"/>
      <c r="D771" s="44"/>
      <c r="F771" s="44"/>
      <c r="G771" s="44"/>
      <c r="I771" s="44"/>
      <c r="K771" s="44"/>
      <c r="M771" s="44"/>
      <c r="O771" s="44"/>
      <c r="Q771" s="44"/>
    </row>
    <row r="772">
      <c r="B772" s="44"/>
      <c r="D772" s="44"/>
      <c r="F772" s="44"/>
      <c r="G772" s="44"/>
      <c r="I772" s="44"/>
      <c r="K772" s="44"/>
      <c r="M772" s="44"/>
      <c r="O772" s="44"/>
      <c r="Q772" s="44"/>
    </row>
    <row r="773">
      <c r="B773" s="44"/>
      <c r="D773" s="44"/>
      <c r="F773" s="44"/>
      <c r="G773" s="44"/>
      <c r="I773" s="44"/>
      <c r="K773" s="44"/>
      <c r="M773" s="44"/>
      <c r="O773" s="44"/>
      <c r="Q773" s="44"/>
    </row>
    <row r="774">
      <c r="B774" s="44"/>
      <c r="D774" s="44"/>
      <c r="F774" s="44"/>
      <c r="G774" s="44"/>
      <c r="I774" s="44"/>
      <c r="K774" s="44"/>
      <c r="M774" s="44"/>
      <c r="O774" s="44"/>
      <c r="Q774" s="44"/>
    </row>
    <row r="775">
      <c r="B775" s="44"/>
      <c r="D775" s="44"/>
      <c r="F775" s="44"/>
      <c r="G775" s="44"/>
      <c r="I775" s="44"/>
      <c r="K775" s="44"/>
      <c r="M775" s="44"/>
      <c r="O775" s="44"/>
      <c r="Q775" s="44"/>
    </row>
    <row r="776">
      <c r="B776" s="44"/>
      <c r="D776" s="44"/>
      <c r="F776" s="44"/>
      <c r="G776" s="44"/>
      <c r="I776" s="44"/>
      <c r="K776" s="44"/>
      <c r="M776" s="44"/>
      <c r="O776" s="44"/>
      <c r="Q776" s="44"/>
    </row>
    <row r="777">
      <c r="B777" s="44"/>
      <c r="D777" s="44"/>
      <c r="F777" s="44"/>
      <c r="G777" s="44"/>
      <c r="I777" s="44"/>
      <c r="K777" s="44"/>
      <c r="M777" s="44"/>
      <c r="O777" s="44"/>
      <c r="Q777" s="44"/>
    </row>
    <row r="778">
      <c r="B778" s="44"/>
      <c r="D778" s="44"/>
      <c r="F778" s="44"/>
      <c r="G778" s="44"/>
      <c r="I778" s="44"/>
      <c r="K778" s="44"/>
      <c r="M778" s="44"/>
      <c r="O778" s="44"/>
      <c r="Q778" s="44"/>
    </row>
    <row r="779">
      <c r="B779" s="44"/>
      <c r="D779" s="44"/>
      <c r="F779" s="44"/>
      <c r="G779" s="44"/>
      <c r="I779" s="44"/>
      <c r="K779" s="44"/>
      <c r="M779" s="44"/>
      <c r="O779" s="44"/>
      <c r="Q779" s="44"/>
    </row>
    <row r="780">
      <c r="B780" s="44"/>
      <c r="D780" s="44"/>
      <c r="F780" s="44"/>
      <c r="G780" s="44"/>
      <c r="I780" s="44"/>
      <c r="K780" s="44"/>
      <c r="M780" s="44"/>
      <c r="O780" s="44"/>
      <c r="Q780" s="44"/>
    </row>
    <row r="781">
      <c r="B781" s="44"/>
      <c r="D781" s="44"/>
      <c r="F781" s="44"/>
      <c r="G781" s="44"/>
      <c r="I781" s="44"/>
      <c r="K781" s="44"/>
      <c r="M781" s="44"/>
      <c r="O781" s="44"/>
      <c r="Q781" s="44"/>
    </row>
    <row r="782">
      <c r="B782" s="44"/>
      <c r="D782" s="44"/>
      <c r="F782" s="44"/>
      <c r="G782" s="44"/>
      <c r="I782" s="44"/>
      <c r="K782" s="44"/>
      <c r="M782" s="44"/>
      <c r="O782" s="44"/>
      <c r="Q782" s="44"/>
    </row>
    <row r="783">
      <c r="B783" s="44"/>
      <c r="D783" s="44"/>
      <c r="F783" s="44"/>
      <c r="G783" s="44"/>
      <c r="I783" s="44"/>
      <c r="K783" s="44"/>
      <c r="M783" s="44"/>
      <c r="O783" s="44"/>
      <c r="Q783" s="44"/>
    </row>
    <row r="784">
      <c r="B784" s="44"/>
      <c r="D784" s="44"/>
      <c r="F784" s="44"/>
      <c r="G784" s="44"/>
      <c r="I784" s="44"/>
      <c r="K784" s="44"/>
      <c r="M784" s="44"/>
      <c r="O784" s="44"/>
      <c r="Q784" s="44"/>
    </row>
    <row r="785">
      <c r="B785" s="44"/>
      <c r="D785" s="44"/>
      <c r="F785" s="44"/>
      <c r="G785" s="44"/>
      <c r="I785" s="44"/>
      <c r="K785" s="44"/>
      <c r="M785" s="44"/>
      <c r="O785" s="44"/>
      <c r="Q785" s="44"/>
    </row>
    <row r="786">
      <c r="B786" s="44"/>
      <c r="D786" s="44"/>
      <c r="F786" s="44"/>
      <c r="G786" s="44"/>
      <c r="I786" s="44"/>
      <c r="K786" s="44"/>
      <c r="M786" s="44"/>
      <c r="O786" s="44"/>
      <c r="Q786" s="44"/>
    </row>
    <row r="787">
      <c r="B787" s="44"/>
      <c r="D787" s="44"/>
      <c r="F787" s="44"/>
      <c r="G787" s="44"/>
      <c r="I787" s="44"/>
      <c r="K787" s="44"/>
      <c r="M787" s="44"/>
      <c r="O787" s="44"/>
      <c r="Q787" s="44"/>
    </row>
    <row r="788">
      <c r="B788" s="44"/>
      <c r="D788" s="44"/>
      <c r="F788" s="44"/>
      <c r="G788" s="44"/>
      <c r="I788" s="44"/>
      <c r="K788" s="44"/>
      <c r="M788" s="44"/>
      <c r="O788" s="44"/>
      <c r="Q788" s="44"/>
    </row>
    <row r="789">
      <c r="B789" s="44"/>
      <c r="D789" s="44"/>
      <c r="F789" s="44"/>
      <c r="G789" s="44"/>
      <c r="I789" s="44"/>
      <c r="K789" s="44"/>
      <c r="M789" s="44"/>
      <c r="O789" s="44"/>
      <c r="Q789" s="44"/>
    </row>
    <row r="790">
      <c r="B790" s="44"/>
      <c r="D790" s="44"/>
      <c r="F790" s="44"/>
      <c r="G790" s="44"/>
      <c r="I790" s="44"/>
      <c r="K790" s="44"/>
      <c r="M790" s="44"/>
      <c r="O790" s="44"/>
      <c r="Q790" s="44"/>
    </row>
    <row r="791">
      <c r="B791" s="44"/>
      <c r="D791" s="44"/>
      <c r="F791" s="44"/>
      <c r="G791" s="44"/>
      <c r="I791" s="44"/>
      <c r="K791" s="44"/>
      <c r="M791" s="44"/>
      <c r="O791" s="44"/>
      <c r="Q791" s="44"/>
    </row>
    <row r="792">
      <c r="B792" s="44"/>
      <c r="D792" s="44"/>
      <c r="F792" s="44"/>
      <c r="G792" s="44"/>
      <c r="I792" s="44"/>
      <c r="K792" s="44"/>
      <c r="M792" s="44"/>
      <c r="O792" s="44"/>
      <c r="Q792" s="44"/>
    </row>
    <row r="793">
      <c r="B793" s="44"/>
      <c r="D793" s="44"/>
      <c r="F793" s="44"/>
      <c r="G793" s="44"/>
      <c r="I793" s="44"/>
      <c r="K793" s="44"/>
      <c r="M793" s="44"/>
      <c r="O793" s="44"/>
      <c r="Q793" s="44"/>
    </row>
    <row r="794">
      <c r="B794" s="44"/>
      <c r="D794" s="44"/>
      <c r="F794" s="44"/>
      <c r="G794" s="44"/>
      <c r="I794" s="44"/>
      <c r="K794" s="44"/>
      <c r="M794" s="44"/>
      <c r="O794" s="44"/>
      <c r="Q794" s="44"/>
    </row>
    <row r="795">
      <c r="B795" s="44"/>
      <c r="D795" s="44"/>
      <c r="F795" s="44"/>
      <c r="G795" s="44"/>
      <c r="I795" s="44"/>
      <c r="K795" s="44"/>
      <c r="M795" s="44"/>
      <c r="O795" s="44"/>
      <c r="Q795" s="44"/>
    </row>
    <row r="796">
      <c r="B796" s="44"/>
      <c r="D796" s="44"/>
      <c r="F796" s="44"/>
      <c r="G796" s="44"/>
      <c r="I796" s="44"/>
      <c r="K796" s="44"/>
      <c r="M796" s="44"/>
      <c r="O796" s="44"/>
      <c r="Q796" s="44"/>
    </row>
    <row r="797">
      <c r="B797" s="44"/>
      <c r="D797" s="44"/>
      <c r="F797" s="44"/>
      <c r="G797" s="44"/>
      <c r="I797" s="44"/>
      <c r="K797" s="44"/>
      <c r="M797" s="44"/>
      <c r="O797" s="44"/>
      <c r="Q797" s="44"/>
    </row>
    <row r="798">
      <c r="B798" s="44"/>
      <c r="D798" s="44"/>
      <c r="F798" s="44"/>
      <c r="G798" s="44"/>
      <c r="I798" s="44"/>
      <c r="K798" s="44"/>
      <c r="M798" s="44"/>
      <c r="O798" s="44"/>
      <c r="Q798" s="44"/>
    </row>
    <row r="799">
      <c r="B799" s="44"/>
      <c r="D799" s="44"/>
      <c r="F799" s="44"/>
      <c r="G799" s="44"/>
      <c r="I799" s="44"/>
      <c r="K799" s="44"/>
      <c r="M799" s="44"/>
      <c r="O799" s="44"/>
      <c r="Q799" s="44"/>
    </row>
    <row r="800">
      <c r="B800" s="44"/>
      <c r="D800" s="44"/>
      <c r="F800" s="44"/>
      <c r="G800" s="44"/>
      <c r="I800" s="44"/>
      <c r="K800" s="44"/>
      <c r="M800" s="44"/>
      <c r="O800" s="44"/>
      <c r="Q800" s="44"/>
    </row>
    <row r="801">
      <c r="B801" s="44"/>
      <c r="D801" s="44"/>
      <c r="F801" s="44"/>
      <c r="G801" s="44"/>
      <c r="I801" s="44"/>
      <c r="K801" s="44"/>
      <c r="M801" s="44"/>
      <c r="O801" s="44"/>
      <c r="Q801" s="44"/>
    </row>
    <row r="802">
      <c r="B802" s="44"/>
      <c r="D802" s="44"/>
      <c r="F802" s="44"/>
      <c r="G802" s="44"/>
      <c r="I802" s="44"/>
      <c r="K802" s="44"/>
      <c r="M802" s="44"/>
      <c r="O802" s="44"/>
      <c r="Q802" s="44"/>
    </row>
    <row r="803">
      <c r="B803" s="44"/>
      <c r="D803" s="44"/>
      <c r="F803" s="44"/>
      <c r="G803" s="44"/>
      <c r="I803" s="44"/>
      <c r="K803" s="44"/>
      <c r="M803" s="44"/>
      <c r="O803" s="44"/>
      <c r="Q803" s="44"/>
    </row>
    <row r="804">
      <c r="B804" s="44"/>
      <c r="D804" s="44"/>
      <c r="F804" s="44"/>
      <c r="G804" s="44"/>
      <c r="I804" s="44"/>
      <c r="K804" s="44"/>
      <c r="M804" s="44"/>
      <c r="O804" s="44"/>
      <c r="Q804" s="44"/>
    </row>
    <row r="805">
      <c r="B805" s="44"/>
      <c r="D805" s="44"/>
      <c r="F805" s="44"/>
      <c r="G805" s="44"/>
      <c r="I805" s="44"/>
      <c r="K805" s="44"/>
      <c r="M805" s="44"/>
      <c r="O805" s="44"/>
      <c r="Q805" s="44"/>
    </row>
    <row r="806">
      <c r="B806" s="44"/>
      <c r="D806" s="44"/>
      <c r="F806" s="44"/>
      <c r="G806" s="44"/>
      <c r="I806" s="44"/>
      <c r="K806" s="44"/>
      <c r="M806" s="44"/>
      <c r="O806" s="44"/>
      <c r="Q806" s="44"/>
    </row>
    <row r="807">
      <c r="B807" s="44"/>
      <c r="D807" s="44"/>
      <c r="F807" s="44"/>
      <c r="G807" s="44"/>
      <c r="I807" s="44"/>
      <c r="K807" s="44"/>
      <c r="M807" s="44"/>
      <c r="O807" s="44"/>
      <c r="Q807" s="44"/>
    </row>
    <row r="808">
      <c r="B808" s="44"/>
      <c r="D808" s="44"/>
      <c r="F808" s="44"/>
      <c r="G808" s="44"/>
      <c r="I808" s="44"/>
      <c r="K808" s="44"/>
      <c r="M808" s="44"/>
      <c r="O808" s="44"/>
      <c r="Q808" s="44"/>
    </row>
    <row r="809">
      <c r="B809" s="44"/>
      <c r="D809" s="44"/>
      <c r="F809" s="44"/>
      <c r="G809" s="44"/>
      <c r="I809" s="44"/>
      <c r="K809" s="44"/>
      <c r="M809" s="44"/>
      <c r="O809" s="44"/>
      <c r="Q809" s="44"/>
    </row>
    <row r="810">
      <c r="B810" s="44"/>
      <c r="D810" s="44"/>
      <c r="F810" s="44"/>
      <c r="G810" s="44"/>
      <c r="I810" s="44"/>
      <c r="K810" s="44"/>
      <c r="M810" s="44"/>
      <c r="O810" s="44"/>
      <c r="Q810" s="44"/>
    </row>
    <row r="811">
      <c r="B811" s="44"/>
      <c r="D811" s="44"/>
      <c r="F811" s="44"/>
      <c r="G811" s="44"/>
      <c r="I811" s="44"/>
      <c r="K811" s="44"/>
      <c r="M811" s="44"/>
      <c r="O811" s="44"/>
      <c r="Q811" s="44"/>
    </row>
    <row r="812">
      <c r="B812" s="44"/>
      <c r="D812" s="44"/>
      <c r="F812" s="44"/>
      <c r="G812" s="44"/>
      <c r="I812" s="44"/>
      <c r="K812" s="44"/>
      <c r="M812" s="44"/>
      <c r="O812" s="44"/>
      <c r="Q812" s="44"/>
    </row>
    <row r="813">
      <c r="B813" s="44"/>
      <c r="D813" s="44"/>
      <c r="F813" s="44"/>
      <c r="G813" s="44"/>
      <c r="I813" s="44"/>
      <c r="K813" s="44"/>
      <c r="M813" s="44"/>
      <c r="O813" s="44"/>
      <c r="Q813" s="44"/>
    </row>
    <row r="814">
      <c r="B814" s="44"/>
      <c r="D814" s="44"/>
      <c r="F814" s="44"/>
      <c r="G814" s="44"/>
      <c r="I814" s="44"/>
      <c r="K814" s="44"/>
      <c r="M814" s="44"/>
      <c r="O814" s="44"/>
      <c r="Q814" s="44"/>
    </row>
    <row r="815">
      <c r="B815" s="44"/>
      <c r="D815" s="44"/>
      <c r="F815" s="44"/>
      <c r="G815" s="44"/>
      <c r="I815" s="44"/>
      <c r="K815" s="44"/>
      <c r="M815" s="44"/>
      <c r="O815" s="44"/>
      <c r="Q815" s="44"/>
    </row>
    <row r="816">
      <c r="B816" s="44"/>
      <c r="D816" s="44"/>
      <c r="F816" s="44"/>
      <c r="G816" s="44"/>
      <c r="I816" s="44"/>
      <c r="K816" s="44"/>
      <c r="M816" s="44"/>
      <c r="O816" s="44"/>
      <c r="Q816" s="44"/>
    </row>
    <row r="817">
      <c r="B817" s="44"/>
      <c r="D817" s="44"/>
      <c r="F817" s="44"/>
      <c r="G817" s="44"/>
      <c r="I817" s="44"/>
      <c r="K817" s="44"/>
      <c r="M817" s="44"/>
      <c r="O817" s="44"/>
      <c r="Q817" s="44"/>
    </row>
    <row r="818">
      <c r="B818" s="44"/>
      <c r="D818" s="44"/>
      <c r="F818" s="44"/>
      <c r="G818" s="44"/>
      <c r="I818" s="44"/>
      <c r="K818" s="44"/>
      <c r="M818" s="44"/>
      <c r="O818" s="44"/>
      <c r="Q818" s="44"/>
    </row>
    <row r="819">
      <c r="B819" s="44"/>
      <c r="D819" s="44"/>
      <c r="F819" s="44"/>
      <c r="G819" s="44"/>
      <c r="I819" s="44"/>
      <c r="K819" s="44"/>
      <c r="M819" s="44"/>
      <c r="O819" s="44"/>
      <c r="Q819" s="44"/>
    </row>
    <row r="820">
      <c r="B820" s="44"/>
      <c r="D820" s="44"/>
      <c r="F820" s="44"/>
      <c r="G820" s="44"/>
      <c r="I820" s="44"/>
      <c r="K820" s="44"/>
      <c r="M820" s="44"/>
      <c r="O820" s="44"/>
      <c r="Q820" s="44"/>
    </row>
    <row r="821">
      <c r="B821" s="44"/>
      <c r="D821" s="44"/>
      <c r="F821" s="44"/>
      <c r="G821" s="44"/>
      <c r="I821" s="44"/>
      <c r="K821" s="44"/>
      <c r="M821" s="44"/>
      <c r="O821" s="44"/>
      <c r="Q821" s="44"/>
    </row>
    <row r="822">
      <c r="B822" s="44"/>
      <c r="D822" s="44"/>
      <c r="F822" s="44"/>
      <c r="G822" s="44"/>
      <c r="I822" s="44"/>
      <c r="K822" s="44"/>
      <c r="M822" s="44"/>
      <c r="O822" s="44"/>
      <c r="Q822" s="44"/>
    </row>
    <row r="823">
      <c r="B823" s="44"/>
      <c r="D823" s="44"/>
      <c r="F823" s="44"/>
      <c r="G823" s="44"/>
      <c r="I823" s="44"/>
      <c r="K823" s="44"/>
      <c r="M823" s="44"/>
      <c r="O823" s="44"/>
      <c r="Q823" s="44"/>
    </row>
    <row r="824">
      <c r="B824" s="44"/>
      <c r="D824" s="44"/>
      <c r="F824" s="44"/>
      <c r="G824" s="44"/>
      <c r="I824" s="44"/>
      <c r="K824" s="44"/>
      <c r="M824" s="44"/>
      <c r="O824" s="44"/>
      <c r="Q824" s="44"/>
    </row>
    <row r="825">
      <c r="B825" s="44"/>
      <c r="D825" s="44"/>
      <c r="F825" s="44"/>
      <c r="G825" s="44"/>
      <c r="I825" s="44"/>
      <c r="K825" s="44"/>
      <c r="M825" s="44"/>
      <c r="O825" s="44"/>
      <c r="Q825" s="44"/>
    </row>
    <row r="826">
      <c r="B826" s="44"/>
      <c r="D826" s="44"/>
      <c r="F826" s="44"/>
      <c r="G826" s="44"/>
      <c r="I826" s="44"/>
      <c r="K826" s="44"/>
      <c r="M826" s="44"/>
      <c r="O826" s="44"/>
      <c r="Q826" s="44"/>
    </row>
    <row r="827">
      <c r="B827" s="44"/>
      <c r="D827" s="44"/>
      <c r="F827" s="44"/>
      <c r="G827" s="44"/>
      <c r="I827" s="44"/>
      <c r="K827" s="44"/>
      <c r="M827" s="44"/>
      <c r="O827" s="44"/>
      <c r="Q827" s="44"/>
    </row>
    <row r="828">
      <c r="B828" s="44"/>
      <c r="D828" s="44"/>
      <c r="F828" s="44"/>
      <c r="G828" s="44"/>
      <c r="I828" s="44"/>
      <c r="K828" s="44"/>
      <c r="M828" s="44"/>
      <c r="O828" s="44"/>
      <c r="Q828" s="44"/>
    </row>
    <row r="829">
      <c r="B829" s="44"/>
      <c r="D829" s="44"/>
      <c r="F829" s="44"/>
      <c r="G829" s="44"/>
      <c r="I829" s="44"/>
      <c r="K829" s="44"/>
      <c r="M829" s="44"/>
      <c r="O829" s="44"/>
      <c r="Q829" s="44"/>
    </row>
    <row r="830">
      <c r="B830" s="44"/>
      <c r="D830" s="44"/>
      <c r="F830" s="44"/>
      <c r="G830" s="44"/>
      <c r="I830" s="44"/>
      <c r="K830" s="44"/>
      <c r="M830" s="44"/>
      <c r="O830" s="44"/>
      <c r="Q830" s="44"/>
    </row>
    <row r="831">
      <c r="B831" s="44"/>
      <c r="D831" s="44"/>
      <c r="F831" s="44"/>
      <c r="G831" s="44"/>
      <c r="I831" s="44"/>
      <c r="K831" s="44"/>
      <c r="M831" s="44"/>
      <c r="O831" s="44"/>
      <c r="Q831" s="44"/>
    </row>
    <row r="832">
      <c r="B832" s="44"/>
      <c r="D832" s="44"/>
      <c r="F832" s="44"/>
      <c r="G832" s="44"/>
      <c r="I832" s="44"/>
      <c r="K832" s="44"/>
      <c r="M832" s="44"/>
      <c r="O832" s="44"/>
      <c r="Q832" s="44"/>
    </row>
    <row r="833">
      <c r="B833" s="44"/>
      <c r="D833" s="44"/>
      <c r="F833" s="44"/>
      <c r="G833" s="44"/>
      <c r="I833" s="44"/>
      <c r="K833" s="44"/>
      <c r="M833" s="44"/>
      <c r="O833" s="44"/>
      <c r="Q833" s="44"/>
    </row>
    <row r="834">
      <c r="B834" s="44"/>
      <c r="D834" s="44"/>
      <c r="F834" s="44"/>
      <c r="G834" s="44"/>
      <c r="I834" s="44"/>
      <c r="K834" s="44"/>
      <c r="M834" s="44"/>
      <c r="O834" s="44"/>
      <c r="Q834" s="44"/>
    </row>
    <row r="835">
      <c r="B835" s="44"/>
      <c r="D835" s="44"/>
      <c r="F835" s="44"/>
      <c r="G835" s="44"/>
      <c r="I835" s="44"/>
      <c r="K835" s="44"/>
      <c r="M835" s="44"/>
      <c r="O835" s="44"/>
      <c r="Q835" s="44"/>
    </row>
    <row r="836">
      <c r="B836" s="44"/>
      <c r="D836" s="44"/>
      <c r="F836" s="44"/>
      <c r="G836" s="44"/>
      <c r="I836" s="44"/>
      <c r="K836" s="44"/>
      <c r="M836" s="44"/>
      <c r="O836" s="44"/>
      <c r="Q836" s="44"/>
    </row>
    <row r="837">
      <c r="B837" s="44"/>
      <c r="D837" s="44"/>
      <c r="F837" s="44"/>
      <c r="G837" s="44"/>
      <c r="I837" s="44"/>
      <c r="K837" s="44"/>
      <c r="M837" s="44"/>
      <c r="O837" s="44"/>
      <c r="Q837" s="44"/>
    </row>
    <row r="838">
      <c r="B838" s="44"/>
      <c r="D838" s="44"/>
      <c r="F838" s="44"/>
      <c r="G838" s="44"/>
      <c r="I838" s="44"/>
      <c r="K838" s="44"/>
      <c r="M838" s="44"/>
      <c r="O838" s="44"/>
      <c r="Q838" s="44"/>
    </row>
    <row r="839">
      <c r="B839" s="44"/>
      <c r="D839" s="44"/>
      <c r="F839" s="44"/>
      <c r="G839" s="44"/>
      <c r="I839" s="44"/>
      <c r="K839" s="44"/>
      <c r="M839" s="44"/>
      <c r="O839" s="44"/>
      <c r="Q839" s="44"/>
    </row>
    <row r="840">
      <c r="B840" s="44"/>
      <c r="D840" s="44"/>
      <c r="F840" s="44"/>
      <c r="G840" s="44"/>
      <c r="I840" s="44"/>
      <c r="K840" s="44"/>
      <c r="M840" s="44"/>
      <c r="O840" s="44"/>
      <c r="Q840" s="44"/>
    </row>
    <row r="841">
      <c r="B841" s="44"/>
      <c r="D841" s="44"/>
      <c r="F841" s="44"/>
      <c r="G841" s="44"/>
      <c r="I841" s="44"/>
      <c r="K841" s="44"/>
      <c r="M841" s="44"/>
      <c r="O841" s="44"/>
      <c r="Q841" s="44"/>
    </row>
    <row r="842">
      <c r="B842" s="44"/>
      <c r="D842" s="44"/>
      <c r="F842" s="44"/>
      <c r="G842" s="44"/>
      <c r="I842" s="44"/>
      <c r="K842" s="44"/>
      <c r="M842" s="44"/>
      <c r="O842" s="44"/>
      <c r="Q842" s="44"/>
    </row>
    <row r="843">
      <c r="B843" s="44"/>
      <c r="D843" s="44"/>
      <c r="F843" s="44"/>
      <c r="G843" s="44"/>
      <c r="I843" s="44"/>
      <c r="K843" s="44"/>
      <c r="M843" s="44"/>
      <c r="O843" s="44"/>
      <c r="Q843" s="44"/>
    </row>
    <row r="844">
      <c r="B844" s="44"/>
      <c r="D844" s="44"/>
      <c r="F844" s="44"/>
      <c r="G844" s="44"/>
      <c r="I844" s="44"/>
      <c r="K844" s="44"/>
      <c r="M844" s="44"/>
      <c r="O844" s="44"/>
      <c r="Q844" s="44"/>
    </row>
    <row r="845">
      <c r="B845" s="44"/>
      <c r="D845" s="44"/>
      <c r="F845" s="44"/>
      <c r="G845" s="44"/>
      <c r="I845" s="44"/>
      <c r="K845" s="44"/>
      <c r="M845" s="44"/>
      <c r="O845" s="44"/>
      <c r="Q845" s="44"/>
    </row>
    <row r="846">
      <c r="B846" s="44"/>
      <c r="D846" s="44"/>
      <c r="F846" s="44"/>
      <c r="G846" s="44"/>
      <c r="I846" s="44"/>
      <c r="K846" s="44"/>
      <c r="M846" s="44"/>
      <c r="O846" s="44"/>
      <c r="Q846" s="44"/>
    </row>
    <row r="847">
      <c r="B847" s="44"/>
      <c r="D847" s="44"/>
      <c r="F847" s="44"/>
      <c r="G847" s="44"/>
      <c r="I847" s="44"/>
      <c r="K847" s="44"/>
      <c r="M847" s="44"/>
      <c r="O847" s="44"/>
      <c r="Q847" s="44"/>
    </row>
    <row r="848">
      <c r="B848" s="44"/>
      <c r="D848" s="44"/>
      <c r="F848" s="44"/>
      <c r="G848" s="44"/>
      <c r="I848" s="44"/>
      <c r="K848" s="44"/>
      <c r="M848" s="44"/>
      <c r="O848" s="44"/>
      <c r="Q848" s="44"/>
    </row>
    <row r="849">
      <c r="B849" s="44"/>
      <c r="D849" s="44"/>
      <c r="F849" s="44"/>
      <c r="G849" s="44"/>
      <c r="I849" s="44"/>
      <c r="K849" s="44"/>
      <c r="M849" s="44"/>
      <c r="O849" s="44"/>
      <c r="Q849" s="44"/>
    </row>
    <row r="850">
      <c r="B850" s="44"/>
      <c r="D850" s="44"/>
      <c r="F850" s="44"/>
      <c r="G850" s="44"/>
      <c r="I850" s="44"/>
      <c r="K850" s="44"/>
      <c r="M850" s="44"/>
      <c r="O850" s="44"/>
      <c r="Q850" s="44"/>
    </row>
    <row r="851">
      <c r="B851" s="44"/>
      <c r="D851" s="44"/>
      <c r="F851" s="44"/>
      <c r="G851" s="44"/>
      <c r="I851" s="44"/>
      <c r="K851" s="44"/>
      <c r="M851" s="44"/>
      <c r="O851" s="44"/>
      <c r="Q851" s="44"/>
    </row>
    <row r="852">
      <c r="B852" s="44"/>
      <c r="D852" s="44"/>
      <c r="F852" s="44"/>
      <c r="G852" s="44"/>
      <c r="I852" s="44"/>
      <c r="K852" s="44"/>
      <c r="M852" s="44"/>
      <c r="O852" s="44"/>
      <c r="Q852" s="44"/>
    </row>
    <row r="853">
      <c r="B853" s="44"/>
      <c r="D853" s="44"/>
      <c r="F853" s="44"/>
      <c r="G853" s="44"/>
      <c r="I853" s="44"/>
      <c r="K853" s="44"/>
      <c r="M853" s="44"/>
      <c r="O853" s="44"/>
      <c r="Q853" s="44"/>
    </row>
    <row r="854">
      <c r="B854" s="44"/>
      <c r="D854" s="44"/>
      <c r="F854" s="44"/>
      <c r="G854" s="44"/>
      <c r="I854" s="44"/>
      <c r="K854" s="44"/>
      <c r="M854" s="44"/>
      <c r="O854" s="44"/>
      <c r="Q854" s="44"/>
    </row>
    <row r="855">
      <c r="B855" s="44"/>
      <c r="D855" s="44"/>
      <c r="F855" s="44"/>
      <c r="G855" s="44"/>
      <c r="I855" s="44"/>
      <c r="K855" s="44"/>
      <c r="M855" s="44"/>
      <c r="O855" s="44"/>
      <c r="Q855" s="44"/>
    </row>
    <row r="856">
      <c r="B856" s="44"/>
      <c r="D856" s="44"/>
      <c r="F856" s="44"/>
      <c r="G856" s="44"/>
      <c r="I856" s="44"/>
      <c r="K856" s="44"/>
      <c r="M856" s="44"/>
      <c r="O856" s="44"/>
      <c r="Q856" s="44"/>
    </row>
    <row r="857">
      <c r="B857" s="44"/>
      <c r="D857" s="44"/>
      <c r="F857" s="44"/>
      <c r="G857" s="44"/>
      <c r="I857" s="44"/>
      <c r="K857" s="44"/>
      <c r="M857" s="44"/>
      <c r="O857" s="44"/>
      <c r="Q857" s="44"/>
    </row>
    <row r="858">
      <c r="B858" s="44"/>
      <c r="D858" s="44"/>
      <c r="F858" s="44"/>
      <c r="G858" s="44"/>
      <c r="I858" s="44"/>
      <c r="K858" s="44"/>
      <c r="M858" s="44"/>
      <c r="O858" s="44"/>
      <c r="Q858" s="44"/>
    </row>
    <row r="859">
      <c r="B859" s="44"/>
      <c r="D859" s="44"/>
      <c r="F859" s="44"/>
      <c r="G859" s="44"/>
      <c r="I859" s="44"/>
      <c r="K859" s="44"/>
      <c r="M859" s="44"/>
      <c r="O859" s="44"/>
      <c r="Q859" s="44"/>
    </row>
    <row r="860">
      <c r="B860" s="44"/>
      <c r="D860" s="44"/>
      <c r="F860" s="44"/>
      <c r="G860" s="44"/>
      <c r="I860" s="44"/>
      <c r="K860" s="44"/>
      <c r="M860" s="44"/>
      <c r="O860" s="44"/>
      <c r="Q860" s="44"/>
    </row>
    <row r="861">
      <c r="B861" s="44"/>
      <c r="D861" s="44"/>
      <c r="F861" s="44"/>
      <c r="G861" s="44"/>
      <c r="I861" s="44"/>
      <c r="K861" s="44"/>
      <c r="M861" s="44"/>
      <c r="O861" s="44"/>
      <c r="Q861" s="44"/>
    </row>
    <row r="862">
      <c r="B862" s="44"/>
      <c r="D862" s="44"/>
      <c r="F862" s="44"/>
      <c r="G862" s="44"/>
      <c r="I862" s="44"/>
      <c r="K862" s="44"/>
      <c r="M862" s="44"/>
      <c r="O862" s="44"/>
      <c r="Q862" s="44"/>
    </row>
    <row r="863">
      <c r="B863" s="44"/>
      <c r="D863" s="44"/>
      <c r="F863" s="44"/>
      <c r="G863" s="44"/>
      <c r="I863" s="44"/>
      <c r="K863" s="44"/>
      <c r="M863" s="44"/>
      <c r="O863" s="44"/>
      <c r="Q863" s="44"/>
    </row>
    <row r="864">
      <c r="B864" s="44"/>
      <c r="D864" s="44"/>
      <c r="F864" s="44"/>
      <c r="G864" s="44"/>
      <c r="I864" s="44"/>
      <c r="K864" s="44"/>
      <c r="M864" s="44"/>
      <c r="O864" s="44"/>
      <c r="Q864" s="44"/>
    </row>
    <row r="865">
      <c r="B865" s="44"/>
      <c r="D865" s="44"/>
      <c r="F865" s="44"/>
      <c r="G865" s="44"/>
      <c r="I865" s="44"/>
      <c r="K865" s="44"/>
      <c r="M865" s="44"/>
      <c r="O865" s="44"/>
      <c r="Q865" s="44"/>
    </row>
    <row r="866">
      <c r="B866" s="44"/>
      <c r="D866" s="44"/>
      <c r="F866" s="44"/>
      <c r="G866" s="44"/>
      <c r="I866" s="44"/>
      <c r="K866" s="44"/>
      <c r="M866" s="44"/>
      <c r="O866" s="44"/>
      <c r="Q866" s="44"/>
    </row>
    <row r="867">
      <c r="B867" s="44"/>
      <c r="D867" s="44"/>
      <c r="F867" s="44"/>
      <c r="G867" s="44"/>
      <c r="I867" s="44"/>
      <c r="K867" s="44"/>
      <c r="M867" s="44"/>
      <c r="O867" s="44"/>
      <c r="Q867" s="44"/>
    </row>
    <row r="868">
      <c r="B868" s="44"/>
      <c r="D868" s="44"/>
      <c r="F868" s="44"/>
      <c r="G868" s="44"/>
      <c r="I868" s="44"/>
      <c r="K868" s="44"/>
      <c r="M868" s="44"/>
      <c r="O868" s="44"/>
      <c r="Q868" s="44"/>
    </row>
    <row r="869">
      <c r="B869" s="44"/>
      <c r="D869" s="44"/>
      <c r="F869" s="44"/>
      <c r="G869" s="44"/>
      <c r="I869" s="44"/>
      <c r="K869" s="44"/>
      <c r="M869" s="44"/>
      <c r="O869" s="44"/>
      <c r="Q869" s="44"/>
    </row>
    <row r="870">
      <c r="B870" s="44"/>
      <c r="D870" s="44"/>
      <c r="F870" s="44"/>
      <c r="G870" s="44"/>
      <c r="I870" s="44"/>
      <c r="K870" s="44"/>
      <c r="M870" s="44"/>
      <c r="O870" s="44"/>
      <c r="Q870" s="44"/>
    </row>
    <row r="871">
      <c r="B871" s="44"/>
      <c r="D871" s="44"/>
      <c r="F871" s="44"/>
      <c r="G871" s="44"/>
      <c r="I871" s="44"/>
      <c r="K871" s="44"/>
      <c r="M871" s="44"/>
      <c r="O871" s="44"/>
      <c r="Q871" s="44"/>
    </row>
    <row r="872">
      <c r="B872" s="44"/>
      <c r="D872" s="44"/>
      <c r="F872" s="44"/>
      <c r="G872" s="44"/>
      <c r="I872" s="44"/>
      <c r="K872" s="44"/>
      <c r="M872" s="44"/>
      <c r="O872" s="44"/>
      <c r="Q872" s="44"/>
    </row>
    <row r="873">
      <c r="B873" s="44"/>
      <c r="D873" s="44"/>
      <c r="F873" s="44"/>
      <c r="G873" s="44"/>
      <c r="I873" s="44"/>
      <c r="K873" s="44"/>
      <c r="M873" s="44"/>
      <c r="O873" s="44"/>
      <c r="Q873" s="44"/>
    </row>
    <row r="874">
      <c r="B874" s="44"/>
      <c r="D874" s="44"/>
      <c r="F874" s="44"/>
      <c r="G874" s="44"/>
      <c r="I874" s="44"/>
      <c r="K874" s="44"/>
      <c r="M874" s="44"/>
      <c r="O874" s="44"/>
      <c r="Q874" s="44"/>
    </row>
    <row r="875">
      <c r="B875" s="44"/>
      <c r="D875" s="44"/>
      <c r="F875" s="44"/>
      <c r="G875" s="44"/>
      <c r="I875" s="44"/>
      <c r="K875" s="44"/>
      <c r="M875" s="44"/>
      <c r="O875" s="44"/>
      <c r="Q875" s="44"/>
    </row>
    <row r="876">
      <c r="B876" s="44"/>
      <c r="D876" s="44"/>
      <c r="F876" s="44"/>
      <c r="G876" s="44"/>
      <c r="I876" s="44"/>
      <c r="K876" s="44"/>
      <c r="M876" s="44"/>
      <c r="O876" s="44"/>
      <c r="Q876" s="44"/>
    </row>
    <row r="877">
      <c r="B877" s="44"/>
      <c r="D877" s="44"/>
      <c r="F877" s="44"/>
      <c r="G877" s="44"/>
      <c r="I877" s="44"/>
      <c r="K877" s="44"/>
      <c r="M877" s="44"/>
      <c r="O877" s="44"/>
      <c r="Q877" s="44"/>
    </row>
    <row r="878">
      <c r="B878" s="44"/>
      <c r="D878" s="44"/>
      <c r="F878" s="44"/>
      <c r="G878" s="44"/>
      <c r="I878" s="44"/>
      <c r="K878" s="44"/>
      <c r="M878" s="44"/>
      <c r="O878" s="44"/>
      <c r="Q878" s="44"/>
    </row>
    <row r="879">
      <c r="B879" s="44"/>
      <c r="D879" s="44"/>
      <c r="F879" s="44"/>
      <c r="G879" s="44"/>
      <c r="I879" s="44"/>
      <c r="K879" s="44"/>
      <c r="M879" s="44"/>
      <c r="O879" s="44"/>
      <c r="Q879" s="44"/>
    </row>
    <row r="880">
      <c r="B880" s="44"/>
      <c r="D880" s="44"/>
      <c r="F880" s="44"/>
      <c r="G880" s="44"/>
      <c r="I880" s="44"/>
      <c r="K880" s="44"/>
      <c r="M880" s="44"/>
      <c r="O880" s="44"/>
      <c r="Q880" s="44"/>
    </row>
    <row r="881">
      <c r="B881" s="44"/>
      <c r="D881" s="44"/>
      <c r="F881" s="44"/>
      <c r="G881" s="44"/>
      <c r="I881" s="44"/>
      <c r="K881" s="44"/>
      <c r="M881" s="44"/>
      <c r="O881" s="44"/>
      <c r="Q881" s="44"/>
    </row>
    <row r="882">
      <c r="B882" s="44"/>
      <c r="D882" s="44"/>
      <c r="F882" s="44"/>
      <c r="G882" s="44"/>
      <c r="I882" s="44"/>
      <c r="K882" s="44"/>
      <c r="M882" s="44"/>
      <c r="O882" s="44"/>
      <c r="Q882" s="44"/>
    </row>
    <row r="883">
      <c r="B883" s="44"/>
      <c r="D883" s="44"/>
      <c r="F883" s="44"/>
      <c r="G883" s="44"/>
      <c r="I883" s="44"/>
      <c r="K883" s="44"/>
      <c r="M883" s="44"/>
      <c r="O883" s="44"/>
      <c r="Q883" s="44"/>
    </row>
    <row r="884">
      <c r="B884" s="44"/>
      <c r="D884" s="44"/>
      <c r="F884" s="44"/>
      <c r="G884" s="44"/>
      <c r="I884" s="44"/>
      <c r="K884" s="44"/>
      <c r="M884" s="44"/>
      <c r="O884" s="44"/>
      <c r="Q884" s="44"/>
    </row>
    <row r="885">
      <c r="B885" s="44"/>
      <c r="D885" s="44"/>
      <c r="F885" s="44"/>
      <c r="G885" s="44"/>
      <c r="I885" s="44"/>
      <c r="K885" s="44"/>
      <c r="M885" s="44"/>
      <c r="O885" s="44"/>
      <c r="Q885" s="44"/>
    </row>
    <row r="886">
      <c r="B886" s="44"/>
      <c r="D886" s="44"/>
      <c r="F886" s="44"/>
      <c r="G886" s="44"/>
      <c r="I886" s="44"/>
      <c r="K886" s="44"/>
      <c r="M886" s="44"/>
      <c r="O886" s="44"/>
      <c r="Q886" s="44"/>
    </row>
    <row r="887">
      <c r="B887" s="44"/>
      <c r="D887" s="44"/>
      <c r="F887" s="44"/>
      <c r="G887" s="44"/>
      <c r="I887" s="44"/>
      <c r="K887" s="44"/>
      <c r="M887" s="44"/>
      <c r="O887" s="44"/>
      <c r="Q887" s="44"/>
    </row>
    <row r="888">
      <c r="B888" s="44"/>
      <c r="D888" s="44"/>
      <c r="F888" s="44"/>
      <c r="G888" s="44"/>
      <c r="I888" s="44"/>
      <c r="K888" s="44"/>
      <c r="M888" s="44"/>
      <c r="O888" s="44"/>
      <c r="Q888" s="44"/>
    </row>
    <row r="889">
      <c r="B889" s="44"/>
      <c r="D889" s="44"/>
      <c r="F889" s="44"/>
      <c r="G889" s="44"/>
      <c r="I889" s="44"/>
      <c r="K889" s="44"/>
      <c r="M889" s="44"/>
      <c r="O889" s="44"/>
      <c r="Q889" s="44"/>
    </row>
    <row r="890">
      <c r="B890" s="44"/>
      <c r="D890" s="44"/>
      <c r="F890" s="44"/>
      <c r="G890" s="44"/>
      <c r="I890" s="44"/>
      <c r="K890" s="44"/>
      <c r="M890" s="44"/>
      <c r="O890" s="44"/>
      <c r="Q890" s="44"/>
    </row>
    <row r="891">
      <c r="B891" s="44"/>
      <c r="D891" s="44"/>
      <c r="F891" s="44"/>
      <c r="G891" s="44"/>
      <c r="I891" s="44"/>
      <c r="K891" s="44"/>
      <c r="M891" s="44"/>
      <c r="O891" s="44"/>
      <c r="Q891" s="44"/>
    </row>
    <row r="892">
      <c r="B892" s="44"/>
      <c r="D892" s="44"/>
      <c r="F892" s="44"/>
      <c r="G892" s="44"/>
      <c r="I892" s="44"/>
      <c r="K892" s="44"/>
      <c r="M892" s="44"/>
      <c r="O892" s="44"/>
      <c r="Q892" s="44"/>
    </row>
    <row r="893">
      <c r="B893" s="44"/>
      <c r="D893" s="44"/>
      <c r="F893" s="44"/>
      <c r="G893" s="44"/>
      <c r="I893" s="44"/>
      <c r="K893" s="44"/>
      <c r="M893" s="44"/>
      <c r="O893" s="44"/>
      <c r="Q893" s="44"/>
    </row>
    <row r="894">
      <c r="B894" s="44"/>
      <c r="D894" s="44"/>
      <c r="F894" s="44"/>
      <c r="G894" s="44"/>
      <c r="I894" s="44"/>
      <c r="K894" s="44"/>
      <c r="M894" s="44"/>
      <c r="O894" s="44"/>
      <c r="Q894" s="44"/>
    </row>
    <row r="895">
      <c r="B895" s="44"/>
      <c r="D895" s="44"/>
      <c r="F895" s="44"/>
      <c r="G895" s="44"/>
      <c r="I895" s="44"/>
      <c r="K895" s="44"/>
      <c r="M895" s="44"/>
      <c r="O895" s="44"/>
      <c r="Q895" s="44"/>
    </row>
    <row r="896">
      <c r="B896" s="44"/>
      <c r="D896" s="44"/>
      <c r="F896" s="44"/>
      <c r="G896" s="44"/>
      <c r="I896" s="44"/>
      <c r="K896" s="44"/>
      <c r="M896" s="44"/>
      <c r="O896" s="44"/>
      <c r="Q896" s="44"/>
    </row>
    <row r="897">
      <c r="B897" s="44"/>
      <c r="D897" s="44"/>
      <c r="F897" s="44"/>
      <c r="G897" s="44"/>
      <c r="I897" s="44"/>
      <c r="K897" s="44"/>
      <c r="M897" s="44"/>
      <c r="O897" s="44"/>
      <c r="Q897" s="44"/>
    </row>
    <row r="898">
      <c r="B898" s="44"/>
      <c r="D898" s="44"/>
      <c r="F898" s="44"/>
      <c r="G898" s="44"/>
      <c r="I898" s="44"/>
      <c r="K898" s="44"/>
      <c r="M898" s="44"/>
      <c r="O898" s="44"/>
      <c r="Q898" s="44"/>
    </row>
    <row r="899">
      <c r="B899" s="44"/>
      <c r="D899" s="44"/>
      <c r="F899" s="44"/>
      <c r="G899" s="44"/>
      <c r="I899" s="44"/>
      <c r="K899" s="44"/>
      <c r="M899" s="44"/>
      <c r="O899" s="44"/>
      <c r="Q899" s="44"/>
    </row>
    <row r="900">
      <c r="B900" s="44"/>
      <c r="D900" s="44"/>
      <c r="F900" s="44"/>
      <c r="G900" s="44"/>
      <c r="I900" s="44"/>
      <c r="K900" s="44"/>
      <c r="M900" s="44"/>
      <c r="O900" s="44"/>
      <c r="Q900" s="44"/>
    </row>
    <row r="901">
      <c r="B901" s="44"/>
      <c r="D901" s="44"/>
      <c r="F901" s="44"/>
      <c r="G901" s="44"/>
      <c r="I901" s="44"/>
      <c r="K901" s="44"/>
      <c r="M901" s="44"/>
      <c r="O901" s="44"/>
      <c r="Q901" s="44"/>
    </row>
    <row r="902">
      <c r="B902" s="44"/>
      <c r="D902" s="44"/>
      <c r="F902" s="44"/>
      <c r="G902" s="44"/>
      <c r="I902" s="44"/>
      <c r="K902" s="44"/>
      <c r="M902" s="44"/>
      <c r="O902" s="44"/>
      <c r="Q902" s="44"/>
    </row>
    <row r="903">
      <c r="B903" s="44"/>
      <c r="D903" s="44"/>
      <c r="F903" s="44"/>
      <c r="G903" s="44"/>
      <c r="I903" s="44"/>
      <c r="K903" s="44"/>
      <c r="M903" s="44"/>
      <c r="O903" s="44"/>
      <c r="Q903" s="44"/>
    </row>
    <row r="904">
      <c r="B904" s="44"/>
      <c r="D904" s="44"/>
      <c r="F904" s="44"/>
      <c r="G904" s="44"/>
      <c r="I904" s="44"/>
      <c r="K904" s="44"/>
      <c r="M904" s="44"/>
      <c r="O904" s="44"/>
      <c r="Q904" s="44"/>
    </row>
    <row r="905">
      <c r="B905" s="44"/>
      <c r="D905" s="44"/>
      <c r="F905" s="44"/>
      <c r="G905" s="44"/>
      <c r="I905" s="44"/>
      <c r="K905" s="44"/>
      <c r="M905" s="44"/>
      <c r="O905" s="44"/>
      <c r="Q905" s="44"/>
    </row>
    <row r="906">
      <c r="B906" s="44"/>
      <c r="D906" s="44"/>
      <c r="F906" s="44"/>
      <c r="G906" s="44"/>
      <c r="I906" s="44"/>
      <c r="K906" s="44"/>
      <c r="M906" s="44"/>
      <c r="O906" s="44"/>
      <c r="Q906" s="44"/>
    </row>
    <row r="907">
      <c r="B907" s="44"/>
      <c r="D907" s="44"/>
      <c r="F907" s="44"/>
      <c r="G907" s="44"/>
      <c r="I907" s="44"/>
      <c r="K907" s="44"/>
      <c r="M907" s="44"/>
      <c r="O907" s="44"/>
      <c r="Q907" s="44"/>
    </row>
    <row r="908">
      <c r="B908" s="44"/>
      <c r="D908" s="44"/>
      <c r="F908" s="44"/>
      <c r="G908" s="44"/>
      <c r="I908" s="44"/>
      <c r="K908" s="44"/>
      <c r="M908" s="44"/>
      <c r="O908" s="44"/>
      <c r="Q908" s="44"/>
    </row>
    <row r="909">
      <c r="B909" s="44"/>
      <c r="D909" s="44"/>
      <c r="F909" s="44"/>
      <c r="G909" s="44"/>
      <c r="I909" s="44"/>
      <c r="K909" s="44"/>
      <c r="M909" s="44"/>
      <c r="O909" s="44"/>
      <c r="Q909" s="44"/>
    </row>
    <row r="910">
      <c r="B910" s="44"/>
      <c r="D910" s="44"/>
      <c r="F910" s="44"/>
      <c r="G910" s="44"/>
      <c r="I910" s="44"/>
      <c r="K910" s="44"/>
      <c r="M910" s="44"/>
      <c r="O910" s="44"/>
      <c r="Q910" s="44"/>
    </row>
    <row r="911">
      <c r="B911" s="44"/>
      <c r="D911" s="44"/>
      <c r="F911" s="44"/>
      <c r="G911" s="44"/>
      <c r="I911" s="44"/>
      <c r="K911" s="44"/>
      <c r="M911" s="44"/>
      <c r="O911" s="44"/>
      <c r="Q911" s="44"/>
    </row>
    <row r="912">
      <c r="B912" s="44"/>
      <c r="D912" s="44"/>
      <c r="F912" s="44"/>
      <c r="G912" s="44"/>
      <c r="I912" s="44"/>
      <c r="K912" s="44"/>
      <c r="M912" s="44"/>
      <c r="O912" s="44"/>
      <c r="Q912" s="44"/>
    </row>
    <row r="913">
      <c r="B913" s="44"/>
      <c r="D913" s="44"/>
      <c r="F913" s="44"/>
      <c r="G913" s="44"/>
      <c r="I913" s="44"/>
      <c r="K913" s="44"/>
      <c r="M913" s="44"/>
      <c r="O913" s="44"/>
      <c r="Q913" s="44"/>
    </row>
    <row r="914">
      <c r="B914" s="44"/>
      <c r="D914" s="44"/>
      <c r="F914" s="44"/>
      <c r="G914" s="44"/>
      <c r="I914" s="44"/>
      <c r="K914" s="44"/>
      <c r="M914" s="44"/>
      <c r="O914" s="44"/>
      <c r="Q914" s="44"/>
    </row>
    <row r="915">
      <c r="B915" s="44"/>
      <c r="D915" s="44"/>
      <c r="F915" s="44"/>
      <c r="G915" s="44"/>
      <c r="I915" s="44"/>
      <c r="K915" s="44"/>
      <c r="M915" s="44"/>
      <c r="O915" s="44"/>
      <c r="Q915" s="44"/>
    </row>
    <row r="916">
      <c r="B916" s="44"/>
      <c r="D916" s="44"/>
      <c r="F916" s="44"/>
      <c r="G916" s="44"/>
      <c r="I916" s="44"/>
      <c r="K916" s="44"/>
      <c r="M916" s="44"/>
      <c r="O916" s="44"/>
      <c r="Q916" s="44"/>
    </row>
    <row r="917">
      <c r="B917" s="44"/>
      <c r="D917" s="44"/>
      <c r="F917" s="44"/>
      <c r="G917" s="44"/>
      <c r="I917" s="44"/>
      <c r="K917" s="44"/>
      <c r="M917" s="44"/>
      <c r="O917" s="44"/>
      <c r="Q917" s="44"/>
    </row>
    <row r="918">
      <c r="B918" s="44"/>
      <c r="D918" s="44"/>
      <c r="F918" s="44"/>
      <c r="G918" s="44"/>
      <c r="I918" s="44"/>
      <c r="K918" s="44"/>
      <c r="M918" s="44"/>
      <c r="O918" s="44"/>
      <c r="Q918" s="44"/>
    </row>
    <row r="919">
      <c r="B919" s="44"/>
      <c r="D919" s="44"/>
      <c r="F919" s="44"/>
      <c r="G919" s="44"/>
      <c r="I919" s="44"/>
      <c r="K919" s="44"/>
      <c r="M919" s="44"/>
      <c r="O919" s="44"/>
      <c r="Q919" s="44"/>
    </row>
    <row r="920">
      <c r="B920" s="44"/>
      <c r="D920" s="44"/>
      <c r="F920" s="44"/>
      <c r="G920" s="44"/>
      <c r="I920" s="44"/>
      <c r="K920" s="44"/>
      <c r="M920" s="44"/>
      <c r="O920" s="44"/>
      <c r="Q920" s="44"/>
    </row>
    <row r="921">
      <c r="B921" s="44"/>
      <c r="D921" s="44"/>
      <c r="F921" s="44"/>
      <c r="G921" s="44"/>
      <c r="I921" s="44"/>
      <c r="K921" s="44"/>
      <c r="M921" s="44"/>
      <c r="O921" s="44"/>
      <c r="Q921" s="44"/>
    </row>
    <row r="922">
      <c r="B922" s="44"/>
      <c r="D922" s="44"/>
      <c r="F922" s="44"/>
      <c r="G922" s="44"/>
      <c r="I922" s="44"/>
      <c r="K922" s="44"/>
      <c r="M922" s="44"/>
      <c r="O922" s="44"/>
      <c r="Q922" s="44"/>
    </row>
    <row r="923">
      <c r="B923" s="44"/>
      <c r="D923" s="44"/>
      <c r="F923" s="44"/>
      <c r="G923" s="44"/>
      <c r="I923" s="44"/>
      <c r="K923" s="44"/>
      <c r="M923" s="44"/>
      <c r="O923" s="44"/>
      <c r="Q923" s="44"/>
    </row>
    <row r="924">
      <c r="B924" s="44"/>
      <c r="D924" s="44"/>
      <c r="F924" s="44"/>
      <c r="G924" s="44"/>
      <c r="I924" s="44"/>
      <c r="K924" s="44"/>
      <c r="M924" s="44"/>
      <c r="O924" s="44"/>
      <c r="Q924" s="44"/>
    </row>
    <row r="925">
      <c r="B925" s="44"/>
      <c r="D925" s="44"/>
      <c r="F925" s="44"/>
      <c r="G925" s="44"/>
      <c r="I925" s="44"/>
      <c r="K925" s="44"/>
      <c r="M925" s="44"/>
      <c r="O925" s="44"/>
      <c r="Q925" s="44"/>
    </row>
    <row r="926">
      <c r="B926" s="44"/>
      <c r="D926" s="44"/>
      <c r="F926" s="44"/>
      <c r="G926" s="44"/>
      <c r="I926" s="44"/>
      <c r="K926" s="44"/>
      <c r="M926" s="44"/>
      <c r="O926" s="44"/>
      <c r="Q926" s="44"/>
    </row>
    <row r="927">
      <c r="B927" s="44"/>
      <c r="D927" s="44"/>
      <c r="F927" s="44"/>
      <c r="G927" s="44"/>
      <c r="I927" s="44"/>
      <c r="K927" s="44"/>
      <c r="M927" s="44"/>
      <c r="O927" s="44"/>
      <c r="Q927" s="44"/>
    </row>
    <row r="928">
      <c r="B928" s="44"/>
      <c r="D928" s="44"/>
      <c r="F928" s="44"/>
      <c r="G928" s="44"/>
      <c r="I928" s="44"/>
      <c r="K928" s="44"/>
      <c r="M928" s="44"/>
      <c r="O928" s="44"/>
      <c r="Q928" s="44"/>
    </row>
    <row r="929">
      <c r="B929" s="44"/>
      <c r="D929" s="44"/>
      <c r="F929" s="44"/>
      <c r="G929" s="44"/>
      <c r="I929" s="44"/>
      <c r="K929" s="44"/>
      <c r="M929" s="44"/>
      <c r="O929" s="44"/>
      <c r="Q929" s="44"/>
    </row>
    <row r="930">
      <c r="B930" s="44"/>
      <c r="D930" s="44"/>
      <c r="F930" s="44"/>
      <c r="G930" s="44"/>
      <c r="I930" s="44"/>
      <c r="K930" s="44"/>
      <c r="M930" s="44"/>
      <c r="O930" s="44"/>
      <c r="Q930" s="44"/>
    </row>
    <row r="931">
      <c r="B931" s="44"/>
      <c r="D931" s="44"/>
      <c r="F931" s="44"/>
      <c r="G931" s="44"/>
      <c r="I931" s="44"/>
      <c r="K931" s="44"/>
      <c r="M931" s="44"/>
      <c r="O931" s="44"/>
      <c r="Q931" s="44"/>
    </row>
    <row r="932">
      <c r="B932" s="44"/>
      <c r="D932" s="44"/>
      <c r="F932" s="44"/>
      <c r="G932" s="44"/>
      <c r="I932" s="44"/>
      <c r="K932" s="44"/>
      <c r="M932" s="44"/>
      <c r="O932" s="44"/>
      <c r="Q932" s="44"/>
    </row>
    <row r="933">
      <c r="B933" s="44"/>
      <c r="D933" s="44"/>
      <c r="F933" s="44"/>
      <c r="G933" s="44"/>
      <c r="I933" s="44"/>
      <c r="K933" s="44"/>
      <c r="M933" s="44"/>
      <c r="O933" s="44"/>
      <c r="Q933" s="44"/>
    </row>
    <row r="934">
      <c r="B934" s="44"/>
      <c r="D934" s="44"/>
      <c r="F934" s="44"/>
      <c r="G934" s="44"/>
      <c r="I934" s="44"/>
      <c r="K934" s="44"/>
      <c r="M934" s="44"/>
      <c r="O934" s="44"/>
      <c r="Q934" s="44"/>
    </row>
    <row r="935">
      <c r="B935" s="44"/>
      <c r="D935" s="44"/>
      <c r="F935" s="44"/>
      <c r="G935" s="44"/>
      <c r="I935" s="44"/>
      <c r="K935" s="44"/>
      <c r="M935" s="44"/>
      <c r="O935" s="44"/>
      <c r="Q935" s="44"/>
    </row>
    <row r="936">
      <c r="B936" s="44"/>
      <c r="D936" s="44"/>
      <c r="F936" s="44"/>
      <c r="G936" s="44"/>
      <c r="I936" s="44"/>
      <c r="K936" s="44"/>
      <c r="M936" s="44"/>
      <c r="O936" s="44"/>
      <c r="Q936" s="44"/>
    </row>
    <row r="937">
      <c r="B937" s="44"/>
      <c r="D937" s="44"/>
      <c r="F937" s="44"/>
      <c r="G937" s="44"/>
      <c r="I937" s="44"/>
      <c r="K937" s="44"/>
      <c r="M937" s="44"/>
      <c r="O937" s="44"/>
      <c r="Q937" s="44"/>
    </row>
    <row r="938">
      <c r="B938" s="44"/>
      <c r="D938" s="44"/>
      <c r="F938" s="44"/>
      <c r="G938" s="44"/>
      <c r="I938" s="44"/>
      <c r="K938" s="44"/>
      <c r="M938" s="44"/>
      <c r="O938" s="44"/>
      <c r="Q938" s="44"/>
    </row>
    <row r="939">
      <c r="B939" s="44"/>
      <c r="D939" s="44"/>
      <c r="F939" s="44"/>
      <c r="G939" s="44"/>
      <c r="I939" s="44"/>
      <c r="K939" s="44"/>
      <c r="M939" s="44"/>
      <c r="O939" s="44"/>
      <c r="Q939" s="44"/>
    </row>
    <row r="940">
      <c r="B940" s="44"/>
      <c r="D940" s="44"/>
      <c r="F940" s="44"/>
      <c r="G940" s="44"/>
      <c r="I940" s="44"/>
      <c r="K940" s="44"/>
      <c r="M940" s="44"/>
      <c r="O940" s="44"/>
      <c r="Q940" s="44"/>
    </row>
    <row r="941">
      <c r="B941" s="44"/>
      <c r="D941" s="44"/>
      <c r="F941" s="44"/>
      <c r="G941" s="44"/>
      <c r="I941" s="44"/>
      <c r="K941" s="44"/>
      <c r="M941" s="44"/>
      <c r="O941" s="44"/>
      <c r="Q941" s="44"/>
    </row>
    <row r="942">
      <c r="B942" s="44"/>
      <c r="D942" s="44"/>
      <c r="F942" s="44"/>
      <c r="G942" s="44"/>
      <c r="I942" s="44"/>
      <c r="K942" s="44"/>
      <c r="M942" s="44"/>
      <c r="O942" s="44"/>
      <c r="Q942" s="44"/>
    </row>
    <row r="943">
      <c r="B943" s="44"/>
      <c r="D943" s="44"/>
      <c r="F943" s="44"/>
      <c r="G943" s="44"/>
      <c r="I943" s="44"/>
      <c r="K943" s="44"/>
      <c r="M943" s="44"/>
      <c r="O943" s="44"/>
      <c r="Q943" s="44"/>
    </row>
    <row r="944">
      <c r="B944" s="44"/>
      <c r="D944" s="44"/>
      <c r="F944" s="44"/>
      <c r="G944" s="44"/>
      <c r="I944" s="44"/>
      <c r="K944" s="44"/>
      <c r="M944" s="44"/>
      <c r="O944" s="44"/>
      <c r="Q944" s="44"/>
    </row>
    <row r="945">
      <c r="B945" s="44"/>
      <c r="D945" s="44"/>
      <c r="F945" s="44"/>
      <c r="G945" s="44"/>
      <c r="I945" s="44"/>
      <c r="K945" s="44"/>
      <c r="M945" s="44"/>
      <c r="O945" s="44"/>
      <c r="Q945" s="44"/>
    </row>
    <row r="946">
      <c r="B946" s="44"/>
      <c r="D946" s="44"/>
      <c r="F946" s="44"/>
      <c r="G946" s="44"/>
      <c r="I946" s="44"/>
      <c r="K946" s="44"/>
      <c r="M946" s="44"/>
      <c r="O946" s="44"/>
      <c r="Q946" s="44"/>
    </row>
    <row r="947">
      <c r="B947" s="44"/>
      <c r="D947" s="44"/>
      <c r="F947" s="44"/>
      <c r="G947" s="44"/>
      <c r="I947" s="44"/>
      <c r="K947" s="44"/>
      <c r="M947" s="44"/>
      <c r="O947" s="44"/>
      <c r="Q947" s="44"/>
    </row>
    <row r="948">
      <c r="B948" s="44"/>
      <c r="D948" s="44"/>
      <c r="F948" s="44"/>
      <c r="G948" s="44"/>
      <c r="I948" s="44"/>
      <c r="K948" s="44"/>
      <c r="M948" s="44"/>
      <c r="O948" s="44"/>
      <c r="Q948" s="44"/>
    </row>
    <row r="949">
      <c r="B949" s="44"/>
      <c r="D949" s="44"/>
      <c r="F949" s="44"/>
      <c r="G949" s="44"/>
      <c r="I949" s="44"/>
      <c r="K949" s="44"/>
      <c r="M949" s="44"/>
      <c r="O949" s="44"/>
      <c r="Q949" s="44"/>
    </row>
    <row r="950">
      <c r="B950" s="44"/>
      <c r="D950" s="44"/>
      <c r="F950" s="44"/>
      <c r="G950" s="44"/>
      <c r="I950" s="44"/>
      <c r="K950" s="44"/>
      <c r="M950" s="44"/>
      <c r="O950" s="44"/>
      <c r="Q950" s="44"/>
    </row>
    <row r="951">
      <c r="B951" s="44"/>
      <c r="D951" s="44"/>
      <c r="F951" s="44"/>
      <c r="G951" s="44"/>
      <c r="I951" s="44"/>
      <c r="K951" s="44"/>
      <c r="M951" s="44"/>
      <c r="O951" s="44"/>
      <c r="Q951" s="44"/>
    </row>
    <row r="952">
      <c r="B952" s="44"/>
      <c r="D952" s="44"/>
      <c r="F952" s="44"/>
      <c r="G952" s="44"/>
      <c r="I952" s="44"/>
      <c r="K952" s="44"/>
      <c r="M952" s="44"/>
      <c r="O952" s="44"/>
      <c r="Q952" s="44"/>
    </row>
    <row r="953">
      <c r="B953" s="44"/>
      <c r="D953" s="44"/>
      <c r="F953" s="44"/>
      <c r="G953" s="44"/>
      <c r="I953" s="44"/>
      <c r="K953" s="44"/>
      <c r="M953" s="44"/>
      <c r="O953" s="44"/>
      <c r="Q953" s="44"/>
    </row>
    <row r="954">
      <c r="B954" s="44"/>
      <c r="D954" s="44"/>
      <c r="F954" s="44"/>
      <c r="G954" s="44"/>
      <c r="I954" s="44"/>
      <c r="K954" s="44"/>
      <c r="M954" s="44"/>
      <c r="O954" s="44"/>
      <c r="Q954" s="44"/>
    </row>
    <row r="955">
      <c r="B955" s="44"/>
      <c r="D955" s="44"/>
      <c r="F955" s="44"/>
      <c r="G955" s="44"/>
      <c r="I955" s="44"/>
      <c r="K955" s="44"/>
      <c r="M955" s="44"/>
      <c r="O955" s="44"/>
      <c r="Q955" s="44"/>
    </row>
    <row r="956">
      <c r="B956" s="44"/>
      <c r="D956" s="44"/>
      <c r="F956" s="44"/>
      <c r="G956" s="44"/>
      <c r="I956" s="44"/>
      <c r="K956" s="44"/>
      <c r="M956" s="44"/>
      <c r="O956" s="44"/>
      <c r="Q956" s="44"/>
    </row>
    <row r="957">
      <c r="B957" s="44"/>
      <c r="D957" s="44"/>
      <c r="F957" s="44"/>
      <c r="G957" s="44"/>
      <c r="I957" s="44"/>
      <c r="K957" s="44"/>
      <c r="M957" s="44"/>
      <c r="O957" s="44"/>
      <c r="Q957" s="44"/>
    </row>
    <row r="958">
      <c r="B958" s="44"/>
      <c r="D958" s="44"/>
      <c r="F958" s="44"/>
      <c r="G958" s="44"/>
      <c r="I958" s="44"/>
      <c r="K958" s="44"/>
      <c r="M958" s="44"/>
      <c r="O958" s="44"/>
      <c r="Q958" s="44"/>
    </row>
    <row r="959">
      <c r="B959" s="44"/>
      <c r="D959" s="44"/>
      <c r="F959" s="44"/>
      <c r="G959" s="44"/>
      <c r="I959" s="44"/>
      <c r="K959" s="44"/>
      <c r="M959" s="44"/>
      <c r="O959" s="44"/>
      <c r="Q959" s="44"/>
    </row>
    <row r="960">
      <c r="B960" s="44"/>
      <c r="D960" s="44"/>
      <c r="F960" s="44"/>
      <c r="G960" s="44"/>
      <c r="I960" s="44"/>
      <c r="K960" s="44"/>
      <c r="M960" s="44"/>
      <c r="O960" s="44"/>
      <c r="Q960" s="44"/>
    </row>
    <row r="961">
      <c r="B961" s="44"/>
      <c r="D961" s="44"/>
      <c r="F961" s="44"/>
      <c r="G961" s="44"/>
      <c r="I961" s="44"/>
      <c r="K961" s="44"/>
      <c r="M961" s="44"/>
      <c r="O961" s="44"/>
      <c r="Q961" s="44"/>
    </row>
    <row r="962">
      <c r="B962" s="44"/>
      <c r="D962" s="44"/>
      <c r="F962" s="44"/>
      <c r="G962" s="44"/>
      <c r="I962" s="44"/>
      <c r="K962" s="44"/>
      <c r="M962" s="44"/>
      <c r="O962" s="44"/>
      <c r="Q962" s="44"/>
    </row>
    <row r="963">
      <c r="B963" s="44"/>
      <c r="D963" s="44"/>
      <c r="F963" s="44"/>
      <c r="G963" s="44"/>
      <c r="I963" s="44"/>
      <c r="K963" s="44"/>
      <c r="M963" s="44"/>
      <c r="O963" s="44"/>
      <c r="Q963" s="44"/>
    </row>
    <row r="964">
      <c r="B964" s="44"/>
      <c r="D964" s="44"/>
      <c r="F964" s="44"/>
      <c r="G964" s="44"/>
      <c r="I964" s="44"/>
      <c r="K964" s="44"/>
      <c r="M964" s="44"/>
      <c r="O964" s="44"/>
      <c r="Q964" s="44"/>
    </row>
    <row r="965">
      <c r="B965" s="44"/>
      <c r="D965" s="44"/>
      <c r="F965" s="44"/>
      <c r="G965" s="44"/>
      <c r="I965" s="44"/>
      <c r="K965" s="44"/>
      <c r="M965" s="44"/>
      <c r="O965" s="44"/>
      <c r="Q965" s="44"/>
    </row>
    <row r="966">
      <c r="B966" s="44"/>
      <c r="D966" s="44"/>
      <c r="F966" s="44"/>
      <c r="G966" s="44"/>
      <c r="I966" s="44"/>
      <c r="K966" s="44"/>
      <c r="M966" s="44"/>
      <c r="O966" s="44"/>
      <c r="Q966" s="44"/>
    </row>
    <row r="967">
      <c r="B967" s="44"/>
      <c r="D967" s="44"/>
      <c r="F967" s="44"/>
      <c r="G967" s="44"/>
      <c r="I967" s="44"/>
      <c r="K967" s="44"/>
      <c r="M967" s="44"/>
      <c r="O967" s="44"/>
      <c r="Q967" s="44"/>
    </row>
    <row r="968">
      <c r="B968" s="44"/>
      <c r="D968" s="44"/>
      <c r="F968" s="44"/>
      <c r="G968" s="44"/>
      <c r="I968" s="44"/>
      <c r="K968" s="44"/>
      <c r="M968" s="44"/>
      <c r="O968" s="44"/>
      <c r="Q968" s="44"/>
    </row>
    <row r="969">
      <c r="B969" s="44"/>
      <c r="D969" s="44"/>
      <c r="F969" s="44"/>
      <c r="G969" s="44"/>
      <c r="I969" s="44"/>
      <c r="K969" s="44"/>
      <c r="M969" s="44"/>
      <c r="O969" s="44"/>
      <c r="Q969" s="44"/>
    </row>
    <row r="970">
      <c r="B970" s="44"/>
      <c r="D970" s="44"/>
      <c r="F970" s="44"/>
      <c r="G970" s="44"/>
      <c r="I970" s="44"/>
      <c r="K970" s="44"/>
      <c r="M970" s="44"/>
      <c r="O970" s="44"/>
      <c r="Q970" s="44"/>
    </row>
    <row r="971">
      <c r="B971" s="44"/>
      <c r="D971" s="44"/>
      <c r="F971" s="44"/>
      <c r="G971" s="44"/>
      <c r="I971" s="44"/>
      <c r="K971" s="44"/>
      <c r="M971" s="44"/>
      <c r="O971" s="44"/>
      <c r="Q971" s="44"/>
    </row>
    <row r="972">
      <c r="B972" s="44"/>
      <c r="D972" s="44"/>
      <c r="F972" s="44"/>
      <c r="G972" s="44"/>
      <c r="I972" s="44"/>
      <c r="K972" s="44"/>
      <c r="M972" s="44"/>
      <c r="O972" s="44"/>
      <c r="Q972" s="44"/>
    </row>
    <row r="973">
      <c r="B973" s="44"/>
      <c r="D973" s="44"/>
      <c r="F973" s="44"/>
      <c r="G973" s="44"/>
      <c r="I973" s="44"/>
      <c r="K973" s="44"/>
      <c r="M973" s="44"/>
      <c r="O973" s="44"/>
      <c r="Q973" s="44"/>
    </row>
    <row r="974">
      <c r="B974" s="44"/>
      <c r="D974" s="44"/>
      <c r="F974" s="44"/>
      <c r="G974" s="44"/>
      <c r="I974" s="44"/>
      <c r="K974" s="44"/>
      <c r="M974" s="44"/>
      <c r="O974" s="44"/>
      <c r="Q974" s="44"/>
    </row>
    <row r="975">
      <c r="B975" s="44"/>
      <c r="D975" s="44"/>
      <c r="F975" s="44"/>
      <c r="G975" s="44"/>
      <c r="I975" s="44"/>
      <c r="K975" s="44"/>
      <c r="M975" s="44"/>
      <c r="O975" s="44"/>
      <c r="Q975" s="44"/>
    </row>
    <row r="976">
      <c r="B976" s="44"/>
      <c r="D976" s="44"/>
      <c r="F976" s="44"/>
      <c r="G976" s="44"/>
      <c r="I976" s="44"/>
      <c r="K976" s="44"/>
      <c r="M976" s="44"/>
      <c r="O976" s="44"/>
      <c r="Q976" s="44"/>
    </row>
    <row r="977">
      <c r="B977" s="44"/>
      <c r="D977" s="44"/>
      <c r="F977" s="44"/>
      <c r="G977" s="44"/>
      <c r="I977" s="44"/>
      <c r="K977" s="44"/>
      <c r="M977" s="44"/>
      <c r="O977" s="44"/>
      <c r="Q977" s="44"/>
    </row>
    <row r="978">
      <c r="B978" s="44"/>
      <c r="D978" s="44"/>
      <c r="F978" s="44"/>
      <c r="G978" s="44"/>
      <c r="I978" s="44"/>
      <c r="K978" s="44"/>
      <c r="M978" s="44"/>
      <c r="O978" s="44"/>
      <c r="Q978" s="44"/>
    </row>
    <row r="979">
      <c r="B979" s="44"/>
      <c r="D979" s="44"/>
      <c r="F979" s="44"/>
      <c r="G979" s="44"/>
      <c r="I979" s="44"/>
      <c r="K979" s="44"/>
      <c r="M979" s="44"/>
      <c r="O979" s="44"/>
      <c r="Q979" s="44"/>
    </row>
    <row r="980">
      <c r="B980" s="44"/>
      <c r="D980" s="44"/>
      <c r="F980" s="44"/>
      <c r="G980" s="44"/>
      <c r="I980" s="44"/>
      <c r="K980" s="44"/>
      <c r="M980" s="44"/>
      <c r="O980" s="44"/>
      <c r="Q980" s="44"/>
    </row>
    <row r="981">
      <c r="B981" s="44"/>
      <c r="D981" s="44"/>
      <c r="F981" s="44"/>
      <c r="G981" s="44"/>
      <c r="I981" s="44"/>
      <c r="K981" s="44"/>
      <c r="M981" s="44"/>
      <c r="O981" s="44"/>
      <c r="Q981" s="44"/>
    </row>
    <row r="982">
      <c r="B982" s="44"/>
      <c r="D982" s="44"/>
      <c r="F982" s="44"/>
      <c r="G982" s="44"/>
      <c r="I982" s="44"/>
      <c r="K982" s="44"/>
      <c r="M982" s="44"/>
      <c r="O982" s="44"/>
      <c r="Q982" s="44"/>
    </row>
    <row r="983">
      <c r="B983" s="44"/>
      <c r="D983" s="44"/>
      <c r="F983" s="44"/>
      <c r="G983" s="44"/>
      <c r="I983" s="44"/>
      <c r="K983" s="44"/>
      <c r="M983" s="44"/>
      <c r="O983" s="44"/>
      <c r="Q983" s="44"/>
    </row>
    <row r="984">
      <c r="B984" s="44"/>
      <c r="D984" s="44"/>
      <c r="F984" s="44"/>
      <c r="G984" s="44"/>
      <c r="I984" s="44"/>
      <c r="K984" s="44"/>
      <c r="M984" s="44"/>
      <c r="O984" s="44"/>
      <c r="Q984" s="44"/>
    </row>
    <row r="985">
      <c r="B985" s="44"/>
      <c r="D985" s="44"/>
      <c r="F985" s="44"/>
      <c r="G985" s="44"/>
      <c r="I985" s="44"/>
      <c r="K985" s="44"/>
      <c r="M985" s="44"/>
      <c r="O985" s="44"/>
      <c r="Q985" s="44"/>
    </row>
    <row r="986">
      <c r="B986" s="44"/>
      <c r="D986" s="44"/>
      <c r="F986" s="44"/>
      <c r="G986" s="44"/>
      <c r="I986" s="44"/>
      <c r="K986" s="44"/>
      <c r="M986" s="44"/>
      <c r="O986" s="44"/>
      <c r="Q986" s="44"/>
    </row>
    <row r="987">
      <c r="B987" s="44"/>
      <c r="D987" s="44"/>
      <c r="F987" s="44"/>
      <c r="G987" s="44"/>
      <c r="I987" s="44"/>
      <c r="K987" s="44"/>
      <c r="M987" s="44"/>
      <c r="O987" s="44"/>
      <c r="Q987" s="44"/>
    </row>
    <row r="988">
      <c r="B988" s="44"/>
      <c r="D988" s="44"/>
      <c r="F988" s="44"/>
      <c r="G988" s="44"/>
      <c r="I988" s="44"/>
      <c r="K988" s="44"/>
      <c r="M988" s="44"/>
      <c r="O988" s="44"/>
      <c r="Q988" s="44"/>
    </row>
    <row r="989">
      <c r="B989" s="44"/>
      <c r="D989" s="44"/>
      <c r="F989" s="44"/>
      <c r="G989" s="44"/>
      <c r="I989" s="44"/>
      <c r="K989" s="44"/>
      <c r="M989" s="44"/>
      <c r="O989" s="44"/>
      <c r="Q989" s="44"/>
    </row>
    <row r="990">
      <c r="B990" s="44"/>
      <c r="D990" s="44"/>
      <c r="F990" s="44"/>
      <c r="G990" s="44"/>
      <c r="I990" s="44"/>
      <c r="K990" s="44"/>
      <c r="M990" s="44"/>
      <c r="O990" s="44"/>
      <c r="Q990" s="44"/>
    </row>
    <row r="991">
      <c r="B991" s="44"/>
      <c r="D991" s="44"/>
      <c r="F991" s="44"/>
      <c r="G991" s="44"/>
      <c r="I991" s="44"/>
      <c r="K991" s="44"/>
      <c r="M991" s="44"/>
      <c r="O991" s="44"/>
      <c r="Q991" s="44"/>
    </row>
    <row r="992">
      <c r="B992" s="44"/>
      <c r="D992" s="44"/>
      <c r="F992" s="44"/>
      <c r="G992" s="44"/>
      <c r="I992" s="44"/>
      <c r="K992" s="44"/>
      <c r="M992" s="44"/>
      <c r="O992" s="44"/>
      <c r="Q992" s="44"/>
    </row>
    <row r="993">
      <c r="B993" s="44"/>
      <c r="D993" s="44"/>
      <c r="F993" s="44"/>
      <c r="G993" s="44"/>
      <c r="I993" s="44"/>
      <c r="K993" s="44"/>
      <c r="M993" s="44"/>
      <c r="O993" s="44"/>
      <c r="Q993" s="44"/>
    </row>
    <row r="994">
      <c r="B994" s="44"/>
      <c r="D994" s="44"/>
      <c r="F994" s="44"/>
      <c r="G994" s="44"/>
      <c r="I994" s="44"/>
      <c r="K994" s="44"/>
      <c r="M994" s="44"/>
      <c r="O994" s="44"/>
      <c r="Q994" s="44"/>
    </row>
    <row r="995">
      <c r="B995" s="44"/>
      <c r="D995" s="44"/>
      <c r="F995" s="44"/>
      <c r="G995" s="44"/>
      <c r="I995" s="44"/>
      <c r="K995" s="44"/>
      <c r="M995" s="44"/>
      <c r="O995" s="44"/>
      <c r="Q995" s="44"/>
    </row>
    <row r="996">
      <c r="B996" s="44"/>
      <c r="D996" s="44"/>
      <c r="F996" s="44"/>
      <c r="G996" s="44"/>
      <c r="I996" s="44"/>
      <c r="K996" s="44"/>
      <c r="M996" s="44"/>
      <c r="O996" s="44"/>
      <c r="Q996" s="44"/>
    </row>
    <row r="997">
      <c r="B997" s="44"/>
      <c r="D997" s="44"/>
      <c r="F997" s="44"/>
      <c r="G997" s="44"/>
      <c r="I997" s="44"/>
      <c r="K997" s="44"/>
      <c r="M997" s="44"/>
      <c r="O997" s="44"/>
      <c r="Q997" s="44"/>
    </row>
    <row r="998">
      <c r="B998" s="44"/>
      <c r="D998" s="44"/>
      <c r="F998" s="44"/>
      <c r="G998" s="44"/>
      <c r="I998" s="44"/>
      <c r="K998" s="44"/>
      <c r="M998" s="44"/>
      <c r="O998" s="44"/>
      <c r="Q998" s="44"/>
    </row>
    <row r="999">
      <c r="B999" s="44"/>
      <c r="D999" s="44"/>
      <c r="F999" s="44"/>
      <c r="G999" s="44"/>
      <c r="I999" s="44"/>
      <c r="K999" s="44"/>
      <c r="M999" s="44"/>
      <c r="O999" s="44"/>
      <c r="Q999" s="44"/>
    </row>
    <row r="1000">
      <c r="B1000" s="44"/>
      <c r="D1000" s="44"/>
      <c r="F1000" s="44"/>
      <c r="G1000" s="44"/>
      <c r="I1000" s="44"/>
      <c r="K1000" s="44"/>
      <c r="M1000" s="44"/>
      <c r="O1000" s="44"/>
      <c r="Q1000" s="44"/>
    </row>
  </sheetData>
  <hyperlinks>
    <hyperlink r:id="rId1" ref="R2"/>
    <hyperlink r:id="rId2" ref="O8"/>
    <hyperlink r:id="rId3" ref="O9"/>
  </hyperlinks>
  <drawing r:id="rId4"/>
</worksheet>
</file>