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<sst xmlns="http://schemas.openxmlformats.org/spreadsheetml/2006/main" count="45" uniqueCount="40">
  <si>
    <t>12 000e sum of debt</t>
  </si>
  <si>
    <t>-8250e</t>
  </si>
  <si>
    <t>LN tank AV lab's share paid by AF lab</t>
  </si>
  <si>
    <t>-6.5x97e=630.5e</t>
  </si>
  <si>
    <t>racks for LN tank AV lab's share paid by AF lab</t>
  </si>
  <si>
    <t xml:space="preserve">3119.5e </t>
  </si>
  <si>
    <t>left</t>
  </si>
  <si>
    <t>- Cultrex RGF Basement Membrane Extract, Type 2</t>
  </si>
  <si>
    <t>3533-010-02</t>
  </si>
  <si>
    <t>2x5ml</t>
  </si>
  <si>
    <t>R&amp;D systems</t>
  </si>
  <si>
    <t>bio-techne/City-Lab</t>
  </si>
  <si>
    <t>3.6.2020</t>
  </si>
  <si>
    <t>NC</t>
  </si>
  <si>
    <t>9.6.2020</t>
  </si>
  <si>
    <t>Early Career grant</t>
  </si>
  <si>
    <t>-9 metal racks for -80oC Revco, Vähärautio</t>
  </si>
  <si>
    <t>TE23136</t>
  </si>
  <si>
    <t>9x110e</t>
  </si>
  <si>
    <t>Labnet.City-Lab</t>
  </si>
  <si>
    <t>30.6.2020</t>
  </si>
  <si>
    <t>2500e sequensing debt to AF lab</t>
  </si>
  <si>
    <t>So, recalculated 8.9.2020</t>
  </si>
  <si>
    <t>2500-1800=700e debt AV to AF lab</t>
  </si>
  <si>
    <t>FINAL Linde bill for LN freezer arrived, 27 Nov 2020</t>
  </si>
  <si>
    <t xml:space="preserve">38198e </t>
  </si>
  <si>
    <t>with VAT</t>
  </si>
  <si>
    <t>freezer</t>
  </si>
  <si>
    <t>mechanic overfill protection</t>
  </si>
  <si>
    <t>26 racks</t>
  </si>
  <si>
    <t>takuuaikainen huolto</t>
  </si>
  <si>
    <t>for 4 labs</t>
  </si>
  <si>
    <t>per each lab</t>
  </si>
  <si>
    <t xml:space="preserve">In my June 2020 calculations of debts return I counted </t>
  </si>
  <si>
    <t>8250e for AV lab share of a freezer</t>
  </si>
  <si>
    <t>630.5e of AV share of the racks</t>
  </si>
  <si>
    <t>8880.5e</t>
  </si>
  <si>
    <t>AF lab pays debt back to AV lab</t>
  </si>
  <si>
    <t xml:space="preserve">So, from the final Linde bill AV lab still needs to pay </t>
  </si>
  <si>
    <r>
      <rPr>
        <rFont val="Arial"/>
        <color theme="1"/>
      </rPr>
      <t>11841.38-8880.5 =</t>
    </r>
    <r>
      <rPr>
        <rFont val="Arial"/>
        <b/>
        <color rgb="FFFF0000"/>
      </rPr>
      <t>2960.00e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</si>
</sst>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center" vertical="bottom"/>
    </xf>
    <xf borderId="2" fillId="2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vertical="bottom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Border="1" applyFont="1"/>
    <xf borderId="2" fillId="0" fontId="3" numFmtId="0" xfId="0" applyAlignment="1" applyBorder="1" applyFont="1">
      <alignment horizontal="center" readingOrder="0" vertical="bottom"/>
    </xf>
    <xf borderId="2" fillId="4" fontId="1" numFmtId="0" xfId="0" applyAlignment="1" applyBorder="1" applyFill="1" applyFont="1">
      <alignment vertical="bottom"/>
    </xf>
    <xf borderId="2" fillId="4" fontId="1" numFmtId="0" xfId="0" applyAlignment="1" applyBorder="1" applyFont="1">
      <alignment horizontal="center" vertical="bottom"/>
    </xf>
    <xf borderId="0" fillId="5" fontId="5" numFmtId="0" xfId="0" applyAlignment="1" applyFill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0" fontId="6" numFmtId="0" xfId="0" applyBorder="1" applyFont="1"/>
    <xf borderId="1" fillId="0" fontId="6" numFmtId="0" xfId="0" applyBorder="1" applyFont="1"/>
    <xf borderId="7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8" fillId="0" fontId="7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13.5"/>
    <col customWidth="1" min="3" max="3" width="35.38"/>
    <col customWidth="1" min="6" max="6" width="15.0"/>
    <col customWidth="1" min="13" max="13" width="14.63"/>
  </cols>
  <sheetData>
    <row r="1">
      <c r="A1" s="1" t="s">
        <v>0</v>
      </c>
      <c r="B1" s="1" t="s">
        <v>1</v>
      </c>
      <c r="C1" s="1" t="s">
        <v>2</v>
      </c>
      <c r="D1" s="2">
        <v>43983.0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3</v>
      </c>
      <c r="C2" s="5" t="s">
        <v>4</v>
      </c>
      <c r="D2" s="2">
        <v>43983.0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6" t="s">
        <v>5</v>
      </c>
      <c r="C3" s="6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7</v>
      </c>
      <c r="B4" s="8" t="s">
        <v>8</v>
      </c>
      <c r="C4" s="8" t="s">
        <v>9</v>
      </c>
      <c r="D4" s="8">
        <v>1.0</v>
      </c>
      <c r="E4" s="9" t="s">
        <v>10</v>
      </c>
      <c r="F4" s="9" t="s">
        <v>11</v>
      </c>
      <c r="G4" s="10">
        <v>285.0</v>
      </c>
      <c r="H4" s="11">
        <f>G4*D4</f>
        <v>285</v>
      </c>
      <c r="I4" s="8" t="s">
        <v>12</v>
      </c>
      <c r="J4" s="12" t="s">
        <v>13</v>
      </c>
      <c r="K4" s="13" t="s">
        <v>14</v>
      </c>
      <c r="L4" s="13" t="s">
        <v>13</v>
      </c>
      <c r="M4" s="14" t="s">
        <v>15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6">
        <v>2813.5</v>
      </c>
      <c r="C5" s="6" t="s">
        <v>6</v>
      </c>
      <c r="D5" s="3"/>
      <c r="E5" s="3"/>
      <c r="F5" s="3"/>
      <c r="G5" s="3"/>
      <c r="H5" s="3"/>
      <c r="I5" s="3"/>
      <c r="J5" s="3"/>
      <c r="K5" s="3"/>
      <c r="L5" s="1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 t="s">
        <v>16</v>
      </c>
      <c r="B6" s="17" t="s">
        <v>17</v>
      </c>
      <c r="C6" s="17" t="s">
        <v>18</v>
      </c>
      <c r="D6" s="17">
        <v>1.0</v>
      </c>
      <c r="E6" s="18"/>
      <c r="F6" s="16" t="s">
        <v>19</v>
      </c>
      <c r="G6" s="16">
        <v>990.0</v>
      </c>
      <c r="H6" s="18"/>
      <c r="I6" s="19" t="s">
        <v>20</v>
      </c>
      <c r="J6" s="12" t="s">
        <v>13</v>
      </c>
      <c r="K6" s="20"/>
      <c r="L6" s="21"/>
      <c r="M6" s="14" t="s">
        <v>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B7" s="22">
        <v>1823.5</v>
      </c>
      <c r="C7" s="22" t="s">
        <v>6</v>
      </c>
    </row>
    <row r="9">
      <c r="A9" s="23" t="s">
        <v>21</v>
      </c>
      <c r="B9" s="24" t="s">
        <v>22</v>
      </c>
      <c r="C9" s="2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6"/>
      <c r="B10" s="27"/>
      <c r="C10" s="28" t="s">
        <v>23</v>
      </c>
    </row>
    <row r="13">
      <c r="A13" s="29" t="s">
        <v>24</v>
      </c>
    </row>
    <row r="14">
      <c r="A14" s="30" t="s">
        <v>25</v>
      </c>
      <c r="B14" s="29">
        <v>47365.52</v>
      </c>
      <c r="C14" s="30" t="s">
        <v>26</v>
      </c>
    </row>
    <row r="15">
      <c r="A15" s="31" t="s">
        <v>27</v>
      </c>
    </row>
    <row r="16">
      <c r="A16" s="32" t="s">
        <v>28</v>
      </c>
    </row>
    <row r="17">
      <c r="A17" s="32" t="s">
        <v>29</v>
      </c>
    </row>
    <row r="18">
      <c r="A18" s="33" t="s">
        <v>30</v>
      </c>
    </row>
    <row r="19">
      <c r="A19" s="30" t="s">
        <v>31</v>
      </c>
      <c r="B19" s="29">
        <v>11841.38</v>
      </c>
      <c r="C19" s="30" t="s">
        <v>32</v>
      </c>
    </row>
    <row r="21">
      <c r="A21" s="30" t="s">
        <v>33</v>
      </c>
      <c r="B21" s="30" t="s">
        <v>34</v>
      </c>
    </row>
    <row r="22">
      <c r="B22" s="30" t="s">
        <v>35</v>
      </c>
    </row>
    <row r="23">
      <c r="B23" s="34" t="s">
        <v>36</v>
      </c>
      <c r="C23" s="30" t="s">
        <v>37</v>
      </c>
    </row>
    <row r="24">
      <c r="A24" s="30" t="s">
        <v>38</v>
      </c>
    </row>
    <row r="25">
      <c r="A25" s="30" t="s">
        <v>39</v>
      </c>
    </row>
  </sheetData>
  <drawing r:id="rId1"/>
</worksheet>
</file>