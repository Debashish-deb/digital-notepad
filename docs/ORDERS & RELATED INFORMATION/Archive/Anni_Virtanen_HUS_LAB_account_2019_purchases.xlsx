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<sst xmlns="http://schemas.openxmlformats.org/spreadsheetml/2006/main" count="93" uniqueCount="47">
  <si>
    <t>GENEREAD FFPA DNA Kit (50)</t>
  </si>
  <si>
    <t>Qiagen</t>
  </si>
  <si>
    <t>1.10.2019</t>
  </si>
  <si>
    <t>NC</t>
  </si>
  <si>
    <t>2.10.2019 COLD PACKAGIS DID NOT ARRIVE!!! UPD: arrived on 7.10.2019, RT, no dry ice left</t>
  </si>
  <si>
    <t>Anni Virtaten, HUS billing address</t>
  </si>
  <si>
    <t>list price 411e, we got a quote 10%</t>
  </si>
  <si>
    <t>NCR1 Polyclonal Antibody, ALEXA FLUOR® 594 Conjugated</t>
  </si>
  <si>
    <t>bs-10027R-A594</t>
  </si>
  <si>
    <t>100 ul</t>
  </si>
  <si>
    <t>BiossAntibodies</t>
  </si>
  <si>
    <t>ImmunoDiagnostics/City-Lab</t>
  </si>
  <si>
    <t>2.10.2020</t>
  </si>
  <si>
    <t>8.10.2019</t>
  </si>
  <si>
    <t>plus 4oC</t>
  </si>
  <si>
    <t>Brady Label Cartridge 6.4m M21-750-461 6.4m 19.05mm</t>
  </si>
  <si>
    <t>Fisher</t>
  </si>
  <si>
    <t>City-Lab</t>
  </si>
  <si>
    <t>27.11.2019</t>
  </si>
  <si>
    <t>2.12.2019</t>
  </si>
  <si>
    <t>Gibco™ Sodium Pyruvate (100mM)</t>
  </si>
  <si>
    <t>11-360-039</t>
  </si>
  <si>
    <t>100 ml</t>
  </si>
  <si>
    <t>ThermoFischer/Gibco</t>
  </si>
  <si>
    <t>28.11.2019</t>
  </si>
  <si>
    <t>B-27 supplement 50x</t>
  </si>
  <si>
    <t>10 ml</t>
  </si>
  <si>
    <t>ThermoFischer</t>
  </si>
  <si>
    <t>minus 20oC, top drawer</t>
  </si>
  <si>
    <t>Xylene, ACS, 99%</t>
  </si>
  <si>
    <t>2.5L</t>
  </si>
  <si>
    <t>AcrosOrganics</t>
  </si>
  <si>
    <t>Fisher/City-Lab</t>
  </si>
  <si>
    <t>5.11.2019</t>
  </si>
  <si>
    <t>Stainless steel microscopy scissors</t>
  </si>
  <si>
    <t>10065090/4070</t>
  </si>
  <si>
    <t>5.12.2019</t>
  </si>
  <si>
    <t>Scalpels, sterile disposable (blade shape is more round)</t>
  </si>
  <si>
    <t>11798343/0501</t>
  </si>
  <si>
    <t>9.12.2019</t>
  </si>
  <si>
    <t>Stainless steel forceps 18/10, blunt tip, 13mm</t>
  </si>
  <si>
    <t>10169920/1002</t>
  </si>
  <si>
    <t>RQ1 RNase-Free DNase</t>
  </si>
  <si>
    <t>M6101</t>
  </si>
  <si>
    <t>1000U</t>
  </si>
  <si>
    <t>Promega</t>
  </si>
  <si>
    <t>LabNet/City-Lab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</si>
</sst>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rgb="FF2B2B2B"/>
      <name val="Calibri"/>
    </font>
    <font>
      <sz val="11.0"/>
      <color rgb="FF33333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8E7CC3"/>
        <bgColor rgb="FF8E7CC3"/>
      </patternFill>
    </fill>
  </fills>
  <borders count="3">
    <border/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right" vertical="bottom"/>
    </xf>
    <xf borderId="2" fillId="2" fontId="1" numFmtId="0" xfId="0" applyAlignment="1" applyBorder="1" applyFont="1">
      <alignment horizontal="center" vertical="bottom"/>
    </xf>
    <xf borderId="2" fillId="4" fontId="2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2" fillId="2" fontId="4" numFmtId="0" xfId="0" applyAlignment="1" applyBorder="1" applyFont="1">
      <alignment shrinkToFit="0" vertical="bottom" wrapText="1"/>
    </xf>
    <xf borderId="2" fillId="2" fontId="4" numFmtId="0" xfId="0" applyAlignment="1" applyBorder="1" applyFont="1">
      <alignment horizontal="right" vertical="bottom"/>
    </xf>
    <xf borderId="2" fillId="2" fontId="5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13"/>
    <col customWidth="1" min="2" max="2" width="14.38"/>
    <col customWidth="1" min="6" max="6" width="22.88"/>
    <col customWidth="1" min="11" max="12" width="21.0"/>
    <col customWidth="1" min="13" max="13" width="25.88"/>
    <col customWidth="1" min="14" max="14" width="19.25"/>
    <col customWidth="1" min="15" max="15" width="27.25"/>
  </cols>
  <sheetData>
    <row r="1">
      <c r="A1" s="1" t="s">
        <v>0</v>
      </c>
      <c r="B1" s="2">
        <v>180134.0</v>
      </c>
      <c r="C1" s="3">
        <v>50.0</v>
      </c>
      <c r="D1" s="3">
        <v>2.0</v>
      </c>
      <c r="E1" s="3" t="s">
        <v>1</v>
      </c>
      <c r="F1" s="3" t="s">
        <v>1</v>
      </c>
      <c r="G1" s="2">
        <v>369.9</v>
      </c>
      <c r="H1" s="2">
        <f t="shared" ref="H1:H2" si="1">D1*G1</f>
        <v>739.8</v>
      </c>
      <c r="I1" s="3" t="s">
        <v>2</v>
      </c>
      <c r="J1" s="4" t="s">
        <v>3</v>
      </c>
      <c r="K1" s="5" t="s">
        <v>4</v>
      </c>
      <c r="L1" s="6" t="s">
        <v>3</v>
      </c>
      <c r="M1" s="7" t="s">
        <v>5</v>
      </c>
      <c r="N1" s="8"/>
      <c r="O1" s="8" t="s">
        <v>6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7</v>
      </c>
      <c r="B2" s="11" t="s">
        <v>8</v>
      </c>
      <c r="C2" s="12" t="s">
        <v>9</v>
      </c>
      <c r="D2" s="12">
        <v>1.0</v>
      </c>
      <c r="E2" s="12" t="s">
        <v>10</v>
      </c>
      <c r="F2" s="12" t="s">
        <v>11</v>
      </c>
      <c r="G2" s="11">
        <v>457.0</v>
      </c>
      <c r="H2" s="13">
        <f t="shared" si="1"/>
        <v>457</v>
      </c>
      <c r="I2" s="14" t="s">
        <v>12</v>
      </c>
      <c r="J2" s="12" t="s">
        <v>3</v>
      </c>
      <c r="K2" s="12" t="s">
        <v>13</v>
      </c>
      <c r="L2" s="12" t="s">
        <v>3</v>
      </c>
      <c r="M2" s="15" t="s">
        <v>5</v>
      </c>
      <c r="N2" s="10" t="s">
        <v>14</v>
      </c>
      <c r="O2" s="16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7" t="s">
        <v>15</v>
      </c>
      <c r="B3" s="18">
        <v>1.1593894E7</v>
      </c>
      <c r="C3" s="19">
        <v>1.0</v>
      </c>
      <c r="D3" s="12">
        <v>4.0</v>
      </c>
      <c r="E3" s="12" t="s">
        <v>16</v>
      </c>
      <c r="F3" s="19" t="s">
        <v>17</v>
      </c>
      <c r="G3" s="11">
        <v>56.7</v>
      </c>
      <c r="H3" s="11">
        <f t="shared" ref="H3:H10" si="2">G3*D3</f>
        <v>226.8</v>
      </c>
      <c r="I3" s="19" t="s">
        <v>18</v>
      </c>
      <c r="J3" s="19" t="s">
        <v>3</v>
      </c>
      <c r="K3" s="14" t="s">
        <v>19</v>
      </c>
      <c r="L3" s="14" t="s">
        <v>3</v>
      </c>
      <c r="M3" s="15" t="s">
        <v>5</v>
      </c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2" t="s">
        <v>20</v>
      </c>
      <c r="B4" s="23" t="s">
        <v>21</v>
      </c>
      <c r="C4" s="19" t="s">
        <v>22</v>
      </c>
      <c r="D4" s="19">
        <v>5.0</v>
      </c>
      <c r="E4" s="19" t="s">
        <v>23</v>
      </c>
      <c r="F4" s="19" t="s">
        <v>17</v>
      </c>
      <c r="G4" s="18">
        <v>9.02</v>
      </c>
      <c r="H4" s="11">
        <f t="shared" si="2"/>
        <v>45.1</v>
      </c>
      <c r="I4" s="19" t="s">
        <v>18</v>
      </c>
      <c r="J4" s="19" t="s">
        <v>3</v>
      </c>
      <c r="K4" s="12" t="s">
        <v>24</v>
      </c>
      <c r="L4" s="12" t="s">
        <v>3</v>
      </c>
      <c r="M4" s="15" t="s">
        <v>5</v>
      </c>
      <c r="N4" s="17" t="s">
        <v>14</v>
      </c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0" t="s">
        <v>25</v>
      </c>
      <c r="B5" s="24">
        <v>1.7504044E7</v>
      </c>
      <c r="C5" s="19" t="s">
        <v>26</v>
      </c>
      <c r="D5" s="19">
        <v>1.0</v>
      </c>
      <c r="E5" s="19" t="s">
        <v>27</v>
      </c>
      <c r="F5" s="19" t="s">
        <v>17</v>
      </c>
      <c r="G5" s="18">
        <v>107.97</v>
      </c>
      <c r="H5" s="11">
        <f t="shared" si="2"/>
        <v>107.97</v>
      </c>
      <c r="I5" s="19" t="s">
        <v>18</v>
      </c>
      <c r="J5" s="19" t="s">
        <v>3</v>
      </c>
      <c r="K5" s="19" t="s">
        <v>18</v>
      </c>
      <c r="L5" s="19" t="s">
        <v>3</v>
      </c>
      <c r="M5" s="15" t="s">
        <v>5</v>
      </c>
      <c r="N5" s="17" t="s">
        <v>28</v>
      </c>
      <c r="O5" s="20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7" t="s">
        <v>29</v>
      </c>
      <c r="B6" s="18">
        <v>1.0741624E7</v>
      </c>
      <c r="C6" s="19" t="s">
        <v>30</v>
      </c>
      <c r="D6" s="19">
        <v>2.0</v>
      </c>
      <c r="E6" s="19" t="s">
        <v>31</v>
      </c>
      <c r="F6" s="19" t="s">
        <v>32</v>
      </c>
      <c r="G6" s="18">
        <v>110.0</v>
      </c>
      <c r="H6" s="11">
        <f t="shared" si="2"/>
        <v>220</v>
      </c>
      <c r="I6" s="19" t="s">
        <v>24</v>
      </c>
      <c r="J6" s="19" t="s">
        <v>3</v>
      </c>
      <c r="K6" s="12" t="s">
        <v>33</v>
      </c>
      <c r="L6" s="19" t="s">
        <v>3</v>
      </c>
      <c r="M6" s="15" t="s">
        <v>5</v>
      </c>
      <c r="N6" s="20"/>
      <c r="O6" s="2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5" t="s">
        <v>34</v>
      </c>
      <c r="B7" s="4" t="s">
        <v>35</v>
      </c>
      <c r="C7" s="4">
        <v>1.0</v>
      </c>
      <c r="D7" s="4">
        <v>3.0</v>
      </c>
      <c r="E7" s="25" t="s">
        <v>16</v>
      </c>
      <c r="F7" s="25" t="s">
        <v>17</v>
      </c>
      <c r="G7" s="26">
        <v>5.5</v>
      </c>
      <c r="H7" s="26">
        <f t="shared" si="2"/>
        <v>16.5</v>
      </c>
      <c r="I7" s="4" t="s">
        <v>36</v>
      </c>
      <c r="J7" s="4" t="s">
        <v>3</v>
      </c>
      <c r="K7" s="27"/>
      <c r="L7" s="27"/>
      <c r="M7" s="7" t="s">
        <v>5</v>
      </c>
    </row>
    <row r="8">
      <c r="A8" s="17" t="s">
        <v>37</v>
      </c>
      <c r="B8" s="19" t="s">
        <v>38</v>
      </c>
      <c r="C8" s="19">
        <v>10.0</v>
      </c>
      <c r="D8" s="19">
        <v>4.0</v>
      </c>
      <c r="E8" s="17" t="s">
        <v>16</v>
      </c>
      <c r="F8" s="17" t="s">
        <v>17</v>
      </c>
      <c r="G8" s="18">
        <v>5.96</v>
      </c>
      <c r="H8" s="18">
        <f t="shared" si="2"/>
        <v>23.84</v>
      </c>
      <c r="I8" s="19" t="s">
        <v>36</v>
      </c>
      <c r="J8" s="19" t="s">
        <v>3</v>
      </c>
      <c r="K8" s="12" t="s">
        <v>39</v>
      </c>
      <c r="L8" s="12" t="s">
        <v>3</v>
      </c>
      <c r="M8" s="15" t="s">
        <v>5</v>
      </c>
    </row>
    <row r="9">
      <c r="A9" s="17" t="s">
        <v>40</v>
      </c>
      <c r="B9" s="17" t="s">
        <v>41</v>
      </c>
      <c r="C9" s="19">
        <v>1.0</v>
      </c>
      <c r="D9" s="19">
        <v>3.0</v>
      </c>
      <c r="E9" s="17" t="s">
        <v>16</v>
      </c>
      <c r="F9" s="17" t="s">
        <v>17</v>
      </c>
      <c r="G9" s="18">
        <v>4.9</v>
      </c>
      <c r="H9" s="18">
        <f t="shared" si="2"/>
        <v>14.7</v>
      </c>
      <c r="I9" s="19" t="s">
        <v>36</v>
      </c>
      <c r="J9" s="19" t="s">
        <v>3</v>
      </c>
      <c r="K9" s="12" t="s">
        <v>39</v>
      </c>
      <c r="L9" s="12" t="s">
        <v>3</v>
      </c>
      <c r="M9" s="15" t="s">
        <v>5</v>
      </c>
    </row>
    <row r="10">
      <c r="A10" s="10" t="s">
        <v>42</v>
      </c>
      <c r="B10" s="11" t="s">
        <v>43</v>
      </c>
      <c r="C10" s="12" t="s">
        <v>44</v>
      </c>
      <c r="D10" s="12">
        <v>1.0</v>
      </c>
      <c r="E10" s="10" t="s">
        <v>45</v>
      </c>
      <c r="F10" s="10" t="s">
        <v>46</v>
      </c>
      <c r="G10" s="11">
        <v>92.0</v>
      </c>
      <c r="H10" s="18">
        <f t="shared" si="2"/>
        <v>92</v>
      </c>
      <c r="I10" s="19" t="s">
        <v>39</v>
      </c>
      <c r="J10" s="19" t="s">
        <v>3</v>
      </c>
      <c r="K10" s="12" t="s">
        <v>39</v>
      </c>
      <c r="L10" s="12" t="s">
        <v>3</v>
      </c>
      <c r="M10" s="15" t="s">
        <v>5</v>
      </c>
    </row>
  </sheetData>
  <drawing r:id="rId1"/>
</worksheet>
</file>