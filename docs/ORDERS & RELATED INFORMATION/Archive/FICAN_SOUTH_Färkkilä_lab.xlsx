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<sst xmlns="http://schemas.openxmlformats.org/spreadsheetml/2006/main" count="1380" uniqueCount="492">
  <si>
    <t>Brady Label Cartridge 6.4m M21-750-461 6.4m 19.05mm</t>
  </si>
  <si>
    <t>Fisher</t>
  </si>
  <si>
    <t>City-Lab</t>
  </si>
  <si>
    <t>15.8.2019</t>
  </si>
  <si>
    <t>NC</t>
  </si>
  <si>
    <t>19.8.2019</t>
  </si>
  <si>
    <t>FICAN South</t>
  </si>
  <si>
    <t>Scalpels disposable with No. 11 blade</t>
  </si>
  <si>
    <t>10pcs</t>
  </si>
  <si>
    <t>16.8.2019</t>
  </si>
  <si>
    <t>21.8.2019</t>
  </si>
  <si>
    <t>Securline Black SuperFrost/Marker II, extra fine tip</t>
  </si>
  <si>
    <t>1450-20-PDC-31414</t>
  </si>
  <si>
    <t>HistoLab</t>
  </si>
  <si>
    <t>Algol Diagnostics</t>
  </si>
  <si>
    <t>plus 19e shipment</t>
  </si>
  <si>
    <t>Long tweezers for liquid nitrogen work, 30cm, flat tips</t>
  </si>
  <si>
    <t>10040961 117</t>
  </si>
  <si>
    <t>Safe-lock micro test tubes 1.5ml PCR-clean (RNase-free), colourless</t>
  </si>
  <si>
    <t>Eppendorf</t>
  </si>
  <si>
    <t>Labnet/City-Lab</t>
  </si>
  <si>
    <t>28.8.2019</t>
  </si>
  <si>
    <t>FOR TISSUE SNAP-FREEZING</t>
  </si>
  <si>
    <t>Suction bottle 3000 ml</t>
  </si>
  <si>
    <t>Duran Group</t>
  </si>
  <si>
    <t>Fisher/City-Lab</t>
  </si>
  <si>
    <t>9.9.2019</t>
  </si>
  <si>
    <t>Thermo-Flask Liquid Nitrogen Container</t>
  </si>
  <si>
    <t>1L</t>
  </si>
  <si>
    <t>17.9.2019</t>
  </si>
  <si>
    <t>OFFER: 1806027067.0</t>
  </si>
  <si>
    <t>Xylene, 99 % ACS Reagent</t>
  </si>
  <si>
    <t>500ml</t>
  </si>
  <si>
    <t>23.8.2019</t>
  </si>
  <si>
    <t>2.9.2019</t>
  </si>
  <si>
    <t>Kaasupullon ja mittarin alumiini tiiviste, for CO2 bottles in cell culture room, 18,0x12,4x1,5mm</t>
  </si>
  <si>
    <t>337176/ old number: 61455650/01-20-50</t>
  </si>
  <si>
    <t>10 pcs</t>
  </si>
  <si>
    <t>AGA</t>
  </si>
  <si>
    <t>26.8.2019</t>
  </si>
  <si>
    <t>tarviketilaus@fi.aga.com</t>
  </si>
  <si>
    <t>plus 3.5e delivery costs, delivery 3 working days</t>
  </si>
  <si>
    <t>Autoclave tape</t>
  </si>
  <si>
    <t>12370489/0162AB</t>
  </si>
  <si>
    <t>Browne</t>
  </si>
  <si>
    <t>Bags Biohazard autoclave, PP clear 40um, 620x780mm</t>
  </si>
  <si>
    <t>Fisher/City-lab</t>
  </si>
  <si>
    <t>3.9.2019</t>
  </si>
  <si>
    <t>16.9.2019</t>
  </si>
  <si>
    <t>Stainless steel microscopy scissors</t>
  </si>
  <si>
    <t>4.3.2019</t>
  </si>
  <si>
    <t>came after reclamation in the end of Sept.</t>
  </si>
  <si>
    <t>Cell freezing box Cool cell pink</t>
  </si>
  <si>
    <t>BCS-136PK</t>
  </si>
  <si>
    <t>1x12 slots</t>
  </si>
  <si>
    <t>Biocision</t>
  </si>
  <si>
    <t>Bio-Top/City-Lab</t>
  </si>
  <si>
    <t>promotion, list price 205e</t>
  </si>
  <si>
    <t>Cell freezing box Cool cell orange</t>
  </si>
  <si>
    <t>BCS-136</t>
  </si>
  <si>
    <t>Cardboard folder 20 place</t>
  </si>
  <si>
    <t>701-HS9902</t>
  </si>
  <si>
    <t>Heathrow Scientific</t>
  </si>
  <si>
    <t>VingLab</t>
  </si>
  <si>
    <t>13.9.2019</t>
  </si>
  <si>
    <t>GlutaMAX™-I (100X)</t>
  </si>
  <si>
    <t>35050-061</t>
  </si>
  <si>
    <t>100 ml</t>
  </si>
  <si>
    <t>GibcoLifeTechnologies</t>
  </si>
  <si>
    <t>81.50</t>
  </si>
  <si>
    <t>10.9.2019</t>
  </si>
  <si>
    <t>Penicillin-Streptomycin (10,000 U/ml)</t>
  </si>
  <si>
    <t>  15140122</t>
  </si>
  <si>
    <t>AF freezer</t>
  </si>
  <si>
    <t>DMEM/F-12</t>
  </si>
  <si>
    <t>500 ml</t>
  </si>
  <si>
    <t>Thermo Scientific</t>
  </si>
  <si>
    <t>AF fridge</t>
  </si>
  <si>
    <t>DMEM, high glucose, GlutaMAX™ Supplement, HEPES</t>
  </si>
  <si>
    <t>HBSS (10X), no calcium, no magnesium, no phenol red </t>
  </si>
  <si>
    <t>RT</t>
  </si>
  <si>
    <t>Phosphate Buffered Saline (10X)</t>
  </si>
  <si>
    <t>BE17-517Q</t>
  </si>
  <si>
    <t>1000ml</t>
  </si>
  <si>
    <t>Lonza</t>
  </si>
  <si>
    <t>BioNordika/City-Lab</t>
  </si>
  <si>
    <t>12.9.2019</t>
  </si>
  <si>
    <t>Bovine Serum Albumin (BSA)</t>
  </si>
  <si>
    <t>P6154</t>
  </si>
  <si>
    <t>100 g</t>
  </si>
  <si>
    <t>biowest</t>
  </si>
  <si>
    <t>Biotop/City-Lab</t>
  </si>
  <si>
    <t>Cultrex RGF Basement Membrane Extract, Type 2</t>
  </si>
  <si>
    <t>3533-010-02</t>
  </si>
  <si>
    <t>2x5ml</t>
  </si>
  <si>
    <t>R&amp;D systems</t>
  </si>
  <si>
    <t>bio-techne/City-Lab</t>
  </si>
  <si>
    <t>24.9.2019</t>
  </si>
  <si>
    <t>-80oC, inside a blue tips box</t>
  </si>
  <si>
    <t>Roll of round colored stickers for eppendorfs, Pakagen LabTags, 9.5mm, Green</t>
  </si>
  <si>
    <t>PG-LT-95/G</t>
  </si>
  <si>
    <t>BioTop</t>
  </si>
  <si>
    <t>Roll of round colored stickers for eppendorfs, Pakagen LabTags, 9.5mm, Blue</t>
  </si>
  <si>
    <t>PG-LT-95/B</t>
  </si>
  <si>
    <t>Roll of round colored stickers for eppendorfs, Pakagen LabTags, 9.5mm, White</t>
  </si>
  <si>
    <t>PG-LT-95/W</t>
  </si>
  <si>
    <t>Roll of round colored stickers for eppendorfs, Pakagen LabTags, 9.5mm, Red</t>
  </si>
  <si>
    <t>PG-LT-95/R</t>
  </si>
  <si>
    <t>Metal boxes for Pasterur pipettes sterilization</t>
  </si>
  <si>
    <t>15653957/28920</t>
  </si>
  <si>
    <t>Fischer Scientific</t>
  </si>
  <si>
    <t>3.10.2019</t>
  </si>
  <si>
    <t>0,22um syringe filters</t>
  </si>
  <si>
    <t>FPE-204-030</t>
  </si>
  <si>
    <t>JetBiofil</t>
  </si>
  <si>
    <t>ProLong™ Gold Antifade Mountant </t>
  </si>
  <si>
    <t>P10144</t>
  </si>
  <si>
    <t>2ml</t>
  </si>
  <si>
    <t>P36941</t>
  </si>
  <si>
    <t>11.9.2019</t>
  </si>
  <si>
    <t>LIVE/DEAD™ Viability/Cytotoxicity Kit, for mammalian cells</t>
  </si>
  <si>
    <t>L3224</t>
  </si>
  <si>
    <t>Life Technologies</t>
  </si>
  <si>
    <t>Life Technologies, shipped directly</t>
  </si>
  <si>
    <t>26.9.2019</t>
  </si>
  <si>
    <t>this is 50% discount trial offer</t>
  </si>
  <si>
    <t>Trypsin-EDTA (0.25%), phenol red</t>
  </si>
  <si>
    <t>25200056/T4049-100ML</t>
  </si>
  <si>
    <t>Sigma/Merk</t>
  </si>
  <si>
    <t>25.9.2019</t>
  </si>
  <si>
    <t>freezer</t>
  </si>
  <si>
    <t>HEPES solution</t>
  </si>
  <si>
    <t>H0887-100ML</t>
  </si>
  <si>
    <t>74.70</t>
  </si>
  <si>
    <t>fridge</t>
  </si>
  <si>
    <t>RBC lysis buffer</t>
  </si>
  <si>
    <t>53.50</t>
  </si>
  <si>
    <t>Dulbecco’s Phosphate Buffered Saline</t>
  </si>
  <si>
    <t>D8537-500ML</t>
  </si>
  <si>
    <t>501 ml</t>
  </si>
  <si>
    <t>Accutase® solution</t>
  </si>
  <si>
    <t>A6964</t>
  </si>
  <si>
    <t>Tween 20</t>
  </si>
  <si>
    <t>P1379-250ML</t>
  </si>
  <si>
    <t>250 ml</t>
  </si>
  <si>
    <t>Triton-X100</t>
  </si>
  <si>
    <t>X100-100ML</t>
  </si>
  <si>
    <t>Poly-D-lysine hydrobromide</t>
  </si>
  <si>
    <t>P6407-5MG</t>
  </si>
  <si>
    <t>5mg</t>
  </si>
  <si>
    <t>Shandon™ Multi-Spot Slides, 6mm</t>
  </si>
  <si>
    <t>100pcs</t>
  </si>
  <si>
    <t>Thermoscientific</t>
  </si>
  <si>
    <t>RQ1 RNase-Free DNase</t>
  </si>
  <si>
    <t>M6101</t>
  </si>
  <si>
    <t>1000U</t>
  </si>
  <si>
    <t>Promega</t>
  </si>
  <si>
    <t>LabNet/City-Lab</t>
  </si>
  <si>
    <t>18.9.2019</t>
  </si>
  <si>
    <t>4%PFA-PBS, pH 7.2</t>
  </si>
  <si>
    <t>E00323</t>
  </si>
  <si>
    <t>Liquid lab</t>
  </si>
  <si>
    <t>freezer, aliq. 10ml same day</t>
  </si>
  <si>
    <t>Alexa Fluor® 647 anti-human CD45 Antibody</t>
  </si>
  <si>
    <t>25 tests</t>
  </si>
  <si>
    <t>BioLegend</t>
  </si>
  <si>
    <t>NordicBioSite</t>
  </si>
  <si>
    <t>19.9.2019</t>
  </si>
  <si>
    <t>info@nordicbiosite.com</t>
  </si>
  <si>
    <t>plus 20e handling fee for orders under 150e</t>
  </si>
  <si>
    <t>plus 4oC</t>
  </si>
  <si>
    <t>Y-27632 dihydrochloride</t>
  </si>
  <si>
    <t>M1817</t>
  </si>
  <si>
    <t>10 mg</t>
  </si>
  <si>
    <t>AbMoleBiosciences</t>
  </si>
  <si>
    <t>FORLAB Brussels Belgium</t>
  </si>
  <si>
    <t>eu.order@abmole.com</t>
  </si>
  <si>
    <t>plus 70e shipment</t>
  </si>
  <si>
    <t>Balances (scales), EW 2200-2NM</t>
  </si>
  <si>
    <t>Kern &amp; Sohn</t>
  </si>
  <si>
    <t>2.10.2019</t>
  </si>
  <si>
    <t>SN 181199173</t>
  </si>
  <si>
    <t>RNase Away Spray</t>
  </si>
  <si>
    <t>475ml</t>
  </si>
  <si>
    <t>pH-indicator strips pH 0 - 14 Universal indicator</t>
  </si>
  <si>
    <t>100 strips/box</t>
  </si>
  <si>
    <t>23.9.2019</t>
  </si>
  <si>
    <t>plus 23e shipment</t>
  </si>
  <si>
    <t xml:space="preserve">Collagenase/Hyaluronidase  10X  </t>
  </si>
  <si>
    <t>10 mL</t>
  </si>
  <si>
    <t>StemCellTechnologies</t>
  </si>
  <si>
    <t>orders.eu@stemcell.com</t>
  </si>
  <si>
    <t>Subtilisin A, PROTEASE, BACTERIAL, TYPE VIII</t>
  </si>
  <si>
    <t>P5380-250MG</t>
  </si>
  <si>
    <t>250MG</t>
  </si>
  <si>
    <t>Mini PAP-pen</t>
  </si>
  <si>
    <t>008877</t>
  </si>
  <si>
    <t>Straight Polypropilene Container (näytepurkki), sterile, 125ml, diameter 52mm, height 74mm</t>
  </si>
  <si>
    <t>15478824/TP52C-003</t>
  </si>
  <si>
    <t>Corning</t>
  </si>
  <si>
    <t>20.9.2019</t>
  </si>
  <si>
    <t>Sharpsguard™ orange 11.5 Multi-Purpose 9.27L Sharps Container with Pail Handle</t>
  </si>
  <si>
    <t>12372439/DD476OL</t>
  </si>
  <si>
    <t>9.27L</t>
  </si>
  <si>
    <t>HBSS, no calcium, no magnesium, no phenol red</t>
  </si>
  <si>
    <t>27.9.2019</t>
  </si>
  <si>
    <t>Syringe 1 ml</t>
  </si>
  <si>
    <t>1.10.2019</t>
  </si>
  <si>
    <t>Syringe 5ml (ilman tiivistettä)</t>
  </si>
  <si>
    <t>Syringe 10ml (ilman tiivistettä)</t>
  </si>
  <si>
    <t>11.10.2019</t>
  </si>
  <si>
    <t>Rubber plug (bottom diam. 57mm; top diam. 64mm; height 49mm)</t>
  </si>
  <si>
    <t>22.10.2019</t>
  </si>
  <si>
    <t>Tweezers straight pointed steel 105mm</t>
  </si>
  <si>
    <t>30.9.2019</t>
  </si>
  <si>
    <t>500 ml spray bottle, transparent</t>
  </si>
  <si>
    <t>10190071/0309-1050</t>
  </si>
  <si>
    <t>Polypropylene Wide Mouth Containers with Screw Caps, 250ml</t>
  </si>
  <si>
    <t>12594997/JWP0250P</t>
  </si>
  <si>
    <t>Dulbecco’s Phosphate Buffered Saline, W/O Ca and Mg</t>
  </si>
  <si>
    <t>Gibco</t>
  </si>
  <si>
    <t xml:space="preserve">Polystyrene Square-Shaped Antistatic Weighing Boat 10ml </t>
  </si>
  <si>
    <r>
      <rPr>
        <rFont val="Arial"/>
        <color theme="1"/>
      </rPr>
      <t xml:space="preserve">7.10.2019, </t>
    </r>
    <r>
      <rPr>
        <rFont val="Arial"/>
        <color rgb="FFFF0000"/>
      </rPr>
      <t>but came smaller size!</t>
    </r>
  </si>
  <si>
    <t>Scale cups Square-Shaped 85 X 85 X 24 mm White</t>
  </si>
  <si>
    <t>701-HS1420BB</t>
  </si>
  <si>
    <t>HeathrowScientific</t>
  </si>
  <si>
    <t>21.10.2019</t>
  </si>
  <si>
    <t>Hexagonal weighing boats L x W x H: 38 x 25 x 9 mm White, antistatic</t>
  </si>
  <si>
    <t>HS14251A/HEA14251A</t>
  </si>
  <si>
    <t>Pan Cytokeratin Mouse Monoclonal Antibody (AE1/AE3), eFluor 570, eBioscience</t>
  </si>
  <si>
    <t>41-9003-82</t>
  </si>
  <si>
    <t>100ug/0.2 mg/mL</t>
  </si>
  <si>
    <t>Thermo Fisher</t>
  </si>
  <si>
    <t>8.10.2019</t>
  </si>
  <si>
    <t>10.10.2019</t>
  </si>
  <si>
    <t>Rad51 (D4B10) Rabbit mAb</t>
  </si>
  <si>
    <t>8875S</t>
  </si>
  <si>
    <t>100ul</t>
  </si>
  <si>
    <t>Cell Signaling</t>
  </si>
  <si>
    <t>16.10.2019</t>
  </si>
  <si>
    <t>minus 20oC</t>
  </si>
  <si>
    <t>Quote  TA2018-0910-JN</t>
  </si>
  <si>
    <t>FOXP3 Mouse Monoclonal Antibody (236A/E7), eFluor 570, eBioscience</t>
  </si>
  <si>
    <t>41-4777-80</t>
  </si>
  <si>
    <t>25 ug</t>
  </si>
  <si>
    <t>18.10.2019</t>
  </si>
  <si>
    <t>Anti-53BP1 Mouse Monoclonal Antibody, clone BP13</t>
  </si>
  <si>
    <t>MAB3802</t>
  </si>
  <si>
    <t xml:space="preserve">100 ug </t>
  </si>
  <si>
    <t>Millipore</t>
  </si>
  <si>
    <t xml:space="preserve">Green staining dish </t>
  </si>
  <si>
    <t>S4456</t>
  </si>
  <si>
    <t>1.11.2019</t>
  </si>
  <si>
    <t xml:space="preserve">orders@algoldiagnostics.fi </t>
  </si>
  <si>
    <t>Shipping costs 32€</t>
  </si>
  <si>
    <t xml:space="preserve">Clear staining dish </t>
  </si>
  <si>
    <t>S4457</t>
  </si>
  <si>
    <t>Slide holder</t>
  </si>
  <si>
    <t>S4469</t>
  </si>
  <si>
    <t xml:space="preserve">GranzymeB (non-conjugated), mouse monoclonal antibody (Clone GrB-7)
</t>
  </si>
  <si>
    <t>M7235</t>
  </si>
  <si>
    <t>1ml</t>
  </si>
  <si>
    <t>Dako</t>
  </si>
  <si>
    <t>Agilent Finland Oy</t>
  </si>
  <si>
    <t>9.10.2019</t>
  </si>
  <si>
    <t>15.10.2019</t>
  </si>
  <si>
    <t>infofi@agilent.com</t>
  </si>
  <si>
    <t xml:space="preserve">APC CD138 (Syndecan-1) [DL-101]; mouse monoclonal antibody
</t>
  </si>
  <si>
    <t>100tests</t>
  </si>
  <si>
    <t>14.10.2019</t>
  </si>
  <si>
    <t>Alexa Fluor® 647 anti-human CD45 [HI30]; mouse monoclonal antibody</t>
  </si>
  <si>
    <t>Anti-CD19 antibody [EPR5906] (Alexa Fluor® 488), rabbit monoclonal</t>
  </si>
  <si>
    <t>ab196468</t>
  </si>
  <si>
    <t>Abcam</t>
  </si>
  <si>
    <t>Free shipment this time, otherwise it is 42e</t>
  </si>
  <si>
    <t>MHCII (647), Anti-HLA-DPB1 antibody [EPR11226] (Alexa Fluor® 647), rabbit monoclonal</t>
  </si>
  <si>
    <t>ab201347</t>
  </si>
  <si>
    <t>CD68 (D4B9C) XP® Rabbit mAb (PE Conjugate)</t>
  </si>
  <si>
    <t>79594S</t>
  </si>
  <si>
    <t>17.10.2019</t>
  </si>
  <si>
    <t xml:space="preserve"> Tissue-Tek® Uni-Cassette® White; 2000 / pcs (PLEASE CHECK THE PRICE BEFORE ORDERING)</t>
  </si>
  <si>
    <t>2000 pcs</t>
  </si>
  <si>
    <t>Sakura/Tissue-tek</t>
  </si>
  <si>
    <t>orders@algoldiagnostics.fi</t>
  </si>
  <si>
    <t>Shipping 32e</t>
  </si>
  <si>
    <t>Animal-Free Recombinant Human EGF</t>
  </si>
  <si>
    <t>AF-100-15</t>
  </si>
  <si>
    <t>1 mg</t>
  </si>
  <si>
    <t>Peprotech</t>
  </si>
  <si>
    <t>23.10.2019</t>
  </si>
  <si>
    <t>info@peprotech.se</t>
  </si>
  <si>
    <t>Recombinant Human R-Spondin 1 Protein</t>
  </si>
  <si>
    <t>4645-RS-025</t>
  </si>
  <si>
    <t>R &amp; D systems</t>
  </si>
  <si>
    <t>Recombinant Human Noggin</t>
  </si>
  <si>
    <t>120-10C</t>
  </si>
  <si>
    <t>20 ug</t>
  </si>
  <si>
    <t>Gloves, Nitrile PURPLE x-long, size S (long-sleeve)</t>
  </si>
  <si>
    <t>Kimberly Clark</t>
  </si>
  <si>
    <t>RQ1 RNase-Free DNase (Urgent)</t>
  </si>
  <si>
    <t>17.10.2020</t>
  </si>
  <si>
    <t>Bel-Art SP Scienceware Cleanware Self-adhesivewaste bags (25.4 x 20.32cm)</t>
  </si>
  <si>
    <t>11372144/F13174-1008</t>
  </si>
  <si>
    <t>50pieces</t>
  </si>
  <si>
    <t>30.10.2019</t>
  </si>
  <si>
    <t>Optifit Tip 0.1-10ul  Non-sterile Refill-Racked 10x96</t>
  </si>
  <si>
    <t>10x96</t>
  </si>
  <si>
    <t>Sartorius</t>
  </si>
  <si>
    <t>28.10.2019</t>
  </si>
  <si>
    <t>Optifit Tip 0.5-200ul  Non-sterile Refill-Racked 10x96</t>
  </si>
  <si>
    <t>Optifit Tip 10-1000ul  Non-sterile Refill-Racked 10x96</t>
  </si>
  <si>
    <t>Polystyrene Square-Shaped Antistatic Weighing Boat 140x140x22mm</t>
  </si>
  <si>
    <t>11364125/HS14020C</t>
  </si>
  <si>
    <t>Tweezers 18/10 Stainless Steel Forceps Blunt tip</t>
  </si>
  <si>
    <t>AN</t>
  </si>
  <si>
    <t>October</t>
  </si>
  <si>
    <t>Eukitt® Quick-hardening mounting medium</t>
  </si>
  <si>
    <t>03989-100ML</t>
  </si>
  <si>
    <t>Sigma</t>
  </si>
  <si>
    <t>Citric acid Monohydrate</t>
  </si>
  <si>
    <t>C1909-2.5KG</t>
  </si>
  <si>
    <t>2.5 KG</t>
  </si>
  <si>
    <t>31.10.2019</t>
  </si>
  <si>
    <t>Hematoxylin solution modified acc. to Gill II</t>
  </si>
  <si>
    <t>2.5 L</t>
  </si>
  <si>
    <t>Sigma /Merk</t>
  </si>
  <si>
    <t>Eosin Y-solution 0.5% aqueous</t>
  </si>
  <si>
    <t>Sodium chloride</t>
  </si>
  <si>
    <t>31434-1KG-M</t>
  </si>
  <si>
    <t>1kg</t>
  </si>
  <si>
    <t>Sigma-Aldrich</t>
  </si>
  <si>
    <t>Cotton stick</t>
  </si>
  <si>
    <t>149-0331</t>
  </si>
  <si>
    <t>Heinz Herenz</t>
  </si>
  <si>
    <t>VWR</t>
  </si>
  <si>
    <t>Pasteur pipette, plastic, 5ml, 15mm long, 1ml scale, bulk (500)</t>
  </si>
  <si>
    <t>612-1684</t>
  </si>
  <si>
    <t>15 ml falcon tubes</t>
  </si>
  <si>
    <t>391-3477</t>
  </si>
  <si>
    <t>Greiner Bio-One</t>
  </si>
  <si>
    <t>50 ml falcon tubes</t>
  </si>
  <si>
    <t>525-0384</t>
  </si>
  <si>
    <t>24.10.2019</t>
  </si>
  <si>
    <t>5 ml pipettes</t>
  </si>
  <si>
    <t>612-1013</t>
  </si>
  <si>
    <t>10 ml pipettes</t>
  </si>
  <si>
    <t>612-1015</t>
  </si>
  <si>
    <t>Combirack eppendorf tubes racks, white, for 0.5, 1.5 and 2ml eppendorfs</t>
  </si>
  <si>
    <t>LW5220</t>
  </si>
  <si>
    <t>Labnet</t>
  </si>
  <si>
    <t>4-way Combirack Assorted</t>
  </si>
  <si>
    <t>7655926/LW5840AS</t>
  </si>
  <si>
    <t>Anti-PAX8 antibody [EPR18715] (Alexa Fluor® 647)</t>
  </si>
  <si>
    <t>ab215953</t>
  </si>
  <si>
    <t>abcam</t>
  </si>
  <si>
    <t>29.10.2019</t>
  </si>
  <si>
    <t>plus 4</t>
  </si>
  <si>
    <t>orders@abcam.com  plus 42e shipment</t>
  </si>
  <si>
    <t>CD16    AF647 antibody DJ130c</t>
  </si>
  <si>
    <t>sc-20052 AF647</t>
  </si>
  <si>
    <t>200ug/ml</t>
  </si>
  <si>
    <t>Santa Cruz Biotechnology</t>
  </si>
  <si>
    <t>7.11.2019</t>
  </si>
  <si>
    <t>Protease from Bacillus licheniformis</t>
  </si>
  <si>
    <t>P5380-1G</t>
  </si>
  <si>
    <t>1 G</t>
  </si>
  <si>
    <t>8.11.2019</t>
  </si>
  <si>
    <t>18.11.2019</t>
  </si>
  <si>
    <t>Tissue-Tek staining rack for IHC</t>
  </si>
  <si>
    <t>S4465</t>
  </si>
  <si>
    <t xml:space="preserve">6 pieces
</t>
  </si>
  <si>
    <t>Tissue-Tek</t>
  </si>
  <si>
    <t>14.11.2019</t>
  </si>
  <si>
    <t>15.11.2019</t>
  </si>
  <si>
    <t>Tissue-Tek® Manual Slide Staining Set with 62cm rack for dishes</t>
  </si>
  <si>
    <t>20.11.2019</t>
  </si>
  <si>
    <t>week 52 or week 5</t>
  </si>
  <si>
    <t>plus 32e shipment</t>
  </si>
  <si>
    <t>Hydrogenperoxide 30% w</t>
  </si>
  <si>
    <t>500 gr</t>
  </si>
  <si>
    <t>25.11.2019</t>
  </si>
  <si>
    <t>SSL4 see-saw rocker</t>
  </si>
  <si>
    <t>Stuart</t>
  </si>
  <si>
    <t>2-3 weeks</t>
  </si>
  <si>
    <t>Tarjous #1806029570.0</t>
  </si>
  <si>
    <t>Microwave oven</t>
  </si>
  <si>
    <t>L17MW14E</t>
  </si>
  <si>
    <t>Logik</t>
  </si>
  <si>
    <t>Gigantti</t>
  </si>
  <si>
    <t>19.11.2019</t>
  </si>
  <si>
    <t>21.11.2019</t>
  </si>
  <si>
    <t>yritysmyyntipalvelu@gigantti.fi</t>
  </si>
  <si>
    <t>SN: 1932105246</t>
  </si>
  <si>
    <t>TIM3 Alexa 488 (D5D5R) XP rabbit mAb</t>
  </si>
  <si>
    <t>CST54669S</t>
  </si>
  <si>
    <t>Cell signaling</t>
  </si>
  <si>
    <t>we have minus 7 % quote from BioNordika for CST abs</t>
  </si>
  <si>
    <t>CD66b Alexa647</t>
  </si>
  <si>
    <t>100 tests</t>
  </si>
  <si>
    <t>Nordic Biosite</t>
  </si>
  <si>
    <t>28.11.2019</t>
  </si>
  <si>
    <t>CD45 PE-conjugated Antibody</t>
  </si>
  <si>
    <t>FAB1430P-100</t>
  </si>
  <si>
    <t>29.11.2019</t>
  </si>
  <si>
    <t>Recombinant Human IL-2</t>
  </si>
  <si>
    <t>200-02</t>
  </si>
  <si>
    <t>27.11.2019</t>
  </si>
  <si>
    <t>minus 20oC top drawer</t>
  </si>
  <si>
    <t xml:space="preserve">Recombinant Anti-CD14 antibody [EPR3653] </t>
  </si>
  <si>
    <t>(ab133335)</t>
  </si>
  <si>
    <t>100 ul</t>
  </si>
  <si>
    <t>26.11.2019</t>
  </si>
  <si>
    <t>AF</t>
  </si>
  <si>
    <t>orders@abcam.com</t>
  </si>
  <si>
    <t>plus 42e shipment</t>
  </si>
  <si>
    <t>PAX8 antibody</t>
  </si>
  <si>
    <t>ab191870</t>
  </si>
  <si>
    <t>Nalgene™ 25mm Syringe Filters 0.2um</t>
  </si>
  <si>
    <t>725-2520</t>
  </si>
  <si>
    <t>pack of 50</t>
  </si>
  <si>
    <t>ThermoFischer</t>
  </si>
  <si>
    <t>22.11.2019</t>
  </si>
  <si>
    <t>Modular Cassette Storage Drawers</t>
  </si>
  <si>
    <t>12520027/B1001304</t>
  </si>
  <si>
    <t>Millex-GP 33mm/0.22um, PES, syringe filters</t>
  </si>
  <si>
    <t>SLGP033RS</t>
  </si>
  <si>
    <t>Merk</t>
  </si>
  <si>
    <t>Protein G Sepharose 4 Fast Flow</t>
  </si>
  <si>
    <t>11534935/17-0618-02</t>
  </si>
  <si>
    <t>25ml</t>
  </si>
  <si>
    <t>GE healthcare</t>
  </si>
  <si>
    <t>Rabbit IgG Zenon Antibody Labeling Kit</t>
  </si>
  <si>
    <t>Z25305</t>
  </si>
  <si>
    <t>1 kit</t>
  </si>
  <si>
    <t xml:space="preserve">Sodium Hydroxide Pellets </t>
  </si>
  <si>
    <t>1 kg</t>
  </si>
  <si>
    <t>end of Jan2020</t>
  </si>
  <si>
    <t>FICAN SOUTH billing address expired in the end of 2019, before these 2 products arrived, so needed to cancel these 2 products and reorder in Jan 2020, UH kulttuuriraharsto money</t>
  </si>
  <si>
    <t>Calcium chloride anhydrous</t>
  </si>
  <si>
    <t>N-Acetyl-L-cysteine</t>
  </si>
  <si>
    <t>A9165-100G</t>
  </si>
  <si>
    <t>100 G</t>
  </si>
  <si>
    <t>Nicotinamide</t>
  </si>
  <si>
    <t>N0636-500G</t>
  </si>
  <si>
    <t>500 G</t>
  </si>
  <si>
    <t>A 83-01</t>
  </si>
  <si>
    <t>SML0788-5MG</t>
  </si>
  <si>
    <t>b-Estradiol</t>
  </si>
  <si>
    <t>E2758-1G</t>
  </si>
  <si>
    <t>1 g</t>
  </si>
  <si>
    <t>Hydrocortisone</t>
  </si>
  <si>
    <t>H0888</t>
  </si>
  <si>
    <t>5g</t>
  </si>
  <si>
    <t>Recombinant human FGF10</t>
  </si>
  <si>
    <t>100-26</t>
  </si>
  <si>
    <t>Animal-Free Recombinant Human FGF-basic (154 a.a.)</t>
  </si>
  <si>
    <t>AF-100-18B</t>
  </si>
  <si>
    <t>50 ug</t>
  </si>
  <si>
    <t>Recombinant Human Heregulinβ-1</t>
  </si>
  <si>
    <t>100-03</t>
  </si>
  <si>
    <t>Canister 10L Polyethylene, Carboy with spigot</t>
  </si>
  <si>
    <t>10528081 or 23180020</t>
  </si>
  <si>
    <t>10L</t>
  </si>
  <si>
    <t>Nalgene, Thermo Scientific</t>
  </si>
  <si>
    <t>2.12.2019</t>
  </si>
  <si>
    <t>White cardboard box 14x14</t>
  </si>
  <si>
    <t>PAHVIRASIA 14x14</t>
  </si>
  <si>
    <t>Tape Station</t>
  </si>
  <si>
    <t>FuGU</t>
  </si>
  <si>
    <t>Nov-Dec 2019</t>
  </si>
  <si>
    <r>
      <rPr>
        <rFont val="Arial"/>
        <color rgb="FFFF0000"/>
      </rPr>
      <t xml:space="preserve">55000 e </t>
    </r>
    <r>
      <rPr>
        <rFont val="Arial"/>
        <b/>
        <color rgb="FFFF0000"/>
      </rPr>
      <t>for AF and AV labs</t>
    </r>
  </si>
  <si>
    <r>
      <rPr>
        <rFont val="Arial"/>
        <color rgb="FFFF0000"/>
      </rPr>
      <t xml:space="preserve">27500e  </t>
    </r>
    <r>
      <rPr>
        <rFont val="Arial"/>
        <b/>
        <color rgb="FFFF0000"/>
      </rPr>
      <t>per lab</t>
    </r>
  </si>
  <si>
    <r>
      <rPr>
        <rFont val="Arial"/>
        <b/>
        <color rgb="FFFF0000"/>
      </rPr>
      <t xml:space="preserve">incubators in total </t>
    </r>
    <r>
      <rPr>
        <rFont val="Arial"/>
        <b val="0"/>
        <color rgb="FFFF0000"/>
      </rPr>
      <t>15983.67</t>
    </r>
  </si>
  <si>
    <t>7991.835e per lab</t>
  </si>
  <si>
    <t>AF to spend</t>
  </si>
  <si>
    <t>27500e-7991.835= 19508.165e</t>
  </si>
  <si>
    <t>SPENT, AF:</t>
  </si>
  <si>
    <t>TOTAL  for products 22136.92</t>
  </si>
  <si>
    <t>plus Sigma, no prices yet!!</t>
  </si>
  <si>
    <t>PLUS shipment costs are approx 193.5e</t>
  </si>
  <si>
    <t>final sum without VAT and without Sigma order</t>
  </si>
  <si>
    <t>with VAT, AF:</t>
  </si>
  <si>
    <t>55 000-15983.67=39016.33e Left after buying Cell incubators</t>
  </si>
  <si>
    <t>39016.33/2=19508.165e Left per lab</t>
  </si>
  <si>
    <r>
      <rPr>
        <rFont val="Arial"/>
        <b/>
        <color theme="1"/>
      </rPr>
      <t xml:space="preserve">AF used: </t>
    </r>
    <r>
      <rPr>
        <rFont val="Arial"/>
        <color theme="1"/>
      </rPr>
      <t>23 391.6 + 504.5e in May2019+7838.5e in June2019=</t>
    </r>
    <r>
      <rPr>
        <rFont val="Arial"/>
        <b/>
        <color theme="1"/>
      </rPr>
      <t>31734.6e</t>
    </r>
  </si>
  <si>
    <r>
      <rPr>
        <rFont val="Arial"/>
        <color theme="1"/>
      </rPr>
      <t>31734.6-19508.165=</t>
    </r>
    <r>
      <rPr>
        <rFont val="Arial"/>
        <b/>
        <color theme="1"/>
      </rPr>
      <t>12226.435e</t>
    </r>
  </si>
  <si>
    <t>DEBT TO AV lab</t>
  </si>
  <si>
    <t>12 200e</t>
  </si>
  <si>
    <t>264e order from Sigma was cancelled and reordered in Jan 2020</t>
  </si>
  <si>
    <t>12 000 e DEBT to AV lab</t>
  </si>
  <si>
    <t>133e Merck bill came in 2020, could not been paid with FiCAN South anymore</t>
  </si>
  <si>
    <t>608.1e bill from Merck came 29.6.2020! , could not been paid with FiCAN South anymore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</si>
</sst>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;[Red]\-#,##0.00\ [$€-1]"/>
  </numFmts>
  <fonts count="40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Arial"/>
    </font>
    <font>
      <b/>
      <color rgb="FF000000"/>
      <name val="Arial"/>
    </font>
    <font>
      <u/>
      <sz val="11.0"/>
      <color rgb="FF000000"/>
      <name val="Calibri"/>
    </font>
    <font>
      <sz val="11.0"/>
      <color theme="1"/>
      <name val="Calibri"/>
    </font>
    <font>
      <sz val="11.0"/>
      <color rgb="FF333333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Calibri"/>
    </font>
    <font>
      <u/>
      <color rgb="FF000000"/>
      <name val="Calibri"/>
    </font>
    <font>
      <sz val="11.0"/>
      <color rgb="FF4D4D4D"/>
      <name val="Calibri"/>
    </font>
    <font>
      <color rgb="FF000000"/>
      <name val="Calibri"/>
    </font>
    <font>
      <sz val="11.0"/>
      <color theme="1"/>
      <name val="Arial"/>
    </font>
    <font>
      <sz val="11.0"/>
      <color rgb="FF7030A0"/>
      <name val="Calibri"/>
    </font>
    <font>
      <color rgb="FF231F20"/>
      <name val="Arial"/>
    </font>
    <font>
      <sz val="9.0"/>
      <color rgb="FF231F20"/>
      <name val="Arial"/>
    </font>
    <font>
      <b/>
      <sz val="11.0"/>
      <color theme="1"/>
      <name val="Calibri"/>
    </font>
    <font>
      <b/>
      <color theme="1"/>
      <name val="Arial"/>
    </font>
    <font>
      <sz val="11.0"/>
      <color rgb="FF231F20"/>
      <name val="Calibri"/>
    </font>
    <font>
      <i/>
      <sz val="11.0"/>
      <color rgb="FF000000"/>
      <name val="Calibri"/>
    </font>
    <font>
      <sz val="11.0"/>
      <color rgb="FF1D1C1D"/>
      <name val="Calibri"/>
    </font>
    <font>
      <sz val="11.0"/>
      <color rgb="FF403C36"/>
      <name val="Calibri"/>
    </font>
    <font>
      <sz val="11.0"/>
      <color rgb="FFFF0000"/>
      <name val="Calibri"/>
    </font>
    <font>
      <color theme="1"/>
      <name val="Arial"/>
      <scheme val="minor"/>
    </font>
    <font>
      <sz val="11.0"/>
      <color rgb="FF1D252D"/>
      <name val="Calibri"/>
    </font>
    <font/>
    <font>
      <strike/>
      <sz val="11.0"/>
      <color rgb="FF000000"/>
      <name val="Calibri"/>
    </font>
    <font>
      <strike/>
      <sz val="11.0"/>
      <color rgb="FF444444"/>
      <name val="Calibri"/>
    </font>
    <font>
      <strike/>
      <sz val="11.0"/>
      <color theme="1"/>
      <name val="Calibri"/>
    </font>
    <font>
      <strike/>
      <color theme="1"/>
      <name val="Arial"/>
    </font>
    <font>
      <i/>
      <color rgb="FFFF0000"/>
      <name val="Arial"/>
      <scheme val="minor"/>
    </font>
    <font>
      <strike/>
      <color theme="1"/>
      <name val="Arial"/>
      <scheme val="minor"/>
    </font>
    <font>
      <strike/>
      <sz val="11.0"/>
      <color rgb="FF4D4D4D"/>
      <name val="Calibri"/>
    </font>
    <font>
      <color rgb="FFFF0000"/>
      <name val="Arial"/>
      <scheme val="minor"/>
    </font>
    <font>
      <b/>
      <color rgb="FFFF0000"/>
      <name val="Arial"/>
      <scheme val="minor"/>
    </font>
    <font>
      <b/>
      <color rgb="FF999999"/>
      <name val="Arial"/>
      <scheme val="minor"/>
    </font>
    <font>
      <b/>
      <color theme="1"/>
      <name val="Arial"/>
      <scheme val="minor"/>
    </font>
    <font>
      <b/>
      <color rgb="FFFF00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00FFFF"/>
        <bgColor rgb="FF00FFFF"/>
      </patternFill>
    </fill>
  </fills>
  <borders count="17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D4D4D4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2" numFmtId="1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1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1" fillId="2" fontId="2" numFmtId="1" xfId="0" applyAlignment="1" applyBorder="1" applyFont="1" applyNumberFormat="1">
      <alignment horizontal="right" vertical="bottom"/>
    </xf>
    <xf borderId="5" fillId="2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7" numFmtId="2" xfId="0" applyAlignment="1" applyBorder="1" applyFont="1" applyNumberFormat="1">
      <alignment horizontal="right" vertical="bottom"/>
    </xf>
    <xf borderId="1" fillId="0" fontId="6" numFmtId="2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1" fillId="0" fontId="11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1" fillId="2" fontId="6" numFmtId="2" xfId="0" applyAlignment="1" applyBorder="1" applyFont="1" applyNumberFormat="1">
      <alignment horizontal="right" vertical="bottom"/>
    </xf>
    <xf borderId="1" fillId="2" fontId="12" numFmtId="0" xfId="0" applyAlignment="1" applyBorder="1" applyFont="1">
      <alignment horizontal="right" vertical="bottom"/>
    </xf>
    <xf borderId="1" fillId="2" fontId="10" numFmtId="0" xfId="0" applyAlignment="1" applyBorder="1" applyFont="1">
      <alignment vertical="bottom"/>
    </xf>
    <xf borderId="7" fillId="2" fontId="6" numFmtId="0" xfId="0" applyAlignment="1" applyBorder="1" applyFont="1">
      <alignment horizontal="right" vertical="bottom"/>
    </xf>
    <xf borderId="7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center" vertical="bottom"/>
    </xf>
    <xf borderId="0" fillId="2" fontId="6" numFmtId="0" xfId="0" applyAlignment="1" applyFont="1">
      <alignment vertical="bottom"/>
    </xf>
    <xf borderId="1" fillId="2" fontId="6" numFmtId="49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vertical="bottom"/>
    </xf>
    <xf borderId="1" fillId="2" fontId="1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4" fillId="2" fontId="6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2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vertical="bottom"/>
    </xf>
    <xf borderId="1" fillId="0" fontId="17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0" fontId="6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1" fillId="0" fontId="18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vertical="bottom"/>
    </xf>
    <xf borderId="1" fillId="0" fontId="19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1" fillId="0" fontId="20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2" fontId="21" numFmtId="0" xfId="0" applyAlignment="1" applyBorder="1" applyFont="1">
      <alignment horizontal="right" vertical="top"/>
    </xf>
    <xf borderId="1" fillId="2" fontId="3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vertical="bottom"/>
    </xf>
    <xf borderId="1" fillId="0" fontId="22" numFmtId="0" xfId="0" applyAlignment="1" applyBorder="1" applyFont="1">
      <alignment horizontal="right" vertical="bottom"/>
    </xf>
    <xf borderId="1" fillId="2" fontId="23" numFmtId="0" xfId="0" applyAlignment="1" applyBorder="1" applyFont="1">
      <alignment vertical="bottom"/>
    </xf>
    <xf borderId="0" fillId="2" fontId="2" numFmtId="0" xfId="0" applyAlignment="1" applyFont="1">
      <alignment horizontal="center" vertical="bottom"/>
    </xf>
    <xf borderId="1" fillId="4" fontId="24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12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0" fillId="2" fontId="18" numFmtId="0" xfId="0" applyAlignment="1" applyFont="1">
      <alignment vertical="bottom"/>
    </xf>
    <xf borderId="1" fillId="4" fontId="25" numFmtId="0" xfId="0" applyBorder="1" applyFont="1"/>
    <xf borderId="0" fillId="4" fontId="25" numFmtId="0" xfId="0" applyFont="1"/>
    <xf borderId="1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center" vertical="top"/>
    </xf>
    <xf borderId="4" fillId="2" fontId="6" numFmtId="0" xfId="0" applyAlignment="1" applyBorder="1" applyFont="1">
      <alignment horizontal="center" vertical="bottom"/>
    </xf>
    <xf borderId="1" fillId="2" fontId="7" numFmtId="0" xfId="0" applyAlignment="1" applyBorder="1" applyFont="1">
      <alignment vertical="bottom"/>
    </xf>
    <xf borderId="1" fillId="2" fontId="26" numFmtId="0" xfId="0" applyAlignment="1" applyBorder="1" applyFont="1">
      <alignment horizontal="right" vertical="bottom"/>
    </xf>
    <xf borderId="1" fillId="0" fontId="27" numFmtId="0" xfId="0" applyBorder="1" applyFont="1"/>
    <xf borderId="1" fillId="2" fontId="2" numFmtId="0" xfId="0" applyAlignment="1" applyBorder="1" applyFont="1">
      <alignment horizontal="center" readingOrder="0" vertical="bottom"/>
    </xf>
    <xf borderId="1" fillId="5" fontId="2" numFmtId="0" xfId="0" applyAlignment="1" applyBorder="1" applyFill="1" applyFont="1">
      <alignment horizontal="right" vertical="bottom"/>
    </xf>
    <xf borderId="1" fillId="5" fontId="2" numFmtId="0" xfId="0" applyAlignment="1" applyBorder="1" applyFont="1">
      <alignment horizontal="center" vertical="bottom"/>
    </xf>
    <xf borderId="2" fillId="2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4" fillId="2" fontId="28" numFmtId="0" xfId="0" applyAlignment="1" applyBorder="1" applyFont="1">
      <alignment vertical="bottom"/>
    </xf>
    <xf borderId="1" fillId="2" fontId="29" numFmtId="0" xfId="0" applyAlignment="1" applyBorder="1" applyFont="1">
      <alignment horizontal="right" vertical="top"/>
    </xf>
    <xf borderId="1" fillId="2" fontId="29" numFmtId="0" xfId="0" applyAlignment="1" applyBorder="1" applyFont="1">
      <alignment horizontal="center" vertical="top"/>
    </xf>
    <xf borderId="1" fillId="0" fontId="30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5" fillId="2" fontId="30" numFmtId="0" xfId="0" applyAlignment="1" applyBorder="1" applyFont="1">
      <alignment horizontal="right" vertical="bottom"/>
    </xf>
    <xf borderId="1" fillId="2" fontId="30" numFmtId="0" xfId="0" applyAlignment="1" applyBorder="1" applyFont="1">
      <alignment horizontal="right" vertical="bottom"/>
    </xf>
    <xf borderId="1" fillId="2" fontId="31" numFmtId="0" xfId="0" applyAlignment="1" applyBorder="1" applyFont="1">
      <alignment readingOrder="0" vertical="bottom"/>
    </xf>
    <xf borderId="1" fillId="2" fontId="31" numFmtId="0" xfId="0" applyAlignment="1" applyBorder="1" applyFont="1">
      <alignment vertical="bottom"/>
    </xf>
    <xf borderId="1" fillId="3" fontId="28" numFmtId="0" xfId="0" applyAlignment="1" applyBorder="1" applyFont="1">
      <alignment vertical="bottom"/>
    </xf>
    <xf borderId="9" fillId="0" fontId="32" numFmtId="0" xfId="0" applyAlignment="1" applyBorder="1" applyFont="1">
      <alignment readingOrder="0"/>
    </xf>
    <xf borderId="3" fillId="0" fontId="31" numFmtId="0" xfId="0" applyAlignment="1" applyBorder="1" applyFont="1">
      <alignment vertical="bottom"/>
    </xf>
    <xf borderId="9" fillId="0" fontId="31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0" fillId="0" fontId="33" numFmtId="0" xfId="0" applyFont="1"/>
    <xf borderId="1" fillId="2" fontId="34" numFmtId="0" xfId="0" applyAlignment="1" applyBorder="1" applyFont="1">
      <alignment horizontal="right" vertical="bottom"/>
    </xf>
    <xf borderId="4" fillId="2" fontId="30" numFmtId="0" xfId="0" applyAlignment="1" applyBorder="1" applyFont="1">
      <alignment horizontal="right" vertical="bottom"/>
    </xf>
    <xf borderId="6" fillId="0" fontId="31" numFmtId="0" xfId="0" applyAlignment="1" applyBorder="1" applyFont="1">
      <alignment vertical="bottom"/>
    </xf>
    <xf borderId="2" fillId="0" fontId="31" numFmtId="0" xfId="0" applyAlignment="1" applyBorder="1" applyFont="1">
      <alignment vertical="bottom"/>
    </xf>
    <xf borderId="8" fillId="0" fontId="31" numFmtId="0" xfId="0" applyAlignment="1" applyBorder="1" applyFont="1">
      <alignment vertical="bottom"/>
    </xf>
    <xf borderId="4" fillId="2" fontId="6" numFmtId="0" xfId="0" applyAlignment="1" applyBorder="1" applyFont="1">
      <alignment horizontal="right" vertical="bottom"/>
    </xf>
    <xf borderId="6" fillId="2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right" vertical="bottom"/>
    </xf>
    <xf borderId="4" fillId="2" fontId="2" numFmtId="0" xfId="0" applyAlignment="1" applyBorder="1" applyFont="1">
      <alignment horizontal="right" vertical="bottom"/>
    </xf>
    <xf borderId="0" fillId="0" fontId="6" numFmtId="0" xfId="0" applyAlignment="1" applyFont="1">
      <alignment readingOrder="0"/>
    </xf>
    <xf borderId="10" fillId="0" fontId="6" numFmtId="0" xfId="0" applyBorder="1" applyFont="1"/>
    <xf borderId="4" fillId="0" fontId="6" numFmtId="0" xfId="0" applyBorder="1" applyFont="1"/>
    <xf borderId="0" fillId="0" fontId="6" numFmtId="0" xfId="0" applyAlignment="1" applyFont="1">
      <alignment horizontal="center" readingOrder="0"/>
    </xf>
    <xf borderId="4" fillId="0" fontId="6" numFmtId="0" xfId="0" applyAlignment="1" applyBorder="1" applyFont="1">
      <alignment readingOrder="0"/>
    </xf>
    <xf borderId="0" fillId="0" fontId="6" numFmtId="0" xfId="0" applyFont="1"/>
    <xf borderId="11" fillId="0" fontId="25" numFmtId="0" xfId="0" applyBorder="1" applyFont="1"/>
    <xf borderId="9" fillId="0" fontId="35" numFmtId="0" xfId="0" applyAlignment="1" applyBorder="1" applyFont="1">
      <alignment readingOrder="0"/>
    </xf>
    <xf borderId="9" fillId="0" fontId="25" numFmtId="0" xfId="0" applyBorder="1" applyFont="1"/>
    <xf borderId="3" fillId="0" fontId="25" numFmtId="0" xfId="0" applyBorder="1" applyFont="1"/>
    <xf borderId="10" fillId="0" fontId="25" numFmtId="0" xfId="0" applyBorder="1" applyFont="1"/>
    <xf borderId="0" fillId="0" fontId="35" numFmtId="0" xfId="0" applyAlignment="1" applyFont="1">
      <alignment readingOrder="0"/>
    </xf>
    <xf borderId="1" fillId="0" fontId="25" numFmtId="0" xfId="0" applyBorder="1" applyFont="1"/>
    <xf borderId="12" fillId="0" fontId="36" numFmtId="0" xfId="0" applyAlignment="1" applyBorder="1" applyFont="1">
      <alignment readingOrder="0"/>
    </xf>
    <xf borderId="13" fillId="0" fontId="35" numFmtId="0" xfId="0" applyBorder="1" applyFont="1"/>
    <xf borderId="14" fillId="0" fontId="25" numFmtId="0" xfId="0" applyAlignment="1" applyBorder="1" applyFont="1">
      <alignment readingOrder="0"/>
    </xf>
    <xf borderId="0" fillId="0" fontId="36" numFmtId="0" xfId="0" applyAlignment="1" applyFont="1">
      <alignment readingOrder="0"/>
    </xf>
    <xf borderId="0" fillId="0" fontId="25" numFmtId="0" xfId="0" applyAlignment="1" applyFont="1">
      <alignment readingOrder="0"/>
    </xf>
    <xf borderId="10" fillId="0" fontId="25" numFmtId="0" xfId="0" applyAlignment="1" applyBorder="1" applyFont="1">
      <alignment readingOrder="0"/>
    </xf>
    <xf borderId="0" fillId="0" fontId="37" numFmtId="0" xfId="0" applyAlignment="1" applyFont="1">
      <alignment readingOrder="0"/>
    </xf>
    <xf borderId="0" fillId="0" fontId="37" numFmtId="0" xfId="0" applyFont="1"/>
    <xf borderId="0" fillId="0" fontId="38" numFmtId="0" xfId="0" applyFont="1"/>
    <xf borderId="15" fillId="0" fontId="39" numFmtId="0" xfId="0" applyAlignment="1" applyBorder="1" applyFont="1">
      <alignment readingOrder="0"/>
    </xf>
    <xf borderId="16" fillId="0" fontId="25" numFmtId="0" xfId="0" applyAlignment="1" applyBorder="1" applyFont="1">
      <alignment readingOrder="0"/>
    </xf>
    <xf borderId="8" fillId="0" fontId="25" numFmtId="0" xfId="0" applyAlignment="1" applyBorder="1" applyFont="1">
      <alignment readingOrder="0"/>
    </xf>
    <xf borderId="8" fillId="0" fontId="25" numFmtId="0" xfId="0" applyBorder="1" applyFont="1"/>
    <xf borderId="8" fillId="0" fontId="38" numFmtId="0" xfId="0" applyAlignment="1" applyBorder="1" applyFont="1">
      <alignment readingOrder="0"/>
    </xf>
    <xf borderId="2" fillId="0" fontId="25" numFmtId="0" xfId="0" applyBorder="1" applyFont="1"/>
    <xf borderId="0" fillId="0" fontId="38" numFmtId="0" xfId="0" applyAlignment="1" applyFont="1">
      <alignment readingOrder="0"/>
    </xf>
    <xf borderId="0" fillId="4" fontId="25" numFmtId="0" xfId="0" applyAlignment="1" applyFont="1">
      <alignment readingOrder="0"/>
    </xf>
    <xf borderId="0" fillId="4" fontId="38" numFmtId="0" xfId="0" applyAlignment="1" applyFont="1">
      <alignment readingOrder="0"/>
    </xf>
    <xf borderId="0" fillId="2" fontId="25" numFmtId="0" xfId="0" applyAlignment="1" applyFont="1">
      <alignment readingOrder="0"/>
    </xf>
    <xf borderId="15" fillId="6" fontId="38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17.38"/>
    <col customWidth="1" min="3" max="3" width="25.25"/>
    <col customWidth="1" min="4" max="4" width="15.0"/>
    <col customWidth="1" min="5" max="5" width="21.0"/>
    <col customWidth="1" min="6" max="6" width="19.5"/>
    <col customWidth="1" min="8" max="8" width="18.13"/>
    <col customWidth="1" min="15" max="15" width="34.13"/>
  </cols>
  <sheetData>
    <row r="1">
      <c r="A1" s="1" t="s">
        <v>0</v>
      </c>
      <c r="B1" s="1">
        <v>1.1593894E7</v>
      </c>
      <c r="C1" s="2">
        <v>1.0</v>
      </c>
      <c r="D1" s="2">
        <v>2.0</v>
      </c>
      <c r="E1" s="3" t="s">
        <v>1</v>
      </c>
      <c r="F1" s="1" t="s">
        <v>2</v>
      </c>
      <c r="G1" s="4">
        <v>51.55</v>
      </c>
      <c r="H1" s="5">
        <f t="shared" ref="H1:H9" si="1">D1*G1</f>
        <v>103.1</v>
      </c>
      <c r="I1" s="1" t="s">
        <v>3</v>
      </c>
      <c r="J1" s="6" t="s">
        <v>4</v>
      </c>
      <c r="K1" s="3" t="s">
        <v>5</v>
      </c>
      <c r="L1" s="7" t="s">
        <v>4</v>
      </c>
      <c r="M1" s="8" t="s">
        <v>6</v>
      </c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" t="s">
        <v>7</v>
      </c>
      <c r="B2" s="1">
        <v>1.23080090503E11</v>
      </c>
      <c r="C2" s="2" t="s">
        <v>8</v>
      </c>
      <c r="D2" s="2">
        <v>10.0</v>
      </c>
      <c r="E2" s="1" t="s">
        <v>1</v>
      </c>
      <c r="F2" s="1" t="s">
        <v>2</v>
      </c>
      <c r="G2" s="5">
        <v>6.18</v>
      </c>
      <c r="H2" s="11">
        <f t="shared" si="1"/>
        <v>61.8</v>
      </c>
      <c r="I2" s="1" t="s">
        <v>9</v>
      </c>
      <c r="J2" s="6" t="s">
        <v>4</v>
      </c>
      <c r="K2" s="3" t="s">
        <v>10</v>
      </c>
      <c r="L2" s="7" t="s">
        <v>4</v>
      </c>
      <c r="M2" s="8" t="s">
        <v>6</v>
      </c>
      <c r="N2" s="9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" t="s">
        <v>11</v>
      </c>
      <c r="B3" s="1" t="s">
        <v>12</v>
      </c>
      <c r="C3" s="2" t="s">
        <v>8</v>
      </c>
      <c r="D3" s="2">
        <v>1.0</v>
      </c>
      <c r="E3" s="1" t="s">
        <v>13</v>
      </c>
      <c r="F3" s="1" t="s">
        <v>14</v>
      </c>
      <c r="G3" s="5">
        <v>34.0</v>
      </c>
      <c r="H3" s="5">
        <f t="shared" si="1"/>
        <v>34</v>
      </c>
      <c r="I3" s="1" t="s">
        <v>9</v>
      </c>
      <c r="J3" s="1" t="s">
        <v>4</v>
      </c>
      <c r="K3" s="3" t="s">
        <v>10</v>
      </c>
      <c r="L3" s="7" t="s">
        <v>4</v>
      </c>
      <c r="M3" s="8" t="s">
        <v>6</v>
      </c>
      <c r="N3" s="12"/>
      <c r="O3" s="1" t="s">
        <v>15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" t="s">
        <v>16</v>
      </c>
      <c r="B4" s="1" t="s">
        <v>17</v>
      </c>
      <c r="C4" s="2">
        <v>1.0</v>
      </c>
      <c r="D4" s="2">
        <v>1.0</v>
      </c>
      <c r="E4" s="1" t="s">
        <v>1</v>
      </c>
      <c r="F4" s="1" t="s">
        <v>2</v>
      </c>
      <c r="G4" s="5">
        <v>23.28</v>
      </c>
      <c r="H4" s="5">
        <f t="shared" si="1"/>
        <v>23.28</v>
      </c>
      <c r="I4" s="1" t="s">
        <v>5</v>
      </c>
      <c r="J4" s="1" t="s">
        <v>4</v>
      </c>
      <c r="K4" s="3" t="s">
        <v>10</v>
      </c>
      <c r="L4" s="7" t="s">
        <v>4</v>
      </c>
      <c r="M4" s="8" t="s">
        <v>6</v>
      </c>
      <c r="N4" s="13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" t="s">
        <v>18</v>
      </c>
      <c r="B5" s="1">
        <v>3.0123328E7</v>
      </c>
      <c r="C5" s="2">
        <v>1000.0</v>
      </c>
      <c r="D5" s="2">
        <v>1.0</v>
      </c>
      <c r="E5" s="1" t="s">
        <v>19</v>
      </c>
      <c r="F5" s="1" t="s">
        <v>20</v>
      </c>
      <c r="G5" s="5">
        <v>46.6</v>
      </c>
      <c r="H5" s="5">
        <f t="shared" si="1"/>
        <v>46.6</v>
      </c>
      <c r="I5" s="1" t="s">
        <v>5</v>
      </c>
      <c r="J5" s="1" t="s">
        <v>4</v>
      </c>
      <c r="K5" s="3" t="s">
        <v>21</v>
      </c>
      <c r="L5" s="7" t="s">
        <v>4</v>
      </c>
      <c r="M5" s="8" t="s">
        <v>6</v>
      </c>
      <c r="N5" s="9"/>
      <c r="O5" s="14" t="s">
        <v>22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5" t="s">
        <v>23</v>
      </c>
      <c r="B6" s="3">
        <v>2.1194685E7</v>
      </c>
      <c r="C6" s="16">
        <v>1.0</v>
      </c>
      <c r="D6" s="7">
        <v>1.0</v>
      </c>
      <c r="E6" s="17" t="s">
        <v>24</v>
      </c>
      <c r="F6" s="17" t="s">
        <v>25</v>
      </c>
      <c r="G6" s="18">
        <v>121.0</v>
      </c>
      <c r="H6" s="5">
        <f t="shared" si="1"/>
        <v>121</v>
      </c>
      <c r="I6" s="1" t="s">
        <v>5</v>
      </c>
      <c r="J6" s="1" t="s">
        <v>4</v>
      </c>
      <c r="K6" s="3" t="s">
        <v>26</v>
      </c>
      <c r="L6" s="7" t="s">
        <v>4</v>
      </c>
      <c r="M6" s="8" t="s">
        <v>6</v>
      </c>
      <c r="N6" s="19"/>
      <c r="O6" s="19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15" t="s">
        <v>27</v>
      </c>
      <c r="B7" s="3">
        <v>1.1880933E7</v>
      </c>
      <c r="C7" s="16" t="s">
        <v>28</v>
      </c>
      <c r="D7" s="7">
        <v>1.0</v>
      </c>
      <c r="E7" s="3" t="s">
        <v>1</v>
      </c>
      <c r="F7" s="17" t="s">
        <v>2</v>
      </c>
      <c r="G7" s="18">
        <v>256.4</v>
      </c>
      <c r="H7" s="21">
        <f t="shared" si="1"/>
        <v>256.4</v>
      </c>
      <c r="I7" s="3" t="s">
        <v>10</v>
      </c>
      <c r="J7" s="17" t="s">
        <v>4</v>
      </c>
      <c r="K7" s="3" t="s">
        <v>29</v>
      </c>
      <c r="L7" s="7" t="s">
        <v>4</v>
      </c>
      <c r="M7" s="8" t="s">
        <v>6</v>
      </c>
      <c r="N7" s="19"/>
      <c r="O7" s="3" t="s">
        <v>30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1" t="s">
        <v>31</v>
      </c>
      <c r="B8" s="1">
        <v>1.0453931E7</v>
      </c>
      <c r="C8" s="2" t="s">
        <v>32</v>
      </c>
      <c r="D8" s="2">
        <v>1.0</v>
      </c>
      <c r="E8" s="1" t="s">
        <v>1</v>
      </c>
      <c r="F8" s="1" t="s">
        <v>2</v>
      </c>
      <c r="G8" s="5">
        <v>33.6</v>
      </c>
      <c r="H8" s="5">
        <f t="shared" si="1"/>
        <v>33.6</v>
      </c>
      <c r="I8" s="1" t="s">
        <v>33</v>
      </c>
      <c r="J8" s="1" t="s">
        <v>4</v>
      </c>
      <c r="K8" s="3" t="s">
        <v>34</v>
      </c>
      <c r="L8" s="7" t="s">
        <v>4</v>
      </c>
      <c r="M8" s="8" t="s">
        <v>6</v>
      </c>
      <c r="N8" s="9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7" t="s">
        <v>35</v>
      </c>
      <c r="B9" s="3" t="s">
        <v>36</v>
      </c>
      <c r="C9" s="16" t="s">
        <v>37</v>
      </c>
      <c r="D9" s="7">
        <v>2.0</v>
      </c>
      <c r="E9" s="3" t="s">
        <v>38</v>
      </c>
      <c r="F9" s="3" t="s">
        <v>38</v>
      </c>
      <c r="G9" s="18">
        <v>10.9</v>
      </c>
      <c r="H9" s="5">
        <f t="shared" si="1"/>
        <v>21.8</v>
      </c>
      <c r="I9" s="1" t="s">
        <v>33</v>
      </c>
      <c r="J9" s="1" t="s">
        <v>4</v>
      </c>
      <c r="K9" s="3" t="s">
        <v>39</v>
      </c>
      <c r="L9" s="7" t="s">
        <v>4</v>
      </c>
      <c r="M9" s="8" t="s">
        <v>6</v>
      </c>
      <c r="N9" s="14" t="s">
        <v>40</v>
      </c>
      <c r="O9" s="3" t="s">
        <v>41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2" t="s">
        <v>42</v>
      </c>
      <c r="B10" s="3" t="s">
        <v>43</v>
      </c>
      <c r="C10" s="7">
        <v>1.0</v>
      </c>
      <c r="D10" s="16">
        <v>1.0</v>
      </c>
      <c r="E10" s="3" t="s">
        <v>1</v>
      </c>
      <c r="F10" s="17" t="s">
        <v>44</v>
      </c>
      <c r="G10" s="17" t="s">
        <v>25</v>
      </c>
      <c r="H10" s="18">
        <v>5.45</v>
      </c>
      <c r="I10" s="3" t="s">
        <v>21</v>
      </c>
      <c r="J10" s="3" t="s">
        <v>4</v>
      </c>
      <c r="K10" s="3" t="s">
        <v>21</v>
      </c>
      <c r="L10" s="7" t="s">
        <v>4</v>
      </c>
      <c r="M10" s="8" t="s">
        <v>6</v>
      </c>
      <c r="N10" s="23"/>
      <c r="O10" s="19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15" t="s">
        <v>45</v>
      </c>
      <c r="B11" s="24">
        <v>1.6237971E7</v>
      </c>
      <c r="C11" s="25">
        <v>100.0</v>
      </c>
      <c r="D11" s="26">
        <v>1.0</v>
      </c>
      <c r="E11" s="27" t="s">
        <v>1</v>
      </c>
      <c r="F11" s="27" t="s">
        <v>46</v>
      </c>
      <c r="G11" s="28">
        <v>22.3</v>
      </c>
      <c r="H11" s="29">
        <f t="shared" ref="H11:H40" si="2">D11*G11</f>
        <v>22.3</v>
      </c>
      <c r="I11" s="26" t="s">
        <v>47</v>
      </c>
      <c r="J11" s="26" t="s">
        <v>4</v>
      </c>
      <c r="K11" s="25" t="s">
        <v>48</v>
      </c>
      <c r="L11" s="25" t="s">
        <v>4</v>
      </c>
      <c r="M11" s="30" t="s">
        <v>6</v>
      </c>
      <c r="N11" s="19"/>
      <c r="O11" s="19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6" t="s">
        <v>49</v>
      </c>
      <c r="B12" s="29">
        <v>1.0065090407E11</v>
      </c>
      <c r="C12" s="26">
        <v>1.0</v>
      </c>
      <c r="D12" s="26">
        <v>1.0</v>
      </c>
      <c r="E12" s="31" t="s">
        <v>1</v>
      </c>
      <c r="F12" s="31" t="s">
        <v>2</v>
      </c>
      <c r="G12" s="29">
        <v>5.5</v>
      </c>
      <c r="H12" s="29">
        <f t="shared" si="2"/>
        <v>5.5</v>
      </c>
      <c r="I12" s="25" t="s">
        <v>50</v>
      </c>
      <c r="J12" s="26" t="s">
        <v>4</v>
      </c>
      <c r="K12" s="25" t="s">
        <v>51</v>
      </c>
      <c r="L12" s="25" t="s">
        <v>4</v>
      </c>
      <c r="M12" s="30" t="s">
        <v>6</v>
      </c>
      <c r="N12" s="9"/>
      <c r="O12" s="1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52</v>
      </c>
      <c r="B13" s="28" t="s">
        <v>53</v>
      </c>
      <c r="C13" s="25" t="s">
        <v>54</v>
      </c>
      <c r="D13" s="26">
        <v>1.0</v>
      </c>
      <c r="E13" s="27" t="s">
        <v>55</v>
      </c>
      <c r="F13" s="27" t="s">
        <v>56</v>
      </c>
      <c r="G13" s="28">
        <v>150.0</v>
      </c>
      <c r="H13" s="29">
        <f t="shared" si="2"/>
        <v>150</v>
      </c>
      <c r="I13" s="25" t="s">
        <v>50</v>
      </c>
      <c r="J13" s="26" t="s">
        <v>4</v>
      </c>
      <c r="K13" s="25" t="s">
        <v>50</v>
      </c>
      <c r="L13" s="26" t="s">
        <v>4</v>
      </c>
      <c r="M13" s="30" t="s">
        <v>6</v>
      </c>
      <c r="N13" s="19"/>
      <c r="O13" s="27" t="s">
        <v>57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5" t="s">
        <v>58</v>
      </c>
      <c r="B14" s="28" t="s">
        <v>59</v>
      </c>
      <c r="C14" s="25" t="s">
        <v>54</v>
      </c>
      <c r="D14" s="25">
        <v>1.0</v>
      </c>
      <c r="E14" s="27" t="s">
        <v>55</v>
      </c>
      <c r="F14" s="27" t="s">
        <v>56</v>
      </c>
      <c r="G14" s="28">
        <v>150.0</v>
      </c>
      <c r="H14" s="29">
        <f t="shared" si="2"/>
        <v>150</v>
      </c>
      <c r="I14" s="25" t="s">
        <v>50</v>
      </c>
      <c r="J14" s="26" t="s">
        <v>4</v>
      </c>
      <c r="K14" s="25" t="s">
        <v>50</v>
      </c>
      <c r="L14" s="26" t="s">
        <v>4</v>
      </c>
      <c r="M14" s="30" t="s">
        <v>6</v>
      </c>
      <c r="N14" s="19"/>
      <c r="O14" s="32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5" t="s">
        <v>60</v>
      </c>
      <c r="B15" s="28" t="s">
        <v>61</v>
      </c>
      <c r="C15" s="25">
        <v>1.0</v>
      </c>
      <c r="D15" s="26">
        <v>10.0</v>
      </c>
      <c r="E15" s="27" t="s">
        <v>62</v>
      </c>
      <c r="F15" s="27" t="s">
        <v>63</v>
      </c>
      <c r="G15" s="28">
        <v>7.8</v>
      </c>
      <c r="H15" s="28">
        <f t="shared" si="2"/>
        <v>78</v>
      </c>
      <c r="I15" s="25" t="s">
        <v>50</v>
      </c>
      <c r="J15" s="26" t="s">
        <v>4</v>
      </c>
      <c r="K15" s="25" t="s">
        <v>64</v>
      </c>
      <c r="L15" s="25" t="s">
        <v>4</v>
      </c>
      <c r="M15" s="30" t="s">
        <v>6</v>
      </c>
      <c r="N15" s="19"/>
      <c r="O15" s="1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5" t="s">
        <v>65</v>
      </c>
      <c r="B16" s="25" t="s">
        <v>66</v>
      </c>
      <c r="C16" s="25" t="s">
        <v>67</v>
      </c>
      <c r="D16" s="25">
        <v>2.0</v>
      </c>
      <c r="E16" s="27" t="s">
        <v>68</v>
      </c>
      <c r="F16" s="27" t="s">
        <v>25</v>
      </c>
      <c r="G16" s="28" t="s">
        <v>69</v>
      </c>
      <c r="H16" s="28">
        <f t="shared" si="2"/>
        <v>163</v>
      </c>
      <c r="I16" s="25" t="s">
        <v>70</v>
      </c>
      <c r="J16" s="25" t="s">
        <v>4</v>
      </c>
      <c r="K16" s="25" t="s">
        <v>64</v>
      </c>
      <c r="L16" s="25" t="s">
        <v>4</v>
      </c>
      <c r="M16" s="30" t="s">
        <v>6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15" t="s">
        <v>71</v>
      </c>
      <c r="B17" s="25" t="s">
        <v>72</v>
      </c>
      <c r="C17" s="25" t="s">
        <v>67</v>
      </c>
      <c r="D17" s="25">
        <v>5.0</v>
      </c>
      <c r="E17" s="27" t="s">
        <v>68</v>
      </c>
      <c r="F17" s="27" t="s">
        <v>25</v>
      </c>
      <c r="G17" s="28">
        <v>18.0</v>
      </c>
      <c r="H17" s="28">
        <f t="shared" si="2"/>
        <v>90</v>
      </c>
      <c r="I17" s="25" t="s">
        <v>70</v>
      </c>
      <c r="J17" s="25" t="s">
        <v>4</v>
      </c>
      <c r="K17" s="25" t="s">
        <v>64</v>
      </c>
      <c r="L17" s="25" t="s">
        <v>4</v>
      </c>
      <c r="M17" s="30" t="s">
        <v>6</v>
      </c>
      <c r="N17" s="27" t="s">
        <v>73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6" t="s">
        <v>74</v>
      </c>
      <c r="B18" s="33">
        <v>1.1320033E7</v>
      </c>
      <c r="C18" s="26" t="s">
        <v>75</v>
      </c>
      <c r="D18" s="26">
        <v>3.0</v>
      </c>
      <c r="E18" s="31" t="s">
        <v>76</v>
      </c>
      <c r="F18" s="27" t="s">
        <v>25</v>
      </c>
      <c r="G18" s="34">
        <v>27.55</v>
      </c>
      <c r="H18" s="28">
        <f t="shared" si="2"/>
        <v>82.65</v>
      </c>
      <c r="I18" s="25" t="s">
        <v>70</v>
      </c>
      <c r="J18" s="25" t="s">
        <v>4</v>
      </c>
      <c r="K18" s="25" t="s">
        <v>64</v>
      </c>
      <c r="L18" s="25" t="s">
        <v>4</v>
      </c>
      <c r="M18" s="30" t="s">
        <v>6</v>
      </c>
      <c r="N18" s="31" t="s">
        <v>77</v>
      </c>
      <c r="O18" s="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6" t="s">
        <v>78</v>
      </c>
      <c r="B19" s="29">
        <v>1.0564011E7</v>
      </c>
      <c r="C19" s="26" t="s">
        <v>75</v>
      </c>
      <c r="D19" s="26">
        <v>2.0</v>
      </c>
      <c r="E19" s="31" t="s">
        <v>76</v>
      </c>
      <c r="F19" s="27" t="s">
        <v>25</v>
      </c>
      <c r="G19" s="35">
        <v>28.05</v>
      </c>
      <c r="H19" s="28">
        <f t="shared" si="2"/>
        <v>56.1</v>
      </c>
      <c r="I19" s="25" t="s">
        <v>70</v>
      </c>
      <c r="J19" s="25" t="s">
        <v>4</v>
      </c>
      <c r="K19" s="25" t="s">
        <v>64</v>
      </c>
      <c r="L19" s="25" t="s">
        <v>4</v>
      </c>
      <c r="M19" s="30" t="s">
        <v>6</v>
      </c>
      <c r="N19" s="31" t="s">
        <v>77</v>
      </c>
      <c r="O19" s="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" t="s">
        <v>79</v>
      </c>
      <c r="B20" s="36">
        <v>1.4185052E7</v>
      </c>
      <c r="C20" s="37" t="s">
        <v>32</v>
      </c>
      <c r="D20" s="26">
        <v>1.0</v>
      </c>
      <c r="E20" s="31" t="s">
        <v>76</v>
      </c>
      <c r="F20" s="27" t="s">
        <v>25</v>
      </c>
      <c r="G20" s="29">
        <v>64.0</v>
      </c>
      <c r="H20" s="28">
        <f t="shared" si="2"/>
        <v>64</v>
      </c>
      <c r="I20" s="25" t="s">
        <v>70</v>
      </c>
      <c r="J20" s="25" t="s">
        <v>4</v>
      </c>
      <c r="K20" s="25" t="s">
        <v>64</v>
      </c>
      <c r="L20" s="25" t="s">
        <v>4</v>
      </c>
      <c r="M20" s="30" t="s">
        <v>6</v>
      </c>
      <c r="N20" s="31" t="s">
        <v>80</v>
      </c>
      <c r="O20" s="9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" t="s">
        <v>81</v>
      </c>
      <c r="B21" s="29" t="s">
        <v>82</v>
      </c>
      <c r="C21" s="26" t="s">
        <v>83</v>
      </c>
      <c r="D21" s="26">
        <v>5.0</v>
      </c>
      <c r="E21" s="31" t="s">
        <v>84</v>
      </c>
      <c r="F21" s="31" t="s">
        <v>85</v>
      </c>
      <c r="G21" s="29">
        <v>27.0</v>
      </c>
      <c r="H21" s="28">
        <f t="shared" si="2"/>
        <v>135</v>
      </c>
      <c r="I21" s="25" t="s">
        <v>70</v>
      </c>
      <c r="J21" s="25" t="s">
        <v>4</v>
      </c>
      <c r="K21" s="25" t="s">
        <v>86</v>
      </c>
      <c r="L21" s="25" t="s">
        <v>4</v>
      </c>
      <c r="M21" s="30" t="s">
        <v>6</v>
      </c>
      <c r="N21" s="9"/>
      <c r="O21" s="9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8" t="s">
        <v>87</v>
      </c>
      <c r="B22" s="29" t="s">
        <v>88</v>
      </c>
      <c r="C22" s="26" t="s">
        <v>89</v>
      </c>
      <c r="D22" s="26">
        <v>1.0</v>
      </c>
      <c r="E22" s="31" t="s">
        <v>90</v>
      </c>
      <c r="F22" s="31" t="s">
        <v>91</v>
      </c>
      <c r="G22" s="29">
        <v>88.0</v>
      </c>
      <c r="H22" s="28">
        <f t="shared" si="2"/>
        <v>88</v>
      </c>
      <c r="I22" s="25" t="s">
        <v>70</v>
      </c>
      <c r="J22" s="25" t="s">
        <v>4</v>
      </c>
      <c r="K22" s="25" t="s">
        <v>70</v>
      </c>
      <c r="L22" s="25" t="s">
        <v>4</v>
      </c>
      <c r="M22" s="30" t="s">
        <v>6</v>
      </c>
      <c r="N22" s="9"/>
      <c r="O22" s="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9" t="s">
        <v>92</v>
      </c>
      <c r="B23" s="40" t="s">
        <v>93</v>
      </c>
      <c r="C23" s="41" t="s">
        <v>94</v>
      </c>
      <c r="D23" s="26">
        <v>1.0</v>
      </c>
      <c r="E23" s="42" t="s">
        <v>95</v>
      </c>
      <c r="F23" s="43" t="s">
        <v>96</v>
      </c>
      <c r="G23" s="29">
        <v>285.0</v>
      </c>
      <c r="H23" s="28">
        <f t="shared" si="2"/>
        <v>285</v>
      </c>
      <c r="I23" s="25" t="s">
        <v>70</v>
      </c>
      <c r="J23" s="25" t="s">
        <v>4</v>
      </c>
      <c r="K23" s="25" t="s">
        <v>97</v>
      </c>
      <c r="L23" s="25" t="s">
        <v>4</v>
      </c>
      <c r="M23" s="30" t="s">
        <v>6</v>
      </c>
      <c r="N23" s="31" t="s">
        <v>98</v>
      </c>
      <c r="O23" s="9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44" t="s">
        <v>99</v>
      </c>
      <c r="B24" s="45" t="s">
        <v>100</v>
      </c>
      <c r="C24" s="46">
        <v>2000.0</v>
      </c>
      <c r="D24" s="26">
        <v>1.0</v>
      </c>
      <c r="E24" s="43" t="s">
        <v>101</v>
      </c>
      <c r="F24" s="43" t="s">
        <v>91</v>
      </c>
      <c r="G24" s="29">
        <v>29.0</v>
      </c>
      <c r="H24" s="28">
        <f t="shared" si="2"/>
        <v>29</v>
      </c>
      <c r="I24" s="25" t="s">
        <v>70</v>
      </c>
      <c r="J24" s="25" t="s">
        <v>4</v>
      </c>
      <c r="K24" s="25" t="s">
        <v>70</v>
      </c>
      <c r="L24" s="25" t="s">
        <v>4</v>
      </c>
      <c r="M24" s="30" t="s">
        <v>6</v>
      </c>
      <c r="N24" s="9"/>
      <c r="O24" s="9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8" t="s">
        <v>102</v>
      </c>
      <c r="B25" s="45" t="s">
        <v>103</v>
      </c>
      <c r="C25" s="46">
        <v>2000.0</v>
      </c>
      <c r="D25" s="26">
        <v>1.0</v>
      </c>
      <c r="E25" s="43" t="s">
        <v>101</v>
      </c>
      <c r="F25" s="43" t="s">
        <v>91</v>
      </c>
      <c r="G25" s="29">
        <v>29.0</v>
      </c>
      <c r="H25" s="28">
        <f t="shared" si="2"/>
        <v>29</v>
      </c>
      <c r="I25" s="25" t="s">
        <v>70</v>
      </c>
      <c r="J25" s="25" t="s">
        <v>4</v>
      </c>
      <c r="K25" s="25" t="s">
        <v>70</v>
      </c>
      <c r="L25" s="25" t="s">
        <v>4</v>
      </c>
      <c r="M25" s="30" t="s">
        <v>6</v>
      </c>
      <c r="N25" s="9"/>
      <c r="O25" s="9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8" t="s">
        <v>104</v>
      </c>
      <c r="B26" s="45" t="s">
        <v>105</v>
      </c>
      <c r="C26" s="46">
        <v>2000.0</v>
      </c>
      <c r="D26" s="26">
        <v>1.0</v>
      </c>
      <c r="E26" s="43" t="s">
        <v>101</v>
      </c>
      <c r="F26" s="43" t="s">
        <v>91</v>
      </c>
      <c r="G26" s="29">
        <v>29.0</v>
      </c>
      <c r="H26" s="28">
        <f t="shared" si="2"/>
        <v>29</v>
      </c>
      <c r="I26" s="25" t="s">
        <v>70</v>
      </c>
      <c r="J26" s="25" t="s">
        <v>4</v>
      </c>
      <c r="K26" s="25" t="s">
        <v>70</v>
      </c>
      <c r="L26" s="25" t="s">
        <v>4</v>
      </c>
      <c r="M26" s="30" t="s">
        <v>6</v>
      </c>
      <c r="N26" s="9"/>
      <c r="O26" s="9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47" t="s">
        <v>106</v>
      </c>
      <c r="B27" s="45" t="s">
        <v>107</v>
      </c>
      <c r="C27" s="46">
        <v>2000.0</v>
      </c>
      <c r="D27" s="26">
        <v>1.0</v>
      </c>
      <c r="E27" s="43" t="s">
        <v>101</v>
      </c>
      <c r="F27" s="43" t="s">
        <v>91</v>
      </c>
      <c r="G27" s="29">
        <v>29.0</v>
      </c>
      <c r="H27" s="28">
        <f t="shared" si="2"/>
        <v>29</v>
      </c>
      <c r="I27" s="25" t="s">
        <v>70</v>
      </c>
      <c r="J27" s="25" t="s">
        <v>4</v>
      </c>
      <c r="K27" s="25" t="s">
        <v>70</v>
      </c>
      <c r="L27" s="25" t="s">
        <v>4</v>
      </c>
      <c r="M27" s="30" t="s">
        <v>6</v>
      </c>
      <c r="N27" s="9"/>
      <c r="O27" s="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38" t="s">
        <v>108</v>
      </c>
      <c r="B28" s="45" t="s">
        <v>109</v>
      </c>
      <c r="C28" s="41">
        <v>1.0</v>
      </c>
      <c r="D28" s="26">
        <v>4.0</v>
      </c>
      <c r="E28" s="31" t="s">
        <v>110</v>
      </c>
      <c r="F28" s="27" t="s">
        <v>25</v>
      </c>
      <c r="G28" s="29">
        <v>49.2</v>
      </c>
      <c r="H28" s="28">
        <f t="shared" si="2"/>
        <v>196.8</v>
      </c>
      <c r="I28" s="26" t="s">
        <v>70</v>
      </c>
      <c r="J28" s="25" t="s">
        <v>4</v>
      </c>
      <c r="K28" s="25" t="s">
        <v>111</v>
      </c>
      <c r="L28" s="25" t="s">
        <v>4</v>
      </c>
      <c r="M28" s="30" t="s">
        <v>6</v>
      </c>
      <c r="N28" s="9"/>
      <c r="O28" s="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48" t="s">
        <v>112</v>
      </c>
      <c r="B29" s="28" t="s">
        <v>113</v>
      </c>
      <c r="C29" s="25">
        <v>45.0</v>
      </c>
      <c r="D29" s="25">
        <v>1.0</v>
      </c>
      <c r="E29" s="27" t="s">
        <v>114</v>
      </c>
      <c r="F29" s="27" t="s">
        <v>85</v>
      </c>
      <c r="G29" s="29">
        <v>52.0</v>
      </c>
      <c r="H29" s="28">
        <f t="shared" si="2"/>
        <v>52</v>
      </c>
      <c r="I29" s="25" t="s">
        <v>70</v>
      </c>
      <c r="J29" s="25" t="s">
        <v>4</v>
      </c>
      <c r="K29" s="25" t="s">
        <v>70</v>
      </c>
      <c r="L29" s="25" t="s">
        <v>4</v>
      </c>
      <c r="M29" s="30" t="s">
        <v>6</v>
      </c>
      <c r="N29" s="9"/>
      <c r="O29" s="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38" t="s">
        <v>115</v>
      </c>
      <c r="B30" s="29" t="s">
        <v>116</v>
      </c>
      <c r="C30" s="26" t="s">
        <v>117</v>
      </c>
      <c r="D30" s="26">
        <v>2.0</v>
      </c>
      <c r="E30" s="31" t="s">
        <v>76</v>
      </c>
      <c r="F30" s="27" t="s">
        <v>25</v>
      </c>
      <c r="G30" s="29">
        <v>51.5</v>
      </c>
      <c r="H30" s="28">
        <f t="shared" si="2"/>
        <v>103</v>
      </c>
      <c r="I30" s="25" t="s">
        <v>70</v>
      </c>
      <c r="J30" s="25" t="s">
        <v>4</v>
      </c>
      <c r="K30" s="25" t="s">
        <v>64</v>
      </c>
      <c r="L30" s="25" t="s">
        <v>4</v>
      </c>
      <c r="M30" s="30" t="s">
        <v>6</v>
      </c>
      <c r="N30" s="43" t="s">
        <v>80</v>
      </c>
      <c r="O30" s="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47" t="s">
        <v>115</v>
      </c>
      <c r="B31" s="49" t="s">
        <v>118</v>
      </c>
      <c r="C31" s="26" t="s">
        <v>117</v>
      </c>
      <c r="D31" s="26">
        <v>1.0</v>
      </c>
      <c r="E31" s="31" t="s">
        <v>76</v>
      </c>
      <c r="F31" s="27" t="s">
        <v>25</v>
      </c>
      <c r="G31" s="29">
        <v>57.75</v>
      </c>
      <c r="H31" s="28">
        <f t="shared" si="2"/>
        <v>57.75</v>
      </c>
      <c r="I31" s="26" t="s">
        <v>119</v>
      </c>
      <c r="J31" s="25" t="s">
        <v>4</v>
      </c>
      <c r="K31" s="25" t="s">
        <v>64</v>
      </c>
      <c r="L31" s="25" t="s">
        <v>4</v>
      </c>
      <c r="M31" s="30" t="s">
        <v>6</v>
      </c>
      <c r="N31" s="43" t="s">
        <v>80</v>
      </c>
      <c r="O31" s="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50" t="s">
        <v>120</v>
      </c>
      <c r="B32" s="29" t="s">
        <v>121</v>
      </c>
      <c r="C32" s="26">
        <v>1.0</v>
      </c>
      <c r="D32" s="26">
        <v>1.0</v>
      </c>
      <c r="E32" s="31" t="s">
        <v>122</v>
      </c>
      <c r="F32" s="31" t="s">
        <v>123</v>
      </c>
      <c r="G32" s="29">
        <v>353.94</v>
      </c>
      <c r="H32" s="29">
        <f t="shared" si="2"/>
        <v>353.94</v>
      </c>
      <c r="I32" s="26" t="s">
        <v>86</v>
      </c>
      <c r="J32" s="26" t="s">
        <v>4</v>
      </c>
      <c r="K32" s="25" t="s">
        <v>124</v>
      </c>
      <c r="L32" s="25" t="s">
        <v>4</v>
      </c>
      <c r="M32" s="30" t="s">
        <v>6</v>
      </c>
      <c r="N32" s="9"/>
      <c r="O32" s="31" t="s">
        <v>125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7" t="s">
        <v>126</v>
      </c>
      <c r="B33" s="51" t="s">
        <v>127</v>
      </c>
      <c r="C33" s="25" t="s">
        <v>67</v>
      </c>
      <c r="D33" s="25">
        <v>3.0</v>
      </c>
      <c r="E33" s="17" t="s">
        <v>128</v>
      </c>
      <c r="F33" s="27" t="s">
        <v>128</v>
      </c>
      <c r="G33" s="52">
        <v>20.5</v>
      </c>
      <c r="H33" s="29">
        <f t="shared" si="2"/>
        <v>61.5</v>
      </c>
      <c r="I33" s="26" t="s">
        <v>86</v>
      </c>
      <c r="J33" s="26" t="s">
        <v>4</v>
      </c>
      <c r="K33" s="25" t="s">
        <v>129</v>
      </c>
      <c r="L33" s="25" t="s">
        <v>4</v>
      </c>
      <c r="M33" s="30" t="s">
        <v>6</v>
      </c>
      <c r="N33" s="31" t="s">
        <v>130</v>
      </c>
      <c r="O33" s="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7" t="s">
        <v>131</v>
      </c>
      <c r="B34" s="53" t="s">
        <v>132</v>
      </c>
      <c r="C34" s="25" t="s">
        <v>67</v>
      </c>
      <c r="D34" s="25">
        <v>1.0</v>
      </c>
      <c r="E34" s="27" t="s">
        <v>128</v>
      </c>
      <c r="F34" s="27" t="s">
        <v>128</v>
      </c>
      <c r="G34" s="52" t="s">
        <v>133</v>
      </c>
      <c r="H34" s="29">
        <f t="shared" si="2"/>
        <v>74.7</v>
      </c>
      <c r="I34" s="26" t="s">
        <v>86</v>
      </c>
      <c r="J34" s="26" t="s">
        <v>4</v>
      </c>
      <c r="K34" s="25" t="s">
        <v>48</v>
      </c>
      <c r="L34" s="25" t="s">
        <v>4</v>
      </c>
      <c r="M34" s="30" t="s">
        <v>6</v>
      </c>
      <c r="N34" s="31" t="s">
        <v>134</v>
      </c>
      <c r="O34" s="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7" t="s">
        <v>135</v>
      </c>
      <c r="B35" s="53">
        <v>1.1814389001E10</v>
      </c>
      <c r="C35" s="25">
        <v>100.0</v>
      </c>
      <c r="D35" s="25">
        <v>1.0</v>
      </c>
      <c r="E35" s="27" t="s">
        <v>128</v>
      </c>
      <c r="F35" s="27" t="s">
        <v>128</v>
      </c>
      <c r="G35" s="52" t="s">
        <v>136</v>
      </c>
      <c r="H35" s="29">
        <f t="shared" si="2"/>
        <v>53.5</v>
      </c>
      <c r="I35" s="26" t="s">
        <v>86</v>
      </c>
      <c r="J35" s="26" t="s">
        <v>4</v>
      </c>
      <c r="K35" s="25" t="s">
        <v>48</v>
      </c>
      <c r="L35" s="25" t="s">
        <v>4</v>
      </c>
      <c r="M35" s="30" t="s">
        <v>6</v>
      </c>
      <c r="N35" s="31" t="s">
        <v>134</v>
      </c>
      <c r="O35" s="9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7" t="s">
        <v>137</v>
      </c>
      <c r="B36" s="51" t="s">
        <v>138</v>
      </c>
      <c r="C36" s="25" t="s">
        <v>139</v>
      </c>
      <c r="D36" s="26">
        <v>1.0</v>
      </c>
      <c r="E36" s="27" t="s">
        <v>128</v>
      </c>
      <c r="F36" s="27" t="s">
        <v>128</v>
      </c>
      <c r="G36" s="28">
        <v>18.4</v>
      </c>
      <c r="H36" s="29">
        <f t="shared" si="2"/>
        <v>18.4</v>
      </c>
      <c r="I36" s="26" t="s">
        <v>86</v>
      </c>
      <c r="J36" s="26" t="s">
        <v>4</v>
      </c>
      <c r="K36" s="25" t="s">
        <v>64</v>
      </c>
      <c r="L36" s="25" t="s">
        <v>4</v>
      </c>
      <c r="M36" s="30" t="s">
        <v>6</v>
      </c>
      <c r="N36" s="27" t="s">
        <v>80</v>
      </c>
      <c r="O36" s="19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17" t="s">
        <v>140</v>
      </c>
      <c r="B37" s="28" t="s">
        <v>141</v>
      </c>
      <c r="C37" s="25" t="s">
        <v>32</v>
      </c>
      <c r="D37" s="26">
        <v>1.0</v>
      </c>
      <c r="E37" s="27" t="s">
        <v>128</v>
      </c>
      <c r="F37" s="27" t="s">
        <v>128</v>
      </c>
      <c r="G37" s="28">
        <v>133.0</v>
      </c>
      <c r="H37" s="29">
        <f t="shared" si="2"/>
        <v>133</v>
      </c>
      <c r="I37" s="26" t="s">
        <v>86</v>
      </c>
      <c r="J37" s="26" t="s">
        <v>4</v>
      </c>
      <c r="K37" s="25" t="s">
        <v>64</v>
      </c>
      <c r="L37" s="25" t="s">
        <v>4</v>
      </c>
      <c r="M37" s="30" t="s">
        <v>6</v>
      </c>
      <c r="N37" s="31" t="s">
        <v>130</v>
      </c>
      <c r="O37" s="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7" t="s">
        <v>142</v>
      </c>
      <c r="B38" s="28" t="s">
        <v>143</v>
      </c>
      <c r="C38" s="25" t="s">
        <v>144</v>
      </c>
      <c r="D38" s="26">
        <v>1.0</v>
      </c>
      <c r="E38" s="27" t="s">
        <v>128</v>
      </c>
      <c r="F38" s="27" t="s">
        <v>128</v>
      </c>
      <c r="G38" s="28">
        <v>28.39</v>
      </c>
      <c r="H38" s="29">
        <f t="shared" si="2"/>
        <v>28.39</v>
      </c>
      <c r="I38" s="26" t="s">
        <v>86</v>
      </c>
      <c r="J38" s="26" t="s">
        <v>4</v>
      </c>
      <c r="K38" s="25" t="s">
        <v>48</v>
      </c>
      <c r="L38" s="25" t="s">
        <v>4</v>
      </c>
      <c r="M38" s="30" t="s">
        <v>6</v>
      </c>
      <c r="N38" s="27" t="s">
        <v>80</v>
      </c>
      <c r="O38" s="19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17" t="s">
        <v>145</v>
      </c>
      <c r="B39" s="28" t="s">
        <v>146</v>
      </c>
      <c r="C39" s="25">
        <v>100.0</v>
      </c>
      <c r="D39" s="26">
        <v>1.0</v>
      </c>
      <c r="E39" s="27" t="s">
        <v>128</v>
      </c>
      <c r="F39" s="27" t="s">
        <v>128</v>
      </c>
      <c r="G39" s="28">
        <v>38.42</v>
      </c>
      <c r="H39" s="29">
        <f t="shared" si="2"/>
        <v>38.42</v>
      </c>
      <c r="I39" s="26" t="s">
        <v>86</v>
      </c>
      <c r="J39" s="26" t="s">
        <v>4</v>
      </c>
      <c r="K39" s="25" t="s">
        <v>48</v>
      </c>
      <c r="L39" s="25" t="s">
        <v>4</v>
      </c>
      <c r="M39" s="30" t="s">
        <v>6</v>
      </c>
      <c r="N39" s="27" t="s">
        <v>80</v>
      </c>
      <c r="O39" s="19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17" t="s">
        <v>147</v>
      </c>
      <c r="B40" s="28" t="s">
        <v>148</v>
      </c>
      <c r="C40" s="25" t="s">
        <v>149</v>
      </c>
      <c r="D40" s="26">
        <v>1.0</v>
      </c>
      <c r="E40" s="27" t="s">
        <v>128</v>
      </c>
      <c r="F40" s="27" t="s">
        <v>128</v>
      </c>
      <c r="G40" s="28">
        <v>73.8</v>
      </c>
      <c r="H40" s="29">
        <f t="shared" si="2"/>
        <v>73.8</v>
      </c>
      <c r="I40" s="26" t="s">
        <v>86</v>
      </c>
      <c r="J40" s="26" t="s">
        <v>4</v>
      </c>
      <c r="K40" s="25" t="s">
        <v>64</v>
      </c>
      <c r="L40" s="25" t="s">
        <v>4</v>
      </c>
      <c r="M40" s="30" t="s">
        <v>6</v>
      </c>
      <c r="N40" s="27" t="s">
        <v>130</v>
      </c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17" t="s">
        <v>150</v>
      </c>
      <c r="B41" s="51">
        <v>9991090.0</v>
      </c>
      <c r="C41" s="26" t="s">
        <v>151</v>
      </c>
      <c r="D41" s="25">
        <v>1.0</v>
      </c>
      <c r="E41" s="27" t="s">
        <v>152</v>
      </c>
      <c r="F41" s="27" t="s">
        <v>25</v>
      </c>
      <c r="G41" s="28">
        <v>123.0</v>
      </c>
      <c r="H41" s="28">
        <v>123.0</v>
      </c>
      <c r="I41" s="26" t="s">
        <v>64</v>
      </c>
      <c r="J41" s="26" t="s">
        <v>4</v>
      </c>
      <c r="K41" s="25" t="s">
        <v>29</v>
      </c>
      <c r="L41" s="25" t="s">
        <v>4</v>
      </c>
      <c r="M41" s="30" t="s">
        <v>6</v>
      </c>
      <c r="N41" s="19"/>
      <c r="O41" s="19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7" t="s">
        <v>153</v>
      </c>
      <c r="B42" s="28" t="s">
        <v>154</v>
      </c>
      <c r="C42" s="25" t="s">
        <v>155</v>
      </c>
      <c r="D42" s="26">
        <v>1.0</v>
      </c>
      <c r="E42" s="27" t="s">
        <v>156</v>
      </c>
      <c r="F42" s="54" t="s">
        <v>157</v>
      </c>
      <c r="G42" s="55">
        <v>92.0</v>
      </c>
      <c r="H42" s="28">
        <f t="shared" ref="H42:H110" si="3">D42*G42</f>
        <v>92</v>
      </c>
      <c r="I42" s="26" t="s">
        <v>86</v>
      </c>
      <c r="J42" s="26" t="s">
        <v>4</v>
      </c>
      <c r="K42" s="25" t="s">
        <v>158</v>
      </c>
      <c r="L42" s="25" t="s">
        <v>4</v>
      </c>
      <c r="M42" s="30" t="s">
        <v>6</v>
      </c>
      <c r="N42" s="27" t="s">
        <v>130</v>
      </c>
      <c r="O42" s="19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6" t="s">
        <v>159</v>
      </c>
      <c r="B43" s="29" t="s">
        <v>160</v>
      </c>
      <c r="C43" s="26" t="s">
        <v>75</v>
      </c>
      <c r="D43" s="26">
        <v>1.0</v>
      </c>
      <c r="E43" s="31" t="s">
        <v>161</v>
      </c>
      <c r="F43" s="31" t="s">
        <v>161</v>
      </c>
      <c r="G43" s="56">
        <v>35.0</v>
      </c>
      <c r="H43" s="29">
        <f t="shared" si="3"/>
        <v>35</v>
      </c>
      <c r="I43" s="26" t="s">
        <v>86</v>
      </c>
      <c r="J43" s="26" t="s">
        <v>4</v>
      </c>
      <c r="K43" s="25" t="s">
        <v>158</v>
      </c>
      <c r="L43" s="25" t="s">
        <v>4</v>
      </c>
      <c r="M43" s="30" t="s">
        <v>6</v>
      </c>
      <c r="N43" s="31" t="s">
        <v>162</v>
      </c>
      <c r="O43" s="9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5" t="s">
        <v>163</v>
      </c>
      <c r="B44" s="28">
        <v>304020.0</v>
      </c>
      <c r="C44" s="25" t="s">
        <v>164</v>
      </c>
      <c r="D44" s="25">
        <v>1.0</v>
      </c>
      <c r="E44" s="27" t="s">
        <v>165</v>
      </c>
      <c r="F44" s="27" t="s">
        <v>166</v>
      </c>
      <c r="G44" s="28">
        <v>100.0</v>
      </c>
      <c r="H44" s="28">
        <f t="shared" si="3"/>
        <v>100</v>
      </c>
      <c r="I44" s="26" t="s">
        <v>48</v>
      </c>
      <c r="J44" s="26" t="s">
        <v>4</v>
      </c>
      <c r="K44" s="25" t="s">
        <v>167</v>
      </c>
      <c r="L44" s="25" t="s">
        <v>4</v>
      </c>
      <c r="M44" s="30" t="s">
        <v>6</v>
      </c>
      <c r="N44" s="31" t="s">
        <v>168</v>
      </c>
      <c r="O44" s="31" t="s">
        <v>169</v>
      </c>
      <c r="P44" s="57" t="s">
        <v>170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5" t="s">
        <v>171</v>
      </c>
      <c r="B45" s="18" t="s">
        <v>172</v>
      </c>
      <c r="C45" s="25" t="s">
        <v>173</v>
      </c>
      <c r="D45" s="25">
        <v>1.0</v>
      </c>
      <c r="E45" s="27" t="s">
        <v>174</v>
      </c>
      <c r="F45" s="31" t="s">
        <v>175</v>
      </c>
      <c r="G45" s="52">
        <v>150.0</v>
      </c>
      <c r="H45" s="28">
        <f t="shared" si="3"/>
        <v>150</v>
      </c>
      <c r="I45" s="26" t="s">
        <v>48</v>
      </c>
      <c r="J45" s="26" t="s">
        <v>4</v>
      </c>
      <c r="K45" s="25" t="s">
        <v>29</v>
      </c>
      <c r="L45" s="25" t="s">
        <v>4</v>
      </c>
      <c r="M45" s="30" t="s">
        <v>6</v>
      </c>
      <c r="N45" s="31" t="s">
        <v>176</v>
      </c>
      <c r="O45" s="31" t="s">
        <v>177</v>
      </c>
      <c r="P45" s="57" t="s">
        <v>130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38" t="s">
        <v>178</v>
      </c>
      <c r="B46" s="29">
        <v>9901011.0</v>
      </c>
      <c r="C46" s="26">
        <v>1.0</v>
      </c>
      <c r="D46" s="26">
        <v>1.0</v>
      </c>
      <c r="E46" s="31" t="s">
        <v>179</v>
      </c>
      <c r="F46" s="31" t="s">
        <v>157</v>
      </c>
      <c r="G46" s="28">
        <v>660.0</v>
      </c>
      <c r="H46" s="28">
        <f t="shared" si="3"/>
        <v>660</v>
      </c>
      <c r="I46" s="26" t="s">
        <v>48</v>
      </c>
      <c r="J46" s="26" t="s">
        <v>4</v>
      </c>
      <c r="K46" s="25" t="s">
        <v>180</v>
      </c>
      <c r="L46" s="58" t="s">
        <v>4</v>
      </c>
      <c r="M46" s="30" t="s">
        <v>6</v>
      </c>
      <c r="N46" s="9"/>
      <c r="O46" s="9" t="s">
        <v>181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38" t="s">
        <v>182</v>
      </c>
      <c r="B47" s="29">
        <v>1.06664217002E11</v>
      </c>
      <c r="C47" s="26" t="s">
        <v>183</v>
      </c>
      <c r="D47" s="26">
        <v>1.0</v>
      </c>
      <c r="E47" s="31" t="s">
        <v>1</v>
      </c>
      <c r="F47" s="31" t="s">
        <v>2</v>
      </c>
      <c r="G47" s="29">
        <v>33.58</v>
      </c>
      <c r="H47" s="29">
        <f t="shared" si="3"/>
        <v>33.58</v>
      </c>
      <c r="I47" s="26" t="s">
        <v>48</v>
      </c>
      <c r="J47" s="26" t="s">
        <v>4</v>
      </c>
      <c r="K47" s="26" t="s">
        <v>48</v>
      </c>
      <c r="L47" s="26" t="s">
        <v>4</v>
      </c>
      <c r="M47" s="30" t="s">
        <v>6</v>
      </c>
      <c r="N47" s="9"/>
      <c r="O47" s="9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6" t="s">
        <v>18</v>
      </c>
      <c r="B48" s="59">
        <v>3.0123328E7</v>
      </c>
      <c r="C48" s="37">
        <v>1000.0</v>
      </c>
      <c r="D48" s="37">
        <v>1.0</v>
      </c>
      <c r="E48" s="6" t="s">
        <v>19</v>
      </c>
      <c r="F48" s="6" t="s">
        <v>20</v>
      </c>
      <c r="G48" s="59">
        <v>46.6</v>
      </c>
      <c r="H48" s="59">
        <f t="shared" si="3"/>
        <v>46.6</v>
      </c>
      <c r="I48" s="37" t="s">
        <v>158</v>
      </c>
      <c r="J48" s="37" t="s">
        <v>4</v>
      </c>
      <c r="K48" s="25" t="s">
        <v>180</v>
      </c>
      <c r="L48" s="26" t="s">
        <v>4</v>
      </c>
      <c r="M48" s="30" t="s">
        <v>6</v>
      </c>
      <c r="N48" s="9"/>
      <c r="O48" s="9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7" t="s">
        <v>184</v>
      </c>
      <c r="B49" s="28">
        <v>1.095350001E9</v>
      </c>
      <c r="C49" s="25" t="s">
        <v>185</v>
      </c>
      <c r="D49" s="26">
        <v>1.0</v>
      </c>
      <c r="E49" s="27" t="s">
        <v>128</v>
      </c>
      <c r="F49" s="27" t="s">
        <v>128</v>
      </c>
      <c r="G49" s="28">
        <v>15.3</v>
      </c>
      <c r="H49" s="59">
        <f t="shared" si="3"/>
        <v>15.3</v>
      </c>
      <c r="I49" s="26" t="s">
        <v>167</v>
      </c>
      <c r="J49" s="60" t="s">
        <v>4</v>
      </c>
      <c r="K49" s="25" t="s">
        <v>186</v>
      </c>
      <c r="L49" s="25" t="s">
        <v>4</v>
      </c>
      <c r="M49" s="30" t="s">
        <v>6</v>
      </c>
      <c r="N49" s="9"/>
      <c r="O49" s="9" t="s">
        <v>187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7" t="s">
        <v>188</v>
      </c>
      <c r="B50" s="18">
        <v>7912.0</v>
      </c>
      <c r="C50" s="16" t="s">
        <v>189</v>
      </c>
      <c r="D50" s="26">
        <v>1.0</v>
      </c>
      <c r="E50" s="61" t="s">
        <v>190</v>
      </c>
      <c r="F50" s="27" t="s">
        <v>190</v>
      </c>
      <c r="G50" s="28">
        <v>310.0</v>
      </c>
      <c r="H50" s="59">
        <f t="shared" si="3"/>
        <v>310</v>
      </c>
      <c r="I50" s="26" t="s">
        <v>167</v>
      </c>
      <c r="J50" s="60" t="s">
        <v>4</v>
      </c>
      <c r="K50" s="25" t="s">
        <v>129</v>
      </c>
      <c r="L50" s="25" t="s">
        <v>4</v>
      </c>
      <c r="M50" s="30" t="s">
        <v>6</v>
      </c>
      <c r="N50" s="9"/>
      <c r="O50" s="43" t="s">
        <v>191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7" t="s">
        <v>192</v>
      </c>
      <c r="B51" s="28" t="s">
        <v>193</v>
      </c>
      <c r="C51" s="25" t="s">
        <v>194</v>
      </c>
      <c r="D51" s="26">
        <v>1.0</v>
      </c>
      <c r="E51" s="27" t="s">
        <v>128</v>
      </c>
      <c r="F51" s="27" t="s">
        <v>128</v>
      </c>
      <c r="G51" s="29">
        <v>208.0</v>
      </c>
      <c r="H51" s="59">
        <f t="shared" si="3"/>
        <v>208</v>
      </c>
      <c r="I51" s="26" t="s">
        <v>167</v>
      </c>
      <c r="J51" s="60" t="s">
        <v>4</v>
      </c>
      <c r="K51" s="25" t="s">
        <v>186</v>
      </c>
      <c r="L51" s="25" t="s">
        <v>4</v>
      </c>
      <c r="M51" s="30" t="s">
        <v>6</v>
      </c>
      <c r="N51" s="9"/>
      <c r="O51" s="9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6" t="s">
        <v>195</v>
      </c>
      <c r="B52" s="62" t="s">
        <v>196</v>
      </c>
      <c r="C52" s="26">
        <v>1.0</v>
      </c>
      <c r="D52" s="26">
        <v>1.0</v>
      </c>
      <c r="E52" s="9" t="s">
        <v>122</v>
      </c>
      <c r="F52" s="31" t="s">
        <v>25</v>
      </c>
      <c r="G52" s="29">
        <v>126.0</v>
      </c>
      <c r="H52" s="59">
        <f t="shared" si="3"/>
        <v>126</v>
      </c>
      <c r="I52" s="26" t="s">
        <v>167</v>
      </c>
      <c r="J52" s="37" t="s">
        <v>4</v>
      </c>
      <c r="K52" s="25" t="s">
        <v>129</v>
      </c>
      <c r="L52" s="25" t="s">
        <v>4</v>
      </c>
      <c r="M52" s="30" t="s">
        <v>6</v>
      </c>
      <c r="N52" s="9"/>
      <c r="O52" s="9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6" t="s">
        <v>197</v>
      </c>
      <c r="B53" s="29" t="s">
        <v>198</v>
      </c>
      <c r="C53" s="26">
        <v>380.0</v>
      </c>
      <c r="D53" s="26">
        <v>1.0</v>
      </c>
      <c r="E53" s="9" t="s">
        <v>199</v>
      </c>
      <c r="F53" s="31" t="s">
        <v>25</v>
      </c>
      <c r="G53" s="29">
        <v>114.85</v>
      </c>
      <c r="H53" s="59">
        <f t="shared" si="3"/>
        <v>114.85</v>
      </c>
      <c r="I53" s="26" t="s">
        <v>200</v>
      </c>
      <c r="J53" s="37" t="s">
        <v>4</v>
      </c>
      <c r="K53" s="25" t="s">
        <v>97</v>
      </c>
      <c r="L53" s="25" t="s">
        <v>4</v>
      </c>
      <c r="M53" s="30" t="s">
        <v>6</v>
      </c>
      <c r="N53" s="9"/>
      <c r="O53" s="9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6" t="s">
        <v>201</v>
      </c>
      <c r="B54" s="9" t="s">
        <v>202</v>
      </c>
      <c r="C54" s="26" t="s">
        <v>203</v>
      </c>
      <c r="D54" s="26">
        <v>1.0</v>
      </c>
      <c r="E54" s="9" t="s">
        <v>1</v>
      </c>
      <c r="F54" s="31" t="s">
        <v>25</v>
      </c>
      <c r="G54" s="29">
        <v>5.5</v>
      </c>
      <c r="H54" s="59">
        <f t="shared" si="3"/>
        <v>5.5</v>
      </c>
      <c r="I54" s="26" t="s">
        <v>186</v>
      </c>
      <c r="J54" s="26" t="s">
        <v>4</v>
      </c>
      <c r="K54" s="25" t="s">
        <v>111</v>
      </c>
      <c r="L54" s="25" t="s">
        <v>4</v>
      </c>
      <c r="M54" s="30" t="s">
        <v>6</v>
      </c>
      <c r="N54" s="9"/>
      <c r="O54" s="9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6" t="s">
        <v>204</v>
      </c>
      <c r="B55" s="63">
        <v>1.4175053E7</v>
      </c>
      <c r="C55" s="37" t="s">
        <v>32</v>
      </c>
      <c r="D55" s="26">
        <v>4.0</v>
      </c>
      <c r="E55" s="31" t="s">
        <v>76</v>
      </c>
      <c r="F55" s="27" t="s">
        <v>25</v>
      </c>
      <c r="G55" s="29">
        <v>13.3</v>
      </c>
      <c r="H55" s="59">
        <f t="shared" si="3"/>
        <v>53.2</v>
      </c>
      <c r="I55" s="26" t="s">
        <v>186</v>
      </c>
      <c r="J55" s="46" t="s">
        <v>4</v>
      </c>
      <c r="K55" s="25" t="s">
        <v>205</v>
      </c>
      <c r="L55" s="25" t="s">
        <v>4</v>
      </c>
      <c r="M55" s="30" t="s">
        <v>6</v>
      </c>
      <c r="N55" s="43" t="s">
        <v>80</v>
      </c>
      <c r="O55" s="9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5" t="s">
        <v>206</v>
      </c>
      <c r="B56" s="64">
        <v>1.1338763E7</v>
      </c>
      <c r="C56" s="25">
        <v>100.0</v>
      </c>
      <c r="D56" s="65">
        <v>1.0</v>
      </c>
      <c r="E56" s="27" t="s">
        <v>1</v>
      </c>
      <c r="F56" s="19" t="s">
        <v>46</v>
      </c>
      <c r="G56" s="28">
        <v>32.5</v>
      </c>
      <c r="H56" s="59">
        <f t="shared" si="3"/>
        <v>32.5</v>
      </c>
      <c r="I56" s="25" t="s">
        <v>97</v>
      </c>
      <c r="J56" s="46" t="s">
        <v>4</v>
      </c>
      <c r="K56" s="25" t="s">
        <v>207</v>
      </c>
      <c r="L56" s="25" t="s">
        <v>4</v>
      </c>
      <c r="M56" s="30" t="s">
        <v>6</v>
      </c>
      <c r="N56" s="19"/>
      <c r="O56" s="19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5" t="s">
        <v>208</v>
      </c>
      <c r="B57" s="64">
        <v>1.1361255E7</v>
      </c>
      <c r="C57" s="25">
        <v>100.0</v>
      </c>
      <c r="D57" s="65">
        <v>1.0</v>
      </c>
      <c r="E57" s="19" t="s">
        <v>1</v>
      </c>
      <c r="F57" s="19" t="s">
        <v>46</v>
      </c>
      <c r="G57" s="28">
        <v>18.5</v>
      </c>
      <c r="H57" s="59">
        <f t="shared" si="3"/>
        <v>18.5</v>
      </c>
      <c r="I57" s="25" t="s">
        <v>97</v>
      </c>
      <c r="J57" s="46" t="s">
        <v>4</v>
      </c>
      <c r="K57" s="25" t="s">
        <v>207</v>
      </c>
      <c r="L57" s="25" t="s">
        <v>4</v>
      </c>
      <c r="M57" s="30" t="s">
        <v>6</v>
      </c>
      <c r="N57" s="19"/>
      <c r="O57" s="19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5" t="s">
        <v>209</v>
      </c>
      <c r="B58" s="63">
        <v>1.1371255E7</v>
      </c>
      <c r="C58" s="66">
        <v>100.0</v>
      </c>
      <c r="D58" s="67">
        <v>1.0</v>
      </c>
      <c r="E58" s="19" t="s">
        <v>1</v>
      </c>
      <c r="F58" s="19" t="s">
        <v>46</v>
      </c>
      <c r="G58" s="29">
        <v>19.33</v>
      </c>
      <c r="H58" s="59">
        <f t="shared" si="3"/>
        <v>19.33</v>
      </c>
      <c r="I58" s="25" t="s">
        <v>97</v>
      </c>
      <c r="J58" s="46" t="s">
        <v>4</v>
      </c>
      <c r="K58" s="25" t="s">
        <v>207</v>
      </c>
      <c r="L58" s="25" t="s">
        <v>4</v>
      </c>
      <c r="M58" s="30" t="s">
        <v>6</v>
      </c>
      <c r="N58" s="9"/>
      <c r="O58" s="9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68" t="s">
        <v>23</v>
      </c>
      <c r="B59" s="69">
        <v>2.1194685E7</v>
      </c>
      <c r="C59" s="25">
        <v>1.0</v>
      </c>
      <c r="D59" s="25">
        <v>1.0</v>
      </c>
      <c r="E59" s="27" t="s">
        <v>24</v>
      </c>
      <c r="F59" s="27" t="s">
        <v>25</v>
      </c>
      <c r="G59" s="18">
        <v>121.0</v>
      </c>
      <c r="H59" s="59">
        <f t="shared" si="3"/>
        <v>121</v>
      </c>
      <c r="I59" s="25" t="s">
        <v>124</v>
      </c>
      <c r="J59" s="46" t="s">
        <v>4</v>
      </c>
      <c r="K59" s="25" t="s">
        <v>210</v>
      </c>
      <c r="L59" s="25" t="s">
        <v>4</v>
      </c>
      <c r="M59" s="30" t="s">
        <v>6</v>
      </c>
      <c r="N59" s="9"/>
      <c r="O59" s="9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5" t="s">
        <v>211</v>
      </c>
      <c r="B60" s="29">
        <v>1.1587612E7</v>
      </c>
      <c r="C60" s="25">
        <v>2.0</v>
      </c>
      <c r="D60" s="25">
        <v>1.0</v>
      </c>
      <c r="E60" s="27" t="s">
        <v>1</v>
      </c>
      <c r="F60" s="27" t="s">
        <v>2</v>
      </c>
      <c r="G60" s="29">
        <v>17.1</v>
      </c>
      <c r="H60" s="59">
        <f t="shared" si="3"/>
        <v>17.1</v>
      </c>
      <c r="I60" s="25" t="s">
        <v>124</v>
      </c>
      <c r="J60" s="46" t="s">
        <v>4</v>
      </c>
      <c r="K60" s="25" t="s">
        <v>212</v>
      </c>
      <c r="L60" s="25" t="s">
        <v>4</v>
      </c>
      <c r="M60" s="30" t="s">
        <v>6</v>
      </c>
      <c r="N60" s="9"/>
      <c r="O60" s="9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70" t="s">
        <v>213</v>
      </c>
      <c r="B61" s="71">
        <v>1.0190301101E11</v>
      </c>
      <c r="C61" s="66">
        <v>1.0</v>
      </c>
      <c r="D61" s="72">
        <v>2.0</v>
      </c>
      <c r="E61" s="73" t="s">
        <v>1</v>
      </c>
      <c r="F61" s="73" t="s">
        <v>2</v>
      </c>
      <c r="G61" s="71">
        <v>4.25</v>
      </c>
      <c r="H61" s="59">
        <f t="shared" si="3"/>
        <v>8.5</v>
      </c>
      <c r="I61" s="25" t="s">
        <v>124</v>
      </c>
      <c r="J61" s="46" t="s">
        <v>4</v>
      </c>
      <c r="K61" s="25" t="s">
        <v>214</v>
      </c>
      <c r="L61" s="25" t="s">
        <v>4</v>
      </c>
      <c r="M61" s="30" t="s">
        <v>6</v>
      </c>
      <c r="N61" s="9"/>
      <c r="O61" s="9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7" t="s">
        <v>215</v>
      </c>
      <c r="B62" s="28" t="s">
        <v>216</v>
      </c>
      <c r="C62" s="66">
        <v>1.0</v>
      </c>
      <c r="D62" s="74">
        <v>2.0</v>
      </c>
      <c r="E62" s="27" t="s">
        <v>1</v>
      </c>
      <c r="F62" s="27" t="s">
        <v>2</v>
      </c>
      <c r="G62" s="18">
        <v>8.0</v>
      </c>
      <c r="H62" s="59">
        <f t="shared" si="3"/>
        <v>16</v>
      </c>
      <c r="I62" s="25" t="s">
        <v>124</v>
      </c>
      <c r="J62" s="46" t="s">
        <v>4</v>
      </c>
      <c r="K62" s="25" t="s">
        <v>214</v>
      </c>
      <c r="L62" s="25" t="s">
        <v>4</v>
      </c>
      <c r="M62" s="30" t="s">
        <v>6</v>
      </c>
      <c r="N62" s="9"/>
      <c r="O62" s="9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9" t="s">
        <v>217</v>
      </c>
      <c r="B63" s="9" t="s">
        <v>218</v>
      </c>
      <c r="C63" s="66">
        <v>36.0</v>
      </c>
      <c r="D63" s="67">
        <v>1.0</v>
      </c>
      <c r="E63" s="27" t="s">
        <v>1</v>
      </c>
      <c r="F63" s="27" t="s">
        <v>2</v>
      </c>
      <c r="G63" s="29">
        <v>76.8</v>
      </c>
      <c r="H63" s="59">
        <f t="shared" si="3"/>
        <v>76.8</v>
      </c>
      <c r="I63" s="25" t="s">
        <v>124</v>
      </c>
      <c r="J63" s="46" t="s">
        <v>4</v>
      </c>
      <c r="K63" s="25" t="s">
        <v>207</v>
      </c>
      <c r="L63" s="25" t="s">
        <v>4</v>
      </c>
      <c r="M63" s="30" t="s">
        <v>6</v>
      </c>
      <c r="N63" s="9"/>
      <c r="O63" s="9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7" t="s">
        <v>219</v>
      </c>
      <c r="B64" s="18">
        <v>1.4190094E7</v>
      </c>
      <c r="C64" s="16" t="s">
        <v>75</v>
      </c>
      <c r="D64" s="37">
        <v>4.0</v>
      </c>
      <c r="E64" s="17" t="s">
        <v>220</v>
      </c>
      <c r="F64" s="27" t="s">
        <v>2</v>
      </c>
      <c r="G64" s="18">
        <v>15.72</v>
      </c>
      <c r="H64" s="59">
        <f t="shared" si="3"/>
        <v>62.88</v>
      </c>
      <c r="I64" s="37" t="s">
        <v>214</v>
      </c>
      <c r="J64" s="37" t="s">
        <v>4</v>
      </c>
      <c r="K64" s="25" t="s">
        <v>207</v>
      </c>
      <c r="L64" s="25" t="s">
        <v>4</v>
      </c>
      <c r="M64" s="30" t="s">
        <v>6</v>
      </c>
      <c r="N64" s="19"/>
      <c r="O64" s="19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75" t="s">
        <v>221</v>
      </c>
      <c r="B65" s="76">
        <v>1.292285E7</v>
      </c>
      <c r="C65" s="66">
        <v>500.0</v>
      </c>
      <c r="D65" s="66">
        <v>1.0</v>
      </c>
      <c r="E65" s="66" t="s">
        <v>1</v>
      </c>
      <c r="F65" s="66" t="s">
        <v>2</v>
      </c>
      <c r="G65" s="66">
        <v>10.37</v>
      </c>
      <c r="H65" s="59">
        <f t="shared" si="3"/>
        <v>10.37</v>
      </c>
      <c r="I65" s="66" t="s">
        <v>180</v>
      </c>
      <c r="J65" s="26" t="s">
        <v>4</v>
      </c>
      <c r="K65" s="77" t="s">
        <v>222</v>
      </c>
      <c r="L65" s="25" t="s">
        <v>4</v>
      </c>
      <c r="M65" s="30" t="s">
        <v>6</v>
      </c>
      <c r="N65" s="9"/>
      <c r="O65" s="9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9" t="s">
        <v>223</v>
      </c>
      <c r="B66" s="63" t="s">
        <v>224</v>
      </c>
      <c r="C66" s="66">
        <v>500.0</v>
      </c>
      <c r="D66" s="66">
        <v>1.0</v>
      </c>
      <c r="E66" s="66" t="s">
        <v>225</v>
      </c>
      <c r="F66" s="66" t="s">
        <v>63</v>
      </c>
      <c r="G66" s="78">
        <v>28.4</v>
      </c>
      <c r="H66" s="59">
        <f t="shared" si="3"/>
        <v>28.4</v>
      </c>
      <c r="I66" s="66" t="s">
        <v>111</v>
      </c>
      <c r="J66" s="26" t="s">
        <v>4</v>
      </c>
      <c r="K66" s="78" t="s">
        <v>226</v>
      </c>
      <c r="L66" s="25" t="s">
        <v>4</v>
      </c>
      <c r="M66" s="30" t="s">
        <v>6</v>
      </c>
      <c r="N66" s="9"/>
      <c r="O66" s="9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 t="s">
        <v>227</v>
      </c>
      <c r="B67" s="63" t="s">
        <v>228</v>
      </c>
      <c r="C67" s="66">
        <v>500.0</v>
      </c>
      <c r="D67" s="66">
        <v>1.0</v>
      </c>
      <c r="E67" s="66" t="s">
        <v>225</v>
      </c>
      <c r="F67" s="66" t="s">
        <v>63</v>
      </c>
      <c r="G67" s="78">
        <v>18.8</v>
      </c>
      <c r="H67" s="59">
        <f t="shared" si="3"/>
        <v>18.8</v>
      </c>
      <c r="I67" s="66" t="s">
        <v>111</v>
      </c>
      <c r="J67" s="26" t="s">
        <v>4</v>
      </c>
      <c r="K67" s="78" t="s">
        <v>226</v>
      </c>
      <c r="L67" s="25" t="s">
        <v>4</v>
      </c>
      <c r="M67" s="30" t="s">
        <v>6</v>
      </c>
      <c r="N67" s="9"/>
      <c r="O67" s="9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7" t="s">
        <v>229</v>
      </c>
      <c r="B68" s="18" t="s">
        <v>230</v>
      </c>
      <c r="C68" s="16" t="s">
        <v>231</v>
      </c>
      <c r="D68" s="16">
        <v>1.0</v>
      </c>
      <c r="E68" s="16" t="s">
        <v>232</v>
      </c>
      <c r="F68" s="19"/>
      <c r="G68" s="25">
        <v>311.0</v>
      </c>
      <c r="H68" s="18">
        <f t="shared" si="3"/>
        <v>311</v>
      </c>
      <c r="I68" s="25" t="s">
        <v>233</v>
      </c>
      <c r="J68" s="25" t="s">
        <v>4</v>
      </c>
      <c r="K68" s="25" t="s">
        <v>234</v>
      </c>
      <c r="L68" s="25" t="s">
        <v>4</v>
      </c>
      <c r="M68" s="30" t="s">
        <v>6</v>
      </c>
      <c r="N68" s="19" t="s">
        <v>170</v>
      </c>
      <c r="O68" s="19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31" t="s">
        <v>235</v>
      </c>
      <c r="B69" s="59" t="s">
        <v>236</v>
      </c>
      <c r="C69" s="37" t="s">
        <v>237</v>
      </c>
      <c r="D69" s="37">
        <v>1.0</v>
      </c>
      <c r="E69" s="37" t="s">
        <v>238</v>
      </c>
      <c r="F69" s="25" t="s">
        <v>85</v>
      </c>
      <c r="G69" s="25">
        <v>396.0</v>
      </c>
      <c r="H69" s="59">
        <f t="shared" si="3"/>
        <v>396</v>
      </c>
      <c r="I69" s="25" t="s">
        <v>233</v>
      </c>
      <c r="J69" s="26" t="s">
        <v>4</v>
      </c>
      <c r="K69" s="25" t="s">
        <v>239</v>
      </c>
      <c r="L69" s="25" t="s">
        <v>4</v>
      </c>
      <c r="M69" s="30" t="s">
        <v>6</v>
      </c>
      <c r="N69" s="31" t="s">
        <v>240</v>
      </c>
      <c r="O69" s="9" t="s">
        <v>241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31" t="s">
        <v>242</v>
      </c>
      <c r="B70" s="59" t="s">
        <v>243</v>
      </c>
      <c r="C70" s="37" t="s">
        <v>244</v>
      </c>
      <c r="D70" s="37">
        <v>1.0</v>
      </c>
      <c r="E70" s="37" t="s">
        <v>232</v>
      </c>
      <c r="F70" s="37" t="s">
        <v>25</v>
      </c>
      <c r="G70" s="25">
        <v>155.0</v>
      </c>
      <c r="H70" s="59">
        <f t="shared" si="3"/>
        <v>155</v>
      </c>
      <c r="I70" s="25" t="s">
        <v>233</v>
      </c>
      <c r="J70" s="26" t="s">
        <v>4</v>
      </c>
      <c r="K70" s="16" t="s">
        <v>245</v>
      </c>
      <c r="L70" s="16" t="s">
        <v>4</v>
      </c>
      <c r="M70" s="30" t="s">
        <v>6</v>
      </c>
      <c r="N70" s="31" t="s">
        <v>170</v>
      </c>
      <c r="O70" s="9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79" t="s">
        <v>246</v>
      </c>
      <c r="B71" s="80" t="s">
        <v>247</v>
      </c>
      <c r="C71" s="37" t="s">
        <v>248</v>
      </c>
      <c r="D71" s="37">
        <v>1.0</v>
      </c>
      <c r="E71" s="37" t="s">
        <v>249</v>
      </c>
      <c r="F71" s="37" t="s">
        <v>2</v>
      </c>
      <c r="G71" s="25">
        <v>369.0</v>
      </c>
      <c r="H71" s="59">
        <f t="shared" si="3"/>
        <v>369</v>
      </c>
      <c r="I71" s="25" t="s">
        <v>233</v>
      </c>
      <c r="J71" s="26" t="s">
        <v>4</v>
      </c>
      <c r="K71" s="25" t="s">
        <v>239</v>
      </c>
      <c r="L71" s="25" t="s">
        <v>4</v>
      </c>
      <c r="M71" s="30" t="s">
        <v>6</v>
      </c>
      <c r="N71" s="31" t="s">
        <v>170</v>
      </c>
      <c r="O71" s="9"/>
      <c r="P71" s="81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6" t="s">
        <v>250</v>
      </c>
      <c r="B72" s="59" t="s">
        <v>251</v>
      </c>
      <c r="C72" s="37">
        <v>12.0</v>
      </c>
      <c r="D72" s="37">
        <v>1.0</v>
      </c>
      <c r="E72" s="37" t="s">
        <v>14</v>
      </c>
      <c r="F72" s="37" t="s">
        <v>14</v>
      </c>
      <c r="G72" s="25">
        <v>114.0</v>
      </c>
      <c r="H72" s="18">
        <f t="shared" si="3"/>
        <v>114</v>
      </c>
      <c r="I72" s="25" t="s">
        <v>233</v>
      </c>
      <c r="J72" s="26" t="s">
        <v>4</v>
      </c>
      <c r="K72" s="16" t="s">
        <v>252</v>
      </c>
      <c r="L72" s="25" t="s">
        <v>4</v>
      </c>
      <c r="M72" s="30" t="s">
        <v>6</v>
      </c>
      <c r="N72" s="9"/>
      <c r="O72" s="82" t="s">
        <v>253</v>
      </c>
      <c r="P72" s="31" t="s">
        <v>254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31" t="s">
        <v>255</v>
      </c>
      <c r="B73" s="29" t="s">
        <v>256</v>
      </c>
      <c r="C73" s="37">
        <v>12.0</v>
      </c>
      <c r="D73" s="37">
        <v>1.0</v>
      </c>
      <c r="E73" s="37" t="s">
        <v>14</v>
      </c>
      <c r="F73" s="37" t="s">
        <v>14</v>
      </c>
      <c r="G73" s="25">
        <v>114.0</v>
      </c>
      <c r="H73" s="18">
        <f t="shared" si="3"/>
        <v>114</v>
      </c>
      <c r="I73" s="25" t="s">
        <v>233</v>
      </c>
      <c r="J73" s="26" t="s">
        <v>4</v>
      </c>
      <c r="K73" s="25" t="s">
        <v>234</v>
      </c>
      <c r="L73" s="25" t="s">
        <v>4</v>
      </c>
      <c r="M73" s="30" t="s">
        <v>6</v>
      </c>
      <c r="N73" s="9"/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9" t="s">
        <v>257</v>
      </c>
      <c r="B74" s="83" t="s">
        <v>258</v>
      </c>
      <c r="C74" s="26">
        <v>6.0</v>
      </c>
      <c r="D74" s="26">
        <v>1.0</v>
      </c>
      <c r="E74" s="37" t="s">
        <v>14</v>
      </c>
      <c r="F74" s="37" t="s">
        <v>14</v>
      </c>
      <c r="G74" s="25">
        <v>127.0</v>
      </c>
      <c r="H74" s="18">
        <f t="shared" si="3"/>
        <v>127</v>
      </c>
      <c r="I74" s="25" t="s">
        <v>233</v>
      </c>
      <c r="J74" s="26" t="s">
        <v>4</v>
      </c>
      <c r="K74" s="25" t="s">
        <v>234</v>
      </c>
      <c r="L74" s="25" t="s">
        <v>4</v>
      </c>
      <c r="M74" s="30" t="s">
        <v>6</v>
      </c>
      <c r="N74" s="9"/>
      <c r="O74" s="9"/>
      <c r="P74" s="12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5" t="s">
        <v>259</v>
      </c>
      <c r="B75" s="28" t="s">
        <v>260</v>
      </c>
      <c r="C75" s="26" t="s">
        <v>261</v>
      </c>
      <c r="D75" s="25">
        <v>1.0</v>
      </c>
      <c r="E75" s="25" t="s">
        <v>262</v>
      </c>
      <c r="F75" s="84" t="s">
        <v>263</v>
      </c>
      <c r="G75" s="25">
        <v>925.0</v>
      </c>
      <c r="H75" s="18">
        <f t="shared" si="3"/>
        <v>925</v>
      </c>
      <c r="I75" s="26" t="s">
        <v>264</v>
      </c>
      <c r="J75" s="26" t="s">
        <v>4</v>
      </c>
      <c r="K75" s="25" t="s">
        <v>265</v>
      </c>
      <c r="L75" s="25" t="s">
        <v>4</v>
      </c>
      <c r="M75" s="30" t="s">
        <v>6</v>
      </c>
      <c r="N75" s="31" t="s">
        <v>170</v>
      </c>
      <c r="O75" s="85" t="s">
        <v>266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68" t="s">
        <v>267</v>
      </c>
      <c r="B76" s="28">
        <v>352308.0</v>
      </c>
      <c r="C76" s="25" t="s">
        <v>268</v>
      </c>
      <c r="D76" s="25">
        <v>1.0</v>
      </c>
      <c r="E76" s="25" t="s">
        <v>165</v>
      </c>
      <c r="F76" s="25" t="s">
        <v>166</v>
      </c>
      <c r="G76" s="25">
        <v>250.0</v>
      </c>
      <c r="H76" s="18">
        <f t="shared" si="3"/>
        <v>250</v>
      </c>
      <c r="I76" s="26" t="s">
        <v>264</v>
      </c>
      <c r="J76" s="26" t="s">
        <v>4</v>
      </c>
      <c r="K76" s="25" t="s">
        <v>269</v>
      </c>
      <c r="L76" s="25" t="s">
        <v>4</v>
      </c>
      <c r="M76" s="30" t="s">
        <v>6</v>
      </c>
      <c r="N76" s="31" t="s">
        <v>170</v>
      </c>
      <c r="O76" s="9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31" t="s">
        <v>270</v>
      </c>
      <c r="B77" s="28">
        <v>304018.0</v>
      </c>
      <c r="C77" s="25" t="s">
        <v>268</v>
      </c>
      <c r="D77" s="25">
        <v>1.0</v>
      </c>
      <c r="E77" s="25" t="s">
        <v>165</v>
      </c>
      <c r="F77" s="25" t="s">
        <v>166</v>
      </c>
      <c r="G77" s="25">
        <v>230.0</v>
      </c>
      <c r="H77" s="18">
        <f t="shared" si="3"/>
        <v>230</v>
      </c>
      <c r="I77" s="26" t="s">
        <v>264</v>
      </c>
      <c r="J77" s="26" t="s">
        <v>4</v>
      </c>
      <c r="K77" s="25" t="s">
        <v>269</v>
      </c>
      <c r="L77" s="25" t="s">
        <v>4</v>
      </c>
      <c r="M77" s="30" t="s">
        <v>6</v>
      </c>
      <c r="N77" s="31" t="s">
        <v>170</v>
      </c>
      <c r="O77" s="12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31" t="s">
        <v>271</v>
      </c>
      <c r="B78" s="28" t="s">
        <v>272</v>
      </c>
      <c r="C78" s="26" t="s">
        <v>237</v>
      </c>
      <c r="D78" s="25">
        <v>1.0</v>
      </c>
      <c r="E78" s="25" t="s">
        <v>273</v>
      </c>
      <c r="F78" s="25" t="s">
        <v>273</v>
      </c>
      <c r="G78" s="25">
        <v>529.0</v>
      </c>
      <c r="H78" s="18">
        <f t="shared" si="3"/>
        <v>529</v>
      </c>
      <c r="I78" s="26" t="s">
        <v>264</v>
      </c>
      <c r="J78" s="26" t="s">
        <v>4</v>
      </c>
      <c r="K78" s="25" t="s">
        <v>269</v>
      </c>
      <c r="L78" s="25" t="s">
        <v>4</v>
      </c>
      <c r="M78" s="30" t="s">
        <v>6</v>
      </c>
      <c r="N78" s="31" t="s">
        <v>170</v>
      </c>
      <c r="O78" s="31" t="s">
        <v>274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68" t="s">
        <v>275</v>
      </c>
      <c r="B79" s="28" t="s">
        <v>276</v>
      </c>
      <c r="C79" s="26" t="s">
        <v>237</v>
      </c>
      <c r="D79" s="25">
        <v>1.0</v>
      </c>
      <c r="E79" s="25" t="s">
        <v>273</v>
      </c>
      <c r="F79" s="25" t="s">
        <v>273</v>
      </c>
      <c r="G79" s="25">
        <v>529.0</v>
      </c>
      <c r="H79" s="18">
        <f t="shared" si="3"/>
        <v>529</v>
      </c>
      <c r="I79" s="26" t="s">
        <v>264</v>
      </c>
      <c r="J79" s="26" t="s">
        <v>4</v>
      </c>
      <c r="K79" s="25" t="s">
        <v>269</v>
      </c>
      <c r="L79" s="25" t="s">
        <v>4</v>
      </c>
      <c r="M79" s="30" t="s">
        <v>6</v>
      </c>
      <c r="N79" s="31" t="s">
        <v>170</v>
      </c>
      <c r="O79" s="12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68" t="s">
        <v>277</v>
      </c>
      <c r="B80" s="28" t="s">
        <v>278</v>
      </c>
      <c r="C80" s="26" t="s">
        <v>237</v>
      </c>
      <c r="D80" s="25">
        <v>1.0</v>
      </c>
      <c r="E80" s="25" t="s">
        <v>238</v>
      </c>
      <c r="F80" s="25" t="s">
        <v>85</v>
      </c>
      <c r="G80" s="25">
        <v>543.0</v>
      </c>
      <c r="H80" s="18">
        <f t="shared" si="3"/>
        <v>543</v>
      </c>
      <c r="I80" s="26" t="s">
        <v>264</v>
      </c>
      <c r="J80" s="26" t="s">
        <v>4</v>
      </c>
      <c r="K80" s="25" t="s">
        <v>279</v>
      </c>
      <c r="L80" s="25" t="s">
        <v>4</v>
      </c>
      <c r="M80" s="30" t="s">
        <v>6</v>
      </c>
      <c r="N80" s="9"/>
      <c r="O80" s="9" t="s">
        <v>241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6" t="s">
        <v>280</v>
      </c>
      <c r="B81" s="51">
        <v>4170.0</v>
      </c>
      <c r="C81" s="26" t="s">
        <v>281</v>
      </c>
      <c r="D81" s="25">
        <v>1.0</v>
      </c>
      <c r="E81" s="25" t="s">
        <v>282</v>
      </c>
      <c r="F81" s="25" t="s">
        <v>14</v>
      </c>
      <c r="G81" s="26">
        <v>102.0</v>
      </c>
      <c r="H81" s="18">
        <f t="shared" si="3"/>
        <v>102</v>
      </c>
      <c r="I81" s="26" t="s">
        <v>265</v>
      </c>
      <c r="J81" s="26" t="s">
        <v>4</v>
      </c>
      <c r="K81" s="25" t="s">
        <v>279</v>
      </c>
      <c r="L81" s="25" t="s">
        <v>4</v>
      </c>
      <c r="M81" s="30" t="s">
        <v>6</v>
      </c>
      <c r="N81" s="9"/>
      <c r="O81" s="9" t="s">
        <v>283</v>
      </c>
      <c r="P81" s="57" t="s">
        <v>284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6" t="s">
        <v>285</v>
      </c>
      <c r="B82" s="18" t="s">
        <v>286</v>
      </c>
      <c r="C82" s="37" t="s">
        <v>287</v>
      </c>
      <c r="D82" s="16">
        <v>1.0</v>
      </c>
      <c r="E82" s="37" t="s">
        <v>288</v>
      </c>
      <c r="F82" s="37" t="s">
        <v>288</v>
      </c>
      <c r="G82" s="37">
        <v>190.0</v>
      </c>
      <c r="H82" s="18">
        <f t="shared" si="3"/>
        <v>190</v>
      </c>
      <c r="I82" s="37" t="s">
        <v>279</v>
      </c>
      <c r="J82" s="37" t="s">
        <v>4</v>
      </c>
      <c r="K82" s="16" t="s">
        <v>289</v>
      </c>
      <c r="L82" s="16" t="s">
        <v>4</v>
      </c>
      <c r="M82" s="30" t="s">
        <v>6</v>
      </c>
      <c r="N82" s="9"/>
      <c r="O82" s="31" t="s">
        <v>290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6" t="s">
        <v>291</v>
      </c>
      <c r="B83" s="18" t="s">
        <v>292</v>
      </c>
      <c r="C83" s="37" t="s">
        <v>244</v>
      </c>
      <c r="D83" s="16">
        <v>1.0</v>
      </c>
      <c r="E83" s="37" t="s">
        <v>293</v>
      </c>
      <c r="F83" s="37" t="s">
        <v>96</v>
      </c>
      <c r="G83" s="37">
        <v>339.0</v>
      </c>
      <c r="H83" s="18">
        <f t="shared" si="3"/>
        <v>339</v>
      </c>
      <c r="I83" s="37" t="s">
        <v>279</v>
      </c>
      <c r="J83" s="37" t="s">
        <v>4</v>
      </c>
      <c r="K83" s="16" t="s">
        <v>289</v>
      </c>
      <c r="L83" s="16" t="s">
        <v>4</v>
      </c>
      <c r="M83" s="30" t="s">
        <v>6</v>
      </c>
      <c r="N83" s="9"/>
      <c r="O83" s="9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6" t="s">
        <v>294</v>
      </c>
      <c r="B84" s="18" t="s">
        <v>295</v>
      </c>
      <c r="C84" s="37" t="s">
        <v>296</v>
      </c>
      <c r="D84" s="16">
        <v>1.0</v>
      </c>
      <c r="E84" s="37" t="s">
        <v>288</v>
      </c>
      <c r="F84" s="37" t="s">
        <v>288</v>
      </c>
      <c r="G84" s="37">
        <v>160.0</v>
      </c>
      <c r="H84" s="18">
        <f t="shared" si="3"/>
        <v>160</v>
      </c>
      <c r="I84" s="37" t="s">
        <v>279</v>
      </c>
      <c r="J84" s="37" t="s">
        <v>4</v>
      </c>
      <c r="K84" s="16" t="s">
        <v>289</v>
      </c>
      <c r="L84" s="16" t="s">
        <v>4</v>
      </c>
      <c r="M84" s="30" t="s">
        <v>6</v>
      </c>
      <c r="N84" s="9"/>
      <c r="O84" s="31" t="s">
        <v>290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7" t="s">
        <v>297</v>
      </c>
      <c r="B85" s="45">
        <v>1.183961E7</v>
      </c>
      <c r="C85" s="26">
        <v>50.0</v>
      </c>
      <c r="D85" s="26">
        <v>2.0</v>
      </c>
      <c r="E85" s="26" t="s">
        <v>298</v>
      </c>
      <c r="F85" s="26" t="s">
        <v>25</v>
      </c>
      <c r="G85" s="37">
        <v>14.0</v>
      </c>
      <c r="H85" s="18">
        <f t="shared" si="3"/>
        <v>28</v>
      </c>
      <c r="I85" s="26" t="s">
        <v>279</v>
      </c>
      <c r="J85" s="26" t="s">
        <v>4</v>
      </c>
      <c r="K85" s="25" t="s">
        <v>212</v>
      </c>
      <c r="L85" s="25" t="s">
        <v>4</v>
      </c>
      <c r="M85" s="30" t="s">
        <v>6</v>
      </c>
      <c r="N85" s="9"/>
      <c r="O85" s="9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7" t="s">
        <v>299</v>
      </c>
      <c r="B86" s="18" t="s">
        <v>154</v>
      </c>
      <c r="C86" s="16" t="s">
        <v>155</v>
      </c>
      <c r="D86" s="37">
        <v>2.0</v>
      </c>
      <c r="E86" s="16" t="s">
        <v>156</v>
      </c>
      <c r="F86" s="16" t="s">
        <v>157</v>
      </c>
      <c r="G86" s="16">
        <v>92.0</v>
      </c>
      <c r="H86" s="18">
        <f t="shared" si="3"/>
        <v>184</v>
      </c>
      <c r="I86" s="26" t="s">
        <v>300</v>
      </c>
      <c r="J86" s="26" t="s">
        <v>4</v>
      </c>
      <c r="K86" s="25" t="s">
        <v>245</v>
      </c>
      <c r="L86" s="25" t="s">
        <v>4</v>
      </c>
      <c r="M86" s="30" t="s">
        <v>6</v>
      </c>
      <c r="N86" s="6" t="s">
        <v>240</v>
      </c>
      <c r="O86" s="9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79" t="s">
        <v>301</v>
      </c>
      <c r="B87" s="29" t="s">
        <v>302</v>
      </c>
      <c r="C87" s="26" t="s">
        <v>303</v>
      </c>
      <c r="D87" s="26">
        <v>1.0</v>
      </c>
      <c r="E87" s="26" t="s">
        <v>1</v>
      </c>
      <c r="F87" s="26" t="s">
        <v>2</v>
      </c>
      <c r="G87" s="26">
        <v>21.15</v>
      </c>
      <c r="H87" s="18">
        <f t="shared" si="3"/>
        <v>21.15</v>
      </c>
      <c r="I87" s="26" t="s">
        <v>279</v>
      </c>
      <c r="J87" s="26" t="s">
        <v>4</v>
      </c>
      <c r="K87" s="25" t="s">
        <v>304</v>
      </c>
      <c r="L87" s="25" t="s">
        <v>4</v>
      </c>
      <c r="M87" s="30" t="s">
        <v>6</v>
      </c>
      <c r="N87" s="9"/>
      <c r="O87" s="9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7" t="s">
        <v>305</v>
      </c>
      <c r="B88" s="29">
        <v>790012.0</v>
      </c>
      <c r="C88" s="26" t="s">
        <v>306</v>
      </c>
      <c r="D88" s="26">
        <v>2.0</v>
      </c>
      <c r="E88" s="26" t="s">
        <v>307</v>
      </c>
      <c r="F88" s="26" t="s">
        <v>2</v>
      </c>
      <c r="G88" s="26">
        <v>35.62</v>
      </c>
      <c r="H88" s="18">
        <f t="shared" si="3"/>
        <v>71.24</v>
      </c>
      <c r="I88" s="26" t="s">
        <v>245</v>
      </c>
      <c r="J88" s="26" t="s">
        <v>4</v>
      </c>
      <c r="K88" s="25" t="s">
        <v>308</v>
      </c>
      <c r="L88" s="25" t="s">
        <v>4</v>
      </c>
      <c r="M88" s="30" t="s">
        <v>6</v>
      </c>
      <c r="N88" s="9"/>
      <c r="O88" s="9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7" t="s">
        <v>309</v>
      </c>
      <c r="B89" s="29">
        <v>790202.0</v>
      </c>
      <c r="C89" s="26" t="s">
        <v>306</v>
      </c>
      <c r="D89" s="26">
        <v>2.0</v>
      </c>
      <c r="E89" s="26" t="s">
        <v>307</v>
      </c>
      <c r="F89" s="26" t="s">
        <v>2</v>
      </c>
      <c r="G89" s="26">
        <v>32.31</v>
      </c>
      <c r="H89" s="18">
        <f t="shared" si="3"/>
        <v>64.62</v>
      </c>
      <c r="I89" s="26" t="s">
        <v>245</v>
      </c>
      <c r="J89" s="26" t="s">
        <v>4</v>
      </c>
      <c r="K89" s="25" t="s">
        <v>308</v>
      </c>
      <c r="L89" s="25" t="s">
        <v>4</v>
      </c>
      <c r="M89" s="30" t="s">
        <v>6</v>
      </c>
      <c r="N89" s="9"/>
      <c r="O89" s="9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8" t="s">
        <v>310</v>
      </c>
      <c r="B90" s="29">
        <v>791002.0</v>
      </c>
      <c r="C90" s="26" t="s">
        <v>306</v>
      </c>
      <c r="D90" s="26">
        <v>2.0</v>
      </c>
      <c r="E90" s="26" t="s">
        <v>307</v>
      </c>
      <c r="F90" s="26" t="s">
        <v>2</v>
      </c>
      <c r="G90" s="26">
        <v>36.27</v>
      </c>
      <c r="H90" s="18">
        <f t="shared" si="3"/>
        <v>72.54</v>
      </c>
      <c r="I90" s="26" t="s">
        <v>245</v>
      </c>
      <c r="J90" s="26" t="s">
        <v>4</v>
      </c>
      <c r="K90" s="25" t="s">
        <v>308</v>
      </c>
      <c r="L90" s="25" t="s">
        <v>4</v>
      </c>
      <c r="M90" s="30" t="s">
        <v>6</v>
      </c>
      <c r="N90" s="9"/>
      <c r="O90" s="9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6" t="s">
        <v>201</v>
      </c>
      <c r="B91" s="29">
        <v>1.2372439E7</v>
      </c>
      <c r="C91" s="26" t="s">
        <v>203</v>
      </c>
      <c r="D91" s="26">
        <v>1.0</v>
      </c>
      <c r="E91" s="26" t="s">
        <v>1</v>
      </c>
      <c r="F91" s="26" t="s">
        <v>25</v>
      </c>
      <c r="G91" s="26">
        <v>5.5</v>
      </c>
      <c r="H91" s="18">
        <f t="shared" si="3"/>
        <v>5.5</v>
      </c>
      <c r="I91" s="26" t="s">
        <v>226</v>
      </c>
      <c r="J91" s="26" t="s">
        <v>4</v>
      </c>
      <c r="K91" s="25" t="s">
        <v>308</v>
      </c>
      <c r="L91" s="25" t="s">
        <v>4</v>
      </c>
      <c r="M91" s="30" t="s">
        <v>6</v>
      </c>
      <c r="N91" s="9"/>
      <c r="O91" s="9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9" t="s">
        <v>311</v>
      </c>
      <c r="B92" s="29" t="s">
        <v>312</v>
      </c>
      <c r="C92" s="26">
        <v>500.0</v>
      </c>
      <c r="D92" s="26">
        <v>1.0</v>
      </c>
      <c r="E92" s="26" t="s">
        <v>1</v>
      </c>
      <c r="F92" s="26" t="s">
        <v>2</v>
      </c>
      <c r="G92" s="26">
        <v>53.55</v>
      </c>
      <c r="H92" s="18">
        <f t="shared" si="3"/>
        <v>53.55</v>
      </c>
      <c r="I92" s="26" t="s">
        <v>226</v>
      </c>
      <c r="J92" s="26" t="s">
        <v>4</v>
      </c>
      <c r="K92" s="25" t="s">
        <v>289</v>
      </c>
      <c r="L92" s="25" t="s">
        <v>4</v>
      </c>
      <c r="M92" s="30" t="s">
        <v>6</v>
      </c>
      <c r="N92" s="9"/>
      <c r="O92" s="9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6" t="s">
        <v>313</v>
      </c>
      <c r="B93" s="18">
        <v>1.0579661E7</v>
      </c>
      <c r="C93" s="37">
        <v>1.0</v>
      </c>
      <c r="D93" s="37">
        <v>2.0</v>
      </c>
      <c r="E93" s="26" t="s">
        <v>1</v>
      </c>
      <c r="F93" s="26" t="s">
        <v>2</v>
      </c>
      <c r="G93" s="37">
        <v>3.9</v>
      </c>
      <c r="H93" s="18">
        <f t="shared" si="3"/>
        <v>7.8</v>
      </c>
      <c r="I93" s="37" t="s">
        <v>279</v>
      </c>
      <c r="J93" s="37" t="s">
        <v>314</v>
      </c>
      <c r="K93" s="25" t="s">
        <v>304</v>
      </c>
      <c r="L93" s="25" t="s">
        <v>4</v>
      </c>
      <c r="M93" s="30" t="s">
        <v>6</v>
      </c>
      <c r="N93" s="9"/>
      <c r="O93" s="9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90" t="s">
        <v>313</v>
      </c>
      <c r="B94" s="91">
        <v>1.0455641E7</v>
      </c>
      <c r="C94" s="37">
        <v>1.0</v>
      </c>
      <c r="D94" s="37">
        <v>2.0</v>
      </c>
      <c r="E94" s="26" t="s">
        <v>1</v>
      </c>
      <c r="F94" s="26" t="s">
        <v>2</v>
      </c>
      <c r="G94" s="37">
        <v>4.35</v>
      </c>
      <c r="H94" s="18">
        <f t="shared" si="3"/>
        <v>8.7</v>
      </c>
      <c r="I94" s="37" t="s">
        <v>279</v>
      </c>
      <c r="J94" s="37" t="s">
        <v>314</v>
      </c>
      <c r="K94" s="92" t="s">
        <v>315</v>
      </c>
      <c r="L94" s="25" t="s">
        <v>4</v>
      </c>
      <c r="M94" s="30" t="s">
        <v>6</v>
      </c>
      <c r="N94" s="9"/>
      <c r="O94" s="9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5" t="s">
        <v>316</v>
      </c>
      <c r="B95" s="18" t="s">
        <v>317</v>
      </c>
      <c r="C95" s="37" t="s">
        <v>67</v>
      </c>
      <c r="D95" s="37">
        <v>2.0</v>
      </c>
      <c r="E95" s="37" t="s">
        <v>318</v>
      </c>
      <c r="F95" s="37" t="s">
        <v>128</v>
      </c>
      <c r="G95" s="37">
        <v>37.7</v>
      </c>
      <c r="H95" s="18">
        <f t="shared" si="3"/>
        <v>75.4</v>
      </c>
      <c r="I95" s="25" t="s">
        <v>212</v>
      </c>
      <c r="J95" s="25" t="s">
        <v>4</v>
      </c>
      <c r="K95" s="25" t="s">
        <v>289</v>
      </c>
      <c r="L95" s="25" t="s">
        <v>4</v>
      </c>
      <c r="M95" s="30" t="s">
        <v>6</v>
      </c>
      <c r="N95" s="9"/>
      <c r="O95" s="9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8" t="s">
        <v>319</v>
      </c>
      <c r="B96" s="18" t="s">
        <v>320</v>
      </c>
      <c r="C96" s="37" t="s">
        <v>321</v>
      </c>
      <c r="D96" s="37">
        <v>1.0</v>
      </c>
      <c r="E96" s="37" t="s">
        <v>318</v>
      </c>
      <c r="F96" s="37" t="s">
        <v>318</v>
      </c>
      <c r="G96" s="37">
        <v>128.0</v>
      </c>
      <c r="H96" s="18">
        <f t="shared" si="3"/>
        <v>128</v>
      </c>
      <c r="I96" s="25" t="s">
        <v>212</v>
      </c>
      <c r="J96" s="25" t="s">
        <v>4</v>
      </c>
      <c r="K96" s="25" t="s">
        <v>322</v>
      </c>
      <c r="L96" s="25" t="s">
        <v>4</v>
      </c>
      <c r="M96" s="30" t="s">
        <v>6</v>
      </c>
      <c r="N96" s="9"/>
      <c r="O96" s="9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8" t="s">
        <v>323</v>
      </c>
      <c r="B97" s="18">
        <v>1.0517525E9</v>
      </c>
      <c r="C97" s="37" t="s">
        <v>324</v>
      </c>
      <c r="D97" s="37">
        <v>1.0</v>
      </c>
      <c r="E97" s="37" t="s">
        <v>325</v>
      </c>
      <c r="F97" s="37" t="s">
        <v>325</v>
      </c>
      <c r="G97" s="37">
        <v>167.0</v>
      </c>
      <c r="H97" s="18">
        <f t="shared" si="3"/>
        <v>167</v>
      </c>
      <c r="I97" s="25" t="s">
        <v>212</v>
      </c>
      <c r="J97" s="25" t="s">
        <v>4</v>
      </c>
      <c r="K97" s="25" t="s">
        <v>289</v>
      </c>
      <c r="L97" s="25" t="s">
        <v>4</v>
      </c>
      <c r="M97" s="30" t="s">
        <v>6</v>
      </c>
      <c r="N97" s="9"/>
      <c r="O97" s="9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8" t="s">
        <v>326</v>
      </c>
      <c r="B98" s="18">
        <v>1.0984425E9</v>
      </c>
      <c r="C98" s="37" t="s">
        <v>324</v>
      </c>
      <c r="D98" s="37">
        <v>1.0</v>
      </c>
      <c r="E98" s="37" t="s">
        <v>325</v>
      </c>
      <c r="F98" s="37" t="s">
        <v>325</v>
      </c>
      <c r="G98" s="37">
        <v>138.0</v>
      </c>
      <c r="H98" s="18">
        <f t="shared" si="3"/>
        <v>138</v>
      </c>
      <c r="I98" s="25" t="s">
        <v>212</v>
      </c>
      <c r="J98" s="25" t="s">
        <v>4</v>
      </c>
      <c r="K98" s="25" t="s">
        <v>289</v>
      </c>
      <c r="L98" s="25" t="s">
        <v>4</v>
      </c>
      <c r="M98" s="30" t="s">
        <v>6</v>
      </c>
      <c r="N98" s="9"/>
      <c r="O98" s="9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47" t="s">
        <v>327</v>
      </c>
      <c r="B99" s="59" t="s">
        <v>328</v>
      </c>
      <c r="C99" s="37" t="s">
        <v>329</v>
      </c>
      <c r="D99" s="37">
        <v>1.0</v>
      </c>
      <c r="E99" s="37" t="s">
        <v>330</v>
      </c>
      <c r="F99" s="37" t="s">
        <v>330</v>
      </c>
      <c r="G99" s="37">
        <v>7.3</v>
      </c>
      <c r="H99" s="18">
        <f t="shared" si="3"/>
        <v>7.3</v>
      </c>
      <c r="I99" s="25" t="s">
        <v>212</v>
      </c>
      <c r="J99" s="25" t="s">
        <v>4</v>
      </c>
      <c r="K99" s="25" t="s">
        <v>322</v>
      </c>
      <c r="L99" s="25" t="s">
        <v>4</v>
      </c>
      <c r="M99" s="30" t="s">
        <v>6</v>
      </c>
      <c r="N99" s="9"/>
      <c r="O99" s="9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68" t="s">
        <v>331</v>
      </c>
      <c r="B100" s="28" t="s">
        <v>332</v>
      </c>
      <c r="C100" s="25">
        <v>1000.0</v>
      </c>
      <c r="D100" s="25">
        <v>1.0</v>
      </c>
      <c r="E100" s="25" t="s">
        <v>333</v>
      </c>
      <c r="F100" s="25" t="s">
        <v>334</v>
      </c>
      <c r="G100" s="25">
        <v>11.12</v>
      </c>
      <c r="H100" s="18">
        <f t="shared" si="3"/>
        <v>11.12</v>
      </c>
      <c r="I100" s="25" t="s">
        <v>212</v>
      </c>
      <c r="J100" s="25" t="s">
        <v>4</v>
      </c>
      <c r="K100" s="25" t="s">
        <v>289</v>
      </c>
      <c r="L100" s="25" t="s">
        <v>4</v>
      </c>
      <c r="M100" s="30" t="s">
        <v>6</v>
      </c>
      <c r="N100" s="19"/>
      <c r="O100" s="19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68" t="s">
        <v>335</v>
      </c>
      <c r="B101" s="28" t="s">
        <v>336</v>
      </c>
      <c r="C101" s="25">
        <v>500.0</v>
      </c>
      <c r="D101" s="25">
        <v>1.0</v>
      </c>
      <c r="E101" s="25" t="s">
        <v>334</v>
      </c>
      <c r="F101" s="25" t="s">
        <v>334</v>
      </c>
      <c r="G101" s="25">
        <v>9.22</v>
      </c>
      <c r="H101" s="18">
        <f t="shared" si="3"/>
        <v>9.22</v>
      </c>
      <c r="I101" s="25" t="s">
        <v>212</v>
      </c>
      <c r="J101" s="25" t="s">
        <v>4</v>
      </c>
      <c r="K101" s="25" t="s">
        <v>289</v>
      </c>
      <c r="L101" s="25" t="s">
        <v>4</v>
      </c>
      <c r="M101" s="30" t="s">
        <v>6</v>
      </c>
      <c r="N101" s="19"/>
      <c r="O101" s="19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68" t="s">
        <v>337</v>
      </c>
      <c r="B102" s="28" t="s">
        <v>338</v>
      </c>
      <c r="C102" s="25">
        <v>500.0</v>
      </c>
      <c r="D102" s="25">
        <v>1.0</v>
      </c>
      <c r="E102" s="25" t="s">
        <v>339</v>
      </c>
      <c r="F102" s="25" t="s">
        <v>334</v>
      </c>
      <c r="G102" s="25">
        <v>58.18</v>
      </c>
      <c r="H102" s="18">
        <f t="shared" si="3"/>
        <v>58.18</v>
      </c>
      <c r="I102" s="25" t="s">
        <v>212</v>
      </c>
      <c r="J102" s="26" t="s">
        <v>4</v>
      </c>
      <c r="K102" s="25" t="s">
        <v>289</v>
      </c>
      <c r="L102" s="25" t="s">
        <v>4</v>
      </c>
      <c r="M102" s="30" t="s">
        <v>6</v>
      </c>
      <c r="N102" s="9"/>
      <c r="O102" s="9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68" t="s">
        <v>340</v>
      </c>
      <c r="B103" s="28" t="s">
        <v>341</v>
      </c>
      <c r="C103" s="25">
        <v>500.0</v>
      </c>
      <c r="D103" s="25">
        <v>1.0</v>
      </c>
      <c r="E103" s="25" t="s">
        <v>339</v>
      </c>
      <c r="F103" s="25" t="s">
        <v>334</v>
      </c>
      <c r="G103" s="25">
        <v>72.0</v>
      </c>
      <c r="H103" s="18">
        <f t="shared" si="3"/>
        <v>72</v>
      </c>
      <c r="I103" s="25" t="s">
        <v>212</v>
      </c>
      <c r="J103" s="26" t="s">
        <v>4</v>
      </c>
      <c r="K103" s="25" t="s">
        <v>342</v>
      </c>
      <c r="L103" s="25" t="s">
        <v>4</v>
      </c>
      <c r="M103" s="30" t="s">
        <v>6</v>
      </c>
      <c r="N103" s="9"/>
      <c r="O103" s="9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7" t="s">
        <v>343</v>
      </c>
      <c r="B104" s="29" t="s">
        <v>344</v>
      </c>
      <c r="C104" s="26">
        <v>200.0</v>
      </c>
      <c r="D104" s="25">
        <v>2.0</v>
      </c>
      <c r="E104" s="26" t="s">
        <v>339</v>
      </c>
      <c r="F104" s="26" t="s">
        <v>334</v>
      </c>
      <c r="G104" s="37">
        <v>29.35</v>
      </c>
      <c r="H104" s="18">
        <f t="shared" si="3"/>
        <v>58.7</v>
      </c>
      <c r="I104" s="25" t="s">
        <v>212</v>
      </c>
      <c r="J104" s="26" t="s">
        <v>4</v>
      </c>
      <c r="K104" s="25" t="s">
        <v>289</v>
      </c>
      <c r="L104" s="25" t="s">
        <v>4</v>
      </c>
      <c r="M104" s="30" t="s">
        <v>6</v>
      </c>
      <c r="N104" s="9"/>
      <c r="O104" s="9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8" t="s">
        <v>345</v>
      </c>
      <c r="B105" s="29" t="s">
        <v>346</v>
      </c>
      <c r="C105" s="26">
        <v>200.0</v>
      </c>
      <c r="D105" s="25">
        <v>2.0</v>
      </c>
      <c r="E105" s="26" t="s">
        <v>339</v>
      </c>
      <c r="F105" s="26" t="s">
        <v>334</v>
      </c>
      <c r="G105" s="37">
        <v>64.65</v>
      </c>
      <c r="H105" s="18">
        <f t="shared" si="3"/>
        <v>129.3</v>
      </c>
      <c r="I105" s="25" t="s">
        <v>212</v>
      </c>
      <c r="J105" s="26" t="s">
        <v>4</v>
      </c>
      <c r="K105" s="25" t="s">
        <v>289</v>
      </c>
      <c r="L105" s="25" t="s">
        <v>4</v>
      </c>
      <c r="M105" s="30" t="s">
        <v>6</v>
      </c>
      <c r="N105" s="9"/>
      <c r="O105" s="9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93" t="s">
        <v>347</v>
      </c>
      <c r="B106" s="18" t="s">
        <v>348</v>
      </c>
      <c r="C106" s="37">
        <v>5.0</v>
      </c>
      <c r="D106" s="16">
        <v>1.0</v>
      </c>
      <c r="E106" s="16" t="s">
        <v>349</v>
      </c>
      <c r="F106" s="16" t="s">
        <v>2</v>
      </c>
      <c r="G106" s="37">
        <v>44.0</v>
      </c>
      <c r="H106" s="18">
        <f t="shared" si="3"/>
        <v>44</v>
      </c>
      <c r="I106" s="25" t="s">
        <v>212</v>
      </c>
      <c r="J106" s="26" t="s">
        <v>4</v>
      </c>
      <c r="K106" s="25" t="s">
        <v>212</v>
      </c>
      <c r="L106" s="26" t="s">
        <v>4</v>
      </c>
      <c r="M106" s="30" t="s">
        <v>6</v>
      </c>
      <c r="N106" s="9"/>
      <c r="O106" s="9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93" t="s">
        <v>350</v>
      </c>
      <c r="B107" s="18" t="s">
        <v>351</v>
      </c>
      <c r="C107" s="37">
        <v>5.0</v>
      </c>
      <c r="D107" s="16">
        <v>1.0</v>
      </c>
      <c r="E107" s="16" t="s">
        <v>349</v>
      </c>
      <c r="F107" s="16" t="s">
        <v>2</v>
      </c>
      <c r="G107" s="37">
        <v>48.0</v>
      </c>
      <c r="H107" s="18">
        <f t="shared" si="3"/>
        <v>48</v>
      </c>
      <c r="I107" s="16" t="s">
        <v>212</v>
      </c>
      <c r="J107" s="37" t="s">
        <v>4</v>
      </c>
      <c r="K107" s="16" t="s">
        <v>212</v>
      </c>
      <c r="L107" s="37" t="s">
        <v>4</v>
      </c>
      <c r="M107" s="30" t="s">
        <v>6</v>
      </c>
      <c r="N107" s="9"/>
      <c r="O107" s="9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6" t="s">
        <v>352</v>
      </c>
      <c r="B108" s="18" t="s">
        <v>353</v>
      </c>
      <c r="C108" s="37" t="s">
        <v>237</v>
      </c>
      <c r="D108" s="37">
        <v>1.0</v>
      </c>
      <c r="E108" s="37" t="s">
        <v>354</v>
      </c>
      <c r="F108" s="16" t="s">
        <v>273</v>
      </c>
      <c r="G108" s="37">
        <v>529.0</v>
      </c>
      <c r="H108" s="18">
        <f t="shared" si="3"/>
        <v>529</v>
      </c>
      <c r="I108" s="37" t="s">
        <v>355</v>
      </c>
      <c r="J108" s="37" t="s">
        <v>4</v>
      </c>
      <c r="K108" s="16" t="s">
        <v>322</v>
      </c>
      <c r="L108" s="37" t="s">
        <v>4</v>
      </c>
      <c r="M108" s="30" t="s">
        <v>6</v>
      </c>
      <c r="N108" s="6" t="s">
        <v>356</v>
      </c>
      <c r="O108" s="9" t="s">
        <v>357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6" t="s">
        <v>204</v>
      </c>
      <c r="B109" s="29">
        <v>1.4175053E7</v>
      </c>
      <c r="C109" s="37" t="s">
        <v>32</v>
      </c>
      <c r="D109" s="26">
        <v>10.0</v>
      </c>
      <c r="E109" s="26" t="s">
        <v>76</v>
      </c>
      <c r="F109" s="25" t="s">
        <v>25</v>
      </c>
      <c r="G109" s="26">
        <v>13.3</v>
      </c>
      <c r="H109" s="18">
        <f t="shared" si="3"/>
        <v>133</v>
      </c>
      <c r="I109" s="26" t="s">
        <v>308</v>
      </c>
      <c r="J109" s="26" t="s">
        <v>4</v>
      </c>
      <c r="K109" s="25" t="s">
        <v>355</v>
      </c>
      <c r="L109" s="25" t="s">
        <v>4</v>
      </c>
      <c r="M109" s="30" t="s">
        <v>6</v>
      </c>
      <c r="N109" s="9"/>
      <c r="O109" s="9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94" t="s">
        <v>358</v>
      </c>
      <c r="B110" s="95" t="s">
        <v>359</v>
      </c>
      <c r="C110" s="26" t="s">
        <v>360</v>
      </c>
      <c r="D110" s="26">
        <v>1.0</v>
      </c>
      <c r="E110" s="94" t="s">
        <v>361</v>
      </c>
      <c r="F110" s="26" t="s">
        <v>2</v>
      </c>
      <c r="G110" s="26">
        <v>327.0</v>
      </c>
      <c r="H110" s="18">
        <f t="shared" si="3"/>
        <v>327</v>
      </c>
      <c r="I110" s="26" t="s">
        <v>355</v>
      </c>
      <c r="J110" s="26" t="s">
        <v>4</v>
      </c>
      <c r="K110" s="25" t="s">
        <v>362</v>
      </c>
      <c r="L110" s="25" t="s">
        <v>4</v>
      </c>
      <c r="M110" s="30" t="s">
        <v>6</v>
      </c>
      <c r="N110" s="31" t="s">
        <v>356</v>
      </c>
      <c r="O110" s="9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96" t="s">
        <v>363</v>
      </c>
      <c r="B111" s="53" t="s">
        <v>364</v>
      </c>
      <c r="C111" s="26" t="s">
        <v>365</v>
      </c>
      <c r="D111" s="26">
        <v>1.0</v>
      </c>
      <c r="E111" s="26" t="s">
        <v>318</v>
      </c>
      <c r="F111" s="26" t="s">
        <v>318</v>
      </c>
      <c r="G111" s="29">
        <v>612.0</v>
      </c>
      <c r="H111" s="28">
        <f t="shared" ref="H111:H123" si="4">G111*D111</f>
        <v>612</v>
      </c>
      <c r="I111" s="26" t="s">
        <v>366</v>
      </c>
      <c r="J111" s="37" t="s">
        <v>4</v>
      </c>
      <c r="K111" s="97" t="s">
        <v>367</v>
      </c>
      <c r="L111" s="37" t="s">
        <v>4</v>
      </c>
      <c r="M111" s="30" t="s">
        <v>6</v>
      </c>
      <c r="N111" s="31" t="s">
        <v>240</v>
      </c>
      <c r="O111" s="9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31" t="s">
        <v>368</v>
      </c>
      <c r="B112" s="29" t="s">
        <v>369</v>
      </c>
      <c r="C112" s="26" t="s">
        <v>370</v>
      </c>
      <c r="D112" s="26">
        <v>1.0</v>
      </c>
      <c r="E112" s="26" t="s">
        <v>371</v>
      </c>
      <c r="F112" s="26" t="s">
        <v>14</v>
      </c>
      <c r="G112" s="28">
        <v>127.0</v>
      </c>
      <c r="H112" s="28">
        <f t="shared" si="4"/>
        <v>127</v>
      </c>
      <c r="I112" s="26" t="s">
        <v>372</v>
      </c>
      <c r="J112" s="37" t="s">
        <v>4</v>
      </c>
      <c r="K112" s="25" t="s">
        <v>373</v>
      </c>
      <c r="L112" s="25" t="s">
        <v>4</v>
      </c>
      <c r="M112" s="30" t="s">
        <v>6</v>
      </c>
      <c r="N112" s="9"/>
      <c r="O112" s="31" t="s">
        <v>283</v>
      </c>
      <c r="P112" s="57" t="s">
        <v>15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31" t="s">
        <v>374</v>
      </c>
      <c r="B113" s="18">
        <v>4451.0</v>
      </c>
      <c r="C113" s="37">
        <v>1.0</v>
      </c>
      <c r="D113" s="37">
        <v>1.0</v>
      </c>
      <c r="E113" s="37" t="s">
        <v>371</v>
      </c>
      <c r="F113" s="37" t="s">
        <v>14</v>
      </c>
      <c r="G113" s="18">
        <v>598.0</v>
      </c>
      <c r="H113" s="18">
        <f t="shared" si="4"/>
        <v>598</v>
      </c>
      <c r="I113" s="16" t="s">
        <v>375</v>
      </c>
      <c r="J113" s="16" t="s">
        <v>4</v>
      </c>
      <c r="K113" s="98" t="s">
        <v>376</v>
      </c>
      <c r="L113" s="99"/>
      <c r="M113" s="30" t="s">
        <v>6</v>
      </c>
      <c r="N113" s="9"/>
      <c r="O113" s="9"/>
      <c r="P113" s="100" t="s">
        <v>377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31" t="s">
        <v>378</v>
      </c>
      <c r="B114" s="53">
        <v>1.0386643E7</v>
      </c>
      <c r="C114" s="101" t="s">
        <v>379</v>
      </c>
      <c r="D114" s="101">
        <v>1.0</v>
      </c>
      <c r="E114" s="101" t="s">
        <v>1</v>
      </c>
      <c r="F114" s="26" t="s">
        <v>2</v>
      </c>
      <c r="G114" s="29">
        <v>12.41</v>
      </c>
      <c r="H114" s="28">
        <f t="shared" si="4"/>
        <v>12.41</v>
      </c>
      <c r="I114" s="26" t="s">
        <v>367</v>
      </c>
      <c r="J114" s="37" t="s">
        <v>4</v>
      </c>
      <c r="K114" s="25" t="s">
        <v>380</v>
      </c>
      <c r="L114" s="25" t="s">
        <v>4</v>
      </c>
      <c r="M114" s="30" t="s">
        <v>6</v>
      </c>
      <c r="N114" s="31" t="s">
        <v>356</v>
      </c>
      <c r="O114" s="9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7" t="s">
        <v>381</v>
      </c>
      <c r="B115" s="29">
        <v>1.0470655E7</v>
      </c>
      <c r="C115" s="26">
        <v>1.0</v>
      </c>
      <c r="D115" s="26">
        <v>1.0</v>
      </c>
      <c r="E115" s="26" t="s">
        <v>382</v>
      </c>
      <c r="F115" s="26" t="s">
        <v>25</v>
      </c>
      <c r="G115" s="28">
        <v>820.5</v>
      </c>
      <c r="H115" s="28">
        <f t="shared" si="4"/>
        <v>820.5</v>
      </c>
      <c r="I115" s="26" t="s">
        <v>367</v>
      </c>
      <c r="J115" s="26" t="s">
        <v>4</v>
      </c>
      <c r="K115" s="102" t="s">
        <v>383</v>
      </c>
      <c r="L115" s="99"/>
      <c r="M115" s="30" t="s">
        <v>6</v>
      </c>
      <c r="N115" s="9"/>
      <c r="O115" s="82" t="s">
        <v>384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31" t="s">
        <v>385</v>
      </c>
      <c r="B116" s="29" t="s">
        <v>386</v>
      </c>
      <c r="C116" s="26">
        <v>1.0</v>
      </c>
      <c r="D116" s="26">
        <v>1.0</v>
      </c>
      <c r="E116" s="26" t="s">
        <v>387</v>
      </c>
      <c r="F116" s="26" t="s">
        <v>388</v>
      </c>
      <c r="G116" s="29">
        <v>59.0</v>
      </c>
      <c r="H116" s="28">
        <f t="shared" si="4"/>
        <v>59</v>
      </c>
      <c r="I116" s="26" t="s">
        <v>389</v>
      </c>
      <c r="J116" s="26" t="s">
        <v>4</v>
      </c>
      <c r="K116" s="25" t="s">
        <v>390</v>
      </c>
      <c r="L116" s="25" t="s">
        <v>4</v>
      </c>
      <c r="M116" s="30" t="s">
        <v>6</v>
      </c>
      <c r="N116" s="9"/>
      <c r="O116" s="31" t="s">
        <v>391</v>
      </c>
      <c r="P116" s="103" t="s">
        <v>392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7" t="s">
        <v>393</v>
      </c>
      <c r="B117" s="59" t="s">
        <v>394</v>
      </c>
      <c r="C117" s="37" t="s">
        <v>237</v>
      </c>
      <c r="D117" s="26">
        <v>1.0</v>
      </c>
      <c r="E117" s="26" t="s">
        <v>395</v>
      </c>
      <c r="F117" s="26" t="s">
        <v>85</v>
      </c>
      <c r="G117" s="28">
        <v>543.0</v>
      </c>
      <c r="H117" s="28">
        <f t="shared" si="4"/>
        <v>543</v>
      </c>
      <c r="I117" s="26" t="s">
        <v>380</v>
      </c>
      <c r="J117" s="26" t="s">
        <v>4</v>
      </c>
      <c r="K117" s="104"/>
      <c r="L117" s="105"/>
      <c r="M117" s="30" t="s">
        <v>6</v>
      </c>
      <c r="N117" s="9"/>
      <c r="O117" s="9"/>
      <c r="P117" s="57" t="s">
        <v>396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7" t="s">
        <v>397</v>
      </c>
      <c r="B118" s="106">
        <v>305110.0</v>
      </c>
      <c r="C118" s="26" t="s">
        <v>398</v>
      </c>
      <c r="D118" s="26">
        <v>1.0</v>
      </c>
      <c r="E118" s="107" t="s">
        <v>165</v>
      </c>
      <c r="F118" s="25" t="s">
        <v>399</v>
      </c>
      <c r="G118" s="28">
        <v>280.0</v>
      </c>
      <c r="H118" s="28">
        <f t="shared" si="4"/>
        <v>280</v>
      </c>
      <c r="I118" s="66" t="s">
        <v>380</v>
      </c>
      <c r="J118" s="26" t="s">
        <v>4</v>
      </c>
      <c r="K118" s="108" t="s">
        <v>400</v>
      </c>
      <c r="L118" s="25" t="s">
        <v>4</v>
      </c>
      <c r="M118" s="30" t="s">
        <v>6</v>
      </c>
      <c r="N118" s="9"/>
      <c r="O118" s="9" t="s">
        <v>168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9" t="s">
        <v>401</v>
      </c>
      <c r="B119" s="51" t="s">
        <v>402</v>
      </c>
      <c r="C119" s="26" t="s">
        <v>398</v>
      </c>
      <c r="D119" s="26">
        <v>1.0</v>
      </c>
      <c r="E119" s="26" t="s">
        <v>95</v>
      </c>
      <c r="F119" s="26" t="s">
        <v>2</v>
      </c>
      <c r="G119" s="28">
        <v>149.0</v>
      </c>
      <c r="H119" s="28">
        <f t="shared" si="4"/>
        <v>149</v>
      </c>
      <c r="I119" s="26" t="s">
        <v>380</v>
      </c>
      <c r="J119" s="26" t="s">
        <v>4</v>
      </c>
      <c r="K119" s="108" t="s">
        <v>403</v>
      </c>
      <c r="L119" s="19"/>
      <c r="M119" s="30" t="s">
        <v>6</v>
      </c>
      <c r="N119" s="9"/>
      <c r="O119" s="9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7" t="s">
        <v>404</v>
      </c>
      <c r="B120" s="110" t="s">
        <v>405</v>
      </c>
      <c r="C120" s="26" t="s">
        <v>287</v>
      </c>
      <c r="D120" s="26">
        <v>1.0</v>
      </c>
      <c r="E120" s="26" t="s">
        <v>288</v>
      </c>
      <c r="F120" s="26" t="s">
        <v>288</v>
      </c>
      <c r="G120" s="28">
        <v>567.0</v>
      </c>
      <c r="H120" s="28">
        <f t="shared" si="4"/>
        <v>567</v>
      </c>
      <c r="I120" s="26" t="s">
        <v>380</v>
      </c>
      <c r="J120" s="26" t="s">
        <v>4</v>
      </c>
      <c r="K120" s="25" t="s">
        <v>406</v>
      </c>
      <c r="L120" s="25" t="s">
        <v>4</v>
      </c>
      <c r="M120" s="30" t="s">
        <v>6</v>
      </c>
      <c r="N120" s="31" t="s">
        <v>407</v>
      </c>
      <c r="O120" s="57" t="s">
        <v>290</v>
      </c>
      <c r="P120" s="111"/>
      <c r="S120" s="10"/>
      <c r="T120" s="10"/>
      <c r="U120" s="10"/>
      <c r="V120" s="10"/>
      <c r="W120" s="10"/>
      <c r="X120" s="10"/>
      <c r="Y120" s="10"/>
      <c r="Z120" s="10"/>
    </row>
    <row r="121">
      <c r="A121" s="93" t="s">
        <v>408</v>
      </c>
      <c r="B121" s="18" t="s">
        <v>409</v>
      </c>
      <c r="C121" s="37" t="s">
        <v>410</v>
      </c>
      <c r="D121" s="37">
        <v>1.0</v>
      </c>
      <c r="E121" s="37" t="s">
        <v>354</v>
      </c>
      <c r="F121" s="37" t="s">
        <v>354</v>
      </c>
      <c r="G121" s="28">
        <v>519.0</v>
      </c>
      <c r="H121" s="28">
        <f t="shared" si="4"/>
        <v>519</v>
      </c>
      <c r="I121" s="26" t="s">
        <v>380</v>
      </c>
      <c r="J121" s="26" t="s">
        <v>4</v>
      </c>
      <c r="K121" s="25" t="s">
        <v>411</v>
      </c>
      <c r="L121" s="25" t="s">
        <v>412</v>
      </c>
      <c r="M121" s="30" t="s">
        <v>6</v>
      </c>
      <c r="N121" s="9"/>
      <c r="O121" s="9" t="s">
        <v>413</v>
      </c>
      <c r="P121" s="31" t="s">
        <v>414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7" t="s">
        <v>415</v>
      </c>
      <c r="B122" s="59" t="s">
        <v>416</v>
      </c>
      <c r="C122" s="37" t="s">
        <v>410</v>
      </c>
      <c r="D122" s="37">
        <v>1.0</v>
      </c>
      <c r="E122" s="37" t="s">
        <v>354</v>
      </c>
      <c r="F122" s="37" t="s">
        <v>354</v>
      </c>
      <c r="G122" s="28">
        <v>459.0</v>
      </c>
      <c r="H122" s="28">
        <f t="shared" si="4"/>
        <v>459</v>
      </c>
      <c r="I122" s="26" t="s">
        <v>380</v>
      </c>
      <c r="J122" s="26" t="s">
        <v>4</v>
      </c>
      <c r="K122" s="25" t="s">
        <v>411</v>
      </c>
      <c r="L122" s="25" t="s">
        <v>412</v>
      </c>
      <c r="M122" s="30" t="s">
        <v>6</v>
      </c>
      <c r="N122" s="9"/>
      <c r="O122" s="9" t="s">
        <v>413</v>
      </c>
      <c r="P122" s="12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7" t="s">
        <v>417</v>
      </c>
      <c r="B123" s="51" t="s">
        <v>418</v>
      </c>
      <c r="C123" s="26" t="s">
        <v>419</v>
      </c>
      <c r="D123" s="26">
        <v>1.0</v>
      </c>
      <c r="E123" s="26" t="s">
        <v>420</v>
      </c>
      <c r="F123" s="26" t="s">
        <v>2</v>
      </c>
      <c r="G123" s="28">
        <v>205.0</v>
      </c>
      <c r="H123" s="28">
        <f t="shared" si="4"/>
        <v>205</v>
      </c>
      <c r="I123" s="26" t="s">
        <v>421</v>
      </c>
      <c r="J123" s="26" t="s">
        <v>4</v>
      </c>
      <c r="K123" s="112" t="s">
        <v>406</v>
      </c>
      <c r="L123" s="112" t="s">
        <v>4</v>
      </c>
      <c r="M123" s="30" t="s">
        <v>6</v>
      </c>
      <c r="N123" s="9"/>
      <c r="O123" s="9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31" t="s">
        <v>422</v>
      </c>
      <c r="B124" s="29" t="s">
        <v>423</v>
      </c>
      <c r="C124" s="26">
        <v>6.0</v>
      </c>
      <c r="D124" s="26">
        <v>1.0</v>
      </c>
      <c r="E124" s="26" t="s">
        <v>1</v>
      </c>
      <c r="F124" s="26" t="s">
        <v>2</v>
      </c>
      <c r="G124" s="29">
        <v>140.0</v>
      </c>
      <c r="H124" s="28">
        <v>140.0</v>
      </c>
      <c r="I124" s="26" t="s">
        <v>421</v>
      </c>
      <c r="J124" s="26" t="s">
        <v>4</v>
      </c>
      <c r="K124" s="112" t="s">
        <v>406</v>
      </c>
      <c r="L124" s="112" t="s">
        <v>4</v>
      </c>
      <c r="M124" s="30" t="s">
        <v>6</v>
      </c>
      <c r="N124" s="9"/>
      <c r="O124" s="9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31" t="s">
        <v>424</v>
      </c>
      <c r="B125" s="29" t="s">
        <v>425</v>
      </c>
      <c r="C125" s="26">
        <v>50.0</v>
      </c>
      <c r="D125" s="26">
        <v>1.0</v>
      </c>
      <c r="E125" s="26" t="s">
        <v>426</v>
      </c>
      <c r="F125" s="26" t="s">
        <v>2</v>
      </c>
      <c r="G125" s="28">
        <v>133.0</v>
      </c>
      <c r="H125" s="28">
        <f t="shared" ref="H125:H139" si="5">G125*D125</f>
        <v>133</v>
      </c>
      <c r="I125" s="26" t="s">
        <v>380</v>
      </c>
      <c r="J125" s="26" t="s">
        <v>4</v>
      </c>
      <c r="K125" s="26" t="s">
        <v>380</v>
      </c>
      <c r="L125" s="26" t="s">
        <v>4</v>
      </c>
      <c r="M125" s="30" t="s">
        <v>6</v>
      </c>
      <c r="N125" s="9"/>
      <c r="O125" s="9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7" t="s">
        <v>427</v>
      </c>
      <c r="B126" s="113" t="s">
        <v>428</v>
      </c>
      <c r="C126" s="114" t="s">
        <v>429</v>
      </c>
      <c r="D126" s="37">
        <v>1.0</v>
      </c>
      <c r="E126" s="37" t="s">
        <v>430</v>
      </c>
      <c r="F126" s="26" t="s">
        <v>2</v>
      </c>
      <c r="G126" s="28">
        <v>2100.0</v>
      </c>
      <c r="H126" s="28">
        <f t="shared" si="5"/>
        <v>2100</v>
      </c>
      <c r="I126" s="26" t="s">
        <v>411</v>
      </c>
      <c r="J126" s="26" t="s">
        <v>4</v>
      </c>
      <c r="K126" s="99"/>
      <c r="L126" s="99"/>
      <c r="M126" s="30" t="s">
        <v>6</v>
      </c>
      <c r="N126" s="9"/>
      <c r="O126" s="9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15" t="s">
        <v>431</v>
      </c>
      <c r="B127" s="29" t="s">
        <v>432</v>
      </c>
      <c r="C127" s="25" t="s">
        <v>433</v>
      </c>
      <c r="D127" s="26">
        <v>1.0</v>
      </c>
      <c r="E127" s="116" t="s">
        <v>420</v>
      </c>
      <c r="F127" s="26" t="s">
        <v>2</v>
      </c>
      <c r="G127" s="28">
        <v>534.0</v>
      </c>
      <c r="H127" s="28">
        <f t="shared" si="5"/>
        <v>534</v>
      </c>
      <c r="I127" s="26" t="s">
        <v>380</v>
      </c>
      <c r="J127" s="26" t="s">
        <v>4</v>
      </c>
      <c r="K127" s="117" t="s">
        <v>400</v>
      </c>
      <c r="L127" s="117" t="s">
        <v>4</v>
      </c>
      <c r="M127" s="30" t="s">
        <v>6</v>
      </c>
      <c r="N127" s="9"/>
      <c r="O127" s="9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18" t="s">
        <v>434</v>
      </c>
      <c r="B128" s="119">
        <v>1.064621E9</v>
      </c>
      <c r="C128" s="120" t="s">
        <v>435</v>
      </c>
      <c r="D128" s="121">
        <v>1.0</v>
      </c>
      <c r="E128" s="122" t="s">
        <v>128</v>
      </c>
      <c r="F128" s="121" t="s">
        <v>128</v>
      </c>
      <c r="G128" s="123">
        <v>113.0</v>
      </c>
      <c r="H128" s="124">
        <f t="shared" si="5"/>
        <v>113</v>
      </c>
      <c r="I128" s="121" t="s">
        <v>406</v>
      </c>
      <c r="J128" s="121" t="s">
        <v>4</v>
      </c>
      <c r="K128" s="125" t="s">
        <v>436</v>
      </c>
      <c r="L128" s="126"/>
      <c r="M128" s="127" t="s">
        <v>6</v>
      </c>
      <c r="N128" s="128" t="s">
        <v>437</v>
      </c>
      <c r="O128" s="129"/>
      <c r="P128" s="130"/>
      <c r="Q128" s="129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2"/>
      <c r="AB128" s="132"/>
    </row>
    <row r="129">
      <c r="A129" s="118" t="s">
        <v>438</v>
      </c>
      <c r="B129" s="133">
        <v>1.023791E9</v>
      </c>
      <c r="C129" s="121" t="s">
        <v>435</v>
      </c>
      <c r="D129" s="121">
        <v>1.0</v>
      </c>
      <c r="E129" s="122" t="s">
        <v>128</v>
      </c>
      <c r="F129" s="121" t="s">
        <v>128</v>
      </c>
      <c r="G129" s="134">
        <v>151.0</v>
      </c>
      <c r="H129" s="124">
        <f t="shared" si="5"/>
        <v>151</v>
      </c>
      <c r="I129" s="121" t="s">
        <v>406</v>
      </c>
      <c r="J129" s="121" t="s">
        <v>4</v>
      </c>
      <c r="K129" s="125" t="s">
        <v>436</v>
      </c>
      <c r="L129" s="126"/>
      <c r="M129" s="127" t="s">
        <v>6</v>
      </c>
      <c r="N129" s="135"/>
      <c r="O129" s="136"/>
      <c r="P129" s="137"/>
      <c r="Q129" s="136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2"/>
      <c r="AB129" s="132"/>
    </row>
    <row r="130">
      <c r="A130" s="15" t="s">
        <v>439</v>
      </c>
      <c r="B130" s="53" t="s">
        <v>440</v>
      </c>
      <c r="C130" s="26" t="s">
        <v>441</v>
      </c>
      <c r="D130" s="26">
        <v>1.0</v>
      </c>
      <c r="E130" s="37" t="s">
        <v>128</v>
      </c>
      <c r="F130" s="26" t="s">
        <v>128</v>
      </c>
      <c r="G130" s="138">
        <v>181.0</v>
      </c>
      <c r="H130" s="28">
        <f t="shared" si="5"/>
        <v>181</v>
      </c>
      <c r="I130" s="26" t="s">
        <v>406</v>
      </c>
      <c r="J130" s="26" t="s">
        <v>4</v>
      </c>
      <c r="K130" s="99"/>
      <c r="L130" s="99"/>
      <c r="M130" s="30" t="s">
        <v>6</v>
      </c>
      <c r="N130" s="9"/>
      <c r="O130" s="9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5" t="s">
        <v>442</v>
      </c>
      <c r="B131" s="53" t="s">
        <v>443</v>
      </c>
      <c r="C131" s="26" t="s">
        <v>444</v>
      </c>
      <c r="D131" s="26">
        <v>1.0</v>
      </c>
      <c r="E131" s="37" t="s">
        <v>128</v>
      </c>
      <c r="F131" s="26" t="s">
        <v>128</v>
      </c>
      <c r="G131" s="138">
        <v>122.0</v>
      </c>
      <c r="H131" s="28">
        <f t="shared" si="5"/>
        <v>122</v>
      </c>
      <c r="I131" s="26" t="s">
        <v>406</v>
      </c>
      <c r="J131" s="26" t="s">
        <v>4</v>
      </c>
      <c r="K131" s="99"/>
      <c r="L131" s="99"/>
      <c r="M131" s="30" t="s">
        <v>6</v>
      </c>
      <c r="N131" s="9"/>
      <c r="O131" s="9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5" t="s">
        <v>445</v>
      </c>
      <c r="B132" s="53" t="s">
        <v>446</v>
      </c>
      <c r="C132" s="26" t="s">
        <v>149</v>
      </c>
      <c r="D132" s="26">
        <v>1.0</v>
      </c>
      <c r="E132" s="37" t="s">
        <v>128</v>
      </c>
      <c r="F132" s="26" t="s">
        <v>128</v>
      </c>
      <c r="G132" s="138">
        <v>69.3</v>
      </c>
      <c r="H132" s="28">
        <f t="shared" si="5"/>
        <v>69.3</v>
      </c>
      <c r="I132" s="26" t="s">
        <v>406</v>
      </c>
      <c r="J132" s="26" t="s">
        <v>4</v>
      </c>
      <c r="K132" s="99"/>
      <c r="L132" s="99"/>
      <c r="M132" s="30" t="s">
        <v>6</v>
      </c>
      <c r="N132" s="9"/>
      <c r="O132" s="9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5" t="s">
        <v>447</v>
      </c>
      <c r="B133" s="53" t="s">
        <v>448</v>
      </c>
      <c r="C133" s="26" t="s">
        <v>449</v>
      </c>
      <c r="D133" s="26">
        <v>1.0</v>
      </c>
      <c r="E133" s="37" t="s">
        <v>128</v>
      </c>
      <c r="F133" s="26" t="s">
        <v>128</v>
      </c>
      <c r="G133" s="138">
        <v>78.8</v>
      </c>
      <c r="H133" s="28">
        <f t="shared" si="5"/>
        <v>78.8</v>
      </c>
      <c r="I133" s="26" t="s">
        <v>406</v>
      </c>
      <c r="J133" s="26" t="s">
        <v>4</v>
      </c>
      <c r="K133" s="99"/>
      <c r="L133" s="99"/>
      <c r="M133" s="30" t="s">
        <v>6</v>
      </c>
      <c r="N133" s="9"/>
      <c r="O133" s="9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9" t="s">
        <v>450</v>
      </c>
      <c r="B134" s="29" t="s">
        <v>451</v>
      </c>
      <c r="C134" s="26" t="s">
        <v>452</v>
      </c>
      <c r="D134" s="26">
        <v>1.0</v>
      </c>
      <c r="E134" s="140" t="s">
        <v>128</v>
      </c>
      <c r="F134" s="26" t="s">
        <v>128</v>
      </c>
      <c r="G134" s="141">
        <v>157.0</v>
      </c>
      <c r="H134" s="28">
        <f t="shared" si="5"/>
        <v>157</v>
      </c>
      <c r="I134" s="26" t="s">
        <v>406</v>
      </c>
      <c r="J134" s="26" t="s">
        <v>4</v>
      </c>
      <c r="K134" s="99"/>
      <c r="L134" s="99"/>
      <c r="M134" s="30" t="s">
        <v>6</v>
      </c>
      <c r="N134" s="9"/>
      <c r="O134" s="9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2" t="s">
        <v>453</v>
      </c>
      <c r="B135" s="18" t="s">
        <v>454</v>
      </c>
      <c r="C135" s="16" t="s">
        <v>244</v>
      </c>
      <c r="D135" s="16">
        <v>1.0</v>
      </c>
      <c r="E135" s="16" t="s">
        <v>288</v>
      </c>
      <c r="F135" s="16" t="s">
        <v>288</v>
      </c>
      <c r="G135" s="142">
        <v>136.0</v>
      </c>
      <c r="H135" s="18">
        <f t="shared" si="5"/>
        <v>136</v>
      </c>
      <c r="I135" s="26" t="s">
        <v>406</v>
      </c>
      <c r="J135" s="26" t="s">
        <v>4</v>
      </c>
      <c r="K135" s="92" t="s">
        <v>400</v>
      </c>
      <c r="L135" s="117" t="s">
        <v>4</v>
      </c>
      <c r="M135" s="30" t="s">
        <v>6</v>
      </c>
      <c r="N135" s="19"/>
      <c r="O135" s="9" t="s">
        <v>290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5" t="s">
        <v>455</v>
      </c>
      <c r="B136" s="18" t="s">
        <v>456</v>
      </c>
      <c r="C136" s="16" t="s">
        <v>457</v>
      </c>
      <c r="D136" s="16">
        <v>1.0</v>
      </c>
      <c r="E136" s="16" t="s">
        <v>288</v>
      </c>
      <c r="F136" s="16" t="s">
        <v>288</v>
      </c>
      <c r="G136" s="142">
        <v>148.75</v>
      </c>
      <c r="H136" s="18">
        <f t="shared" si="5"/>
        <v>148.75</v>
      </c>
      <c r="I136" s="26" t="s">
        <v>406</v>
      </c>
      <c r="J136" s="26" t="s">
        <v>4</v>
      </c>
      <c r="K136" s="92" t="s">
        <v>400</v>
      </c>
      <c r="L136" s="117" t="s">
        <v>4</v>
      </c>
      <c r="M136" s="30" t="s">
        <v>6</v>
      </c>
      <c r="N136" s="19"/>
      <c r="O136" s="9" t="s">
        <v>290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39" t="s">
        <v>458</v>
      </c>
      <c r="B137" s="18" t="s">
        <v>459</v>
      </c>
      <c r="C137" s="16" t="s">
        <v>457</v>
      </c>
      <c r="D137" s="16">
        <v>1.0</v>
      </c>
      <c r="E137" s="16" t="s">
        <v>288</v>
      </c>
      <c r="F137" s="16" t="s">
        <v>288</v>
      </c>
      <c r="G137" s="142">
        <v>136.0</v>
      </c>
      <c r="H137" s="18">
        <f t="shared" si="5"/>
        <v>136</v>
      </c>
      <c r="I137" s="26" t="s">
        <v>406</v>
      </c>
      <c r="J137" s="26" t="s">
        <v>4</v>
      </c>
      <c r="K137" s="92" t="s">
        <v>400</v>
      </c>
      <c r="L137" s="117" t="s">
        <v>4</v>
      </c>
      <c r="M137" s="30" t="s">
        <v>6</v>
      </c>
      <c r="N137" s="19"/>
      <c r="O137" s="9" t="s">
        <v>290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68" t="s">
        <v>460</v>
      </c>
      <c r="B138" s="28" t="s">
        <v>461</v>
      </c>
      <c r="C138" s="25" t="s">
        <v>462</v>
      </c>
      <c r="D138" s="25">
        <v>1.0</v>
      </c>
      <c r="E138" s="27" t="s">
        <v>463</v>
      </c>
      <c r="F138" s="25" t="s">
        <v>2</v>
      </c>
      <c r="G138" s="28">
        <v>61.95</v>
      </c>
      <c r="H138" s="28">
        <f t="shared" si="5"/>
        <v>61.95</v>
      </c>
      <c r="I138" s="26" t="s">
        <v>406</v>
      </c>
      <c r="J138" s="26" t="s">
        <v>4</v>
      </c>
      <c r="K138" s="117" t="s">
        <v>464</v>
      </c>
      <c r="L138" s="117" t="s">
        <v>4</v>
      </c>
      <c r="M138" s="30" t="s">
        <v>6</v>
      </c>
      <c r="N138" s="9"/>
      <c r="O138" s="9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31" t="s">
        <v>465</v>
      </c>
      <c r="B139" s="29" t="s">
        <v>466</v>
      </c>
      <c r="C139" s="26">
        <v>1.0</v>
      </c>
      <c r="D139" s="26">
        <v>2.0</v>
      </c>
      <c r="E139" s="25" t="s">
        <v>2</v>
      </c>
      <c r="F139" s="25" t="s">
        <v>2</v>
      </c>
      <c r="G139" s="29">
        <v>10.0</v>
      </c>
      <c r="H139" s="28">
        <f t="shared" si="5"/>
        <v>20</v>
      </c>
      <c r="I139" s="26" t="s">
        <v>406</v>
      </c>
      <c r="J139" s="26" t="s">
        <v>4</v>
      </c>
      <c r="K139" s="26" t="s">
        <v>406</v>
      </c>
      <c r="L139" s="26" t="s">
        <v>4</v>
      </c>
      <c r="M139" s="30" t="s">
        <v>6</v>
      </c>
      <c r="N139" s="9"/>
      <c r="O139" s="9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43" t="s">
        <v>467</v>
      </c>
      <c r="B140" s="144"/>
      <c r="C140" s="145"/>
      <c r="D140" s="145"/>
      <c r="E140" s="146" t="s">
        <v>468</v>
      </c>
      <c r="F140" s="145"/>
      <c r="G140" s="143">
        <v>189.08</v>
      </c>
      <c r="H140" s="147">
        <v>189.08</v>
      </c>
      <c r="I140" s="147" t="s">
        <v>469</v>
      </c>
      <c r="J140" s="26" t="s">
        <v>4</v>
      </c>
      <c r="K140" s="148"/>
      <c r="L140" s="26" t="s">
        <v>4</v>
      </c>
      <c r="M140" s="30" t="s">
        <v>6</v>
      </c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5">
      <c r="B145" s="149"/>
      <c r="C145" s="150" t="s">
        <v>470</v>
      </c>
      <c r="D145" s="151"/>
      <c r="E145" s="151"/>
      <c r="F145" s="151"/>
      <c r="G145" s="151"/>
      <c r="H145" s="151"/>
      <c r="I145" s="151"/>
      <c r="J145" s="151"/>
      <c r="K145" s="152"/>
    </row>
    <row r="146">
      <c r="B146" s="153"/>
      <c r="C146" s="154" t="s">
        <v>471</v>
      </c>
      <c r="K146" s="155"/>
    </row>
    <row r="147">
      <c r="B147" s="153"/>
      <c r="C147" s="156" t="s">
        <v>472</v>
      </c>
      <c r="D147" s="157"/>
      <c r="E147" s="158" t="s">
        <v>473</v>
      </c>
      <c r="K147" s="155"/>
    </row>
    <row r="148">
      <c r="B148" s="153"/>
      <c r="C148" s="159" t="s">
        <v>474</v>
      </c>
      <c r="D148" s="160" t="s">
        <v>475</v>
      </c>
      <c r="K148" s="155"/>
    </row>
    <row r="149">
      <c r="B149" s="161" t="s">
        <v>476</v>
      </c>
      <c r="C149" s="162" t="s">
        <v>477</v>
      </c>
      <c r="D149" s="162" t="s">
        <v>478</v>
      </c>
      <c r="E149" s="163"/>
      <c r="F149" s="160" t="s">
        <v>479</v>
      </c>
      <c r="G149" s="164"/>
      <c r="H149" s="165">
        <v>22330.42</v>
      </c>
      <c r="I149" s="160" t="s">
        <v>480</v>
      </c>
      <c r="K149" s="155"/>
    </row>
    <row r="150">
      <c r="B150" s="161" t="s">
        <v>481</v>
      </c>
      <c r="C150" s="159">
        <v>27449.74</v>
      </c>
      <c r="G150" s="160" t="s">
        <v>318</v>
      </c>
      <c r="H150" s="160">
        <v>951.8</v>
      </c>
      <c r="K150" s="155"/>
    </row>
    <row r="151">
      <c r="B151" s="166" t="s">
        <v>318</v>
      </c>
      <c r="C151" s="167">
        <v>951.8</v>
      </c>
      <c r="D151" s="168"/>
      <c r="E151" s="168"/>
      <c r="F151" s="168"/>
      <c r="G151" s="168"/>
      <c r="H151" s="169">
        <v>23282.22</v>
      </c>
      <c r="I151" s="168"/>
      <c r="J151" s="168"/>
      <c r="K151" s="170"/>
    </row>
    <row r="154">
      <c r="B154" s="171"/>
      <c r="C154" s="164"/>
    </row>
    <row r="155">
      <c r="B155" s="160" t="s">
        <v>482</v>
      </c>
    </row>
    <row r="156">
      <c r="B156" s="160" t="s">
        <v>483</v>
      </c>
    </row>
    <row r="157">
      <c r="B157" s="160" t="s">
        <v>484</v>
      </c>
    </row>
    <row r="158">
      <c r="B158" s="172" t="s">
        <v>485</v>
      </c>
      <c r="C158" s="105"/>
      <c r="D158" s="173" t="s">
        <v>486</v>
      </c>
      <c r="E158" s="174" t="s">
        <v>487</v>
      </c>
    </row>
    <row r="160">
      <c r="B160" s="160" t="s">
        <v>488</v>
      </c>
      <c r="E160" s="175" t="s">
        <v>489</v>
      </c>
    </row>
    <row r="161">
      <c r="B161" s="160" t="s">
        <v>490</v>
      </c>
    </row>
    <row r="162">
      <c r="B162" s="160" t="s">
        <v>491</v>
      </c>
    </row>
  </sheetData>
  <mergeCells count="2">
    <mergeCell ref="O120:P120"/>
    <mergeCell ref="Q120:R120"/>
  </mergeCells>
  <drawing r:id="rId1"/>
</worksheet>
</file>